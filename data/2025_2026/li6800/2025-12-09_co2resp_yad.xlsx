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<sst xmlns="http://schemas.openxmlformats.org/spreadsheetml/2006/main" count="4199" uniqueCount="866">
  <si>
    <t>File opened</t>
  </si>
  <si>
    <t>2025-12-09 09:08:31</t>
  </si>
  <si>
    <t>Console s/n</t>
  </si>
  <si>
    <t>68C-702926</t>
  </si>
  <si>
    <t>Console ver</t>
  </si>
  <si>
    <t>Bluestem v.2.1.11</t>
  </si>
  <si>
    <t>Scripts ver</t>
  </si>
  <si>
    <t>2023.02  2.1.11, Jun 2023</t>
  </si>
  <si>
    <t>Head s/n</t>
  </si>
  <si>
    <t>68H-412916</t>
  </si>
  <si>
    <t>Head ver</t>
  </si>
  <si>
    <t>1.4.23</t>
  </si>
  <si>
    <t>Head cal</t>
  </si>
  <si>
    <t>{"oxygen": "21", "co2azero": "1.01726", "co2aspan1": "1.00161", "co2aspan2": "-0.039575", "co2aspan2a": "0.293526", "co2aspan2b": "0.290588", "co2aspanconc1": "2473", "co2aspanconc2": "301.4", "co2bzero": "1.00383", "co2bspan1": "1.00185", "co2bspan2": "-0.0412378", "co2bspan2a": "0.293842", "co2bspan2b": "0.290826", "co2bspanconc1": "2473", "co2bspanconc2": "301.4", "h2oazero": "1.0914", "h2oaspan1": "0.999576", "h2oaspan2": "0", "h2oaspan2a": "0.0691885", "h2oaspan2b": "0.0691591", "h2oaspanconc1": "11.66", "h2oaspanconc2": "0", "h2obzero": "1.07034", "h2obspan1": "0.995223", "h2obspan2": "0", "h2obspan2a": "0.0698144", "h2obspan2b": "0.0694809", "h2obspanconc1": "11.66", "h2obspanconc2": "0", "tazero": "0.115496", "tbzero": "0.222206", "flowmeterzero": "2.4886", "flowazero": "0.25398", "flowbzero": "0.2616", "chamberpressurezero": "2.64324", "ssa_ref": "35964.4", "ssb_ref": "33837.5"}</t>
  </si>
  <si>
    <t>Factory cal date</t>
  </si>
  <si>
    <t>23 Jan 2023</t>
  </si>
  <si>
    <t>CO2 rangematch</t>
  </si>
  <si>
    <t>Mon Oct 20 19:45</t>
  </si>
  <si>
    <t>H2O rangematch</t>
  </si>
  <si>
    <t>Mon Oct 20 19:56</t>
  </si>
  <si>
    <t>Chamber type</t>
  </si>
  <si>
    <t>6800-01A</t>
  </si>
  <si>
    <t>Chamber s/n</t>
  </si>
  <si>
    <t>MPF-742469</t>
  </si>
  <si>
    <t>Chamber rev</t>
  </si>
  <si>
    <t>0</t>
  </si>
  <si>
    <t>Chamber cal</t>
  </si>
  <si>
    <t>Fluorometer</t>
  </si>
  <si>
    <t>Flr. Version</t>
  </si>
  <si>
    <t>09:08:31</t>
  </si>
  <si>
    <t>Stability Definition:	ΔCO2 (Meas2): Slp&lt;0.5 Per=20	ΔH2O (Meas2): Slp&lt;0.1 Per=20	F (FlrLS): Slp&lt;1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</si>
  <si>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</si>
  <si>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</si>
  <si>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</si>
  <si>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</si>
  <si>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</si>
  <si>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</si>
  <si>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</si>
  <si>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</si>
  <si>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</si>
  <si>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</si>
  <si>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</si>
  <si>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</si>
  <si>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</si>
  <si>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</si>
  <si>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</si>
  <si>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UserDefCon</t>
  </si>
  <si>
    <t>machine</t>
  </si>
  <si>
    <t>yadi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</si>
  <si>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</si>
  <si>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</si>
  <si>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</si>
  <si>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</si>
  <si>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</si>
  <si>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</si>
  <si>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</si>
  <si>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</si>
  <si>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</si>
  <si>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</si>
  <si>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</si>
  <si>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</si>
  <si>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</si>
  <si>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</si>
  <si>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</si>
  <si>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</si>
  <si>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</si>
  <si>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</si>
  <si>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</si>
  <si>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</si>
  <si>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</si>
  <si>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</si>
  <si>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</si>
  <si>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</si>
  <si>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</si>
  <si>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</si>
  <si>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</si>
  <si>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</si>
  <si>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</si>
  <si>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</si>
  <si>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</si>
  <si>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</si>
  <si>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</si>
  <si>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</si>
  <si>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</si>
  <si>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</si>
  <si>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1.40366 187.679 352.982 606.386 829.621 1036.29 1202.13 1338.9</t>
  </si>
  <si>
    <t>Fs_true</t>
  </si>
  <si>
    <t>-2.09518 222.814 389.236 612.393 801.041 1005.22 1201.37 1401.45</t>
  </si>
  <si>
    <t>leak_wt</t>
  </si>
  <si>
    <t>SysObs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</si>
  <si>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</si>
  <si>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</si>
  <si>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</si>
  <si>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</si>
  <si>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</si>
  <si>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</si>
  <si>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</si>
  <si>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</si>
  <si>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</si>
  <si>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</si>
  <si>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</si>
  <si>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</si>
  <si>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</si>
  <si>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</si>
  <si>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</si>
  <si>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</si>
  <si>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</si>
  <si>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</si>
  <si>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</si>
  <si>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</si>
  <si>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</si>
  <si>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</si>
  <si>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</si>
  <si>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</si>
  <si>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</si>
  <si>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</si>
  <si>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</si>
  <si>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</si>
  <si>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</si>
  <si>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</si>
  <si>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</si>
  <si>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</si>
  <si>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</si>
  <si>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</si>
  <si>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</si>
  <si>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</si>
  <si>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</si>
  <si>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</si>
  <si>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</si>
  <si>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</si>
  <si>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</si>
  <si>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</si>
  <si>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</si>
  <si>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</si>
  <si>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</si>
  <si>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</si>
  <si>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</si>
  <si>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</si>
  <si>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</si>
  <si>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</si>
  <si>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</si>
  <si>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</si>
  <si>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</si>
  <si>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</si>
  <si>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</si>
  <si>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</si>
  <si>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</si>
  <si>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</si>
  <si>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</si>
  <si>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</si>
  <si>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</si>
  <si>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</si>
  <si>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</si>
  <si>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</si>
  <si>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</si>
  <si>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</si>
  <si>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</si>
  <si>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</si>
  <si>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</si>
  <si>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</si>
  <si>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</si>
  <si>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</si>
  <si>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</si>
  <si>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</si>
  <si>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</si>
  <si>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</si>
  <si>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</si>
  <si>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</si>
  <si>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</si>
  <si>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</si>
  <si>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</si>
  <si>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</si>
  <si>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</si>
  <si>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</si>
  <si>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</si>
  <si>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</si>
  <si>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</si>
  <si>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</si>
  <si>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</si>
  <si>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</si>
  <si>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</si>
  <si>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</si>
  <si>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</si>
  <si>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</si>
  <si>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</si>
  <si>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</si>
  <si>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</si>
  <si>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</si>
  <si>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</si>
  <si>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</si>
  <si>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</si>
  <si>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</si>
  <si>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</si>
  <si>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</si>
  <si>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</si>
  <si>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</si>
  <si>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</si>
  <si>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</si>
  <si>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</si>
  <si>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</si>
  <si>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</si>
  <si>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</si>
  <si>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</si>
  <si>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</si>
  <si>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</si>
  <si>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</si>
  <si>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</si>
  <si>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</si>
  <si>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</si>
  <si>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</si>
  <si>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</si>
  <si>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</si>
  <si>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</si>
  <si>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</si>
  <si>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</si>
  <si>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</si>
  <si>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</si>
  <si>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</si>
  <si>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</si>
  <si>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</si>
  <si>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</si>
  <si>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</si>
  <si>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</si>
  <si>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</si>
  <si>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</si>
  <si>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</si>
  <si>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</si>
  <si>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</si>
  <si>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</si>
  <si>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</si>
  <si>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</si>
  <si>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</si>
  <si>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</si>
  <si>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</si>
  <si>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</si>
  <si>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</si>
  <si>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</si>
  <si>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</si>
  <si>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</si>
  <si>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</si>
  <si>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</si>
  <si>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</si>
  <si>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</si>
  <si>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</si>
  <si>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</si>
  <si>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</si>
  <si>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</si>
  <si>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</si>
  <si>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</si>
  <si>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</si>
  <si>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</si>
  <si>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</si>
  <si>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</si>
  <si>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</si>
  <si>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</si>
  <si>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</si>
  <si>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</si>
  <si>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</si>
  <si>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</si>
  <si>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</si>
  <si>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</si>
  <si>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</si>
  <si>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</si>
  <si>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</si>
  <si>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</si>
  <si>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</si>
  <si>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</si>
  <si>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</si>
  <si>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</si>
  <si>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</si>
  <si>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</si>
  <si>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</si>
  <si>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</si>
  <si>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</si>
  <si>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</si>
  <si>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</si>
  <si>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</si>
  <si>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</si>
  <si>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</si>
  <si>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</si>
  <si>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</si>
  <si>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</si>
  <si>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</si>
  <si>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</si>
  <si>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</si>
  <si>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</si>
  <si>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</si>
  <si>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</si>
  <si>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</si>
  <si>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</si>
  <si>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</si>
  <si>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</si>
  <si>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</si>
  <si>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</si>
  <si>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</si>
  <si>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</si>
  <si>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</si>
  <si>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</si>
  <si>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</si>
  <si>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</si>
  <si>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</si>
  <si>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</si>
  <si>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</si>
  <si>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</si>
  <si>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</si>
  <si>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</si>
  <si>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</si>
  <si>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</si>
  <si>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</si>
  <si>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</si>
  <si>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</si>
  <si>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</si>
  <si>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</si>
  <si>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</si>
  <si>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</si>
  <si>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</si>
  <si>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</si>
  <si>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</si>
  <si>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</si>
  <si>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</si>
  <si>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</si>
  <si>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</si>
  <si>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</si>
  <si>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</si>
  <si>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</si>
  <si>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</si>
  <si>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</si>
  <si>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</si>
  <si>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</si>
  <si>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</si>
  <si>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</si>
  <si>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</si>
  <si>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</si>
  <si>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</si>
  <si>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</si>
  <si>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</si>
  <si>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</si>
  <si>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</si>
  <si>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</si>
  <si>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</si>
  <si>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</si>
  <si>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</si>
  <si>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</si>
  <si>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</si>
  <si>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</si>
  <si>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</si>
  <si>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</si>
  <si>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</si>
  <si>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</si>
  <si>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</si>
  <si>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</si>
  <si>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</si>
  <si>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</si>
  <si>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</si>
  <si>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</si>
  <si>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</si>
  <si>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</si>
  <si>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</si>
  <si>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</si>
  <si>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</si>
  <si>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</si>
  <si>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</si>
  <si>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</si>
  <si>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</si>
  <si>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</si>
  <si>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</si>
  <si>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</si>
  <si>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</si>
  <si>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</si>
  <si>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</si>
  <si>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</si>
  <si>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</si>
  <si>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</si>
  <si>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</si>
  <si>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</si>
  <si>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</si>
  <si>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</si>
  <si>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</si>
  <si>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</si>
  <si>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</si>
  <si>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</si>
  <si>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</si>
  <si>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</si>
  <si>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</si>
  <si>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</si>
  <si>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</si>
  <si>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</si>
  <si>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</si>
  <si>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</si>
  <si>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</si>
  <si>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</si>
  <si>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</si>
  <si>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</si>
  <si>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</si>
  <si>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</si>
  <si>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</si>
  <si>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</si>
  <si>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</si>
  <si>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</si>
  <si>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</si>
  <si>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</si>
  <si>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</si>
  <si>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</si>
  <si>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</si>
  <si>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</si>
  <si>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</si>
  <si>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</si>
  <si>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</si>
  <si>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</si>
  <si>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</si>
  <si>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</si>
  <si>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</si>
  <si>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</si>
  <si>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</si>
  <si>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</si>
  <si>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</si>
  <si>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</si>
  <si>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</si>
  <si>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</si>
  <si>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</si>
  <si>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</si>
  <si>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</si>
  <si>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</si>
  <si>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</si>
  <si>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</si>
  <si>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</si>
  <si>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</si>
  <si>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</si>
  <si>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</si>
  <si>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</si>
  <si>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</si>
  <si>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</si>
  <si>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</si>
  <si>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</si>
  <si>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20251209 10:23:53</t>
  </si>
  <si>
    <t>10:23:53</t>
  </si>
  <si>
    <t>3004</t>
  </si>
  <si>
    <t>-</t>
  </si>
  <si>
    <t>0: Broadleaf</t>
  </si>
  <si>
    <t>10:23:45</t>
  </si>
  <si>
    <t>3/3</t>
  </si>
  <si>
    <t>00000000</t>
  </si>
  <si>
    <t>iiiiiiii</t>
  </si>
  <si>
    <t>off</t>
  </si>
  <si>
    <t>20251209 10:25:36</t>
  </si>
  <si>
    <t>10:25:36</t>
  </si>
  <si>
    <t>10:24:50</t>
  </si>
  <si>
    <t>20251209 10:27:11</t>
  </si>
  <si>
    <t>10:27:11</t>
  </si>
  <si>
    <t>10:26:35</t>
  </si>
  <si>
    <t>20251209 10:29:11</t>
  </si>
  <si>
    <t>10:29:11</t>
  </si>
  <si>
    <t>10:28:11</t>
  </si>
  <si>
    <t>2/3</t>
  </si>
  <si>
    <t>20251209 10:30:33</t>
  </si>
  <si>
    <t>10:30:33</t>
  </si>
  <si>
    <t>10:30:08</t>
  </si>
  <si>
    <t>20251209 10:31:46</t>
  </si>
  <si>
    <t>10:31:46</t>
  </si>
  <si>
    <t>10:31:23</t>
  </si>
  <si>
    <t>20251209 10:33:18</t>
  </si>
  <si>
    <t>10:33:18</t>
  </si>
  <si>
    <t>10:33:35</t>
  </si>
  <si>
    <t>20251209 10:35:06</t>
  </si>
  <si>
    <t>10:35:06</t>
  </si>
  <si>
    <t>10:34:22</t>
  </si>
  <si>
    <t>20251209 10:36:14</t>
  </si>
  <si>
    <t>10:36:14</t>
  </si>
  <si>
    <t>10:36:09</t>
  </si>
  <si>
    <t>1/3</t>
  </si>
  <si>
    <t>20251209 10:37:45</t>
  </si>
  <si>
    <t>10:37:45</t>
  </si>
  <si>
    <t>10:37:19</t>
  </si>
  <si>
    <t>20251209 10:39:12</t>
  </si>
  <si>
    <t>10:39:12</t>
  </si>
  <si>
    <t>10:38:47</t>
  </si>
  <si>
    <t>20251209 10:40:30</t>
  </si>
  <si>
    <t>10:40:30</t>
  </si>
  <si>
    <t>10:40:05</t>
  </si>
  <si>
    <t>20251209 11:24:10</t>
  </si>
  <si>
    <t>11:24:10</t>
  </si>
  <si>
    <t>552</t>
  </si>
  <si>
    <t>11:24:31</t>
  </si>
  <si>
    <t>20251209 11:26:02</t>
  </si>
  <si>
    <t>11:26:02</t>
  </si>
  <si>
    <t>11:26:24</t>
  </si>
  <si>
    <t>20251209 11:27:37</t>
  </si>
  <si>
    <t>11:27:37</t>
  </si>
  <si>
    <t>11:27:54</t>
  </si>
  <si>
    <t>20251209 11:29:09</t>
  </si>
  <si>
    <t>11:29:09</t>
  </si>
  <si>
    <t>11:29:27</t>
  </si>
  <si>
    <t>20251209 11:30:36</t>
  </si>
  <si>
    <t>11:30:36</t>
  </si>
  <si>
    <t>11:30:52</t>
  </si>
  <si>
    <t>20251209 11:31:58</t>
  </si>
  <si>
    <t>11:31:58</t>
  </si>
  <si>
    <t>11:32:18</t>
  </si>
  <si>
    <t>20251209 11:33:49</t>
  </si>
  <si>
    <t>11:33:49</t>
  </si>
  <si>
    <t>11:34:10</t>
  </si>
  <si>
    <t>20251209 11:35:33</t>
  </si>
  <si>
    <t>11:35:33</t>
  </si>
  <si>
    <t>11:35:58</t>
  </si>
  <si>
    <t>20251209 11:37:16</t>
  </si>
  <si>
    <t>11:37:16</t>
  </si>
  <si>
    <t>11:37:35</t>
  </si>
  <si>
    <t>20251209 11:38:54</t>
  </si>
  <si>
    <t>11:38:54</t>
  </si>
  <si>
    <t>11:39:13</t>
  </si>
  <si>
    <t>20251209 11:40:27</t>
  </si>
  <si>
    <t>11:40:27</t>
  </si>
  <si>
    <t>11:40:52</t>
  </si>
  <si>
    <t>20251209 11:42:23</t>
  </si>
  <si>
    <t>11:42:23</t>
  </si>
  <si>
    <t>11:42:52</t>
  </si>
  <si>
    <t>20251209 11:44:23</t>
  </si>
  <si>
    <t>11:44:23</t>
  </si>
  <si>
    <t>11:44:42</t>
  </si>
  <si>
    <t>20251209 11:46:13</t>
  </si>
  <si>
    <t>11:46:13</t>
  </si>
  <si>
    <t>11:46:29</t>
  </si>
  <si>
    <t>20251209 12:00:44</t>
  </si>
  <si>
    <t>12:00:44</t>
  </si>
  <si>
    <t>5904</t>
  </si>
  <si>
    <t>12:01:05</t>
  </si>
  <si>
    <t>20251209 12:02:36</t>
  </si>
  <si>
    <t>12:02:36</t>
  </si>
  <si>
    <t>12:02:59</t>
  </si>
  <si>
    <t>20251209 12:04:16</t>
  </si>
  <si>
    <t>12:04:16</t>
  </si>
  <si>
    <t>12:04:35</t>
  </si>
  <si>
    <t>20251209 12:05:48</t>
  </si>
  <si>
    <t>12:05:48</t>
  </si>
  <si>
    <t>12:06:04</t>
  </si>
  <si>
    <t>20251209 12:07:14</t>
  </si>
  <si>
    <t>12:07:14</t>
  </si>
  <si>
    <t>12:07:31</t>
  </si>
  <si>
    <t>20251209 12:08:42</t>
  </si>
  <si>
    <t>12:08:42</t>
  </si>
  <si>
    <t>12:08:58</t>
  </si>
  <si>
    <t>20251209 12:10:29</t>
  </si>
  <si>
    <t>12:10:29</t>
  </si>
  <si>
    <t>12:10:45</t>
  </si>
  <si>
    <t>20251209 12:11:46</t>
  </si>
  <si>
    <t>12:11:46</t>
  </si>
  <si>
    <t>12:12:02</t>
  </si>
  <si>
    <t>20251209 12:13:19</t>
  </si>
  <si>
    <t>12:13:19</t>
  </si>
  <si>
    <t>12:13:39</t>
  </si>
  <si>
    <t>20251209 12:14:53</t>
  </si>
  <si>
    <t>12:14:53</t>
  </si>
  <si>
    <t>12:15:13</t>
  </si>
  <si>
    <t>20251209 12:16:28</t>
  </si>
  <si>
    <t>12:16:28</t>
  </si>
  <si>
    <t>12:16:51</t>
  </si>
  <si>
    <t>20251209 12:18:03</t>
  </si>
  <si>
    <t>12:18:03</t>
  </si>
  <si>
    <t>12:18:26</t>
  </si>
  <si>
    <t>20251209 12:19:46</t>
  </si>
  <si>
    <t>12:19:46</t>
  </si>
  <si>
    <t>12:20:10</t>
  </si>
  <si>
    <t>20251209 12:21:41</t>
  </si>
  <si>
    <t>12:21:41</t>
  </si>
  <si>
    <t>12:21:58</t>
  </si>
  <si>
    <t>20251209 12:44:28</t>
  </si>
  <si>
    <t>12:44:28</t>
  </si>
  <si>
    <t>5714</t>
  </si>
  <si>
    <t>12:44:46</t>
  </si>
  <si>
    <t>20251209 12:46:00</t>
  </si>
  <si>
    <t>12:46:00</t>
  </si>
  <si>
    <t>12:46:17</t>
  </si>
  <si>
    <t>20251209 12:47:31</t>
  </si>
  <si>
    <t>12:47:31</t>
  </si>
  <si>
    <t>12:47:47</t>
  </si>
  <si>
    <t>20251209 12:49:03</t>
  </si>
  <si>
    <t>12:49:03</t>
  </si>
  <si>
    <t>12:49:20</t>
  </si>
  <si>
    <t>20251209 12:50:44</t>
  </si>
  <si>
    <t>12:50:44</t>
  </si>
  <si>
    <t>12:51:04</t>
  </si>
  <si>
    <t>20251209 12:52:11</t>
  </si>
  <si>
    <t>12:52:11</t>
  </si>
  <si>
    <t>12:52:30</t>
  </si>
  <si>
    <t>20251209 12:53:58</t>
  </si>
  <si>
    <t>12:53:58</t>
  </si>
  <si>
    <t>12:54:19</t>
  </si>
  <si>
    <t>20251209 12:55:20</t>
  </si>
  <si>
    <t>12:55:20</t>
  </si>
  <si>
    <t>12:55:37</t>
  </si>
  <si>
    <t>20251209 12:56:56</t>
  </si>
  <si>
    <t>12:56:56</t>
  </si>
  <si>
    <t>12:57:16</t>
  </si>
  <si>
    <t>20251209 12:58:29</t>
  </si>
  <si>
    <t>12:58:29</t>
  </si>
  <si>
    <t>12:58:54</t>
  </si>
  <si>
    <t>20251209 13:00:25</t>
  </si>
  <si>
    <t>13:00:25</t>
  </si>
  <si>
    <t>13:00:42</t>
  </si>
  <si>
    <t>20251209 13:01:58</t>
  </si>
  <si>
    <t>13:01:58</t>
  </si>
  <si>
    <t>13:02:21</t>
  </si>
  <si>
    <t>20251209 13:03:40</t>
  </si>
  <si>
    <t>13:03:40</t>
  </si>
  <si>
    <t>13:04:09</t>
  </si>
  <si>
    <t>20251209 13:05:40</t>
  </si>
  <si>
    <t>13:05:40</t>
  </si>
  <si>
    <t>13:06:02</t>
  </si>
  <si>
    <t>20251209 13:18:08</t>
  </si>
  <si>
    <t>13:18:08</t>
  </si>
  <si>
    <t>5722</t>
  </si>
  <si>
    <t>13:18:25</t>
  </si>
  <si>
    <t>20251209 13:19:41</t>
  </si>
  <si>
    <t>13:19:41</t>
  </si>
  <si>
    <t>13:20:00</t>
  </si>
  <si>
    <t>20251209 13:21:20</t>
  </si>
  <si>
    <t>13:21:20</t>
  </si>
  <si>
    <t>13:21:37</t>
  </si>
  <si>
    <t>20251209 13:22:58</t>
  </si>
  <si>
    <t>13:22:58</t>
  </si>
  <si>
    <t>13:23:17</t>
  </si>
  <si>
    <t>20251209 13:24:36</t>
  </si>
  <si>
    <t>13:24:36</t>
  </si>
  <si>
    <t>13:24:55</t>
  </si>
  <si>
    <t>20251209 13:26:02</t>
  </si>
  <si>
    <t>13:26:02</t>
  </si>
  <si>
    <t>13:26:20</t>
  </si>
  <si>
    <t>20251209 13:27:50</t>
  </si>
  <si>
    <t>13:27:50</t>
  </si>
  <si>
    <t>13:28:07</t>
  </si>
  <si>
    <t>20251209 13:29:08</t>
  </si>
  <si>
    <t>13:29:08</t>
  </si>
  <si>
    <t>13:29:27</t>
  </si>
  <si>
    <t>20251209 13:30:58</t>
  </si>
  <si>
    <t>13:30:58</t>
  </si>
  <si>
    <t>13:31:15</t>
  </si>
  <si>
    <t>20251209 13:32:35</t>
  </si>
  <si>
    <t>13:32:35</t>
  </si>
  <si>
    <t>13:32:54</t>
  </si>
  <si>
    <t>20251209 13:34:09</t>
  </si>
  <si>
    <t>13:34:09</t>
  </si>
  <si>
    <t>13:34:39</t>
  </si>
  <si>
    <t>20251209 13:35:53</t>
  </si>
  <si>
    <t>13:35:53</t>
  </si>
  <si>
    <t>13:36:15</t>
  </si>
  <si>
    <t>20251209 13:37:31</t>
  </si>
  <si>
    <t>13:37:31</t>
  </si>
  <si>
    <t>13:37:52</t>
  </si>
  <si>
    <t>20251209 13:39:22</t>
  </si>
  <si>
    <t>13:39:22</t>
  </si>
  <si>
    <t>13:39:38</t>
  </si>
  <si>
    <t>20251209 13:50:45</t>
  </si>
  <si>
    <t>13:50:45</t>
  </si>
  <si>
    <t>2416</t>
  </si>
  <si>
    <t>13:51:04</t>
  </si>
  <si>
    <t>20251209 13:52:17</t>
  </si>
  <si>
    <t>13:52:17</t>
  </si>
  <si>
    <t>13:52:48</t>
  </si>
  <si>
    <t>20251209 13:54:02</t>
  </si>
  <si>
    <t>13:54:02</t>
  </si>
  <si>
    <t>13:54:19</t>
  </si>
  <si>
    <t>20251209 13:55:34</t>
  </si>
  <si>
    <t>13:55:34</t>
  </si>
  <si>
    <t>13:55:50</t>
  </si>
  <si>
    <t>20251209 13:57:19</t>
  </si>
  <si>
    <t>13:57:19</t>
  </si>
  <si>
    <t>13:57:35</t>
  </si>
  <si>
    <t>20251209 13:58:40</t>
  </si>
  <si>
    <t>13:58:40</t>
  </si>
  <si>
    <t>13:58:57</t>
  </si>
  <si>
    <t>20251209 14:00:28</t>
  </si>
  <si>
    <t>14:00:28</t>
  </si>
  <si>
    <t>14:00:46</t>
  </si>
  <si>
    <t>20251209 14:01:47</t>
  </si>
  <si>
    <t>14:01:47</t>
  </si>
  <si>
    <t>14:02:04</t>
  </si>
  <si>
    <t>20251209 14:03:25</t>
  </si>
  <si>
    <t>14:03:25</t>
  </si>
  <si>
    <t>14:03:43</t>
  </si>
  <si>
    <t>20251209 14:05:14</t>
  </si>
  <si>
    <t>14:05:14</t>
  </si>
  <si>
    <t>14:05:31</t>
  </si>
  <si>
    <t>20251209 14:06:47</t>
  </si>
  <si>
    <t>14:06:47</t>
  </si>
  <si>
    <t>14:07:10</t>
  </si>
  <si>
    <t>20251209 14:08:32</t>
  </si>
  <si>
    <t>14:08:32</t>
  </si>
  <si>
    <t>14:08:56</t>
  </si>
  <si>
    <t>20251209 14:10:18</t>
  </si>
  <si>
    <t>14:10:18</t>
  </si>
  <si>
    <t>14:10:43</t>
  </si>
  <si>
    <t>20251209 14:12:11</t>
  </si>
  <si>
    <t>14:12:11</t>
  </si>
  <si>
    <t>14:12:27</t>
  </si>
  <si>
    <t>20251209 14:24:51</t>
  </si>
  <si>
    <t>14:24:51</t>
  </si>
  <si>
    <t>2276</t>
  </si>
  <si>
    <t>14:25:14</t>
  </si>
  <si>
    <t>20251209 14:26:45</t>
  </si>
  <si>
    <t>14:26:45</t>
  </si>
  <si>
    <t>14:27:06</t>
  </si>
  <si>
    <t>20251209 14:28:37</t>
  </si>
  <si>
    <t>14:28:37</t>
  </si>
  <si>
    <t>14:28:54</t>
  </si>
  <si>
    <t>20251209 14:30:25</t>
  </si>
  <si>
    <t>14:30:25</t>
  </si>
  <si>
    <t>14:30:41</t>
  </si>
  <si>
    <t>20251209 14:31:56</t>
  </si>
  <si>
    <t>14:31:56</t>
  </si>
  <si>
    <t>14:32:12</t>
  </si>
  <si>
    <t>20251209 14:33:43</t>
  </si>
  <si>
    <t>14:33:43</t>
  </si>
  <si>
    <t>14:34:02</t>
  </si>
  <si>
    <t>20251209 14:35:33</t>
  </si>
  <si>
    <t>14:35:33</t>
  </si>
  <si>
    <t>14:35:50</t>
  </si>
  <si>
    <t>20251209 14:37:21</t>
  </si>
  <si>
    <t>14:37:21</t>
  </si>
  <si>
    <t>14:37:41</t>
  </si>
  <si>
    <t>20251209 14:39:10</t>
  </si>
  <si>
    <t>14:39:10</t>
  </si>
  <si>
    <t>14:39:29</t>
  </si>
  <si>
    <t>20251209 14:40:46</t>
  </si>
  <si>
    <t>14:40:46</t>
  </si>
  <si>
    <t>14:41:15</t>
  </si>
  <si>
    <t>20251209 14:42:46</t>
  </si>
  <si>
    <t>14:42:46</t>
  </si>
  <si>
    <t>14:43:07</t>
  </si>
  <si>
    <t>20251209 14:44:38</t>
  </si>
  <si>
    <t>14:44:38</t>
  </si>
  <si>
    <t>14:44:54</t>
  </si>
  <si>
    <t>20251209 14:46:12</t>
  </si>
  <si>
    <t>14:46:12</t>
  </si>
  <si>
    <t>14:46:29</t>
  </si>
  <si>
    <t>20251209 14:48:00</t>
  </si>
  <si>
    <t>14:48:00</t>
  </si>
  <si>
    <t>14:48:21</t>
  </si>
  <si>
    <t>20251209 15:02:41</t>
  </si>
  <si>
    <t>15:02:41</t>
  </si>
  <si>
    <t>1647</t>
  </si>
  <si>
    <t>15:02:58</t>
  </si>
  <si>
    <t>20251209 15:04:12</t>
  </si>
  <si>
    <t>15:04:12</t>
  </si>
  <si>
    <t>15:04:29</t>
  </si>
  <si>
    <t>20251209 15:06:00</t>
  </si>
  <si>
    <t>15:06:00</t>
  </si>
  <si>
    <t>15:06:18</t>
  </si>
  <si>
    <t>20251209 15:07:36</t>
  </si>
  <si>
    <t>15:07:36</t>
  </si>
  <si>
    <t>15:07:54</t>
  </si>
  <si>
    <t>20251209 15:09:06</t>
  </si>
  <si>
    <t>15:09:06</t>
  </si>
  <si>
    <t>15:09:25</t>
  </si>
  <si>
    <t>20251209 15:10:30</t>
  </si>
  <si>
    <t>15:10:30</t>
  </si>
  <si>
    <t>15:10:47</t>
  </si>
  <si>
    <t>20251209 15:12:18</t>
  </si>
  <si>
    <t>15:12:18</t>
  </si>
  <si>
    <t>15:12:36</t>
  </si>
  <si>
    <t>20251209 15:13:41</t>
  </si>
  <si>
    <t>15:13:41</t>
  </si>
  <si>
    <t>15:14:00</t>
  </si>
  <si>
    <t>20251209 15:15:31</t>
  </si>
  <si>
    <t>15:15:31</t>
  </si>
  <si>
    <t>15:15:51</t>
  </si>
  <si>
    <t>20251209 15:17:08</t>
  </si>
  <si>
    <t>15:17:08</t>
  </si>
  <si>
    <t>15:17:25</t>
  </si>
  <si>
    <t>20251209 15:18:40</t>
  </si>
  <si>
    <t>15:18:40</t>
  </si>
  <si>
    <t>15:19:03</t>
  </si>
  <si>
    <t>20251209 15:20:15</t>
  </si>
  <si>
    <t>15:20:15</t>
  </si>
  <si>
    <t>15:20:34</t>
  </si>
  <si>
    <t>20251209 15:22:05</t>
  </si>
  <si>
    <t>15:22:05</t>
  </si>
  <si>
    <t>15:22:30</t>
  </si>
  <si>
    <t>20251209 15:24:01</t>
  </si>
  <si>
    <t>15:24:01</t>
  </si>
  <si>
    <t>15:24:18</t>
  </si>
  <si>
    <t>20251209 15:35:37</t>
  </si>
  <si>
    <t>15:35:37</t>
  </si>
  <si>
    <t>2563</t>
  </si>
  <si>
    <t>15:35:59</t>
  </si>
  <si>
    <t>20251209 15:37:11</t>
  </si>
  <si>
    <t>15:37:11</t>
  </si>
  <si>
    <t>15:37:27</t>
  </si>
  <si>
    <t>20251209 15:38:58</t>
  </si>
  <si>
    <t>15:38:58</t>
  </si>
  <si>
    <t>15:39:14</t>
  </si>
  <si>
    <t>20251209 15:40:46</t>
  </si>
  <si>
    <t>15:40:46</t>
  </si>
  <si>
    <t>15:41:04</t>
  </si>
  <si>
    <t>20251209 15:42:14</t>
  </si>
  <si>
    <t>15:42:14</t>
  </si>
  <si>
    <t>15:42:30</t>
  </si>
  <si>
    <t>20251209 15:43:38</t>
  </si>
  <si>
    <t>15:43:38</t>
  </si>
  <si>
    <t>15:43:56</t>
  </si>
  <si>
    <t>20251209 15:45:27</t>
  </si>
  <si>
    <t>15:45:27</t>
  </si>
  <si>
    <t>15:45:43</t>
  </si>
  <si>
    <t>20251209 15:47:14</t>
  </si>
  <si>
    <t>15:47:14</t>
  </si>
  <si>
    <t>15:47:41</t>
  </si>
  <si>
    <t>20251209 15:48:58</t>
  </si>
  <si>
    <t>15:48:58</t>
  </si>
  <si>
    <t>15:49:16</t>
  </si>
  <si>
    <t>20251209 15:50:37</t>
  </si>
  <si>
    <t>15:50:37</t>
  </si>
  <si>
    <t>15:51:02</t>
  </si>
  <si>
    <t>20251209 15:52:33</t>
  </si>
  <si>
    <t>15:52:33</t>
  </si>
  <si>
    <t>15:52:53</t>
  </si>
  <si>
    <t>20251209 15:54:24</t>
  </si>
  <si>
    <t>15:54:24</t>
  </si>
  <si>
    <t>15:54:53</t>
  </si>
  <si>
    <t>20251209 15:56:08</t>
  </si>
  <si>
    <t>15:56:08</t>
  </si>
  <si>
    <t>15:56:24</t>
  </si>
  <si>
    <t>20251209 15:57:55</t>
  </si>
  <si>
    <t>15:57:55</t>
  </si>
  <si>
    <t>15:58:12</t>
  </si>
  <si>
    <t>20251209 16:15:40</t>
  </si>
  <si>
    <t>16:15:40</t>
  </si>
  <si>
    <t>4990</t>
  </si>
  <si>
    <t>16:16:04</t>
  </si>
  <si>
    <t>20251209 16:17:18</t>
  </si>
  <si>
    <t>16:17:18</t>
  </si>
  <si>
    <t>16:17:40</t>
  </si>
  <si>
    <t>20251209 16:18:52</t>
  </si>
  <si>
    <t>16:18:52</t>
  </si>
  <si>
    <t>16:19:15</t>
  </si>
  <si>
    <t>20251209 16:20:28</t>
  </si>
  <si>
    <t>16:20:28</t>
  </si>
  <si>
    <t>16:20:45</t>
  </si>
  <si>
    <t>20251209 16:22:16</t>
  </si>
  <si>
    <t>16:22:16</t>
  </si>
  <si>
    <t>16:22:35</t>
  </si>
  <si>
    <t>20251209 16:23:40</t>
  </si>
  <si>
    <t>16:23:40</t>
  </si>
  <si>
    <t>16:23:58</t>
  </si>
  <si>
    <t>20251209 16:25:29</t>
  </si>
  <si>
    <t>16:25:29</t>
  </si>
  <si>
    <t>16:25:54</t>
  </si>
  <si>
    <t>20251209 16:27:25</t>
  </si>
  <si>
    <t>16:27:25</t>
  </si>
  <si>
    <t>16:27:45</t>
  </si>
  <si>
    <t>20251209 16:29:00</t>
  </si>
  <si>
    <t>16:29:00</t>
  </si>
  <si>
    <t>16:29:24</t>
  </si>
  <si>
    <t>20251209 16:30:55</t>
  </si>
  <si>
    <t>16:30:55</t>
  </si>
  <si>
    <t>16:31:13</t>
  </si>
  <si>
    <t>20251209 16:32:44</t>
  </si>
  <si>
    <t>16:32:44</t>
  </si>
  <si>
    <t>16:33:09</t>
  </si>
  <si>
    <t>20251209 16:34:38</t>
  </si>
  <si>
    <t>16:34:38</t>
  </si>
  <si>
    <t>16:34:58</t>
  </si>
  <si>
    <t>20251209 16:36:29</t>
  </si>
  <si>
    <t>16:36:29</t>
  </si>
  <si>
    <t>16:36:58</t>
  </si>
  <si>
    <t>20251209 16:38:29</t>
  </si>
  <si>
    <t>16:38:29</t>
  </si>
  <si>
    <t>16:38:51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</si>
</sst>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J156"/>
  <sheetViews>
    <sheetView tabSelected="1" workbookViewId="0"/>
  </sheetViews>
  <sheetFormatPr defaultRowHeight="15"/>
  <sheetData>
    <row r="2" spans="1:296">
      <c r="A2" t="s">
        <v>31</v>
      </c>
      <c r="B2" t="s">
        <v>32</v>
      </c>
      <c r="C2" t="s">
        <v>33</v>
      </c>
    </row>
    <row r="3" spans="1:296">
      <c r="B3">
        <v>4</v>
      </c>
      <c r="C3">
        <v>21</v>
      </c>
    </row>
    <row r="4" spans="1:296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6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96.90000000000001</v>
      </c>
    </row>
    <row r="6" spans="1:296">
      <c r="A6" t="s">
        <v>46</v>
      </c>
      <c r="B6" t="s">
        <v>47</v>
      </c>
    </row>
    <row r="7" spans="1:296">
      <c r="B7" t="s">
        <v>48</v>
      </c>
    </row>
    <row r="8" spans="1:296">
      <c r="A8" t="s">
        <v>49</v>
      </c>
      <c r="B8" t="s">
        <v>50</v>
      </c>
      <c r="C8" t="s">
        <v>51</v>
      </c>
      <c r="D8" t="s">
        <v>52</v>
      </c>
      <c r="E8" t="s">
        <v>53</v>
      </c>
    </row>
    <row r="9" spans="1:296">
      <c r="B9">
        <v>0</v>
      </c>
      <c r="C9">
        <v>1</v>
      </c>
      <c r="D9">
        <v>0</v>
      </c>
      <c r="E9">
        <v>0</v>
      </c>
    </row>
    <row r="10" spans="1:296">
      <c r="A10" t="s">
        <v>54</v>
      </c>
      <c r="B10" t="s">
        <v>55</v>
      </c>
      <c r="C10" t="s">
        <v>57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  <c r="I10" t="s">
        <v>64</v>
      </c>
      <c r="J10" t="s">
        <v>65</v>
      </c>
      <c r="K10" t="s">
        <v>66</v>
      </c>
      <c r="L10" t="s">
        <v>67</v>
      </c>
      <c r="M10" t="s">
        <v>68</v>
      </c>
      <c r="N10" t="s">
        <v>69</v>
      </c>
      <c r="O10" t="s">
        <v>70</v>
      </c>
      <c r="P10" t="s">
        <v>71</v>
      </c>
      <c r="Q10" t="s">
        <v>72</v>
      </c>
    </row>
    <row r="11" spans="1:296">
      <c r="B11" t="s">
        <v>56</v>
      </c>
      <c r="C11" t="s">
        <v>58</v>
      </c>
      <c r="D11">
        <v>0.8</v>
      </c>
      <c r="E11">
        <v>0.84</v>
      </c>
      <c r="F11">
        <v>0.7</v>
      </c>
      <c r="G11">
        <v>0.87</v>
      </c>
      <c r="H11">
        <v>0.75</v>
      </c>
      <c r="I11">
        <v>0.84</v>
      </c>
      <c r="J11">
        <v>0.87</v>
      </c>
      <c r="K11">
        <v>0.1911</v>
      </c>
      <c r="L11">
        <v>0.1512</v>
      </c>
      <c r="M11">
        <v>0.161</v>
      </c>
      <c r="N11">
        <v>0.2262</v>
      </c>
      <c r="O11">
        <v>0.1575</v>
      </c>
      <c r="P11">
        <v>0.1596</v>
      </c>
      <c r="Q11">
        <v>0.2175</v>
      </c>
    </row>
    <row r="12" spans="1:296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</row>
    <row r="13" spans="1:296">
      <c r="B13">
        <v>0</v>
      </c>
      <c r="C13">
        <v>0</v>
      </c>
      <c r="D13">
        <v>0</v>
      </c>
      <c r="E13">
        <v>0</v>
      </c>
      <c r="F13">
        <v>1</v>
      </c>
    </row>
    <row r="14" spans="1:296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 t="s">
        <v>86</v>
      </c>
      <c r="H14" t="s">
        <v>88</v>
      </c>
    </row>
    <row r="15" spans="1:296">
      <c r="B15">
        <v>-6276</v>
      </c>
      <c r="C15">
        <v>6.6</v>
      </c>
      <c r="D15">
        <v>1.709E-05</v>
      </c>
      <c r="E15">
        <v>3.11</v>
      </c>
      <c r="F15" t="s">
        <v>85</v>
      </c>
      <c r="G15" t="s">
        <v>87</v>
      </c>
      <c r="H15">
        <v>0</v>
      </c>
    </row>
    <row r="16" spans="1:296">
      <c r="A16" t="s">
        <v>89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46</v>
      </c>
      <c r="H16" t="s">
        <v>90</v>
      </c>
      <c r="I16" t="s">
        <v>90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  <c r="O16" t="s">
        <v>90</v>
      </c>
      <c r="P16" t="s">
        <v>90</v>
      </c>
      <c r="Q16" t="s">
        <v>90</v>
      </c>
      <c r="R16" t="s">
        <v>90</v>
      </c>
      <c r="S16" t="s">
        <v>90</v>
      </c>
      <c r="T16" t="s">
        <v>90</v>
      </c>
      <c r="U16" t="s">
        <v>90</v>
      </c>
      <c r="V16" t="s">
        <v>90</v>
      </c>
      <c r="W16" t="s">
        <v>90</v>
      </c>
      <c r="X16" t="s">
        <v>90</v>
      </c>
      <c r="Y16" t="s">
        <v>90</v>
      </c>
      <c r="Z16" t="s">
        <v>90</v>
      </c>
      <c r="AA16" t="s">
        <v>90</v>
      </c>
      <c r="AB16" t="s">
        <v>90</v>
      </c>
      <c r="AC16" t="s">
        <v>90</v>
      </c>
      <c r="AD16" t="s">
        <v>90</v>
      </c>
      <c r="AE16" t="s">
        <v>90</v>
      </c>
      <c r="AF16" t="s">
        <v>90</v>
      </c>
      <c r="AG16" t="s">
        <v>90</v>
      </c>
      <c r="AH16" t="s">
        <v>91</v>
      </c>
      <c r="AI16" t="s">
        <v>91</v>
      </c>
      <c r="AJ16" t="s">
        <v>91</v>
      </c>
      <c r="AK16" t="s">
        <v>91</v>
      </c>
      <c r="AL16" t="s">
        <v>91</v>
      </c>
      <c r="AM16" t="s">
        <v>91</v>
      </c>
      <c r="AN16" t="s">
        <v>91</v>
      </c>
      <c r="AO16" t="s">
        <v>91</v>
      </c>
      <c r="AP16" t="s">
        <v>91</v>
      </c>
      <c r="AQ16" t="s">
        <v>91</v>
      </c>
      <c r="AR16" t="s">
        <v>92</v>
      </c>
      <c r="AS16" t="s">
        <v>92</v>
      </c>
      <c r="AT16" t="s">
        <v>92</v>
      </c>
      <c r="AU16" t="s">
        <v>92</v>
      </c>
      <c r="AV16" t="s">
        <v>92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93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  <c r="BS16" t="s">
        <v>93</v>
      </c>
      <c r="BT16" t="s">
        <v>93</v>
      </c>
      <c r="BU16" t="s">
        <v>93</v>
      </c>
      <c r="BV16" t="s">
        <v>93</v>
      </c>
      <c r="BW16" t="s">
        <v>93</v>
      </c>
      <c r="BX16" t="s">
        <v>93</v>
      </c>
      <c r="BY16" t="s">
        <v>94</v>
      </c>
      <c r="BZ16" t="s">
        <v>94</v>
      </c>
      <c r="CA16" t="s">
        <v>94</v>
      </c>
      <c r="CB16" t="s">
        <v>94</v>
      </c>
      <c r="CC16" t="s">
        <v>94</v>
      </c>
      <c r="CD16" t="s">
        <v>94</v>
      </c>
      <c r="CE16" t="s">
        <v>94</v>
      </c>
      <c r="CF16" t="s">
        <v>94</v>
      </c>
      <c r="CG16" t="s">
        <v>94</v>
      </c>
      <c r="CH16" t="s">
        <v>94</v>
      </c>
      <c r="CI16" t="s">
        <v>94</v>
      </c>
      <c r="CJ16" t="s">
        <v>94</v>
      </c>
      <c r="CK16" t="s">
        <v>94</v>
      </c>
      <c r="CL16" t="s">
        <v>94</v>
      </c>
      <c r="CM16" t="s">
        <v>94</v>
      </c>
      <c r="CN16" t="s">
        <v>94</v>
      </c>
      <c r="CO16" t="s">
        <v>94</v>
      </c>
      <c r="CP16" t="s">
        <v>94</v>
      </c>
      <c r="CQ16" t="s">
        <v>94</v>
      </c>
      <c r="CR16" t="s">
        <v>94</v>
      </c>
      <c r="CS16" t="s">
        <v>94</v>
      </c>
      <c r="CT16" t="s">
        <v>95</v>
      </c>
      <c r="CU16" t="s">
        <v>95</v>
      </c>
      <c r="CV16" t="s">
        <v>95</v>
      </c>
      <c r="CW16" t="s">
        <v>95</v>
      </c>
      <c r="CX16" t="s">
        <v>95</v>
      </c>
      <c r="CY16" t="s">
        <v>95</v>
      </c>
      <c r="CZ16" t="s">
        <v>95</v>
      </c>
      <c r="DA16" t="s">
        <v>95</v>
      </c>
      <c r="DB16" t="s">
        <v>95</v>
      </c>
      <c r="DC16" t="s">
        <v>95</v>
      </c>
      <c r="DD16" t="s">
        <v>95</v>
      </c>
      <c r="DE16" t="s">
        <v>95</v>
      </c>
      <c r="DF16" t="s">
        <v>95</v>
      </c>
      <c r="DG16" t="s">
        <v>96</v>
      </c>
      <c r="DH16" t="s">
        <v>96</v>
      </c>
      <c r="DI16" t="s">
        <v>96</v>
      </c>
      <c r="DJ16" t="s">
        <v>96</v>
      </c>
      <c r="DK16" t="s">
        <v>97</v>
      </c>
      <c r="DL16" t="s">
        <v>97</v>
      </c>
      <c r="DM16" t="s">
        <v>97</v>
      </c>
      <c r="DN16" t="s">
        <v>97</v>
      </c>
      <c r="DO16" t="s">
        <v>97</v>
      </c>
      <c r="DP16" t="s">
        <v>98</v>
      </c>
      <c r="DQ16" t="s">
        <v>98</v>
      </c>
      <c r="DR16" t="s">
        <v>98</v>
      </c>
      <c r="DS16" t="s">
        <v>98</v>
      </c>
      <c r="DT16" t="s">
        <v>98</v>
      </c>
      <c r="DU16" t="s">
        <v>98</v>
      </c>
      <c r="DV16" t="s">
        <v>98</v>
      </c>
      <c r="DW16" t="s">
        <v>98</v>
      </c>
      <c r="DX16" t="s">
        <v>98</v>
      </c>
      <c r="DY16" t="s">
        <v>98</v>
      </c>
      <c r="DZ16" t="s">
        <v>98</v>
      </c>
      <c r="EA16" t="s">
        <v>98</v>
      </c>
      <c r="EB16" t="s">
        <v>98</v>
      </c>
      <c r="EC16" t="s">
        <v>98</v>
      </c>
      <c r="ED16" t="s">
        <v>98</v>
      </c>
      <c r="EE16" t="s">
        <v>98</v>
      </c>
      <c r="EF16" t="s">
        <v>98</v>
      </c>
      <c r="EG16" t="s">
        <v>98</v>
      </c>
      <c r="EH16" t="s">
        <v>99</v>
      </c>
      <c r="EI16" t="s">
        <v>99</v>
      </c>
      <c r="EJ16" t="s">
        <v>99</v>
      </c>
      <c r="EK16" t="s">
        <v>99</v>
      </c>
      <c r="EL16" t="s">
        <v>99</v>
      </c>
      <c r="EM16" t="s">
        <v>99</v>
      </c>
      <c r="EN16" t="s">
        <v>99</v>
      </c>
      <c r="EO16" t="s">
        <v>99</v>
      </c>
      <c r="EP16" t="s">
        <v>99</v>
      </c>
      <c r="EQ16" t="s">
        <v>99</v>
      </c>
      <c r="ER16" t="s">
        <v>100</v>
      </c>
      <c r="ES16" t="s">
        <v>100</v>
      </c>
      <c r="ET16" t="s">
        <v>100</v>
      </c>
      <c r="EU16" t="s">
        <v>100</v>
      </c>
      <c r="EV16" t="s">
        <v>100</v>
      </c>
      <c r="EW16" t="s">
        <v>100</v>
      </c>
      <c r="EX16" t="s">
        <v>100</v>
      </c>
      <c r="EY16" t="s">
        <v>100</v>
      </c>
      <c r="EZ16" t="s">
        <v>100</v>
      </c>
      <c r="FA16" t="s">
        <v>100</v>
      </c>
      <c r="FB16" t="s">
        <v>100</v>
      </c>
      <c r="FC16" t="s">
        <v>100</v>
      </c>
      <c r="FD16" t="s">
        <v>100</v>
      </c>
      <c r="FE16" t="s">
        <v>100</v>
      </c>
      <c r="FF16" t="s">
        <v>100</v>
      </c>
      <c r="FG16" t="s">
        <v>100</v>
      </c>
      <c r="FH16" t="s">
        <v>100</v>
      </c>
      <c r="FI16" t="s">
        <v>100</v>
      </c>
      <c r="FJ16" t="s">
        <v>101</v>
      </c>
      <c r="FK16" t="s">
        <v>101</v>
      </c>
      <c r="FL16" t="s">
        <v>101</v>
      </c>
      <c r="FM16" t="s">
        <v>101</v>
      </c>
      <c r="FN16" t="s">
        <v>101</v>
      </c>
      <c r="FO16" t="s">
        <v>102</v>
      </c>
      <c r="FP16" t="s">
        <v>102</v>
      </c>
      <c r="FQ16" t="s">
        <v>102</v>
      </c>
      <c r="FR16" t="s">
        <v>102</v>
      </c>
      <c r="FS16" t="s">
        <v>102</v>
      </c>
      <c r="FT16" t="s">
        <v>102</v>
      </c>
      <c r="FU16" t="s">
        <v>102</v>
      </c>
      <c r="FV16" t="s">
        <v>102</v>
      </c>
      <c r="FW16" t="s">
        <v>102</v>
      </c>
      <c r="FX16" t="s">
        <v>102</v>
      </c>
      <c r="FY16" t="s">
        <v>102</v>
      </c>
      <c r="FZ16" t="s">
        <v>102</v>
      </c>
      <c r="GA16" t="s">
        <v>102</v>
      </c>
      <c r="GB16" t="s">
        <v>103</v>
      </c>
      <c r="GC16" t="s">
        <v>103</v>
      </c>
      <c r="GD16" t="s">
        <v>103</v>
      </c>
      <c r="GE16" t="s">
        <v>103</v>
      </c>
      <c r="GF16" t="s">
        <v>103</v>
      </c>
      <c r="GG16" t="s">
        <v>103</v>
      </c>
      <c r="GH16" t="s">
        <v>103</v>
      </c>
      <c r="GI16" t="s">
        <v>103</v>
      </c>
      <c r="GJ16" t="s">
        <v>103</v>
      </c>
      <c r="GK16" t="s">
        <v>103</v>
      </c>
      <c r="GL16" t="s">
        <v>103</v>
      </c>
      <c r="GM16" t="s">
        <v>103</v>
      </c>
      <c r="GN16" t="s">
        <v>103</v>
      </c>
      <c r="GO16" t="s">
        <v>103</v>
      </c>
      <c r="GP16" t="s">
        <v>103</v>
      </c>
      <c r="GQ16" t="s">
        <v>104</v>
      </c>
      <c r="GR16" t="s">
        <v>104</v>
      </c>
      <c r="GS16" t="s">
        <v>104</v>
      </c>
      <c r="GT16" t="s">
        <v>104</v>
      </c>
      <c r="GU16" t="s">
        <v>104</v>
      </c>
      <c r="GV16" t="s">
        <v>104</v>
      </c>
      <c r="GW16" t="s">
        <v>104</v>
      </c>
      <c r="GX16" t="s">
        <v>104</v>
      </c>
      <c r="GY16" t="s">
        <v>104</v>
      </c>
      <c r="GZ16" t="s">
        <v>104</v>
      </c>
      <c r="HA16" t="s">
        <v>104</v>
      </c>
      <c r="HB16" t="s">
        <v>104</v>
      </c>
      <c r="HC16" t="s">
        <v>104</v>
      </c>
      <c r="HD16" t="s">
        <v>104</v>
      </c>
      <c r="HE16" t="s">
        <v>104</v>
      </c>
      <c r="HF16" t="s">
        <v>104</v>
      </c>
      <c r="HG16" t="s">
        <v>104</v>
      </c>
      <c r="HH16" t="s">
        <v>104</v>
      </c>
      <c r="HI16" t="s">
        <v>105</v>
      </c>
      <c r="HJ16" t="s">
        <v>105</v>
      </c>
      <c r="HK16" t="s">
        <v>105</v>
      </c>
      <c r="HL16" t="s">
        <v>105</v>
      </c>
      <c r="HM16" t="s">
        <v>105</v>
      </c>
      <c r="HN16" t="s">
        <v>105</v>
      </c>
      <c r="HO16" t="s">
        <v>105</v>
      </c>
      <c r="HP16" t="s">
        <v>105</v>
      </c>
      <c r="HQ16" t="s">
        <v>105</v>
      </c>
      <c r="HR16" t="s">
        <v>105</v>
      </c>
      <c r="HS16" t="s">
        <v>105</v>
      </c>
      <c r="HT16" t="s">
        <v>105</v>
      </c>
      <c r="HU16" t="s">
        <v>105</v>
      </c>
      <c r="HV16" t="s">
        <v>105</v>
      </c>
      <c r="HW16" t="s">
        <v>105</v>
      </c>
      <c r="HX16" t="s">
        <v>105</v>
      </c>
      <c r="HY16" t="s">
        <v>105</v>
      </c>
      <c r="HZ16" t="s">
        <v>105</v>
      </c>
      <c r="IA16" t="s">
        <v>105</v>
      </c>
      <c r="IB16" t="s">
        <v>106</v>
      </c>
      <c r="IC16" t="s">
        <v>106</v>
      </c>
      <c r="ID16" t="s">
        <v>106</v>
      </c>
      <c r="IE16" t="s">
        <v>106</v>
      </c>
      <c r="IF16" t="s">
        <v>106</v>
      </c>
      <c r="IG16" t="s">
        <v>106</v>
      </c>
      <c r="IH16" t="s">
        <v>106</v>
      </c>
      <c r="II16" t="s">
        <v>106</v>
      </c>
      <c r="IJ16" t="s">
        <v>106</v>
      </c>
      <c r="IK16" t="s">
        <v>106</v>
      </c>
      <c r="IL16" t="s">
        <v>106</v>
      </c>
      <c r="IM16" t="s">
        <v>106</v>
      </c>
      <c r="IN16" t="s">
        <v>106</v>
      </c>
      <c r="IO16" t="s">
        <v>106</v>
      </c>
      <c r="IP16" t="s">
        <v>106</v>
      </c>
      <c r="IQ16" t="s">
        <v>106</v>
      </c>
      <c r="IR16" t="s">
        <v>106</v>
      </c>
      <c r="IS16" t="s">
        <v>106</v>
      </c>
      <c r="IT16" t="s">
        <v>106</v>
      </c>
      <c r="IU16" t="s">
        <v>107</v>
      </c>
      <c r="IV16" t="s">
        <v>107</v>
      </c>
      <c r="IW16" t="s">
        <v>107</v>
      </c>
      <c r="IX16" t="s">
        <v>107</v>
      </c>
      <c r="IY16" t="s">
        <v>107</v>
      </c>
      <c r="IZ16" t="s">
        <v>107</v>
      </c>
      <c r="JA16" t="s">
        <v>107</v>
      </c>
      <c r="JB16" t="s">
        <v>107</v>
      </c>
      <c r="JC16" t="s">
        <v>107</v>
      </c>
      <c r="JD16" t="s">
        <v>107</v>
      </c>
      <c r="JE16" t="s">
        <v>107</v>
      </c>
      <c r="JF16" t="s">
        <v>107</v>
      </c>
      <c r="JG16" t="s">
        <v>107</v>
      </c>
      <c r="JH16" t="s">
        <v>107</v>
      </c>
      <c r="JI16" t="s">
        <v>107</v>
      </c>
      <c r="JJ16" t="s">
        <v>107</v>
      </c>
      <c r="JK16" t="s">
        <v>107</v>
      </c>
      <c r="JL16" t="s">
        <v>107</v>
      </c>
      <c r="JM16" t="s">
        <v>108</v>
      </c>
      <c r="JN16" t="s">
        <v>108</v>
      </c>
      <c r="JO16" t="s">
        <v>108</v>
      </c>
      <c r="JP16" t="s">
        <v>108</v>
      </c>
      <c r="JQ16" t="s">
        <v>108</v>
      </c>
      <c r="JR16" t="s">
        <v>108</v>
      </c>
      <c r="JS16" t="s">
        <v>108</v>
      </c>
      <c r="JT16" t="s">
        <v>108</v>
      </c>
      <c r="JU16" t="s">
        <v>109</v>
      </c>
      <c r="JV16" t="s">
        <v>109</v>
      </c>
      <c r="JW16" t="s">
        <v>109</v>
      </c>
      <c r="JX16" t="s">
        <v>109</v>
      </c>
      <c r="JY16" t="s">
        <v>109</v>
      </c>
      <c r="JZ16" t="s">
        <v>109</v>
      </c>
      <c r="KA16" t="s">
        <v>109</v>
      </c>
      <c r="KB16" t="s">
        <v>109</v>
      </c>
      <c r="KC16" t="s">
        <v>109</v>
      </c>
      <c r="KD16" t="s">
        <v>109</v>
      </c>
      <c r="KE16" t="s">
        <v>109</v>
      </c>
      <c r="KF16" t="s">
        <v>109</v>
      </c>
      <c r="KG16" t="s">
        <v>109</v>
      </c>
      <c r="KH16" t="s">
        <v>109</v>
      </c>
      <c r="KI16" t="s">
        <v>109</v>
      </c>
      <c r="KJ16" t="s">
        <v>109</v>
      </c>
    </row>
    <row r="17" spans="1:296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  <c r="H17" t="s">
        <v>117</v>
      </c>
      <c r="I17" t="s">
        <v>118</v>
      </c>
      <c r="J17" t="s">
        <v>119</v>
      </c>
      <c r="K17" t="s">
        <v>120</v>
      </c>
      <c r="L17" t="s">
        <v>121</v>
      </c>
      <c r="M17" t="s">
        <v>122</v>
      </c>
      <c r="N17" t="s">
        <v>123</v>
      </c>
      <c r="O17" t="s">
        <v>124</v>
      </c>
      <c r="P17" t="s">
        <v>125</v>
      </c>
      <c r="Q17" t="s">
        <v>126</v>
      </c>
      <c r="R17" t="s">
        <v>127</v>
      </c>
      <c r="S17" t="s">
        <v>128</v>
      </c>
      <c r="T17" t="s">
        <v>129</v>
      </c>
      <c r="U17" t="s">
        <v>130</v>
      </c>
      <c r="V17" t="s">
        <v>131</v>
      </c>
      <c r="W17" t="s">
        <v>132</v>
      </c>
      <c r="X17" t="s">
        <v>133</v>
      </c>
      <c r="Y17" t="s">
        <v>134</v>
      </c>
      <c r="Z17" t="s">
        <v>135</v>
      </c>
      <c r="AA17" t="s">
        <v>136</v>
      </c>
      <c r="AB17" t="s">
        <v>137</v>
      </c>
      <c r="AC17" t="s">
        <v>138</v>
      </c>
      <c r="AD17" t="s">
        <v>139</v>
      </c>
      <c r="AE17" t="s">
        <v>140</v>
      </c>
      <c r="AF17" t="s">
        <v>141</v>
      </c>
      <c r="AG17" t="s">
        <v>142</v>
      </c>
      <c r="AH17" t="s">
        <v>143</v>
      </c>
      <c r="AI17" t="s">
        <v>144</v>
      </c>
      <c r="AJ17" t="s">
        <v>145</v>
      </c>
      <c r="AK17" t="s">
        <v>146</v>
      </c>
      <c r="AL17" t="s">
        <v>147</v>
      </c>
      <c r="AM17" t="s">
        <v>148</v>
      </c>
      <c r="AN17" t="s">
        <v>149</v>
      </c>
      <c r="AO17" t="s">
        <v>150</v>
      </c>
      <c r="AP17" t="s">
        <v>151</v>
      </c>
      <c r="AQ17" t="s">
        <v>152</v>
      </c>
      <c r="AR17" t="s">
        <v>92</v>
      </c>
      <c r="AS17" t="s">
        <v>153</v>
      </c>
      <c r="AT17" t="s">
        <v>154</v>
      </c>
      <c r="AU17" t="s">
        <v>155</v>
      </c>
      <c r="AV17" t="s">
        <v>156</v>
      </c>
      <c r="AW17" t="s">
        <v>157</v>
      </c>
      <c r="AX17" t="s">
        <v>158</v>
      </c>
      <c r="AY17" t="s">
        <v>159</v>
      </c>
      <c r="AZ17" t="s">
        <v>160</v>
      </c>
      <c r="BA17" t="s">
        <v>161</v>
      </c>
      <c r="BB17" t="s">
        <v>162</v>
      </c>
      <c r="BC17" t="s">
        <v>163</v>
      </c>
      <c r="BD17" t="s">
        <v>164</v>
      </c>
      <c r="BE17" t="s">
        <v>165</v>
      </c>
      <c r="BF17" t="s">
        <v>166</v>
      </c>
      <c r="BG17" t="s">
        <v>167</v>
      </c>
      <c r="BH17" t="s">
        <v>168</v>
      </c>
      <c r="BI17" t="s">
        <v>169</v>
      </c>
      <c r="BJ17" t="s">
        <v>170</v>
      </c>
      <c r="BK17" t="s">
        <v>171</v>
      </c>
      <c r="BL17" t="s">
        <v>172</v>
      </c>
      <c r="BM17" t="s">
        <v>173</v>
      </c>
      <c r="BN17" t="s">
        <v>174</v>
      </c>
      <c r="BO17" t="s">
        <v>175</v>
      </c>
      <c r="BP17" t="s">
        <v>176</v>
      </c>
      <c r="BQ17" t="s">
        <v>177</v>
      </c>
      <c r="BR17" t="s">
        <v>178</v>
      </c>
      <c r="BS17" t="s">
        <v>179</v>
      </c>
      <c r="BT17" t="s">
        <v>180</v>
      </c>
      <c r="BU17" t="s">
        <v>181</v>
      </c>
      <c r="BV17" t="s">
        <v>182</v>
      </c>
      <c r="BW17" t="s">
        <v>183</v>
      </c>
      <c r="BX17" t="s">
        <v>184</v>
      </c>
      <c r="BY17" t="s">
        <v>185</v>
      </c>
      <c r="BZ17" t="s">
        <v>186</v>
      </c>
      <c r="CA17" t="s">
        <v>187</v>
      </c>
      <c r="CB17" t="s">
        <v>188</v>
      </c>
      <c r="CC17" t="s">
        <v>189</v>
      </c>
      <c r="CD17" t="s">
        <v>190</v>
      </c>
      <c r="CE17" t="s">
        <v>191</v>
      </c>
      <c r="CF17" t="s">
        <v>192</v>
      </c>
      <c r="CG17" t="s">
        <v>193</v>
      </c>
      <c r="CH17" t="s">
        <v>194</v>
      </c>
      <c r="CI17" t="s">
        <v>195</v>
      </c>
      <c r="CJ17" t="s">
        <v>196</v>
      </c>
      <c r="CK17" t="s">
        <v>197</v>
      </c>
      <c r="CL17" t="s">
        <v>198</v>
      </c>
      <c r="CM17" t="s">
        <v>199</v>
      </c>
      <c r="CN17" t="s">
        <v>200</v>
      </c>
      <c r="CO17" t="s">
        <v>201</v>
      </c>
      <c r="CP17" t="s">
        <v>202</v>
      </c>
      <c r="CQ17" t="s">
        <v>203</v>
      </c>
      <c r="CR17" t="s">
        <v>204</v>
      </c>
      <c r="CS17" t="s">
        <v>205</v>
      </c>
      <c r="CT17" t="s">
        <v>185</v>
      </c>
      <c r="CU17" t="s">
        <v>206</v>
      </c>
      <c r="CV17" t="s">
        <v>207</v>
      </c>
      <c r="CW17" t="s">
        <v>208</v>
      </c>
      <c r="CX17" t="s">
        <v>159</v>
      </c>
      <c r="CY17" t="s">
        <v>209</v>
      </c>
      <c r="CZ17" t="s">
        <v>210</v>
      </c>
      <c r="DA17" t="s">
        <v>211</v>
      </c>
      <c r="DB17" t="s">
        <v>212</v>
      </c>
      <c r="DC17" t="s">
        <v>213</v>
      </c>
      <c r="DD17" t="s">
        <v>214</v>
      </c>
      <c r="DE17" t="s">
        <v>215</v>
      </c>
      <c r="DF17" t="s">
        <v>216</v>
      </c>
      <c r="DG17" t="s">
        <v>217</v>
      </c>
      <c r="DH17" t="s">
        <v>218</v>
      </c>
      <c r="DI17" t="s">
        <v>219</v>
      </c>
      <c r="DJ17" t="s">
        <v>220</v>
      </c>
      <c r="DK17" t="s">
        <v>221</v>
      </c>
      <c r="DL17" t="s">
        <v>222</v>
      </c>
      <c r="DM17" t="s">
        <v>223</v>
      </c>
      <c r="DN17" t="s">
        <v>224</v>
      </c>
      <c r="DO17" t="s">
        <v>225</v>
      </c>
      <c r="DP17" t="s">
        <v>117</v>
      </c>
      <c r="DQ17" t="s">
        <v>226</v>
      </c>
      <c r="DR17" t="s">
        <v>227</v>
      </c>
      <c r="DS17" t="s">
        <v>228</v>
      </c>
      <c r="DT17" t="s">
        <v>229</v>
      </c>
      <c r="DU17" t="s">
        <v>230</v>
      </c>
      <c r="DV17" t="s">
        <v>231</v>
      </c>
      <c r="DW17" t="s">
        <v>232</v>
      </c>
      <c r="DX17" t="s">
        <v>233</v>
      </c>
      <c r="DY17" t="s">
        <v>234</v>
      </c>
      <c r="DZ17" t="s">
        <v>235</v>
      </c>
      <c r="EA17" t="s">
        <v>236</v>
      </c>
      <c r="EB17" t="s">
        <v>237</v>
      </c>
      <c r="EC17" t="s">
        <v>238</v>
      </c>
      <c r="ED17" t="s">
        <v>239</v>
      </c>
      <c r="EE17" t="s">
        <v>240</v>
      </c>
      <c r="EF17" t="s">
        <v>241</v>
      </c>
      <c r="EG17" t="s">
        <v>242</v>
      </c>
      <c r="EH17" t="s">
        <v>243</v>
      </c>
      <c r="EI17" t="s">
        <v>244</v>
      </c>
      <c r="EJ17" t="s">
        <v>245</v>
      </c>
      <c r="EK17" t="s">
        <v>246</v>
      </c>
      <c r="EL17" t="s">
        <v>247</v>
      </c>
      <c r="EM17" t="s">
        <v>248</v>
      </c>
      <c r="EN17" t="s">
        <v>249</v>
      </c>
      <c r="EO17" t="s">
        <v>250</v>
      </c>
      <c r="EP17" t="s">
        <v>251</v>
      </c>
      <c r="EQ17" t="s">
        <v>252</v>
      </c>
      <c r="ER17" t="s">
        <v>253</v>
      </c>
      <c r="ES17" t="s">
        <v>254</v>
      </c>
      <c r="ET17" t="s">
        <v>255</v>
      </c>
      <c r="EU17" t="s">
        <v>256</v>
      </c>
      <c r="EV17" t="s">
        <v>257</v>
      </c>
      <c r="EW17" t="s">
        <v>258</v>
      </c>
      <c r="EX17" t="s">
        <v>259</v>
      </c>
      <c r="EY17" t="s">
        <v>260</v>
      </c>
      <c r="EZ17" t="s">
        <v>261</v>
      </c>
      <c r="FA17" t="s">
        <v>262</v>
      </c>
      <c r="FB17" t="s">
        <v>263</v>
      </c>
      <c r="FC17" t="s">
        <v>264</v>
      </c>
      <c r="FD17" t="s">
        <v>265</v>
      </c>
      <c r="FE17" t="s">
        <v>266</v>
      </c>
      <c r="FF17" t="s">
        <v>267</v>
      </c>
      <c r="FG17" t="s">
        <v>268</v>
      </c>
      <c r="FH17" t="s">
        <v>269</v>
      </c>
      <c r="FI17" t="s">
        <v>270</v>
      </c>
      <c r="FJ17" t="s">
        <v>271</v>
      </c>
      <c r="FK17" t="s">
        <v>272</v>
      </c>
      <c r="FL17" t="s">
        <v>273</v>
      </c>
      <c r="FM17" t="s">
        <v>274</v>
      </c>
      <c r="FN17" t="s">
        <v>275</v>
      </c>
      <c r="FO17" t="s">
        <v>111</v>
      </c>
      <c r="FP17" t="s">
        <v>114</v>
      </c>
      <c r="FQ17" t="s">
        <v>276</v>
      </c>
      <c r="FR17" t="s">
        <v>277</v>
      </c>
      <c r="FS17" t="s">
        <v>278</v>
      </c>
      <c r="FT17" t="s">
        <v>279</v>
      </c>
      <c r="FU17" t="s">
        <v>280</v>
      </c>
      <c r="FV17" t="s">
        <v>281</v>
      </c>
      <c r="FW17" t="s">
        <v>282</v>
      </c>
      <c r="FX17" t="s">
        <v>283</v>
      </c>
      <c r="FY17" t="s">
        <v>284</v>
      </c>
      <c r="FZ17" t="s">
        <v>285</v>
      </c>
      <c r="GA17" t="s">
        <v>286</v>
      </c>
      <c r="GB17" t="s">
        <v>287</v>
      </c>
      <c r="GC17" t="s">
        <v>288</v>
      </c>
      <c r="GD17" t="s">
        <v>289</v>
      </c>
      <c r="GE17" t="s">
        <v>290</v>
      </c>
      <c r="GF17" t="s">
        <v>291</v>
      </c>
      <c r="GG17" t="s">
        <v>292</v>
      </c>
      <c r="GH17" t="s">
        <v>293</v>
      </c>
      <c r="GI17" t="s">
        <v>294</v>
      </c>
      <c r="GJ17" t="s">
        <v>295</v>
      </c>
      <c r="GK17" t="s">
        <v>296</v>
      </c>
      <c r="GL17" t="s">
        <v>297</v>
      </c>
      <c r="GM17" t="s">
        <v>298</v>
      </c>
      <c r="GN17" t="s">
        <v>299</v>
      </c>
      <c r="GO17" t="s">
        <v>300</v>
      </c>
      <c r="GP17" t="s">
        <v>301</v>
      </c>
      <c r="GQ17" t="s">
        <v>302</v>
      </c>
      <c r="GR17" t="s">
        <v>303</v>
      </c>
      <c r="GS17" t="s">
        <v>304</v>
      </c>
      <c r="GT17" t="s">
        <v>305</v>
      </c>
      <c r="GU17" t="s">
        <v>306</v>
      </c>
      <c r="GV17" t="s">
        <v>307</v>
      </c>
      <c r="GW17" t="s">
        <v>308</v>
      </c>
      <c r="GX17" t="s">
        <v>309</v>
      </c>
      <c r="GY17" t="s">
        <v>310</v>
      </c>
      <c r="GZ17" t="s">
        <v>311</v>
      </c>
      <c r="HA17" t="s">
        <v>312</v>
      </c>
      <c r="HB17" t="s">
        <v>313</v>
      </c>
      <c r="HC17" t="s">
        <v>314</v>
      </c>
      <c r="HD17" t="s">
        <v>315</v>
      </c>
      <c r="HE17" t="s">
        <v>316</v>
      </c>
      <c r="HF17" t="s">
        <v>317</v>
      </c>
      <c r="HG17" t="s">
        <v>318</v>
      </c>
      <c r="HH17" t="s">
        <v>319</v>
      </c>
      <c r="HI17" t="s">
        <v>320</v>
      </c>
      <c r="HJ17" t="s">
        <v>321</v>
      </c>
      <c r="HK17" t="s">
        <v>322</v>
      </c>
      <c r="HL17" t="s">
        <v>323</v>
      </c>
      <c r="HM17" t="s">
        <v>324</v>
      </c>
      <c r="HN17" t="s">
        <v>325</v>
      </c>
      <c r="HO17" t="s">
        <v>326</v>
      </c>
      <c r="HP17" t="s">
        <v>327</v>
      </c>
      <c r="HQ17" t="s">
        <v>328</v>
      </c>
      <c r="HR17" t="s">
        <v>329</v>
      </c>
      <c r="HS17" t="s">
        <v>330</v>
      </c>
      <c r="HT17" t="s">
        <v>331</v>
      </c>
      <c r="HU17" t="s">
        <v>332</v>
      </c>
      <c r="HV17" t="s">
        <v>333</v>
      </c>
      <c r="HW17" t="s">
        <v>334</v>
      </c>
      <c r="HX17" t="s">
        <v>335</v>
      </c>
      <c r="HY17" t="s">
        <v>336</v>
      </c>
      <c r="HZ17" t="s">
        <v>337</v>
      </c>
      <c r="IA17" t="s">
        <v>338</v>
      </c>
      <c r="IB17" t="s">
        <v>339</v>
      </c>
      <c r="IC17" t="s">
        <v>340</v>
      </c>
      <c r="ID17" t="s">
        <v>341</v>
      </c>
      <c r="IE17" t="s">
        <v>342</v>
      </c>
      <c r="IF17" t="s">
        <v>343</v>
      </c>
      <c r="IG17" t="s">
        <v>344</v>
      </c>
      <c r="IH17" t="s">
        <v>345</v>
      </c>
      <c r="II17" t="s">
        <v>346</v>
      </c>
      <c r="IJ17" t="s">
        <v>347</v>
      </c>
      <c r="IK17" t="s">
        <v>348</v>
      </c>
      <c r="IL17" t="s">
        <v>349</v>
      </c>
      <c r="IM17" t="s">
        <v>350</v>
      </c>
      <c r="IN17" t="s">
        <v>351</v>
      </c>
      <c r="IO17" t="s">
        <v>352</v>
      </c>
      <c r="IP17" t="s">
        <v>353</v>
      </c>
      <c r="IQ17" t="s">
        <v>354</v>
      </c>
      <c r="IR17" t="s">
        <v>355</v>
      </c>
      <c r="IS17" t="s">
        <v>356</v>
      </c>
      <c r="IT17" t="s">
        <v>357</v>
      </c>
      <c r="IU17" t="s">
        <v>358</v>
      </c>
      <c r="IV17" t="s">
        <v>359</v>
      </c>
      <c r="IW17" t="s">
        <v>360</v>
      </c>
      <c r="IX17" t="s">
        <v>361</v>
      </c>
      <c r="IY17" t="s">
        <v>362</v>
      </c>
      <c r="IZ17" t="s">
        <v>363</v>
      </c>
      <c r="JA17" t="s">
        <v>364</v>
      </c>
      <c r="JB17" t="s">
        <v>365</v>
      </c>
      <c r="JC17" t="s">
        <v>366</v>
      </c>
      <c r="JD17" t="s">
        <v>367</v>
      </c>
      <c r="JE17" t="s">
        <v>368</v>
      </c>
      <c r="JF17" t="s">
        <v>369</v>
      </c>
      <c r="JG17" t="s">
        <v>370</v>
      </c>
      <c r="JH17" t="s">
        <v>371</v>
      </c>
      <c r="JI17" t="s">
        <v>372</v>
      </c>
      <c r="JJ17" t="s">
        <v>373</v>
      </c>
      <c r="JK17" t="s">
        <v>374</v>
      </c>
      <c r="JL17" t="s">
        <v>375</v>
      </c>
      <c r="JM17" t="s">
        <v>376</v>
      </c>
      <c r="JN17" t="s">
        <v>377</v>
      </c>
      <c r="JO17" t="s">
        <v>378</v>
      </c>
      <c r="JP17" t="s">
        <v>379</v>
      </c>
      <c r="JQ17" t="s">
        <v>380</v>
      </c>
      <c r="JR17" t="s">
        <v>381</v>
      </c>
      <c r="JS17" t="s">
        <v>382</v>
      </c>
      <c r="JT17" t="s">
        <v>383</v>
      </c>
      <c r="JU17" t="s">
        <v>384</v>
      </c>
      <c r="JV17" t="s">
        <v>385</v>
      </c>
      <c r="JW17" t="s">
        <v>386</v>
      </c>
      <c r="JX17" t="s">
        <v>387</v>
      </c>
      <c r="JY17" t="s">
        <v>388</v>
      </c>
      <c r="JZ17" t="s">
        <v>389</v>
      </c>
      <c r="KA17" t="s">
        <v>390</v>
      </c>
      <c r="KB17" t="s">
        <v>391</v>
      </c>
      <c r="KC17" t="s">
        <v>392</v>
      </c>
      <c r="KD17" t="s">
        <v>393</v>
      </c>
      <c r="KE17" t="s">
        <v>394</v>
      </c>
      <c r="KF17" t="s">
        <v>395</v>
      </c>
      <c r="KG17" t="s">
        <v>396</v>
      </c>
      <c r="KH17" t="s">
        <v>397</v>
      </c>
      <c r="KI17" t="s">
        <v>398</v>
      </c>
      <c r="KJ17" t="s">
        <v>399</v>
      </c>
    </row>
    <row r="18" spans="1:296">
      <c r="B18" t="s">
        <v>400</v>
      </c>
      <c r="C18" t="s">
        <v>400</v>
      </c>
      <c r="F18" t="s">
        <v>400</v>
      </c>
      <c r="H18" t="s">
        <v>400</v>
      </c>
      <c r="I18" t="s">
        <v>401</v>
      </c>
      <c r="J18" t="s">
        <v>402</v>
      </c>
      <c r="K18" t="s">
        <v>403</v>
      </c>
      <c r="L18" t="s">
        <v>404</v>
      </c>
      <c r="M18" t="s">
        <v>404</v>
      </c>
      <c r="N18" t="s">
        <v>233</v>
      </c>
      <c r="O18" t="s">
        <v>233</v>
      </c>
      <c r="P18" t="s">
        <v>401</v>
      </c>
      <c r="Q18" t="s">
        <v>401</v>
      </c>
      <c r="R18" t="s">
        <v>401</v>
      </c>
      <c r="S18" t="s">
        <v>401</v>
      </c>
      <c r="T18" t="s">
        <v>405</v>
      </c>
      <c r="U18" t="s">
        <v>406</v>
      </c>
      <c r="V18" t="s">
        <v>406</v>
      </c>
      <c r="W18" t="s">
        <v>407</v>
      </c>
      <c r="X18" t="s">
        <v>408</v>
      </c>
      <c r="Y18" t="s">
        <v>407</v>
      </c>
      <c r="Z18" t="s">
        <v>407</v>
      </c>
      <c r="AA18" t="s">
        <v>407</v>
      </c>
      <c r="AB18" t="s">
        <v>405</v>
      </c>
      <c r="AC18" t="s">
        <v>405</v>
      </c>
      <c r="AD18" t="s">
        <v>405</v>
      </c>
      <c r="AE18" t="s">
        <v>405</v>
      </c>
      <c r="AF18" t="s">
        <v>403</v>
      </c>
      <c r="AG18" t="s">
        <v>402</v>
      </c>
      <c r="AH18" t="s">
        <v>403</v>
      </c>
      <c r="AI18" t="s">
        <v>404</v>
      </c>
      <c r="AJ18" t="s">
        <v>404</v>
      </c>
      <c r="AK18" t="s">
        <v>409</v>
      </c>
      <c r="AL18" t="s">
        <v>410</v>
      </c>
      <c r="AM18" t="s">
        <v>402</v>
      </c>
      <c r="AN18" t="s">
        <v>411</v>
      </c>
      <c r="AO18" t="s">
        <v>411</v>
      </c>
      <c r="AP18" t="s">
        <v>412</v>
      </c>
      <c r="AQ18" t="s">
        <v>410</v>
      </c>
      <c r="AR18" t="s">
        <v>413</v>
      </c>
      <c r="AS18" t="s">
        <v>408</v>
      </c>
      <c r="AU18" t="s">
        <v>408</v>
      </c>
      <c r="AV18" t="s">
        <v>413</v>
      </c>
      <c r="BB18" t="s">
        <v>403</v>
      </c>
      <c r="BI18" t="s">
        <v>403</v>
      </c>
      <c r="BJ18" t="s">
        <v>403</v>
      </c>
      <c r="BK18" t="s">
        <v>403</v>
      </c>
      <c r="BL18" t="s">
        <v>414</v>
      </c>
      <c r="BZ18" t="s">
        <v>415</v>
      </c>
      <c r="CB18" t="s">
        <v>415</v>
      </c>
      <c r="CC18" t="s">
        <v>403</v>
      </c>
      <c r="CF18" t="s">
        <v>415</v>
      </c>
      <c r="CG18" t="s">
        <v>408</v>
      </c>
      <c r="CJ18" t="s">
        <v>416</v>
      </c>
      <c r="CK18" t="s">
        <v>416</v>
      </c>
      <c r="CM18" t="s">
        <v>417</v>
      </c>
      <c r="CN18" t="s">
        <v>415</v>
      </c>
      <c r="CP18" t="s">
        <v>415</v>
      </c>
      <c r="CQ18" t="s">
        <v>403</v>
      </c>
      <c r="CU18" t="s">
        <v>415</v>
      </c>
      <c r="CW18" t="s">
        <v>418</v>
      </c>
      <c r="CZ18" t="s">
        <v>415</v>
      </c>
      <c r="DA18" t="s">
        <v>415</v>
      </c>
      <c r="DC18" t="s">
        <v>415</v>
      </c>
      <c r="DE18" t="s">
        <v>415</v>
      </c>
      <c r="DG18" t="s">
        <v>403</v>
      </c>
      <c r="DH18" t="s">
        <v>403</v>
      </c>
      <c r="DJ18" t="s">
        <v>419</v>
      </c>
      <c r="DK18" t="s">
        <v>420</v>
      </c>
      <c r="DN18" t="s">
        <v>401</v>
      </c>
      <c r="DP18" t="s">
        <v>400</v>
      </c>
      <c r="DQ18" t="s">
        <v>404</v>
      </c>
      <c r="DR18" t="s">
        <v>404</v>
      </c>
      <c r="DS18" t="s">
        <v>411</v>
      </c>
      <c r="DT18" t="s">
        <v>411</v>
      </c>
      <c r="DU18" t="s">
        <v>404</v>
      </c>
      <c r="DV18" t="s">
        <v>411</v>
      </c>
      <c r="DW18" t="s">
        <v>413</v>
      </c>
      <c r="DX18" t="s">
        <v>407</v>
      </c>
      <c r="DY18" t="s">
        <v>407</v>
      </c>
      <c r="DZ18" t="s">
        <v>406</v>
      </c>
      <c r="EA18" t="s">
        <v>406</v>
      </c>
      <c r="EB18" t="s">
        <v>406</v>
      </c>
      <c r="EC18" t="s">
        <v>406</v>
      </c>
      <c r="ED18" t="s">
        <v>406</v>
      </c>
      <c r="EE18" t="s">
        <v>421</v>
      </c>
      <c r="EF18" t="s">
        <v>403</v>
      </c>
      <c r="EG18" t="s">
        <v>403</v>
      </c>
      <c r="EH18" t="s">
        <v>404</v>
      </c>
      <c r="EI18" t="s">
        <v>404</v>
      </c>
      <c r="EJ18" t="s">
        <v>404</v>
      </c>
      <c r="EK18" t="s">
        <v>411</v>
      </c>
      <c r="EL18" t="s">
        <v>404</v>
      </c>
      <c r="EM18" t="s">
        <v>411</v>
      </c>
      <c r="EN18" t="s">
        <v>407</v>
      </c>
      <c r="EO18" t="s">
        <v>407</v>
      </c>
      <c r="EP18" t="s">
        <v>406</v>
      </c>
      <c r="EQ18" t="s">
        <v>406</v>
      </c>
      <c r="ER18" t="s">
        <v>403</v>
      </c>
      <c r="EW18" t="s">
        <v>403</v>
      </c>
      <c r="EZ18" t="s">
        <v>406</v>
      </c>
      <c r="FA18" t="s">
        <v>406</v>
      </c>
      <c r="FB18" t="s">
        <v>406</v>
      </c>
      <c r="FC18" t="s">
        <v>406</v>
      </c>
      <c r="FD18" t="s">
        <v>406</v>
      </c>
      <c r="FE18" t="s">
        <v>403</v>
      </c>
      <c r="FF18" t="s">
        <v>403</v>
      </c>
      <c r="FG18" t="s">
        <v>403</v>
      </c>
      <c r="FH18" t="s">
        <v>400</v>
      </c>
      <c r="FK18" t="s">
        <v>422</v>
      </c>
      <c r="FL18" t="s">
        <v>422</v>
      </c>
      <c r="FN18" t="s">
        <v>400</v>
      </c>
      <c r="FO18" t="s">
        <v>423</v>
      </c>
      <c r="FQ18" t="s">
        <v>400</v>
      </c>
      <c r="FR18" t="s">
        <v>400</v>
      </c>
      <c r="FT18" t="s">
        <v>424</v>
      </c>
      <c r="FU18" t="s">
        <v>425</v>
      </c>
      <c r="FV18" t="s">
        <v>424</v>
      </c>
      <c r="FW18" t="s">
        <v>425</v>
      </c>
      <c r="FX18" t="s">
        <v>424</v>
      </c>
      <c r="FY18" t="s">
        <v>425</v>
      </c>
      <c r="FZ18" t="s">
        <v>408</v>
      </c>
      <c r="GA18" t="s">
        <v>408</v>
      </c>
      <c r="GB18" t="s">
        <v>404</v>
      </c>
      <c r="GC18" t="s">
        <v>426</v>
      </c>
      <c r="GD18" t="s">
        <v>404</v>
      </c>
      <c r="GG18" t="s">
        <v>427</v>
      </c>
      <c r="GJ18" t="s">
        <v>411</v>
      </c>
      <c r="GK18" t="s">
        <v>428</v>
      </c>
      <c r="GL18" t="s">
        <v>411</v>
      </c>
      <c r="GQ18" t="s">
        <v>429</v>
      </c>
      <c r="GR18" t="s">
        <v>429</v>
      </c>
      <c r="HE18" t="s">
        <v>429</v>
      </c>
      <c r="HF18" t="s">
        <v>429</v>
      </c>
      <c r="HG18" t="s">
        <v>430</v>
      </c>
      <c r="HH18" t="s">
        <v>430</v>
      </c>
      <c r="HI18" t="s">
        <v>406</v>
      </c>
      <c r="HJ18" t="s">
        <v>406</v>
      </c>
      <c r="HK18" t="s">
        <v>408</v>
      </c>
      <c r="HL18" t="s">
        <v>406</v>
      </c>
      <c r="HM18" t="s">
        <v>411</v>
      </c>
      <c r="HN18" t="s">
        <v>408</v>
      </c>
      <c r="HO18" t="s">
        <v>408</v>
      </c>
      <c r="HQ18" t="s">
        <v>429</v>
      </c>
      <c r="HR18" t="s">
        <v>429</v>
      </c>
      <c r="HS18" t="s">
        <v>429</v>
      </c>
      <c r="HT18" t="s">
        <v>429</v>
      </c>
      <c r="HU18" t="s">
        <v>429</v>
      </c>
      <c r="HV18" t="s">
        <v>429</v>
      </c>
      <c r="HW18" t="s">
        <v>429</v>
      </c>
      <c r="HX18" t="s">
        <v>431</v>
      </c>
      <c r="HY18" t="s">
        <v>431</v>
      </c>
      <c r="HZ18" t="s">
        <v>431</v>
      </c>
      <c r="IA18" t="s">
        <v>432</v>
      </c>
      <c r="IB18" t="s">
        <v>429</v>
      </c>
      <c r="IC18" t="s">
        <v>429</v>
      </c>
      <c r="ID18" t="s">
        <v>429</v>
      </c>
      <c r="IE18" t="s">
        <v>429</v>
      </c>
      <c r="IF18" t="s">
        <v>429</v>
      </c>
      <c r="IG18" t="s">
        <v>429</v>
      </c>
      <c r="IH18" t="s">
        <v>429</v>
      </c>
      <c r="II18" t="s">
        <v>429</v>
      </c>
      <c r="IJ18" t="s">
        <v>429</v>
      </c>
      <c r="IK18" t="s">
        <v>429</v>
      </c>
      <c r="IL18" t="s">
        <v>429</v>
      </c>
      <c r="IM18" t="s">
        <v>429</v>
      </c>
      <c r="IT18" t="s">
        <v>429</v>
      </c>
      <c r="IU18" t="s">
        <v>408</v>
      </c>
      <c r="IV18" t="s">
        <v>408</v>
      </c>
      <c r="IW18" t="s">
        <v>424</v>
      </c>
      <c r="IX18" t="s">
        <v>425</v>
      </c>
      <c r="IY18" t="s">
        <v>424</v>
      </c>
      <c r="JC18" t="s">
        <v>425</v>
      </c>
      <c r="JG18" t="s">
        <v>404</v>
      </c>
      <c r="JH18" t="s">
        <v>404</v>
      </c>
      <c r="JI18" t="s">
        <v>411</v>
      </c>
      <c r="JJ18" t="s">
        <v>411</v>
      </c>
      <c r="JK18" t="s">
        <v>433</v>
      </c>
      <c r="JL18" t="s">
        <v>433</v>
      </c>
      <c r="JM18" t="s">
        <v>429</v>
      </c>
      <c r="JN18" t="s">
        <v>429</v>
      </c>
      <c r="JO18" t="s">
        <v>429</v>
      </c>
      <c r="JP18" t="s">
        <v>429</v>
      </c>
      <c r="JQ18" t="s">
        <v>429</v>
      </c>
      <c r="JR18" t="s">
        <v>429</v>
      </c>
      <c r="JS18" t="s">
        <v>406</v>
      </c>
      <c r="JT18" t="s">
        <v>429</v>
      </c>
      <c r="JV18" t="s">
        <v>413</v>
      </c>
      <c r="JW18" t="s">
        <v>413</v>
      </c>
      <c r="JX18" t="s">
        <v>406</v>
      </c>
      <c r="JY18" t="s">
        <v>406</v>
      </c>
      <c r="JZ18" t="s">
        <v>406</v>
      </c>
      <c r="KA18" t="s">
        <v>406</v>
      </c>
      <c r="KB18" t="s">
        <v>406</v>
      </c>
      <c r="KC18" t="s">
        <v>408</v>
      </c>
      <c r="KD18" t="s">
        <v>408</v>
      </c>
      <c r="KE18" t="s">
        <v>408</v>
      </c>
      <c r="KF18" t="s">
        <v>406</v>
      </c>
      <c r="KG18" t="s">
        <v>404</v>
      </c>
      <c r="KH18" t="s">
        <v>411</v>
      </c>
      <c r="KI18" t="s">
        <v>408</v>
      </c>
      <c r="KJ18" t="s">
        <v>408</v>
      </c>
    </row>
    <row r="19" spans="1:296">
      <c r="A19">
        <v>1</v>
      </c>
      <c r="B19">
        <v>1765297433</v>
      </c>
      <c r="C19">
        <v>0</v>
      </c>
      <c r="D19" t="s">
        <v>434</v>
      </c>
      <c r="E19" t="s">
        <v>435</v>
      </c>
      <c r="F19">
        <v>5</v>
      </c>
      <c r="G19" t="s">
        <v>436</v>
      </c>
      <c r="H19">
        <v>1765297428.75</v>
      </c>
      <c r="I19">
        <f>(J19)/1000</f>
        <v>0</v>
      </c>
      <c r="J19">
        <f>IF(DO19, AM19, AG19)</f>
        <v>0</v>
      </c>
      <c r="K19">
        <f>IF(DO19, AH19, AF19)</f>
        <v>0</v>
      </c>
      <c r="L19">
        <f>DQ19 - IF(AT19&gt;1, K19*DK19*100.0/(AV19), 0)</f>
        <v>0</v>
      </c>
      <c r="M19">
        <f>((S19-I19/2)*L19-K19)/(S19+I19/2)</f>
        <v>0</v>
      </c>
      <c r="N19">
        <f>M19*(DX19+DY19)/1000.0</f>
        <v>0</v>
      </c>
      <c r="O19">
        <f>(DQ19 - IF(AT19&gt;1, K19*DK19*100.0/(AV19), 0))*(DX19+DY19)/1000.0</f>
        <v>0</v>
      </c>
      <c r="P19">
        <f>2.0/((1/R19-1/Q19)+SIGN(R19)*SQRT((1/R19-1/Q19)*(1/R19-1/Q19) + 4*DL19/((DL19+1)*(DL19+1))*(2*1/R19*1/Q19-1/Q19*1/Q19)))</f>
        <v>0</v>
      </c>
      <c r="Q19">
        <f>IF(LEFT(DM19,1)&lt;&gt;"0",IF(LEFT(DM19,1)="1",3.0,DN19),$D$5+$E$5*(EE19*DX19/($K$5*1000))+$F$5*(EE19*DX19/($K$5*1000))*MAX(MIN(DK19,$J$5),$I$5)*MAX(MIN(DK19,$J$5),$I$5)+$G$5*MAX(MIN(DK19,$J$5),$I$5)*(EE19*DX19/($K$5*1000))+$H$5*(EE19*DX19/($K$5*1000))*(EE19*DX19/($K$5*1000)))</f>
        <v>0</v>
      </c>
      <c r="R19">
        <f>I19*(1000-(1000*0.61365*exp(17.502*V19/(240.97+V19))/(DX19+DY19)+DS19)/2)/(1000*0.61365*exp(17.502*V19/(240.97+V19))/(DX19+DY19)-DS19)</f>
        <v>0</v>
      </c>
      <c r="S19">
        <f>1/((DL19+1)/(P19/1.6)+1/(Q19/1.37)) + DL19/((DL19+1)/(P19/1.6) + DL19/(Q19/1.37))</f>
        <v>0</v>
      </c>
      <c r="T19">
        <f>(DG19*DJ19)</f>
        <v>0</v>
      </c>
      <c r="U19">
        <f>(DZ19+(T19+2*0.95*5.67E-8*(((DZ19+$B$9)+273)^4-(DZ19+273)^4)-44100*I19)/(1.84*29.3*Q19+8*0.95*5.67E-8*(DZ19+273)^3))</f>
        <v>0</v>
      </c>
      <c r="V19">
        <f>($C$9*EA19+$D$9*EB19+$E$9*U19)</f>
        <v>0</v>
      </c>
      <c r="W19">
        <f>0.61365*exp(17.502*V19/(240.97+V19))</f>
        <v>0</v>
      </c>
      <c r="X19">
        <f>(Y19/Z19*100)</f>
        <v>0</v>
      </c>
      <c r="Y19">
        <f>DS19*(DX19+DY19)/1000</f>
        <v>0</v>
      </c>
      <c r="Z19">
        <f>0.61365*exp(17.502*DZ19/(240.97+DZ19))</f>
        <v>0</v>
      </c>
      <c r="AA19">
        <f>(W19-DS19*(DX19+DY19)/1000)</f>
        <v>0</v>
      </c>
      <c r="AB19">
        <f>(-I19*44100)</f>
        <v>0</v>
      </c>
      <c r="AC19">
        <f>2*29.3*Q19*0.92*(DZ19-V19)</f>
        <v>0</v>
      </c>
      <c r="AD19">
        <f>2*0.95*5.67E-8*(((DZ19+$B$9)+273)^4-(V19+273)^4)</f>
        <v>0</v>
      </c>
      <c r="AE19">
        <f>T19+AD19+AB19+AC19</f>
        <v>0</v>
      </c>
      <c r="AF19">
        <f>DW19*AT19*(DR19-DQ19*(1000-AT19*DT19)/(1000-AT19*DS19))/(100*DK19)</f>
        <v>0</v>
      </c>
      <c r="AG19">
        <f>1000*DW19*AT19*(DS19-DT19)/(100*DK19*(1000-AT19*DS19))</f>
        <v>0</v>
      </c>
      <c r="AH19">
        <f>(AI19 - AJ19 - DX19*1E3/(8.314*(DZ19+273.15)) * AL19/DW19 * AK19) * DW19/(100*DK19) * (1000 - DT19)/1000</f>
        <v>0</v>
      </c>
      <c r="AI19">
        <v>407.0033333333333</v>
      </c>
      <c r="AJ19">
        <v>406.6044969696971</v>
      </c>
      <c r="AK19">
        <v>0.01323774891768291</v>
      </c>
      <c r="AL19">
        <v>63.88648283670048</v>
      </c>
      <c r="AM19">
        <f>(AO19 - AN19 + DX19*1E3/(8.314*(DZ19+273.15)) * AQ19/DW19 * AP19) * DW19/(100*DK19) * 1000/(1000 - AO19)</f>
        <v>0</v>
      </c>
      <c r="AN19">
        <v>17.05300181818181</v>
      </c>
      <c r="AO19">
        <v>17.12346545454545</v>
      </c>
      <c r="AP19">
        <v>-0.002711226551228857</v>
      </c>
      <c r="AQ19">
        <v>101.9672616145224</v>
      </c>
      <c r="AR19">
        <v>44</v>
      </c>
      <c r="AS19">
        <v>9</v>
      </c>
      <c r="AT19">
        <f>IF(AR19*$H$15&gt;=AV19,1.0,(AV19/(AV19-AR19*$H$15)))</f>
        <v>0</v>
      </c>
      <c r="AU19">
        <f>(AT19-1)*100</f>
        <v>0</v>
      </c>
      <c r="AV19">
        <f>MAX(0,($B$15+$C$15*EE19)/(1+$D$15*EE19)*DX19/(DZ19+273)*$E$15)</f>
        <v>0</v>
      </c>
      <c r="AW19" t="s">
        <v>437</v>
      </c>
      <c r="AX19" t="s">
        <v>437</v>
      </c>
      <c r="AY19">
        <v>0</v>
      </c>
      <c r="AZ19">
        <v>0</v>
      </c>
      <c r="BA19">
        <f>1-AY19/AZ19</f>
        <v>0</v>
      </c>
      <c r="BB19">
        <v>0</v>
      </c>
      <c r="BC19" t="s">
        <v>437</v>
      </c>
      <c r="BD19" t="s">
        <v>437</v>
      </c>
      <c r="BE19">
        <v>0</v>
      </c>
      <c r="BF19">
        <v>0</v>
      </c>
      <c r="BG19">
        <f>1-BE19/BF19</f>
        <v>0</v>
      </c>
      <c r="BH19">
        <v>0.5</v>
      </c>
      <c r="BI19">
        <f>DH19</f>
        <v>0</v>
      </c>
      <c r="BJ19">
        <f>K19</f>
        <v>0</v>
      </c>
      <c r="BK19">
        <f>BG19*BH19*BI19</f>
        <v>0</v>
      </c>
      <c r="BL19">
        <f>(BJ19-BB19)/BI19</f>
        <v>0</v>
      </c>
      <c r="BM19">
        <f>(AZ19-BF19)/BF19</f>
        <v>0</v>
      </c>
      <c r="BN19">
        <f>AY19/(BA19+AY19/BF19)</f>
        <v>0</v>
      </c>
      <c r="BO19" t="s">
        <v>437</v>
      </c>
      <c r="BP19">
        <v>0</v>
      </c>
      <c r="BQ19">
        <f>IF(BP19&lt;&gt;0, BP19, BN19)</f>
        <v>0</v>
      </c>
      <c r="BR19">
        <f>1-BQ19/BF19</f>
        <v>0</v>
      </c>
      <c r="BS19">
        <f>(BF19-BE19)/(BF19-BQ19)</f>
        <v>0</v>
      </c>
      <c r="BT19">
        <f>(AZ19-BF19)/(AZ19-BQ19)</f>
        <v>0</v>
      </c>
      <c r="BU19">
        <f>(BF19-BE19)/(BF19-AY19)</f>
        <v>0</v>
      </c>
      <c r="BV19">
        <f>(AZ19-BF19)/(AZ19-AY19)</f>
        <v>0</v>
      </c>
      <c r="BW19">
        <f>(BS19*BQ19/BE19)</f>
        <v>0</v>
      </c>
      <c r="BX19">
        <f>(1-BW19)</f>
        <v>0</v>
      </c>
      <c r="DG19">
        <f>$B$13*EF19+$C$13*EG19+$F$13*ER19*(1-EU19)</f>
        <v>0</v>
      </c>
      <c r="DH19">
        <f>DG19*DI19</f>
        <v>0</v>
      </c>
      <c r="DI19">
        <f>($B$13*$D$11+$C$13*$D$11+$F$13*((FE19+EW19)/MAX(FE19+EW19+FF19, 0.1)*$I$11+FF19/MAX(FE19+EW19+FF19, 0.1)*$J$11))/($B$13+$C$13+$F$13)</f>
        <v>0</v>
      </c>
      <c r="DJ19">
        <f>($B$13*$K$11+$C$13*$K$11+$F$13*((FE19+EW19)/MAX(FE19+EW19+FF19, 0.1)*$P$11+FF19/MAX(FE19+EW19+FF19, 0.1)*$Q$11))/($B$13+$C$13+$F$13)</f>
        <v>0</v>
      </c>
      <c r="DK19">
        <v>5.66</v>
      </c>
      <c r="DL19">
        <v>0.5</v>
      </c>
      <c r="DM19" t="s">
        <v>438</v>
      </c>
      <c r="DN19">
        <v>2</v>
      </c>
      <c r="DO19" t="b">
        <v>1</v>
      </c>
      <c r="DP19">
        <v>1765297428.75</v>
      </c>
      <c r="DQ19">
        <v>399.859875</v>
      </c>
      <c r="DR19">
        <v>400.040625</v>
      </c>
      <c r="DS19">
        <v>17.09055625</v>
      </c>
      <c r="DT19">
        <v>17.05361875</v>
      </c>
      <c r="DU19">
        <v>399.5545</v>
      </c>
      <c r="DV19">
        <v>17.0131625</v>
      </c>
      <c r="DW19">
        <v>500.1736875</v>
      </c>
      <c r="DX19">
        <v>90.24354375</v>
      </c>
      <c r="DY19">
        <v>0.09905351875000001</v>
      </c>
      <c r="DZ19">
        <v>24.543925</v>
      </c>
      <c r="EA19">
        <v>24.9929375</v>
      </c>
      <c r="EB19">
        <v>999.9</v>
      </c>
      <c r="EC19">
        <v>0</v>
      </c>
      <c r="ED19">
        <v>0</v>
      </c>
      <c r="EE19">
        <v>10025.07375</v>
      </c>
      <c r="EF19">
        <v>0</v>
      </c>
      <c r="EG19">
        <v>9.595761874999999</v>
      </c>
      <c r="EH19">
        <v>-0.180631670625</v>
      </c>
      <c r="EI19">
        <v>406.8125625</v>
      </c>
      <c r="EJ19">
        <v>406.9810625</v>
      </c>
      <c r="EK19">
        <v>0.0369209029125</v>
      </c>
      <c r="EL19">
        <v>400.040625</v>
      </c>
      <c r="EM19">
        <v>17.05361875</v>
      </c>
      <c r="EN19">
        <v>1.542311875</v>
      </c>
      <c r="EO19">
        <v>1.538980625</v>
      </c>
      <c r="EP19">
        <v>13.3941875</v>
      </c>
      <c r="EQ19">
        <v>13.36103125</v>
      </c>
      <c r="ER19">
        <v>800.0115625000001</v>
      </c>
      <c r="ES19">
        <v>0.95001</v>
      </c>
      <c r="ET19">
        <v>0.0499899</v>
      </c>
      <c r="EU19">
        <v>0</v>
      </c>
      <c r="EV19">
        <v>818.7809999999999</v>
      </c>
      <c r="EW19">
        <v>5.00078</v>
      </c>
      <c r="EX19">
        <v>6128.58625</v>
      </c>
      <c r="EY19">
        <v>6463.53375</v>
      </c>
      <c r="EZ19">
        <v>35.5073125</v>
      </c>
      <c r="FA19">
        <v>38.04649999999999</v>
      </c>
      <c r="FB19">
        <v>36.9958125</v>
      </c>
      <c r="FC19">
        <v>37.6051875</v>
      </c>
      <c r="FD19">
        <v>37.0780625</v>
      </c>
      <c r="FE19">
        <v>755.2674999999999</v>
      </c>
      <c r="FF19">
        <v>39.74</v>
      </c>
      <c r="FG19">
        <v>0</v>
      </c>
      <c r="FH19">
        <v>1765297432.1</v>
      </c>
      <c r="FI19">
        <v>0</v>
      </c>
      <c r="FJ19">
        <v>818.7271538461539</v>
      </c>
      <c r="FK19">
        <v>0.8656410216026756</v>
      </c>
      <c r="FL19">
        <v>-1.299487155417001</v>
      </c>
      <c r="FM19">
        <v>6128.616538461537</v>
      </c>
      <c r="FN19">
        <v>15</v>
      </c>
      <c r="FO19">
        <v>1765297425</v>
      </c>
      <c r="FP19" t="s">
        <v>439</v>
      </c>
      <c r="FQ19">
        <v>1765297423.5</v>
      </c>
      <c r="FR19">
        <v>1765297425</v>
      </c>
      <c r="FS19">
        <v>1</v>
      </c>
      <c r="FT19">
        <v>0.274</v>
      </c>
      <c r="FU19">
        <v>-0.008999999999999999</v>
      </c>
      <c r="FV19">
        <v>0.306</v>
      </c>
      <c r="FW19">
        <v>0.075</v>
      </c>
      <c r="FX19">
        <v>400</v>
      </c>
      <c r="FY19">
        <v>17</v>
      </c>
      <c r="FZ19">
        <v>0.55</v>
      </c>
      <c r="GA19">
        <v>0.13</v>
      </c>
      <c r="GB19">
        <v>-0.2397527251219512</v>
      </c>
      <c r="GC19">
        <v>0.3028222787456447</v>
      </c>
      <c r="GD19">
        <v>0.1208182870168818</v>
      </c>
      <c r="GE19">
        <v>1</v>
      </c>
      <c r="GF19">
        <v>818.6821470588235</v>
      </c>
      <c r="GG19">
        <v>0.5352635584938839</v>
      </c>
      <c r="GH19">
        <v>0.1846967518350272</v>
      </c>
      <c r="GI19">
        <v>1</v>
      </c>
      <c r="GJ19">
        <v>0.02153298577073171</v>
      </c>
      <c r="GK19">
        <v>0.0894226089073171</v>
      </c>
      <c r="GL19">
        <v>0.02023122001920677</v>
      </c>
      <c r="GM19">
        <v>1</v>
      </c>
      <c r="GN19">
        <v>3</v>
      </c>
      <c r="GO19">
        <v>3</v>
      </c>
      <c r="GP19" t="s">
        <v>440</v>
      </c>
      <c r="GQ19">
        <v>3.10782</v>
      </c>
      <c r="GR19">
        <v>2.79177</v>
      </c>
      <c r="GS19">
        <v>0.0845771</v>
      </c>
      <c r="GT19">
        <v>0.0847301</v>
      </c>
      <c r="GU19">
        <v>0.0851431</v>
      </c>
      <c r="GV19">
        <v>0.0856885</v>
      </c>
      <c r="GW19">
        <v>24031.3</v>
      </c>
      <c r="GX19">
        <v>21829</v>
      </c>
      <c r="GY19">
        <v>26811.4</v>
      </c>
      <c r="GZ19">
        <v>24058.8</v>
      </c>
      <c r="HA19">
        <v>39202</v>
      </c>
      <c r="HB19">
        <v>32470.8</v>
      </c>
      <c r="HC19">
        <v>46794.5</v>
      </c>
      <c r="HD19">
        <v>38052.4</v>
      </c>
      <c r="HE19">
        <v>1.78965</v>
      </c>
      <c r="HF19">
        <v>1.83412</v>
      </c>
      <c r="HG19">
        <v>0.0727549</v>
      </c>
      <c r="HH19">
        <v>0</v>
      </c>
      <c r="HI19">
        <v>23.8033</v>
      </c>
      <c r="HJ19">
        <v>999.9</v>
      </c>
      <c r="HK19">
        <v>41.3</v>
      </c>
      <c r="HL19">
        <v>32.3</v>
      </c>
      <c r="HM19">
        <v>22.2277</v>
      </c>
      <c r="HN19">
        <v>61.9314</v>
      </c>
      <c r="HO19">
        <v>29.1707</v>
      </c>
      <c r="HP19">
        <v>1</v>
      </c>
      <c r="HQ19">
        <v>0.0640066</v>
      </c>
      <c r="HR19">
        <v>1.12473</v>
      </c>
      <c r="HS19">
        <v>20.2885</v>
      </c>
      <c r="HT19">
        <v>5.21834</v>
      </c>
      <c r="HU19">
        <v>11.9788</v>
      </c>
      <c r="HV19">
        <v>4.96485</v>
      </c>
      <c r="HW19">
        <v>3.27518</v>
      </c>
      <c r="HX19">
        <v>9999</v>
      </c>
      <c r="HY19">
        <v>9999</v>
      </c>
      <c r="HZ19">
        <v>9999</v>
      </c>
      <c r="IA19">
        <v>999.9</v>
      </c>
      <c r="IB19">
        <v>1.86422</v>
      </c>
      <c r="IC19">
        <v>1.86043</v>
      </c>
      <c r="ID19">
        <v>1.85872</v>
      </c>
      <c r="IE19">
        <v>1.86006</v>
      </c>
      <c r="IF19">
        <v>1.8602</v>
      </c>
      <c r="IG19">
        <v>1.8587</v>
      </c>
      <c r="IH19">
        <v>1.85779</v>
      </c>
      <c r="II19">
        <v>1.85271</v>
      </c>
      <c r="IJ19">
        <v>0</v>
      </c>
      <c r="IK19">
        <v>0</v>
      </c>
      <c r="IL19">
        <v>0</v>
      </c>
      <c r="IM19">
        <v>0</v>
      </c>
      <c r="IN19" t="s">
        <v>441</v>
      </c>
      <c r="IO19" t="s">
        <v>442</v>
      </c>
      <c r="IP19" t="s">
        <v>443</v>
      </c>
      <c r="IQ19" t="s">
        <v>443</v>
      </c>
      <c r="IR19" t="s">
        <v>443</v>
      </c>
      <c r="IS19" t="s">
        <v>443</v>
      </c>
      <c r="IT19">
        <v>0</v>
      </c>
      <c r="IU19">
        <v>100</v>
      </c>
      <c r="IV19">
        <v>100</v>
      </c>
      <c r="IW19">
        <v>0.306</v>
      </c>
      <c r="IX19">
        <v>0.07630000000000001</v>
      </c>
      <c r="IY19">
        <v>0.02689353878757195</v>
      </c>
      <c r="IZ19">
        <v>0.0001583678016168383</v>
      </c>
      <c r="JA19">
        <v>1.526473431467286E-06</v>
      </c>
      <c r="JB19">
        <v>-4.446382740029455E-10</v>
      </c>
      <c r="JC19">
        <v>-0.03570441563046471</v>
      </c>
      <c r="JD19">
        <v>-0.009941991807247691</v>
      </c>
      <c r="JE19">
        <v>0.001256427533001032</v>
      </c>
      <c r="JF19">
        <v>-1.689728105039484E-05</v>
      </c>
      <c r="JG19">
        <v>2</v>
      </c>
      <c r="JH19">
        <v>1984</v>
      </c>
      <c r="JI19">
        <v>0</v>
      </c>
      <c r="JJ19">
        <v>25</v>
      </c>
      <c r="JK19">
        <v>0.2</v>
      </c>
      <c r="JL19">
        <v>0.1</v>
      </c>
      <c r="JM19">
        <v>1.08643</v>
      </c>
      <c r="JN19">
        <v>2.59888</v>
      </c>
      <c r="JO19">
        <v>1.49658</v>
      </c>
      <c r="JP19">
        <v>2.34741</v>
      </c>
      <c r="JQ19">
        <v>1.54907</v>
      </c>
      <c r="JR19">
        <v>2.41577</v>
      </c>
      <c r="JS19">
        <v>38.062</v>
      </c>
      <c r="JT19">
        <v>23.746</v>
      </c>
      <c r="JU19">
        <v>18</v>
      </c>
      <c r="JV19">
        <v>428.491</v>
      </c>
      <c r="JW19">
        <v>477.553</v>
      </c>
      <c r="JX19">
        <v>23.0094</v>
      </c>
      <c r="JY19">
        <v>28.0027</v>
      </c>
      <c r="JZ19">
        <v>29.9999</v>
      </c>
      <c r="KA19">
        <v>28.2973</v>
      </c>
      <c r="KB19">
        <v>28.31</v>
      </c>
      <c r="KC19">
        <v>21.8429</v>
      </c>
      <c r="KD19">
        <v>22.9851</v>
      </c>
      <c r="KE19">
        <v>15.0151</v>
      </c>
      <c r="KF19">
        <v>23.0142</v>
      </c>
      <c r="KG19">
        <v>400</v>
      </c>
      <c r="KH19">
        <v>17.1171</v>
      </c>
      <c r="KI19">
        <v>102.332</v>
      </c>
      <c r="KJ19">
        <v>91.7787</v>
      </c>
    </row>
    <row r="20" spans="1:296">
      <c r="A20">
        <v>2</v>
      </c>
      <c r="B20">
        <v>1765297536.6</v>
      </c>
      <c r="C20">
        <v>103.5999999046326</v>
      </c>
      <c r="D20" t="s">
        <v>444</v>
      </c>
      <c r="E20" t="s">
        <v>445</v>
      </c>
      <c r="F20">
        <v>5</v>
      </c>
      <c r="G20" t="s">
        <v>436</v>
      </c>
      <c r="H20">
        <v>1765297528.599999</v>
      </c>
      <c r="I20">
        <f>(J20)/1000</f>
        <v>0</v>
      </c>
      <c r="J20">
        <f>IF(DO20, AM20, AG20)</f>
        <v>0</v>
      </c>
      <c r="K20">
        <f>IF(DO20, AH20, AF20)</f>
        <v>0</v>
      </c>
      <c r="L20">
        <f>DQ20 - IF(AT20&gt;1, K20*DK20*100.0/(AV20), 0)</f>
        <v>0</v>
      </c>
      <c r="M20">
        <f>((S20-I20/2)*L20-K20)/(S20+I20/2)</f>
        <v>0</v>
      </c>
      <c r="N20">
        <f>M20*(DX20+DY20)/1000.0</f>
        <v>0</v>
      </c>
      <c r="O20">
        <f>(DQ20 - IF(AT20&gt;1, K20*DK20*100.0/(AV20), 0))*(DX20+DY20)/1000.0</f>
        <v>0</v>
      </c>
      <c r="P20">
        <f>2.0/((1/R20-1/Q20)+SIGN(R20)*SQRT((1/R20-1/Q20)*(1/R20-1/Q20) + 4*DL20/((DL20+1)*(DL20+1))*(2*1/R20*1/Q20-1/Q20*1/Q20)))</f>
        <v>0</v>
      </c>
      <c r="Q20">
        <f>IF(LEFT(DM20,1)&lt;&gt;"0",IF(LEFT(DM20,1)="1",3.0,DN20),$D$5+$E$5*(EE20*DX20/($K$5*1000))+$F$5*(EE20*DX20/($K$5*1000))*MAX(MIN(DK20,$J$5),$I$5)*MAX(MIN(DK20,$J$5),$I$5)+$G$5*MAX(MIN(DK20,$J$5),$I$5)*(EE20*DX20/($K$5*1000))+$H$5*(EE20*DX20/($K$5*1000))*(EE20*DX20/($K$5*1000)))</f>
        <v>0</v>
      </c>
      <c r="R20">
        <f>I20*(1000-(1000*0.61365*exp(17.502*V20/(240.97+V20))/(DX20+DY20)+DS20)/2)/(1000*0.61365*exp(17.502*V20/(240.97+V20))/(DX20+DY20)-DS20)</f>
        <v>0</v>
      </c>
      <c r="S20">
        <f>1/((DL20+1)/(P20/1.6)+1/(Q20/1.37)) + DL20/((DL20+1)/(P20/1.6) + DL20/(Q20/1.37))</f>
        <v>0</v>
      </c>
      <c r="T20">
        <f>(DG20*DJ20)</f>
        <v>0</v>
      </c>
      <c r="U20">
        <f>(DZ20+(T20+2*0.95*5.67E-8*(((DZ20+$B$9)+273)^4-(DZ20+273)^4)-44100*I20)/(1.84*29.3*Q20+8*0.95*5.67E-8*(DZ20+273)^3))</f>
        <v>0</v>
      </c>
      <c r="V20">
        <f>($C$9*EA20+$D$9*EB20+$E$9*U20)</f>
        <v>0</v>
      </c>
      <c r="W20">
        <f>0.61365*exp(17.502*V20/(240.97+V20))</f>
        <v>0</v>
      </c>
      <c r="X20">
        <f>(Y20/Z20*100)</f>
        <v>0</v>
      </c>
      <c r="Y20">
        <f>DS20*(DX20+DY20)/1000</f>
        <v>0</v>
      </c>
      <c r="Z20">
        <f>0.61365*exp(17.502*DZ20/(240.97+DZ20))</f>
        <v>0</v>
      </c>
      <c r="AA20">
        <f>(W20-DS20*(DX20+DY20)/1000)</f>
        <v>0</v>
      </c>
      <c r="AB20">
        <f>(-I20*44100)</f>
        <v>0</v>
      </c>
      <c r="AC20">
        <f>2*29.3*Q20*0.92*(DZ20-V20)</f>
        <v>0</v>
      </c>
      <c r="AD20">
        <f>2*0.95*5.67E-8*(((DZ20+$B$9)+273)^4-(V20+273)^4)</f>
        <v>0</v>
      </c>
      <c r="AE20">
        <f>T20+AD20+AB20+AC20</f>
        <v>0</v>
      </c>
      <c r="AF20">
        <f>DW20*AT20*(DR20-DQ20*(1000-AT20*DT20)/(1000-AT20*DS20))/(100*DK20)</f>
        <v>0</v>
      </c>
      <c r="AG20">
        <f>1000*DW20*AT20*(DS20-DT20)/(100*DK20*(1000-AT20*DS20))</f>
        <v>0</v>
      </c>
      <c r="AH20">
        <f>(AI20 - AJ20 - DX20*1E3/(8.314*(DZ20+273.15)) * AL20/DW20 * AK20) * DW20/(100*DK20) * (1000 - DT20)/1000</f>
        <v>0</v>
      </c>
      <c r="AI20">
        <v>305.217303030303</v>
      </c>
      <c r="AJ20">
        <v>304.9806787878787</v>
      </c>
      <c r="AK20">
        <v>0.0005874085746176635</v>
      </c>
      <c r="AL20">
        <v>64.57874701532751</v>
      </c>
      <c r="AM20">
        <f>(AO20 - AN20 + DX20*1E3/(8.314*(DZ20+273.15)) * AQ20/DW20 * AP20) * DW20/(100*DK20) * 1000/(1000 - AO20)</f>
        <v>0</v>
      </c>
      <c r="AN20">
        <v>17.10099151515152</v>
      </c>
      <c r="AO20">
        <v>17.16726909090908</v>
      </c>
      <c r="AP20">
        <v>-6.84490222427137E-05</v>
      </c>
      <c r="AQ20">
        <v>102.5490505079669</v>
      </c>
      <c r="AR20">
        <v>41</v>
      </c>
      <c r="AS20">
        <v>8</v>
      </c>
      <c r="AT20">
        <f>IF(AR20*$H$15&gt;=AV20,1.0,(AV20/(AV20-AR20*$H$15)))</f>
        <v>0</v>
      </c>
      <c r="AU20">
        <f>(AT20-1)*100</f>
        <v>0</v>
      </c>
      <c r="AV20">
        <f>MAX(0,($B$15+$C$15*EE20)/(1+$D$15*EE20)*DX20/(DZ20+273)*$E$15)</f>
        <v>0</v>
      </c>
      <c r="AW20" t="s">
        <v>437</v>
      </c>
      <c r="AX20" t="s">
        <v>437</v>
      </c>
      <c r="AY20">
        <v>0</v>
      </c>
      <c r="AZ20">
        <v>0</v>
      </c>
      <c r="BA20">
        <f>1-AY20/AZ20</f>
        <v>0</v>
      </c>
      <c r="BB20">
        <v>0</v>
      </c>
      <c r="BC20" t="s">
        <v>437</v>
      </c>
      <c r="BD20" t="s">
        <v>437</v>
      </c>
      <c r="BE20">
        <v>0</v>
      </c>
      <c r="BF20">
        <v>0</v>
      </c>
      <c r="BG20">
        <f>1-BE20/BF20</f>
        <v>0</v>
      </c>
      <c r="BH20">
        <v>0.5</v>
      </c>
      <c r="BI20">
        <f>DH20</f>
        <v>0</v>
      </c>
      <c r="BJ20">
        <f>K20</f>
        <v>0</v>
      </c>
      <c r="BK20">
        <f>BG20*BH20*BI20</f>
        <v>0</v>
      </c>
      <c r="BL20">
        <f>(BJ20-BB20)/BI20</f>
        <v>0</v>
      </c>
      <c r="BM20">
        <f>(AZ20-BF20)/BF20</f>
        <v>0</v>
      </c>
      <c r="BN20">
        <f>AY20/(BA20+AY20/BF20)</f>
        <v>0</v>
      </c>
      <c r="BO20" t="s">
        <v>437</v>
      </c>
      <c r="BP20">
        <v>0</v>
      </c>
      <c r="BQ20">
        <f>IF(BP20&lt;&gt;0, BP20, BN20)</f>
        <v>0</v>
      </c>
      <c r="BR20">
        <f>1-BQ20/BF20</f>
        <v>0</v>
      </c>
      <c r="BS20">
        <f>(BF20-BE20)/(BF20-BQ20)</f>
        <v>0</v>
      </c>
      <c r="BT20">
        <f>(AZ20-BF20)/(AZ20-BQ20)</f>
        <v>0</v>
      </c>
      <c r="BU20">
        <f>(BF20-BE20)/(BF20-AY20)</f>
        <v>0</v>
      </c>
      <c r="BV20">
        <f>(AZ20-BF20)/(AZ20-AY20)</f>
        <v>0</v>
      </c>
      <c r="BW20">
        <f>(BS20*BQ20/BE20)</f>
        <v>0</v>
      </c>
      <c r="BX20">
        <f>(1-BW20)</f>
        <v>0</v>
      </c>
      <c r="DG20">
        <f>$B$13*EF20+$C$13*EG20+$F$13*ER20*(1-EU20)</f>
        <v>0</v>
      </c>
      <c r="DH20">
        <f>DG20*DI20</f>
        <v>0</v>
      </c>
      <c r="DI20">
        <f>($B$13*$D$11+$C$13*$D$11+$F$13*((FE20+EW20)/MAX(FE20+EW20+FF20, 0.1)*$I$11+FF20/MAX(FE20+EW20+FF20, 0.1)*$J$11))/($B$13+$C$13+$F$13)</f>
        <v>0</v>
      </c>
      <c r="DJ20">
        <f>($B$13*$K$11+$C$13*$K$11+$F$13*((FE20+EW20)/MAX(FE20+EW20+FF20, 0.1)*$P$11+FF20/MAX(FE20+EW20+FF20, 0.1)*$Q$11))/($B$13+$C$13+$F$13)</f>
        <v>0</v>
      </c>
      <c r="DK20">
        <v>5.66</v>
      </c>
      <c r="DL20">
        <v>0.5</v>
      </c>
      <c r="DM20" t="s">
        <v>438</v>
      </c>
      <c r="DN20">
        <v>2</v>
      </c>
      <c r="DO20" t="b">
        <v>1</v>
      </c>
      <c r="DP20">
        <v>1765297528.599999</v>
      </c>
      <c r="DQ20">
        <v>299.7615806451612</v>
      </c>
      <c r="DR20">
        <v>299.9760645161291</v>
      </c>
      <c r="DS20">
        <v>17.17058064516129</v>
      </c>
      <c r="DT20">
        <v>17.10408387096775</v>
      </c>
      <c r="DU20">
        <v>299.5530322580645</v>
      </c>
      <c r="DV20">
        <v>17.09902903225806</v>
      </c>
      <c r="DW20">
        <v>500.1012258064515</v>
      </c>
      <c r="DX20">
        <v>90.23218387096773</v>
      </c>
      <c r="DY20">
        <v>0.1003114161290322</v>
      </c>
      <c r="DZ20">
        <v>24.55188387096775</v>
      </c>
      <c r="EA20">
        <v>25.00034516129033</v>
      </c>
      <c r="EB20">
        <v>999.9000000000003</v>
      </c>
      <c r="EC20">
        <v>0</v>
      </c>
      <c r="ED20">
        <v>0</v>
      </c>
      <c r="EE20">
        <v>9980.018064516127</v>
      </c>
      <c r="EF20">
        <v>0</v>
      </c>
      <c r="EG20">
        <v>9.653540000000003</v>
      </c>
      <c r="EH20">
        <v>-0.2146537096774194</v>
      </c>
      <c r="EI20">
        <v>304.9985161290323</v>
      </c>
      <c r="EJ20">
        <v>305.1962580645161</v>
      </c>
      <c r="EK20">
        <v>0.06649724838709678</v>
      </c>
      <c r="EL20">
        <v>299.9760645161291</v>
      </c>
      <c r="EM20">
        <v>17.10408387096775</v>
      </c>
      <c r="EN20">
        <v>1.549339677419355</v>
      </c>
      <c r="EO20">
        <v>1.543338709677419</v>
      </c>
      <c r="EP20">
        <v>13.46395483870968</v>
      </c>
      <c r="EQ20">
        <v>13.40440967741936</v>
      </c>
      <c r="ER20">
        <v>799.976870967742</v>
      </c>
      <c r="ES20">
        <v>0.9500098064516129</v>
      </c>
      <c r="ET20">
        <v>0.04999043870967742</v>
      </c>
      <c r="EU20">
        <v>0</v>
      </c>
      <c r="EV20">
        <v>818.3206451612904</v>
      </c>
      <c r="EW20">
        <v>5.000779999999999</v>
      </c>
      <c r="EX20">
        <v>6149.26064516129</v>
      </c>
      <c r="EY20">
        <v>6463.25064516129</v>
      </c>
      <c r="EZ20">
        <v>36.52999999999999</v>
      </c>
      <c r="FA20">
        <v>40.10261290322579</v>
      </c>
      <c r="FB20">
        <v>38.77190322580643</v>
      </c>
      <c r="FC20">
        <v>40.05809677419353</v>
      </c>
      <c r="FD20">
        <v>38.79009677419354</v>
      </c>
      <c r="FE20">
        <v>755.234193548387</v>
      </c>
      <c r="FF20">
        <v>39.74</v>
      </c>
      <c r="FG20">
        <v>0</v>
      </c>
      <c r="FH20">
        <v>1765297535.9</v>
      </c>
      <c r="FI20">
        <v>0</v>
      </c>
      <c r="FJ20">
        <v>818.31708</v>
      </c>
      <c r="FK20">
        <v>-2.810461538741455</v>
      </c>
      <c r="FL20">
        <v>-9.226923088341593</v>
      </c>
      <c r="FM20">
        <v>6149.514800000001</v>
      </c>
      <c r="FN20">
        <v>15</v>
      </c>
      <c r="FO20">
        <v>1765297490.1</v>
      </c>
      <c r="FP20" t="s">
        <v>446</v>
      </c>
      <c r="FQ20">
        <v>1765297490.1</v>
      </c>
      <c r="FR20">
        <v>1765297490.1</v>
      </c>
      <c r="FS20">
        <v>2</v>
      </c>
      <c r="FT20">
        <v>0.008999999999999999</v>
      </c>
      <c r="FU20">
        <v>-0.006</v>
      </c>
      <c r="FV20">
        <v>0.209</v>
      </c>
      <c r="FW20">
        <v>0.06900000000000001</v>
      </c>
      <c r="FX20">
        <v>300</v>
      </c>
      <c r="FY20">
        <v>17</v>
      </c>
      <c r="FZ20">
        <v>0.33</v>
      </c>
      <c r="GA20">
        <v>0.19</v>
      </c>
      <c r="GB20">
        <v>-0.2090617804878049</v>
      </c>
      <c r="GC20">
        <v>0.02201207665505223</v>
      </c>
      <c r="GD20">
        <v>0.04117928086266743</v>
      </c>
      <c r="GE20">
        <v>1</v>
      </c>
      <c r="GF20">
        <v>818.2278235294117</v>
      </c>
      <c r="GG20">
        <v>0.721741780716196</v>
      </c>
      <c r="GH20">
        <v>0.3641836536200038</v>
      </c>
      <c r="GI20">
        <v>1</v>
      </c>
      <c r="GJ20">
        <v>0.06147757073170732</v>
      </c>
      <c r="GK20">
        <v>0.06685969128919873</v>
      </c>
      <c r="GL20">
        <v>0.009032442463649763</v>
      </c>
      <c r="GM20">
        <v>1</v>
      </c>
      <c r="GN20">
        <v>3</v>
      </c>
      <c r="GO20">
        <v>3</v>
      </c>
      <c r="GP20" t="s">
        <v>440</v>
      </c>
      <c r="GQ20">
        <v>3.10823</v>
      </c>
      <c r="GR20">
        <v>2.78915</v>
      </c>
      <c r="GS20">
        <v>0.0674807</v>
      </c>
      <c r="GT20">
        <v>0.0675892</v>
      </c>
      <c r="GU20">
        <v>0.08532190000000001</v>
      </c>
      <c r="GV20">
        <v>0.08586199999999999</v>
      </c>
      <c r="GW20">
        <v>24481.4</v>
      </c>
      <c r="GX20">
        <v>22238.4</v>
      </c>
      <c r="GY20">
        <v>26812.8</v>
      </c>
      <c r="GZ20">
        <v>24059.2</v>
      </c>
      <c r="HA20">
        <v>39194</v>
      </c>
      <c r="HB20">
        <v>32463.1</v>
      </c>
      <c r="HC20">
        <v>46796.8</v>
      </c>
      <c r="HD20">
        <v>38052.7</v>
      </c>
      <c r="HE20">
        <v>1.79765</v>
      </c>
      <c r="HF20">
        <v>1.83585</v>
      </c>
      <c r="HG20">
        <v>0.0733212</v>
      </c>
      <c r="HH20">
        <v>0</v>
      </c>
      <c r="HI20">
        <v>23.7993</v>
      </c>
      <c r="HJ20">
        <v>999.9</v>
      </c>
      <c r="HK20">
        <v>40.9</v>
      </c>
      <c r="HL20">
        <v>32.4</v>
      </c>
      <c r="HM20">
        <v>22.1392</v>
      </c>
      <c r="HN20">
        <v>62.4178</v>
      </c>
      <c r="HO20">
        <v>29.2228</v>
      </c>
      <c r="HP20">
        <v>1</v>
      </c>
      <c r="HQ20">
        <v>0.0603887</v>
      </c>
      <c r="HR20">
        <v>1.17855</v>
      </c>
      <c r="HS20">
        <v>20.2904</v>
      </c>
      <c r="HT20">
        <v>5.22208</v>
      </c>
      <c r="HU20">
        <v>11.979</v>
      </c>
      <c r="HV20">
        <v>4.9651</v>
      </c>
      <c r="HW20">
        <v>3.2758</v>
      </c>
      <c r="HX20">
        <v>9999</v>
      </c>
      <c r="HY20">
        <v>9999</v>
      </c>
      <c r="HZ20">
        <v>9999</v>
      </c>
      <c r="IA20">
        <v>999.9</v>
      </c>
      <c r="IB20">
        <v>1.86422</v>
      </c>
      <c r="IC20">
        <v>1.86042</v>
      </c>
      <c r="ID20">
        <v>1.85873</v>
      </c>
      <c r="IE20">
        <v>1.86005</v>
      </c>
      <c r="IF20">
        <v>1.8602</v>
      </c>
      <c r="IG20">
        <v>1.85869</v>
      </c>
      <c r="IH20">
        <v>1.8578</v>
      </c>
      <c r="II20">
        <v>1.85272</v>
      </c>
      <c r="IJ20">
        <v>0</v>
      </c>
      <c r="IK20">
        <v>0</v>
      </c>
      <c r="IL20">
        <v>0</v>
      </c>
      <c r="IM20">
        <v>0</v>
      </c>
      <c r="IN20" t="s">
        <v>441</v>
      </c>
      <c r="IO20" t="s">
        <v>442</v>
      </c>
      <c r="IP20" t="s">
        <v>443</v>
      </c>
      <c r="IQ20" t="s">
        <v>443</v>
      </c>
      <c r="IR20" t="s">
        <v>443</v>
      </c>
      <c r="IS20" t="s">
        <v>443</v>
      </c>
      <c r="IT20">
        <v>0</v>
      </c>
      <c r="IU20">
        <v>100</v>
      </c>
      <c r="IV20">
        <v>100</v>
      </c>
      <c r="IW20">
        <v>0.208</v>
      </c>
      <c r="IX20">
        <v>0.07149999999999999</v>
      </c>
      <c r="IY20">
        <v>0.03598688791541937</v>
      </c>
      <c r="IZ20">
        <v>0.0001583678016168383</v>
      </c>
      <c r="JA20">
        <v>1.526473431467286E-06</v>
      </c>
      <c r="JB20">
        <v>-4.446382740029455E-10</v>
      </c>
      <c r="JC20">
        <v>-0.04132708276525496</v>
      </c>
      <c r="JD20">
        <v>-0.009941991807247691</v>
      </c>
      <c r="JE20">
        <v>0.001256427533001032</v>
      </c>
      <c r="JF20">
        <v>-1.689728105039484E-05</v>
      </c>
      <c r="JG20">
        <v>2</v>
      </c>
      <c r="JH20">
        <v>1984</v>
      </c>
      <c r="JI20">
        <v>0</v>
      </c>
      <c r="JJ20">
        <v>25</v>
      </c>
      <c r="JK20">
        <v>0.8</v>
      </c>
      <c r="JL20">
        <v>0.8</v>
      </c>
      <c r="JM20">
        <v>0.865479</v>
      </c>
      <c r="JN20">
        <v>2.60986</v>
      </c>
      <c r="JO20">
        <v>1.49658</v>
      </c>
      <c r="JP20">
        <v>2.34741</v>
      </c>
      <c r="JQ20">
        <v>1.54907</v>
      </c>
      <c r="JR20">
        <v>2.37671</v>
      </c>
      <c r="JS20">
        <v>38.0863</v>
      </c>
      <c r="JT20">
        <v>23.7548</v>
      </c>
      <c r="JU20">
        <v>18</v>
      </c>
      <c r="JV20">
        <v>432.461</v>
      </c>
      <c r="JW20">
        <v>478.241</v>
      </c>
      <c r="JX20">
        <v>22.9292</v>
      </c>
      <c r="JY20">
        <v>27.9523</v>
      </c>
      <c r="JZ20">
        <v>29.9999</v>
      </c>
      <c r="KA20">
        <v>28.2463</v>
      </c>
      <c r="KB20">
        <v>28.2586</v>
      </c>
      <c r="KC20">
        <v>17.4152</v>
      </c>
      <c r="KD20">
        <v>22.1602</v>
      </c>
      <c r="KE20">
        <v>13.8953</v>
      </c>
      <c r="KF20">
        <v>22.9303</v>
      </c>
      <c r="KG20">
        <v>300</v>
      </c>
      <c r="KH20">
        <v>17.0823</v>
      </c>
      <c r="KI20">
        <v>102.337</v>
      </c>
      <c r="KJ20">
        <v>91.77970000000001</v>
      </c>
    </row>
    <row r="21" spans="1:296">
      <c r="A21">
        <v>3</v>
      </c>
      <c r="B21">
        <v>1765297631.1</v>
      </c>
      <c r="C21">
        <v>198.0999999046326</v>
      </c>
      <c r="D21" t="s">
        <v>447</v>
      </c>
      <c r="E21" t="s">
        <v>448</v>
      </c>
      <c r="F21">
        <v>5</v>
      </c>
      <c r="G21" t="s">
        <v>436</v>
      </c>
      <c r="H21">
        <v>1765297623.099999</v>
      </c>
      <c r="I21">
        <f>(J21)/1000</f>
        <v>0</v>
      </c>
      <c r="J21">
        <f>IF(DO21, AM21, AG21)</f>
        <v>0</v>
      </c>
      <c r="K21">
        <f>IF(DO21, AH21, AF21)</f>
        <v>0</v>
      </c>
      <c r="L21">
        <f>DQ21 - IF(AT21&gt;1, K21*DK21*100.0/(AV21), 0)</f>
        <v>0</v>
      </c>
      <c r="M21">
        <f>((S21-I21/2)*L21-K21)/(S21+I21/2)</f>
        <v>0</v>
      </c>
      <c r="N21">
        <f>M21*(DX21+DY21)/1000.0</f>
        <v>0</v>
      </c>
      <c r="O21">
        <f>(DQ21 - IF(AT21&gt;1, K21*DK21*100.0/(AV21), 0))*(DX21+DY21)/1000.0</f>
        <v>0</v>
      </c>
      <c r="P21">
        <f>2.0/((1/R21-1/Q21)+SIGN(R21)*SQRT((1/R21-1/Q21)*(1/R21-1/Q21) + 4*DL21/((DL21+1)*(DL21+1))*(2*1/R21*1/Q21-1/Q21*1/Q21)))</f>
        <v>0</v>
      </c>
      <c r="Q21">
        <f>IF(LEFT(DM21,1)&lt;&gt;"0",IF(LEFT(DM21,1)="1",3.0,DN21),$D$5+$E$5*(EE21*DX21/($K$5*1000))+$F$5*(EE21*DX21/($K$5*1000))*MAX(MIN(DK21,$J$5),$I$5)*MAX(MIN(DK21,$J$5),$I$5)+$G$5*MAX(MIN(DK21,$J$5),$I$5)*(EE21*DX21/($K$5*1000))+$H$5*(EE21*DX21/($K$5*1000))*(EE21*DX21/($K$5*1000)))</f>
        <v>0</v>
      </c>
      <c r="R21">
        <f>I21*(1000-(1000*0.61365*exp(17.502*V21/(240.97+V21))/(DX21+DY21)+DS21)/2)/(1000*0.61365*exp(17.502*V21/(240.97+V21))/(DX21+DY21)-DS21)</f>
        <v>0</v>
      </c>
      <c r="S21">
        <f>1/((DL21+1)/(P21/1.6)+1/(Q21/1.37)) + DL21/((DL21+1)/(P21/1.6) + DL21/(Q21/1.37))</f>
        <v>0</v>
      </c>
      <c r="T21">
        <f>(DG21*DJ21)</f>
        <v>0</v>
      </c>
      <c r="U21">
        <f>(DZ21+(T21+2*0.95*5.67E-8*(((DZ21+$B$9)+273)^4-(DZ21+273)^4)-44100*I21)/(1.84*29.3*Q21+8*0.95*5.67E-8*(DZ21+273)^3))</f>
        <v>0</v>
      </c>
      <c r="V21">
        <f>($C$9*EA21+$D$9*EB21+$E$9*U21)</f>
        <v>0</v>
      </c>
      <c r="W21">
        <f>0.61365*exp(17.502*V21/(240.97+V21))</f>
        <v>0</v>
      </c>
      <c r="X21">
        <f>(Y21/Z21*100)</f>
        <v>0</v>
      </c>
      <c r="Y21">
        <f>DS21*(DX21+DY21)/1000</f>
        <v>0</v>
      </c>
      <c r="Z21">
        <f>0.61365*exp(17.502*DZ21/(240.97+DZ21))</f>
        <v>0</v>
      </c>
      <c r="AA21">
        <f>(W21-DS21*(DX21+DY21)/1000)</f>
        <v>0</v>
      </c>
      <c r="AB21">
        <f>(-I21*44100)</f>
        <v>0</v>
      </c>
      <c r="AC21">
        <f>2*29.3*Q21*0.92*(DZ21-V21)</f>
        <v>0</v>
      </c>
      <c r="AD21">
        <f>2*0.95*5.67E-8*(((DZ21+$B$9)+273)^4-(V21+273)^4)</f>
        <v>0</v>
      </c>
      <c r="AE21">
        <f>T21+AD21+AB21+AC21</f>
        <v>0</v>
      </c>
      <c r="AF21">
        <f>DW21*AT21*(DR21-DQ21*(1000-AT21*DT21)/(1000-AT21*DS21))/(100*DK21)</f>
        <v>0</v>
      </c>
      <c r="AG21">
        <f>1000*DW21*AT21*(DS21-DT21)/(100*DK21*(1000-AT21*DS21))</f>
        <v>0</v>
      </c>
      <c r="AH21">
        <f>(AI21 - AJ21 - DX21*1E3/(8.314*(DZ21+273.15)) * AL21/DW21 * AK21) * DW21/(100*DK21) * (1000 - DT21)/1000</f>
        <v>0</v>
      </c>
      <c r="AI21">
        <v>203.5047696969697</v>
      </c>
      <c r="AJ21">
        <v>203.3621393939393</v>
      </c>
      <c r="AK21">
        <v>-0.001397595437681426</v>
      </c>
      <c r="AL21">
        <v>64.50317704925482</v>
      </c>
      <c r="AM21">
        <f>(AO21 - AN21 + DX21*1E3/(8.314*(DZ21+273.15)) * AQ21/DW21 * AP21) * DW21/(100*DK21) * 1000/(1000 - AO21)</f>
        <v>0</v>
      </c>
      <c r="AN21">
        <v>17.12989818181817</v>
      </c>
      <c r="AO21">
        <v>17.12908909090909</v>
      </c>
      <c r="AP21">
        <v>0.0003148446874756173</v>
      </c>
      <c r="AQ21">
        <v>102.442100566119</v>
      </c>
      <c r="AR21">
        <v>14</v>
      </c>
      <c r="AS21">
        <v>3</v>
      </c>
      <c r="AT21">
        <f>IF(AR21*$H$15&gt;=AV21,1.0,(AV21/(AV21-AR21*$H$15)))</f>
        <v>0</v>
      </c>
      <c r="AU21">
        <f>(AT21-1)*100</f>
        <v>0</v>
      </c>
      <c r="AV21">
        <f>MAX(0,($B$15+$C$15*EE21)/(1+$D$15*EE21)*DX21/(DZ21+273)*$E$15)</f>
        <v>0</v>
      </c>
      <c r="AW21" t="s">
        <v>437</v>
      </c>
      <c r="AX21" t="s">
        <v>437</v>
      </c>
      <c r="AY21">
        <v>0</v>
      </c>
      <c r="AZ21">
        <v>0</v>
      </c>
      <c r="BA21">
        <f>1-AY21/AZ21</f>
        <v>0</v>
      </c>
      <c r="BB21">
        <v>0</v>
      </c>
      <c r="BC21" t="s">
        <v>437</v>
      </c>
      <c r="BD21" t="s">
        <v>437</v>
      </c>
      <c r="BE21">
        <v>0</v>
      </c>
      <c r="BF21">
        <v>0</v>
      </c>
      <c r="BG21">
        <f>1-BE21/BF21</f>
        <v>0</v>
      </c>
      <c r="BH21">
        <v>0.5</v>
      </c>
      <c r="BI21">
        <f>DH21</f>
        <v>0</v>
      </c>
      <c r="BJ21">
        <f>K21</f>
        <v>0</v>
      </c>
      <c r="BK21">
        <f>BG21*BH21*BI21</f>
        <v>0</v>
      </c>
      <c r="BL21">
        <f>(BJ21-BB21)/BI21</f>
        <v>0</v>
      </c>
      <c r="BM21">
        <f>(AZ21-BF21)/BF21</f>
        <v>0</v>
      </c>
      <c r="BN21">
        <f>AY21/(BA21+AY21/BF21)</f>
        <v>0</v>
      </c>
      <c r="BO21" t="s">
        <v>437</v>
      </c>
      <c r="BP21">
        <v>0</v>
      </c>
      <c r="BQ21">
        <f>IF(BP21&lt;&gt;0, BP21, BN21)</f>
        <v>0</v>
      </c>
      <c r="BR21">
        <f>1-BQ21/BF21</f>
        <v>0</v>
      </c>
      <c r="BS21">
        <f>(BF21-BE21)/(BF21-BQ21)</f>
        <v>0</v>
      </c>
      <c r="BT21">
        <f>(AZ21-BF21)/(AZ21-BQ21)</f>
        <v>0</v>
      </c>
      <c r="BU21">
        <f>(BF21-BE21)/(BF21-AY21)</f>
        <v>0</v>
      </c>
      <c r="BV21">
        <f>(AZ21-BF21)/(AZ21-AY21)</f>
        <v>0</v>
      </c>
      <c r="BW21">
        <f>(BS21*BQ21/BE21)</f>
        <v>0</v>
      </c>
      <c r="BX21">
        <f>(1-BW21)</f>
        <v>0</v>
      </c>
      <c r="DG21">
        <f>$B$13*EF21+$C$13*EG21+$F$13*ER21*(1-EU21)</f>
        <v>0</v>
      </c>
      <c r="DH21">
        <f>DG21*DI21</f>
        <v>0</v>
      </c>
      <c r="DI21">
        <f>($B$13*$D$11+$C$13*$D$11+$F$13*((FE21+EW21)/MAX(FE21+EW21+FF21, 0.1)*$I$11+FF21/MAX(FE21+EW21+FF21, 0.1)*$J$11))/($B$13+$C$13+$F$13)</f>
        <v>0</v>
      </c>
      <c r="DJ21">
        <f>($B$13*$K$11+$C$13*$K$11+$F$13*((FE21+EW21)/MAX(FE21+EW21+FF21, 0.1)*$P$11+FF21/MAX(FE21+EW21+FF21, 0.1)*$Q$11))/($B$13+$C$13+$F$13)</f>
        <v>0</v>
      </c>
      <c r="DK21">
        <v>5.66</v>
      </c>
      <c r="DL21">
        <v>0.5</v>
      </c>
      <c r="DM21" t="s">
        <v>438</v>
      </c>
      <c r="DN21">
        <v>2</v>
      </c>
      <c r="DO21" t="b">
        <v>1</v>
      </c>
      <c r="DP21">
        <v>1765297623.099999</v>
      </c>
      <c r="DQ21">
        <v>199.9155483870968</v>
      </c>
      <c r="DR21">
        <v>199.977870967742</v>
      </c>
      <c r="DS21">
        <v>17.11828709677419</v>
      </c>
      <c r="DT21">
        <v>17.0717</v>
      </c>
      <c r="DU21">
        <v>199.8577096774194</v>
      </c>
      <c r="DV21">
        <v>17.04740967741936</v>
      </c>
      <c r="DW21">
        <v>499.9191290322581</v>
      </c>
      <c r="DX21">
        <v>90.23685806451613</v>
      </c>
      <c r="DY21">
        <v>0.1004612225806452</v>
      </c>
      <c r="DZ21">
        <v>24.58194193548387</v>
      </c>
      <c r="EA21">
        <v>25.00461290322581</v>
      </c>
      <c r="EB21">
        <v>999.9000000000003</v>
      </c>
      <c r="EC21">
        <v>0</v>
      </c>
      <c r="ED21">
        <v>0</v>
      </c>
      <c r="EE21">
        <v>10000.69967741936</v>
      </c>
      <c r="EF21">
        <v>0</v>
      </c>
      <c r="EG21">
        <v>9.653540000000003</v>
      </c>
      <c r="EH21">
        <v>-0.06225339225806453</v>
      </c>
      <c r="EI21">
        <v>203.3973548387097</v>
      </c>
      <c r="EJ21">
        <v>203.4510967741935</v>
      </c>
      <c r="EK21">
        <v>0.04658274751612904</v>
      </c>
      <c r="EL21">
        <v>199.977870967742</v>
      </c>
      <c r="EM21">
        <v>17.0717</v>
      </c>
      <c r="EN21">
        <v>1.544699677419355</v>
      </c>
      <c r="EO21">
        <v>1.540497096774194</v>
      </c>
      <c r="EP21">
        <v>13.41793548387097</v>
      </c>
      <c r="EQ21">
        <v>13.37613225806451</v>
      </c>
      <c r="ER21">
        <v>799.9766451612905</v>
      </c>
      <c r="ES21">
        <v>0.9500067096774194</v>
      </c>
      <c r="ET21">
        <v>0.04999339677419355</v>
      </c>
      <c r="EU21">
        <v>0</v>
      </c>
      <c r="EV21">
        <v>816.4628387096775</v>
      </c>
      <c r="EW21">
        <v>5.000779999999999</v>
      </c>
      <c r="EX21">
        <v>6157.202258064517</v>
      </c>
      <c r="EY21">
        <v>6463.242258064515</v>
      </c>
      <c r="EZ21">
        <v>37.51387096774192</v>
      </c>
      <c r="FA21">
        <v>41.41716129032258</v>
      </c>
      <c r="FB21">
        <v>39.64290322580645</v>
      </c>
      <c r="FC21">
        <v>41.87483870967741</v>
      </c>
      <c r="FD21">
        <v>39.76777419354838</v>
      </c>
      <c r="FE21">
        <v>755.2325806451613</v>
      </c>
      <c r="FF21">
        <v>39.74451612903226</v>
      </c>
      <c r="FG21">
        <v>0</v>
      </c>
      <c r="FH21">
        <v>1765297630.1</v>
      </c>
      <c r="FI21">
        <v>0</v>
      </c>
      <c r="FJ21">
        <v>816.4889615384617</v>
      </c>
      <c r="FK21">
        <v>1.245914523169305</v>
      </c>
      <c r="FL21">
        <v>20.26905973143907</v>
      </c>
      <c r="FM21">
        <v>6157.475769230769</v>
      </c>
      <c r="FN21">
        <v>15</v>
      </c>
      <c r="FO21">
        <v>1765297595.6</v>
      </c>
      <c r="FP21" t="s">
        <v>449</v>
      </c>
      <c r="FQ21">
        <v>1765297595.6</v>
      </c>
      <c r="FR21">
        <v>1765297595.1</v>
      </c>
      <c r="FS21">
        <v>3</v>
      </c>
      <c r="FT21">
        <v>-0.067</v>
      </c>
      <c r="FU21">
        <v>0</v>
      </c>
      <c r="FV21">
        <v>0.058</v>
      </c>
      <c r="FW21">
        <v>0.07000000000000001</v>
      </c>
      <c r="FX21">
        <v>200</v>
      </c>
      <c r="FY21">
        <v>17</v>
      </c>
      <c r="FZ21">
        <v>0.4</v>
      </c>
      <c r="GA21">
        <v>0.13</v>
      </c>
      <c r="GB21">
        <v>-0.06288108649999999</v>
      </c>
      <c r="GC21">
        <v>-0.06802322769230756</v>
      </c>
      <c r="GD21">
        <v>0.03126094178819806</v>
      </c>
      <c r="GE21">
        <v>1</v>
      </c>
      <c r="GF21">
        <v>816.5384411764707</v>
      </c>
      <c r="GG21">
        <v>-0.4951718874978769</v>
      </c>
      <c r="GH21">
        <v>0.2555172598264178</v>
      </c>
      <c r="GI21">
        <v>1</v>
      </c>
      <c r="GJ21">
        <v>0.04833545875</v>
      </c>
      <c r="GK21">
        <v>-0.04903888649155735</v>
      </c>
      <c r="GL21">
        <v>0.01208383363307609</v>
      </c>
      <c r="GM21">
        <v>1</v>
      </c>
      <c r="GN21">
        <v>3</v>
      </c>
      <c r="GO21">
        <v>3</v>
      </c>
      <c r="GP21" t="s">
        <v>440</v>
      </c>
      <c r="GQ21">
        <v>3.10859</v>
      </c>
      <c r="GR21">
        <v>2.79296</v>
      </c>
      <c r="GS21">
        <v>0.0480551</v>
      </c>
      <c r="GT21">
        <v>0.0480932</v>
      </c>
      <c r="GU21">
        <v>0.08521819999999999</v>
      </c>
      <c r="GV21">
        <v>0.0860028</v>
      </c>
      <c r="GW21">
        <v>24995.7</v>
      </c>
      <c r="GX21">
        <v>22705.9</v>
      </c>
      <c r="GY21">
        <v>26817.1</v>
      </c>
      <c r="GZ21">
        <v>24061.6</v>
      </c>
      <c r="HA21">
        <v>39202.3</v>
      </c>
      <c r="HB21">
        <v>32459.6</v>
      </c>
      <c r="HC21">
        <v>46804.3</v>
      </c>
      <c r="HD21">
        <v>38057</v>
      </c>
      <c r="HE21">
        <v>1.85515</v>
      </c>
      <c r="HF21">
        <v>1.8356</v>
      </c>
      <c r="HG21">
        <v>0.0743419</v>
      </c>
      <c r="HH21">
        <v>0</v>
      </c>
      <c r="HI21">
        <v>23.7836</v>
      </c>
      <c r="HJ21">
        <v>999.9</v>
      </c>
      <c r="HK21">
        <v>40.6</v>
      </c>
      <c r="HL21">
        <v>32.5</v>
      </c>
      <c r="HM21">
        <v>22.0979</v>
      </c>
      <c r="HN21">
        <v>62.1878</v>
      </c>
      <c r="HO21">
        <v>29.1146</v>
      </c>
      <c r="HP21">
        <v>1</v>
      </c>
      <c r="HQ21">
        <v>0.0535137</v>
      </c>
      <c r="HR21">
        <v>1.12577</v>
      </c>
      <c r="HS21">
        <v>20.2899</v>
      </c>
      <c r="HT21">
        <v>5.21924</v>
      </c>
      <c r="HU21">
        <v>11.9794</v>
      </c>
      <c r="HV21">
        <v>4.9652</v>
      </c>
      <c r="HW21">
        <v>3.27523</v>
      </c>
      <c r="HX21">
        <v>9999</v>
      </c>
      <c r="HY21">
        <v>9999</v>
      </c>
      <c r="HZ21">
        <v>9999</v>
      </c>
      <c r="IA21">
        <v>999.9</v>
      </c>
      <c r="IB21">
        <v>1.86421</v>
      </c>
      <c r="IC21">
        <v>1.86042</v>
      </c>
      <c r="ID21">
        <v>1.85873</v>
      </c>
      <c r="IE21">
        <v>1.86005</v>
      </c>
      <c r="IF21">
        <v>1.86019</v>
      </c>
      <c r="IG21">
        <v>1.85869</v>
      </c>
      <c r="IH21">
        <v>1.85777</v>
      </c>
      <c r="II21">
        <v>1.85272</v>
      </c>
      <c r="IJ21">
        <v>0</v>
      </c>
      <c r="IK21">
        <v>0</v>
      </c>
      <c r="IL21">
        <v>0</v>
      </c>
      <c r="IM21">
        <v>0</v>
      </c>
      <c r="IN21" t="s">
        <v>441</v>
      </c>
      <c r="IO21" t="s">
        <v>442</v>
      </c>
      <c r="IP21" t="s">
        <v>443</v>
      </c>
      <c r="IQ21" t="s">
        <v>443</v>
      </c>
      <c r="IR21" t="s">
        <v>443</v>
      </c>
      <c r="IS21" t="s">
        <v>443</v>
      </c>
      <c r="IT21">
        <v>0</v>
      </c>
      <c r="IU21">
        <v>100</v>
      </c>
      <c r="IV21">
        <v>100</v>
      </c>
      <c r="IW21">
        <v>0.058</v>
      </c>
      <c r="IX21">
        <v>0.0711</v>
      </c>
      <c r="IY21">
        <v>-0.03122759194349467</v>
      </c>
      <c r="IZ21">
        <v>0.0001583678016168383</v>
      </c>
      <c r="JA21">
        <v>1.526473431467286E-06</v>
      </c>
      <c r="JB21">
        <v>-4.446382740029455E-10</v>
      </c>
      <c r="JC21">
        <v>-0.04108076997672862</v>
      </c>
      <c r="JD21">
        <v>-0.009941991807247691</v>
      </c>
      <c r="JE21">
        <v>0.001256427533001032</v>
      </c>
      <c r="JF21">
        <v>-1.689728105039484E-05</v>
      </c>
      <c r="JG21">
        <v>2</v>
      </c>
      <c r="JH21">
        <v>1984</v>
      </c>
      <c r="JI21">
        <v>0</v>
      </c>
      <c r="JJ21">
        <v>25</v>
      </c>
      <c r="JK21">
        <v>0.6</v>
      </c>
      <c r="JL21">
        <v>0.6</v>
      </c>
      <c r="JM21">
        <v>0.6347660000000001</v>
      </c>
      <c r="JN21">
        <v>2.61841</v>
      </c>
      <c r="JO21">
        <v>1.49658</v>
      </c>
      <c r="JP21">
        <v>2.34619</v>
      </c>
      <c r="JQ21">
        <v>1.54907</v>
      </c>
      <c r="JR21">
        <v>2.39868</v>
      </c>
      <c r="JS21">
        <v>38.1106</v>
      </c>
      <c r="JT21">
        <v>23.7635</v>
      </c>
      <c r="JU21">
        <v>18</v>
      </c>
      <c r="JV21">
        <v>463.423</v>
      </c>
      <c r="JW21">
        <v>477.577</v>
      </c>
      <c r="JX21">
        <v>22.8935</v>
      </c>
      <c r="JY21">
        <v>27.8766</v>
      </c>
      <c r="JZ21">
        <v>29.9998</v>
      </c>
      <c r="KA21">
        <v>28.1834</v>
      </c>
      <c r="KB21">
        <v>28.1973</v>
      </c>
      <c r="KC21">
        <v>12.7962</v>
      </c>
      <c r="KD21">
        <v>21.5974</v>
      </c>
      <c r="KE21">
        <v>13.1471</v>
      </c>
      <c r="KF21">
        <v>22.888</v>
      </c>
      <c r="KG21">
        <v>200</v>
      </c>
      <c r="KH21">
        <v>17.1239</v>
      </c>
      <c r="KI21">
        <v>102.353</v>
      </c>
      <c r="KJ21">
        <v>91.78959999999999</v>
      </c>
    </row>
    <row r="22" spans="1:296">
      <c r="A22">
        <v>4</v>
      </c>
      <c r="B22">
        <v>1765297751.6</v>
      </c>
      <c r="C22">
        <v>318.5999999046326</v>
      </c>
      <c r="D22" t="s">
        <v>450</v>
      </c>
      <c r="E22" t="s">
        <v>451</v>
      </c>
      <c r="F22">
        <v>5</v>
      </c>
      <c r="G22" t="s">
        <v>436</v>
      </c>
      <c r="H22">
        <v>1765297743.599999</v>
      </c>
      <c r="I22">
        <f>(J22)/1000</f>
        <v>0</v>
      </c>
      <c r="J22">
        <f>IF(DO22, AM22, AG22)</f>
        <v>0</v>
      </c>
      <c r="K22">
        <f>IF(DO22, AH22, AF22)</f>
        <v>0</v>
      </c>
      <c r="L22">
        <f>DQ22 - IF(AT22&gt;1, K22*DK22*100.0/(AV22), 0)</f>
        <v>0</v>
      </c>
      <c r="M22">
        <f>((S22-I22/2)*L22-K22)/(S22+I22/2)</f>
        <v>0</v>
      </c>
      <c r="N22">
        <f>M22*(DX22+DY22)/1000.0</f>
        <v>0</v>
      </c>
      <c r="O22">
        <f>(DQ22 - IF(AT22&gt;1, K22*DK22*100.0/(AV22), 0))*(DX22+DY22)/1000.0</f>
        <v>0</v>
      </c>
      <c r="P22">
        <f>2.0/((1/R22-1/Q22)+SIGN(R22)*SQRT((1/R22-1/Q22)*(1/R22-1/Q22) + 4*DL22/((DL22+1)*(DL22+1))*(2*1/R22*1/Q22-1/Q22*1/Q22)))</f>
        <v>0</v>
      </c>
      <c r="Q22">
        <f>IF(LEFT(DM22,1)&lt;&gt;"0",IF(LEFT(DM22,1)="1",3.0,DN22),$D$5+$E$5*(EE22*DX22/($K$5*1000))+$F$5*(EE22*DX22/($K$5*1000))*MAX(MIN(DK22,$J$5),$I$5)*MAX(MIN(DK22,$J$5),$I$5)+$G$5*MAX(MIN(DK22,$J$5),$I$5)*(EE22*DX22/($K$5*1000))+$H$5*(EE22*DX22/($K$5*1000))*(EE22*DX22/($K$5*1000)))</f>
        <v>0</v>
      </c>
      <c r="R22">
        <f>I22*(1000-(1000*0.61365*exp(17.502*V22/(240.97+V22))/(DX22+DY22)+DS22)/2)/(1000*0.61365*exp(17.502*V22/(240.97+V22))/(DX22+DY22)-DS22)</f>
        <v>0</v>
      </c>
      <c r="S22">
        <f>1/((DL22+1)/(P22/1.6)+1/(Q22/1.37)) + DL22/((DL22+1)/(P22/1.6) + DL22/(Q22/1.37))</f>
        <v>0</v>
      </c>
      <c r="T22">
        <f>(DG22*DJ22)</f>
        <v>0</v>
      </c>
      <c r="U22">
        <f>(DZ22+(T22+2*0.95*5.67E-8*(((DZ22+$B$9)+273)^4-(DZ22+273)^4)-44100*I22)/(1.84*29.3*Q22+8*0.95*5.67E-8*(DZ22+273)^3))</f>
        <v>0</v>
      </c>
      <c r="V22">
        <f>($C$9*EA22+$D$9*EB22+$E$9*U22)</f>
        <v>0</v>
      </c>
      <c r="W22">
        <f>0.61365*exp(17.502*V22/(240.97+V22))</f>
        <v>0</v>
      </c>
      <c r="X22">
        <f>(Y22/Z22*100)</f>
        <v>0</v>
      </c>
      <c r="Y22">
        <f>DS22*(DX22+DY22)/1000</f>
        <v>0</v>
      </c>
      <c r="Z22">
        <f>0.61365*exp(17.502*DZ22/(240.97+DZ22))</f>
        <v>0</v>
      </c>
      <c r="AA22">
        <f>(W22-DS22*(DX22+DY22)/1000)</f>
        <v>0</v>
      </c>
      <c r="AB22">
        <f>(-I22*44100)</f>
        <v>0</v>
      </c>
      <c r="AC22">
        <f>2*29.3*Q22*0.92*(DZ22-V22)</f>
        <v>0</v>
      </c>
      <c r="AD22">
        <f>2*0.95*5.67E-8*(((DZ22+$B$9)+273)^4-(V22+273)^4)</f>
        <v>0</v>
      </c>
      <c r="AE22">
        <f>T22+AD22+AB22+AC22</f>
        <v>0</v>
      </c>
      <c r="AF22">
        <f>DW22*AT22*(DR22-DQ22*(1000-AT22*DT22)/(1000-AT22*DS22))/(100*DK22)</f>
        <v>0</v>
      </c>
      <c r="AG22">
        <f>1000*DW22*AT22*(DS22-DT22)/(100*DK22*(1000-AT22*DS22))</f>
        <v>0</v>
      </c>
      <c r="AH22">
        <f>(AI22 - AJ22 - DX22*1E3/(8.314*(DZ22+273.15)) * AL22/DW22 * AK22) * DW22/(100*DK22) * (1000 - DT22)/1000</f>
        <v>0</v>
      </c>
      <c r="AI22">
        <v>101.7664121212122</v>
      </c>
      <c r="AJ22">
        <v>101.8231575757576</v>
      </c>
      <c r="AK22">
        <v>-0.001729244170085189</v>
      </c>
      <c r="AL22">
        <v>64.556743448218</v>
      </c>
      <c r="AM22">
        <f>(AO22 - AN22 + DX22*1E3/(8.314*(DZ22+273.15)) * AQ22/DW22 * AP22) * DW22/(100*DK22) * 1000/(1000 - AO22)</f>
        <v>0</v>
      </c>
      <c r="AN22">
        <v>17.07696181818182</v>
      </c>
      <c r="AO22">
        <v>17.14626181818181</v>
      </c>
      <c r="AP22">
        <v>-1.62802929153356E-06</v>
      </c>
      <c r="AQ22">
        <v>102.5166538981094</v>
      </c>
      <c r="AR22">
        <v>18</v>
      </c>
      <c r="AS22">
        <v>4</v>
      </c>
      <c r="AT22">
        <f>IF(AR22*$H$15&gt;=AV22,1.0,(AV22/(AV22-AR22*$H$15)))</f>
        <v>0</v>
      </c>
      <c r="AU22">
        <f>(AT22-1)*100</f>
        <v>0</v>
      </c>
      <c r="AV22">
        <f>MAX(0,($B$15+$C$15*EE22)/(1+$D$15*EE22)*DX22/(DZ22+273)*$E$15)</f>
        <v>0</v>
      </c>
      <c r="AW22" t="s">
        <v>437</v>
      </c>
      <c r="AX22" t="s">
        <v>437</v>
      </c>
      <c r="AY22">
        <v>0</v>
      </c>
      <c r="AZ22">
        <v>0</v>
      </c>
      <c r="BA22">
        <f>1-AY22/AZ22</f>
        <v>0</v>
      </c>
      <c r="BB22">
        <v>0</v>
      </c>
      <c r="BC22" t="s">
        <v>437</v>
      </c>
      <c r="BD22" t="s">
        <v>437</v>
      </c>
      <c r="BE22">
        <v>0</v>
      </c>
      <c r="BF22">
        <v>0</v>
      </c>
      <c r="BG22">
        <f>1-BE22/BF22</f>
        <v>0</v>
      </c>
      <c r="BH22">
        <v>0.5</v>
      </c>
      <c r="BI22">
        <f>DH22</f>
        <v>0</v>
      </c>
      <c r="BJ22">
        <f>K22</f>
        <v>0</v>
      </c>
      <c r="BK22">
        <f>BG22*BH22*BI22</f>
        <v>0</v>
      </c>
      <c r="BL22">
        <f>(BJ22-BB22)/BI22</f>
        <v>0</v>
      </c>
      <c r="BM22">
        <f>(AZ22-BF22)/BF22</f>
        <v>0</v>
      </c>
      <c r="BN22">
        <f>AY22/(BA22+AY22/BF22)</f>
        <v>0</v>
      </c>
      <c r="BO22" t="s">
        <v>437</v>
      </c>
      <c r="BP22">
        <v>0</v>
      </c>
      <c r="BQ22">
        <f>IF(BP22&lt;&gt;0, BP22, BN22)</f>
        <v>0</v>
      </c>
      <c r="BR22">
        <f>1-BQ22/BF22</f>
        <v>0</v>
      </c>
      <c r="BS22">
        <f>(BF22-BE22)/(BF22-BQ22)</f>
        <v>0</v>
      </c>
      <c r="BT22">
        <f>(AZ22-BF22)/(AZ22-BQ22)</f>
        <v>0</v>
      </c>
      <c r="BU22">
        <f>(BF22-BE22)/(BF22-AY22)</f>
        <v>0</v>
      </c>
      <c r="BV22">
        <f>(AZ22-BF22)/(AZ22-AY22)</f>
        <v>0</v>
      </c>
      <c r="BW22">
        <f>(BS22*BQ22/BE22)</f>
        <v>0</v>
      </c>
      <c r="BX22">
        <f>(1-BW22)</f>
        <v>0</v>
      </c>
      <c r="DG22">
        <f>$B$13*EF22+$C$13*EG22+$F$13*ER22*(1-EU22)</f>
        <v>0</v>
      </c>
      <c r="DH22">
        <f>DG22*DI22</f>
        <v>0</v>
      </c>
      <c r="DI22">
        <f>($B$13*$D$11+$C$13*$D$11+$F$13*((FE22+EW22)/MAX(FE22+EW22+FF22, 0.1)*$I$11+FF22/MAX(FE22+EW22+FF22, 0.1)*$J$11))/($B$13+$C$13+$F$13)</f>
        <v>0</v>
      </c>
      <c r="DJ22">
        <f>($B$13*$K$11+$C$13*$K$11+$F$13*((FE22+EW22)/MAX(FE22+EW22+FF22, 0.1)*$P$11+FF22/MAX(FE22+EW22+FF22, 0.1)*$Q$11))/($B$13+$C$13+$F$13)</f>
        <v>0</v>
      </c>
      <c r="DK22">
        <v>5.66</v>
      </c>
      <c r="DL22">
        <v>0.5</v>
      </c>
      <c r="DM22" t="s">
        <v>438</v>
      </c>
      <c r="DN22">
        <v>2</v>
      </c>
      <c r="DO22" t="b">
        <v>1</v>
      </c>
      <c r="DP22">
        <v>1765297743.599999</v>
      </c>
      <c r="DQ22">
        <v>100.0963870967742</v>
      </c>
      <c r="DR22">
        <v>99.99384838709679</v>
      </c>
      <c r="DS22">
        <v>17.13828064516129</v>
      </c>
      <c r="DT22">
        <v>17.08015806451613</v>
      </c>
      <c r="DU22">
        <v>100.0074612903226</v>
      </c>
      <c r="DV22">
        <v>17.06511290322581</v>
      </c>
      <c r="DW22">
        <v>500.0434838709678</v>
      </c>
      <c r="DX22">
        <v>90.24369999999999</v>
      </c>
      <c r="DY22">
        <v>0.1005723258064516</v>
      </c>
      <c r="DZ22">
        <v>24.5748935483871</v>
      </c>
      <c r="EA22">
        <v>24.99315161290323</v>
      </c>
      <c r="EB22">
        <v>999.9000000000003</v>
      </c>
      <c r="EC22">
        <v>0</v>
      </c>
      <c r="ED22">
        <v>0</v>
      </c>
      <c r="EE22">
        <v>9995.74</v>
      </c>
      <c r="EF22">
        <v>0</v>
      </c>
      <c r="EG22">
        <v>9.63341483870968</v>
      </c>
      <c r="EH22">
        <v>0.1024073741935484</v>
      </c>
      <c r="EI22">
        <v>101.8417096774193</v>
      </c>
      <c r="EJ22">
        <v>101.7315483870968</v>
      </c>
      <c r="EK22">
        <v>0.05812921935483871</v>
      </c>
      <c r="EL22">
        <v>99.99384838709679</v>
      </c>
      <c r="EM22">
        <v>17.08015806451613</v>
      </c>
      <c r="EN22">
        <v>1.546621935483871</v>
      </c>
      <c r="EO22">
        <v>1.541376774193548</v>
      </c>
      <c r="EP22">
        <v>13.43702580645161</v>
      </c>
      <c r="EQ22">
        <v>13.38489677419355</v>
      </c>
      <c r="ER22">
        <v>800.0036451612903</v>
      </c>
      <c r="ES22">
        <v>0.9500093870967741</v>
      </c>
      <c r="ET22">
        <v>0.04999051935483869</v>
      </c>
      <c r="EU22">
        <v>0</v>
      </c>
      <c r="EV22">
        <v>818.7821612903224</v>
      </c>
      <c r="EW22">
        <v>5.000779999999999</v>
      </c>
      <c r="EX22">
        <v>6151.196451612903</v>
      </c>
      <c r="EY22">
        <v>6463.467096774195</v>
      </c>
      <c r="EZ22">
        <v>36.59851612903225</v>
      </c>
      <c r="FA22">
        <v>39.12270967741934</v>
      </c>
      <c r="FB22">
        <v>38.28006451612902</v>
      </c>
      <c r="FC22">
        <v>38.82238709677419</v>
      </c>
      <c r="FD22">
        <v>38.14087096774193</v>
      </c>
      <c r="FE22">
        <v>755.2596774193547</v>
      </c>
      <c r="FF22">
        <v>39.74</v>
      </c>
      <c r="FG22">
        <v>0</v>
      </c>
      <c r="FH22">
        <v>1765297750.7</v>
      </c>
      <c r="FI22">
        <v>0</v>
      </c>
      <c r="FJ22">
        <v>818.7827599999999</v>
      </c>
      <c r="FK22">
        <v>1.682615376040693</v>
      </c>
      <c r="FL22">
        <v>2.419230786649273</v>
      </c>
      <c r="FM22">
        <v>6151.232800000001</v>
      </c>
      <c r="FN22">
        <v>15</v>
      </c>
      <c r="FO22">
        <v>1765297691.1</v>
      </c>
      <c r="FP22" t="s">
        <v>452</v>
      </c>
      <c r="FQ22">
        <v>1765297691.1</v>
      </c>
      <c r="FR22">
        <v>1765297691.1</v>
      </c>
      <c r="FS22">
        <v>4</v>
      </c>
      <c r="FT22">
        <v>0.089</v>
      </c>
      <c r="FU22">
        <v>0.002</v>
      </c>
      <c r="FV22">
        <v>0.089</v>
      </c>
      <c r="FW22">
        <v>0.07199999999999999</v>
      </c>
      <c r="FX22">
        <v>100</v>
      </c>
      <c r="FY22">
        <v>17</v>
      </c>
      <c r="FZ22">
        <v>0.4</v>
      </c>
      <c r="GA22">
        <v>0.2</v>
      </c>
      <c r="GB22">
        <v>0.107245225</v>
      </c>
      <c r="GC22">
        <v>-0.08883825590994372</v>
      </c>
      <c r="GD22">
        <v>0.03782351777725566</v>
      </c>
      <c r="GE22">
        <v>1</v>
      </c>
      <c r="GF22">
        <v>818.6269705882354</v>
      </c>
      <c r="GG22">
        <v>2.850893809509406</v>
      </c>
      <c r="GH22">
        <v>0.3805232840749478</v>
      </c>
      <c r="GI22">
        <v>0</v>
      </c>
      <c r="GJ22">
        <v>0.061550855</v>
      </c>
      <c r="GK22">
        <v>-0.004633076172607995</v>
      </c>
      <c r="GL22">
        <v>0.0107630057319726</v>
      </c>
      <c r="GM22">
        <v>1</v>
      </c>
      <c r="GN22">
        <v>2</v>
      </c>
      <c r="GO22">
        <v>3</v>
      </c>
      <c r="GP22" t="s">
        <v>453</v>
      </c>
      <c r="GQ22">
        <v>3.10857</v>
      </c>
      <c r="GR22">
        <v>2.78979</v>
      </c>
      <c r="GS22">
        <v>0.025598</v>
      </c>
      <c r="GT22">
        <v>0.0255839</v>
      </c>
      <c r="GU22">
        <v>0.08528090000000001</v>
      </c>
      <c r="GV22">
        <v>0.08581859999999999</v>
      </c>
      <c r="GW22">
        <v>25590</v>
      </c>
      <c r="GX22">
        <v>23245.7</v>
      </c>
      <c r="GY22">
        <v>26821.5</v>
      </c>
      <c r="GZ22">
        <v>24064.1</v>
      </c>
      <c r="HA22">
        <v>39202.6</v>
      </c>
      <c r="HB22">
        <v>32466.8</v>
      </c>
      <c r="HC22">
        <v>46811.5</v>
      </c>
      <c r="HD22">
        <v>38060.5</v>
      </c>
      <c r="HE22">
        <v>1.8485</v>
      </c>
      <c r="HF22">
        <v>1.8367</v>
      </c>
      <c r="HG22">
        <v>0.0776723</v>
      </c>
      <c r="HH22">
        <v>0</v>
      </c>
      <c r="HI22">
        <v>23.7173</v>
      </c>
      <c r="HJ22">
        <v>999.9</v>
      </c>
      <c r="HK22">
        <v>40.2</v>
      </c>
      <c r="HL22">
        <v>32.5</v>
      </c>
      <c r="HM22">
        <v>21.8805</v>
      </c>
      <c r="HN22">
        <v>62.2478</v>
      </c>
      <c r="HO22">
        <v>28.9864</v>
      </c>
      <c r="HP22">
        <v>1</v>
      </c>
      <c r="HQ22">
        <v>0.0449924</v>
      </c>
      <c r="HR22">
        <v>0.945458</v>
      </c>
      <c r="HS22">
        <v>20.2902</v>
      </c>
      <c r="HT22">
        <v>5.22268</v>
      </c>
      <c r="HU22">
        <v>11.9767</v>
      </c>
      <c r="HV22">
        <v>4.9653</v>
      </c>
      <c r="HW22">
        <v>3.27598</v>
      </c>
      <c r="HX22">
        <v>9999</v>
      </c>
      <c r="HY22">
        <v>9999</v>
      </c>
      <c r="HZ22">
        <v>9999</v>
      </c>
      <c r="IA22">
        <v>999.9</v>
      </c>
      <c r="IB22">
        <v>1.86423</v>
      </c>
      <c r="IC22">
        <v>1.86046</v>
      </c>
      <c r="ID22">
        <v>1.85874</v>
      </c>
      <c r="IE22">
        <v>1.86005</v>
      </c>
      <c r="IF22">
        <v>1.86019</v>
      </c>
      <c r="IG22">
        <v>1.8587</v>
      </c>
      <c r="IH22">
        <v>1.8578</v>
      </c>
      <c r="II22">
        <v>1.85273</v>
      </c>
      <c r="IJ22">
        <v>0</v>
      </c>
      <c r="IK22">
        <v>0</v>
      </c>
      <c r="IL22">
        <v>0</v>
      </c>
      <c r="IM22">
        <v>0</v>
      </c>
      <c r="IN22" t="s">
        <v>441</v>
      </c>
      <c r="IO22" t="s">
        <v>442</v>
      </c>
      <c r="IP22" t="s">
        <v>443</v>
      </c>
      <c r="IQ22" t="s">
        <v>443</v>
      </c>
      <c r="IR22" t="s">
        <v>443</v>
      </c>
      <c r="IS22" t="s">
        <v>443</v>
      </c>
      <c r="IT22">
        <v>0</v>
      </c>
      <c r="IU22">
        <v>100</v>
      </c>
      <c r="IV22">
        <v>100</v>
      </c>
      <c r="IW22">
        <v>0.08799999999999999</v>
      </c>
      <c r="IX22">
        <v>0.0733</v>
      </c>
      <c r="IY22">
        <v>0.05814489917004123</v>
      </c>
      <c r="IZ22">
        <v>0.0001583678016168383</v>
      </c>
      <c r="JA22">
        <v>1.526473431467286E-06</v>
      </c>
      <c r="JB22">
        <v>-4.446382740029455E-10</v>
      </c>
      <c r="JC22">
        <v>-0.0390840487549749</v>
      </c>
      <c r="JD22">
        <v>-0.009941991807247691</v>
      </c>
      <c r="JE22">
        <v>0.001256427533001032</v>
      </c>
      <c r="JF22">
        <v>-1.689728105039484E-05</v>
      </c>
      <c r="JG22">
        <v>2</v>
      </c>
      <c r="JH22">
        <v>1984</v>
      </c>
      <c r="JI22">
        <v>0</v>
      </c>
      <c r="JJ22">
        <v>25</v>
      </c>
      <c r="JK22">
        <v>1</v>
      </c>
      <c r="JL22">
        <v>1</v>
      </c>
      <c r="JM22">
        <v>0.394287</v>
      </c>
      <c r="JN22">
        <v>2.64282</v>
      </c>
      <c r="JO22">
        <v>1.49658</v>
      </c>
      <c r="JP22">
        <v>2.34619</v>
      </c>
      <c r="JQ22">
        <v>1.54907</v>
      </c>
      <c r="JR22">
        <v>2.36206</v>
      </c>
      <c r="JS22">
        <v>38.135</v>
      </c>
      <c r="JT22">
        <v>23.746</v>
      </c>
      <c r="JU22">
        <v>18</v>
      </c>
      <c r="JV22">
        <v>459.196</v>
      </c>
      <c r="JW22">
        <v>477.519</v>
      </c>
      <c r="JX22">
        <v>23.0007</v>
      </c>
      <c r="JY22">
        <v>27.7627</v>
      </c>
      <c r="JZ22">
        <v>29.9998</v>
      </c>
      <c r="KA22">
        <v>28.0862</v>
      </c>
      <c r="KB22">
        <v>28.104</v>
      </c>
      <c r="KC22">
        <v>7.98207</v>
      </c>
      <c r="KD22">
        <v>21.3199</v>
      </c>
      <c r="KE22">
        <v>12.0323</v>
      </c>
      <c r="KF22">
        <v>23.0013</v>
      </c>
      <c r="KG22">
        <v>100</v>
      </c>
      <c r="KH22">
        <v>17.127</v>
      </c>
      <c r="KI22">
        <v>102.369</v>
      </c>
      <c r="KJ22">
        <v>91.7985</v>
      </c>
    </row>
    <row r="23" spans="1:296">
      <c r="A23">
        <v>5</v>
      </c>
      <c r="B23">
        <v>1765297833.6</v>
      </c>
      <c r="C23">
        <v>400.5999999046326</v>
      </c>
      <c r="D23" t="s">
        <v>454</v>
      </c>
      <c r="E23" t="s">
        <v>455</v>
      </c>
      <c r="F23">
        <v>5</v>
      </c>
      <c r="G23" t="s">
        <v>436</v>
      </c>
      <c r="H23">
        <v>1765297825.849999</v>
      </c>
      <c r="I23">
        <f>(J23)/1000</f>
        <v>0</v>
      </c>
      <c r="J23">
        <f>IF(DO23, AM23, AG23)</f>
        <v>0</v>
      </c>
      <c r="K23">
        <f>IF(DO23, AH23, AF23)</f>
        <v>0</v>
      </c>
      <c r="L23">
        <f>DQ23 - IF(AT23&gt;1, K23*DK23*100.0/(AV23), 0)</f>
        <v>0</v>
      </c>
      <c r="M23">
        <f>((S23-I23/2)*L23-K23)/(S23+I23/2)</f>
        <v>0</v>
      </c>
      <c r="N23">
        <f>M23*(DX23+DY23)/1000.0</f>
        <v>0</v>
      </c>
      <c r="O23">
        <f>(DQ23 - IF(AT23&gt;1, K23*DK23*100.0/(AV23), 0))*(DX23+DY23)/1000.0</f>
        <v>0</v>
      </c>
      <c r="P23">
        <f>2.0/((1/R23-1/Q23)+SIGN(R23)*SQRT((1/R23-1/Q23)*(1/R23-1/Q23) + 4*DL23/((DL23+1)*(DL23+1))*(2*1/R23*1/Q23-1/Q23*1/Q23)))</f>
        <v>0</v>
      </c>
      <c r="Q23">
        <f>IF(LEFT(DM23,1)&lt;&gt;"0",IF(LEFT(DM23,1)="1",3.0,DN23),$D$5+$E$5*(EE23*DX23/($K$5*1000))+$F$5*(EE23*DX23/($K$5*1000))*MAX(MIN(DK23,$J$5),$I$5)*MAX(MIN(DK23,$J$5),$I$5)+$G$5*MAX(MIN(DK23,$J$5),$I$5)*(EE23*DX23/($K$5*1000))+$H$5*(EE23*DX23/($K$5*1000))*(EE23*DX23/($K$5*1000)))</f>
        <v>0</v>
      </c>
      <c r="R23">
        <f>I23*(1000-(1000*0.61365*exp(17.502*V23/(240.97+V23))/(DX23+DY23)+DS23)/2)/(1000*0.61365*exp(17.502*V23/(240.97+V23))/(DX23+DY23)-DS23)</f>
        <v>0</v>
      </c>
      <c r="S23">
        <f>1/((DL23+1)/(P23/1.6)+1/(Q23/1.37)) + DL23/((DL23+1)/(P23/1.6) + DL23/(Q23/1.37))</f>
        <v>0</v>
      </c>
      <c r="T23">
        <f>(DG23*DJ23)</f>
        <v>0</v>
      </c>
      <c r="U23">
        <f>(DZ23+(T23+2*0.95*5.67E-8*(((DZ23+$B$9)+273)^4-(DZ23+273)^4)-44100*I23)/(1.84*29.3*Q23+8*0.95*5.67E-8*(DZ23+273)^3))</f>
        <v>0</v>
      </c>
      <c r="V23">
        <f>($C$9*EA23+$D$9*EB23+$E$9*U23)</f>
        <v>0</v>
      </c>
      <c r="W23">
        <f>0.61365*exp(17.502*V23/(240.97+V23))</f>
        <v>0</v>
      </c>
      <c r="X23">
        <f>(Y23/Z23*100)</f>
        <v>0</v>
      </c>
      <c r="Y23">
        <f>DS23*(DX23+DY23)/1000</f>
        <v>0</v>
      </c>
      <c r="Z23">
        <f>0.61365*exp(17.502*DZ23/(240.97+DZ23))</f>
        <v>0</v>
      </c>
      <c r="AA23">
        <f>(W23-DS23*(DX23+DY23)/1000)</f>
        <v>0</v>
      </c>
      <c r="AB23">
        <f>(-I23*44100)</f>
        <v>0</v>
      </c>
      <c r="AC23">
        <f>2*29.3*Q23*0.92*(DZ23-V23)</f>
        <v>0</v>
      </c>
      <c r="AD23">
        <f>2*0.95*5.67E-8*(((DZ23+$B$9)+273)^4-(V23+273)^4)</f>
        <v>0</v>
      </c>
      <c r="AE23">
        <f>T23+AD23+AB23+AC23</f>
        <v>0</v>
      </c>
      <c r="AF23">
        <f>DW23*AT23*(DR23-DQ23*(1000-AT23*DT23)/(1000-AT23*DS23))/(100*DK23)</f>
        <v>0</v>
      </c>
      <c r="AG23">
        <f>1000*DW23*AT23*(DS23-DT23)/(100*DK23*(1000-AT23*DS23))</f>
        <v>0</v>
      </c>
      <c r="AH23">
        <f>(AI23 - AJ23 - DX23*1E3/(8.314*(DZ23+273.15)) * AL23/DW23 * AK23) * DW23/(100*DK23) * (1000 - DT23)/1000</f>
        <v>0</v>
      </c>
      <c r="AI23">
        <v>50.86588303030302</v>
      </c>
      <c r="AJ23">
        <v>51.08047393939392</v>
      </c>
      <c r="AK23">
        <v>-0.0004896533326245603</v>
      </c>
      <c r="AL23">
        <v>64.55712666881452</v>
      </c>
      <c r="AM23">
        <f>(AO23 - AN23 + DX23*1E3/(8.314*(DZ23+273.15)) * AQ23/DW23 * AP23) * DW23/(100*DK23) * 1000/(1000 - AO23)</f>
        <v>0</v>
      </c>
      <c r="AN23">
        <v>17.04927878787879</v>
      </c>
      <c r="AO23">
        <v>17.13301636363637</v>
      </c>
      <c r="AP23">
        <v>-0.0002646121446121031</v>
      </c>
      <c r="AQ23">
        <v>102.5179704903785</v>
      </c>
      <c r="AR23">
        <v>41</v>
      </c>
      <c r="AS23">
        <v>8</v>
      </c>
      <c r="AT23">
        <f>IF(AR23*$H$15&gt;=AV23,1.0,(AV23/(AV23-AR23*$H$15)))</f>
        <v>0</v>
      </c>
      <c r="AU23">
        <f>(AT23-1)*100</f>
        <v>0</v>
      </c>
      <c r="AV23">
        <f>MAX(0,($B$15+$C$15*EE23)/(1+$D$15*EE23)*DX23/(DZ23+273)*$E$15)</f>
        <v>0</v>
      </c>
      <c r="AW23" t="s">
        <v>437</v>
      </c>
      <c r="AX23" t="s">
        <v>437</v>
      </c>
      <c r="AY23">
        <v>0</v>
      </c>
      <c r="AZ23">
        <v>0</v>
      </c>
      <c r="BA23">
        <f>1-AY23/AZ23</f>
        <v>0</v>
      </c>
      <c r="BB23">
        <v>0</v>
      </c>
      <c r="BC23" t="s">
        <v>437</v>
      </c>
      <c r="BD23" t="s">
        <v>437</v>
      </c>
      <c r="BE23">
        <v>0</v>
      </c>
      <c r="BF23">
        <v>0</v>
      </c>
      <c r="BG23">
        <f>1-BE23/BF23</f>
        <v>0</v>
      </c>
      <c r="BH23">
        <v>0.5</v>
      </c>
      <c r="BI23">
        <f>DH23</f>
        <v>0</v>
      </c>
      <c r="BJ23">
        <f>K23</f>
        <v>0</v>
      </c>
      <c r="BK23">
        <f>BG23*BH23*BI23</f>
        <v>0</v>
      </c>
      <c r="BL23">
        <f>(BJ23-BB23)/BI23</f>
        <v>0</v>
      </c>
      <c r="BM23">
        <f>(AZ23-BF23)/BF23</f>
        <v>0</v>
      </c>
      <c r="BN23">
        <f>AY23/(BA23+AY23/BF23)</f>
        <v>0</v>
      </c>
      <c r="BO23" t="s">
        <v>437</v>
      </c>
      <c r="BP23">
        <v>0</v>
      </c>
      <c r="BQ23">
        <f>IF(BP23&lt;&gt;0, BP23, BN23)</f>
        <v>0</v>
      </c>
      <c r="BR23">
        <f>1-BQ23/BF23</f>
        <v>0</v>
      </c>
      <c r="BS23">
        <f>(BF23-BE23)/(BF23-BQ23)</f>
        <v>0</v>
      </c>
      <c r="BT23">
        <f>(AZ23-BF23)/(AZ23-BQ23)</f>
        <v>0</v>
      </c>
      <c r="BU23">
        <f>(BF23-BE23)/(BF23-AY23)</f>
        <v>0</v>
      </c>
      <c r="BV23">
        <f>(AZ23-BF23)/(AZ23-AY23)</f>
        <v>0</v>
      </c>
      <c r="BW23">
        <f>(BS23*BQ23/BE23)</f>
        <v>0</v>
      </c>
      <c r="BX23">
        <f>(1-BW23)</f>
        <v>0</v>
      </c>
      <c r="DG23">
        <f>$B$13*EF23+$C$13*EG23+$F$13*ER23*(1-EU23)</f>
        <v>0</v>
      </c>
      <c r="DH23">
        <f>DG23*DI23</f>
        <v>0</v>
      </c>
      <c r="DI23">
        <f>($B$13*$D$11+$C$13*$D$11+$F$13*((FE23+EW23)/MAX(FE23+EW23+FF23, 0.1)*$I$11+FF23/MAX(FE23+EW23+FF23, 0.1)*$J$11))/($B$13+$C$13+$F$13)</f>
        <v>0</v>
      </c>
      <c r="DJ23">
        <f>($B$13*$K$11+$C$13*$K$11+$F$13*((FE23+EW23)/MAX(FE23+EW23+FF23, 0.1)*$P$11+FF23/MAX(FE23+EW23+FF23, 0.1)*$Q$11))/($B$13+$C$13+$F$13)</f>
        <v>0</v>
      </c>
      <c r="DK23">
        <v>5.66</v>
      </c>
      <c r="DL23">
        <v>0.5</v>
      </c>
      <c r="DM23" t="s">
        <v>438</v>
      </c>
      <c r="DN23">
        <v>2</v>
      </c>
      <c r="DO23" t="b">
        <v>1</v>
      </c>
      <c r="DP23">
        <v>1765297825.849999</v>
      </c>
      <c r="DQ23">
        <v>50.20908000000001</v>
      </c>
      <c r="DR23">
        <v>49.98833333333333</v>
      </c>
      <c r="DS23">
        <v>17.14395666666666</v>
      </c>
      <c r="DT23">
        <v>17.06763666666667</v>
      </c>
      <c r="DU23">
        <v>50.11942666666667</v>
      </c>
      <c r="DV23">
        <v>17.07032666666667</v>
      </c>
      <c r="DW23">
        <v>500.0105000000001</v>
      </c>
      <c r="DX23">
        <v>90.24236666666665</v>
      </c>
      <c r="DY23">
        <v>0.09995471333333333</v>
      </c>
      <c r="DZ23">
        <v>24.56571333333334</v>
      </c>
      <c r="EA23">
        <v>24.98268333333334</v>
      </c>
      <c r="EB23">
        <v>999.9000000000002</v>
      </c>
      <c r="EC23">
        <v>0</v>
      </c>
      <c r="ED23">
        <v>0</v>
      </c>
      <c r="EE23">
        <v>10011.02066666667</v>
      </c>
      <c r="EF23">
        <v>0</v>
      </c>
      <c r="EG23">
        <v>9.649492000000002</v>
      </c>
      <c r="EH23">
        <v>0.2207519000000001</v>
      </c>
      <c r="EI23">
        <v>51.08487666666667</v>
      </c>
      <c r="EJ23">
        <v>50.85632666666666</v>
      </c>
      <c r="EK23">
        <v>0.07632490666666668</v>
      </c>
      <c r="EL23">
        <v>49.98833333333333</v>
      </c>
      <c r="EM23">
        <v>17.06763666666667</v>
      </c>
      <c r="EN23">
        <v>1.547111666666666</v>
      </c>
      <c r="EO23">
        <v>1.540224666666667</v>
      </c>
      <c r="EP23">
        <v>13.44188</v>
      </c>
      <c r="EQ23">
        <v>13.37342666666667</v>
      </c>
      <c r="ER23">
        <v>799.9804666666666</v>
      </c>
      <c r="ES23">
        <v>0.9500012000000001</v>
      </c>
      <c r="ET23">
        <v>0.04999883666666667</v>
      </c>
      <c r="EU23">
        <v>0</v>
      </c>
      <c r="EV23">
        <v>820.3491666666666</v>
      </c>
      <c r="EW23">
        <v>5.00078</v>
      </c>
      <c r="EX23">
        <v>6147.610333333333</v>
      </c>
      <c r="EY23">
        <v>6463.259999999999</v>
      </c>
      <c r="EZ23">
        <v>35.96853333333333</v>
      </c>
      <c r="FA23">
        <v>38.39766666666666</v>
      </c>
      <c r="FB23">
        <v>37.54966666666666</v>
      </c>
      <c r="FC23">
        <v>37.93946666666667</v>
      </c>
      <c r="FD23">
        <v>37.52049999999999</v>
      </c>
      <c r="FE23">
        <v>755.2320000000003</v>
      </c>
      <c r="FF23">
        <v>39.75</v>
      </c>
      <c r="FG23">
        <v>0</v>
      </c>
      <c r="FH23">
        <v>1765297832.9</v>
      </c>
      <c r="FI23">
        <v>0</v>
      </c>
      <c r="FJ23">
        <v>820.3573461538462</v>
      </c>
      <c r="FK23">
        <v>1.580273512638529</v>
      </c>
      <c r="FL23">
        <v>3.825299114419089</v>
      </c>
      <c r="FM23">
        <v>6147.721153846152</v>
      </c>
      <c r="FN23">
        <v>15</v>
      </c>
      <c r="FO23">
        <v>1765297808.6</v>
      </c>
      <c r="FP23" t="s">
        <v>456</v>
      </c>
      <c r="FQ23">
        <v>1765297808.6</v>
      </c>
      <c r="FR23">
        <v>1765297808.6</v>
      </c>
      <c r="FS23">
        <v>5</v>
      </c>
      <c r="FT23">
        <v>0.02</v>
      </c>
      <c r="FU23">
        <v>0</v>
      </c>
      <c r="FV23">
        <v>0.09</v>
      </c>
      <c r="FW23">
        <v>0.073</v>
      </c>
      <c r="FX23">
        <v>50</v>
      </c>
      <c r="FY23">
        <v>17</v>
      </c>
      <c r="FZ23">
        <v>0.3</v>
      </c>
      <c r="GA23">
        <v>0.12</v>
      </c>
      <c r="GB23">
        <v>0.2198195609756098</v>
      </c>
      <c r="GC23">
        <v>0.07319954006968639</v>
      </c>
      <c r="GD23">
        <v>0.02570355653197867</v>
      </c>
      <c r="GE23">
        <v>1</v>
      </c>
      <c r="GF23">
        <v>820.2852352941177</v>
      </c>
      <c r="GG23">
        <v>0.9559358332017236</v>
      </c>
      <c r="GH23">
        <v>0.2126377835419133</v>
      </c>
      <c r="GI23">
        <v>1</v>
      </c>
      <c r="GJ23">
        <v>0.07194314390243901</v>
      </c>
      <c r="GK23">
        <v>0.09898938188153325</v>
      </c>
      <c r="GL23">
        <v>0.0107567395625991</v>
      </c>
      <c r="GM23">
        <v>1</v>
      </c>
      <c r="GN23">
        <v>3</v>
      </c>
      <c r="GO23">
        <v>3</v>
      </c>
      <c r="GP23" t="s">
        <v>440</v>
      </c>
      <c r="GQ23">
        <v>3.10794</v>
      </c>
      <c r="GR23">
        <v>2.79211</v>
      </c>
      <c r="GS23">
        <v>0.0131602</v>
      </c>
      <c r="GT23">
        <v>0.0131056</v>
      </c>
      <c r="GU23">
        <v>0.08524089999999999</v>
      </c>
      <c r="GV23">
        <v>0.0857304</v>
      </c>
      <c r="GW23">
        <v>25919.4</v>
      </c>
      <c r="GX23">
        <v>23545.1</v>
      </c>
      <c r="GY23">
        <v>26824.1</v>
      </c>
      <c r="GZ23">
        <v>24065.5</v>
      </c>
      <c r="HA23">
        <v>39206.2</v>
      </c>
      <c r="HB23">
        <v>32470.1</v>
      </c>
      <c r="HC23">
        <v>46815.7</v>
      </c>
      <c r="HD23">
        <v>38062.2</v>
      </c>
      <c r="HE23">
        <v>1.80045</v>
      </c>
      <c r="HF23">
        <v>1.83792</v>
      </c>
      <c r="HG23">
        <v>0.078585</v>
      </c>
      <c r="HH23">
        <v>0</v>
      </c>
      <c r="HI23">
        <v>23.691</v>
      </c>
      <c r="HJ23">
        <v>999.9</v>
      </c>
      <c r="HK23">
        <v>40</v>
      </c>
      <c r="HL23">
        <v>32.6</v>
      </c>
      <c r="HM23">
        <v>21.8936</v>
      </c>
      <c r="HN23">
        <v>61.7278</v>
      </c>
      <c r="HO23">
        <v>29.0905</v>
      </c>
      <c r="HP23">
        <v>1</v>
      </c>
      <c r="HQ23">
        <v>0.0399644</v>
      </c>
      <c r="HR23">
        <v>0.942154</v>
      </c>
      <c r="HS23">
        <v>20.2904</v>
      </c>
      <c r="HT23">
        <v>5.22238</v>
      </c>
      <c r="HU23">
        <v>11.9791</v>
      </c>
      <c r="HV23">
        <v>4.9656</v>
      </c>
      <c r="HW23">
        <v>3.2759</v>
      </c>
      <c r="HX23">
        <v>9999</v>
      </c>
      <c r="HY23">
        <v>9999</v>
      </c>
      <c r="HZ23">
        <v>9999</v>
      </c>
      <c r="IA23">
        <v>999.9</v>
      </c>
      <c r="IB23">
        <v>1.86428</v>
      </c>
      <c r="IC23">
        <v>1.86048</v>
      </c>
      <c r="ID23">
        <v>1.85879</v>
      </c>
      <c r="IE23">
        <v>1.86007</v>
      </c>
      <c r="IF23">
        <v>1.86019</v>
      </c>
      <c r="IG23">
        <v>1.8587</v>
      </c>
      <c r="IH23">
        <v>1.85782</v>
      </c>
      <c r="II23">
        <v>1.85272</v>
      </c>
      <c r="IJ23">
        <v>0</v>
      </c>
      <c r="IK23">
        <v>0</v>
      </c>
      <c r="IL23">
        <v>0</v>
      </c>
      <c r="IM23">
        <v>0</v>
      </c>
      <c r="IN23" t="s">
        <v>441</v>
      </c>
      <c r="IO23" t="s">
        <v>442</v>
      </c>
      <c r="IP23" t="s">
        <v>443</v>
      </c>
      <c r="IQ23" t="s">
        <v>443</v>
      </c>
      <c r="IR23" t="s">
        <v>443</v>
      </c>
      <c r="IS23" t="s">
        <v>443</v>
      </c>
      <c r="IT23">
        <v>0</v>
      </c>
      <c r="IU23">
        <v>100</v>
      </c>
      <c r="IV23">
        <v>100</v>
      </c>
      <c r="IW23">
        <v>0.09</v>
      </c>
      <c r="IX23">
        <v>0.07340000000000001</v>
      </c>
      <c r="IY23">
        <v>0.07793463543110535</v>
      </c>
      <c r="IZ23">
        <v>0.0001583678016168383</v>
      </c>
      <c r="JA23">
        <v>1.526473431467286E-06</v>
      </c>
      <c r="JB23">
        <v>-4.446382740029455E-10</v>
      </c>
      <c r="JC23">
        <v>-0.03871957745288677</v>
      </c>
      <c r="JD23">
        <v>-0.009941991807247691</v>
      </c>
      <c r="JE23">
        <v>0.001256427533001032</v>
      </c>
      <c r="JF23">
        <v>-1.689728105039484E-05</v>
      </c>
      <c r="JG23">
        <v>2</v>
      </c>
      <c r="JH23">
        <v>1984</v>
      </c>
      <c r="JI23">
        <v>0</v>
      </c>
      <c r="JJ23">
        <v>25</v>
      </c>
      <c r="JK23">
        <v>0.4</v>
      </c>
      <c r="JL23">
        <v>0.4</v>
      </c>
      <c r="JM23">
        <v>0.272217</v>
      </c>
      <c r="JN23">
        <v>2.65747</v>
      </c>
      <c r="JO23">
        <v>1.49658</v>
      </c>
      <c r="JP23">
        <v>2.34619</v>
      </c>
      <c r="JQ23">
        <v>1.54907</v>
      </c>
      <c r="JR23">
        <v>2.45117</v>
      </c>
      <c r="JS23">
        <v>38.1593</v>
      </c>
      <c r="JT23">
        <v>23.7548</v>
      </c>
      <c r="JU23">
        <v>18</v>
      </c>
      <c r="JV23">
        <v>432.407</v>
      </c>
      <c r="JW23">
        <v>477.806</v>
      </c>
      <c r="JX23">
        <v>22.9723</v>
      </c>
      <c r="JY23">
        <v>27.6945</v>
      </c>
      <c r="JZ23">
        <v>29.9998</v>
      </c>
      <c r="KA23">
        <v>28.0244</v>
      </c>
      <c r="KB23">
        <v>28.0436</v>
      </c>
      <c r="KC23">
        <v>5.54917</v>
      </c>
      <c r="KD23">
        <v>20.7553</v>
      </c>
      <c r="KE23">
        <v>11.2873</v>
      </c>
      <c r="KF23">
        <v>22.9861</v>
      </c>
      <c r="KG23">
        <v>50</v>
      </c>
      <c r="KH23">
        <v>17.1291</v>
      </c>
      <c r="KI23">
        <v>102.379</v>
      </c>
      <c r="KJ23">
        <v>91.803</v>
      </c>
    </row>
    <row r="24" spans="1:296">
      <c r="A24">
        <v>6</v>
      </c>
      <c r="B24">
        <v>1765297906.6</v>
      </c>
      <c r="C24">
        <v>473.5999999046326</v>
      </c>
      <c r="D24" t="s">
        <v>457</v>
      </c>
      <c r="E24" t="s">
        <v>458</v>
      </c>
      <c r="F24">
        <v>5</v>
      </c>
      <c r="G24" t="s">
        <v>436</v>
      </c>
      <c r="H24">
        <v>1765297898.849999</v>
      </c>
      <c r="I24">
        <f>(J24)/1000</f>
        <v>0</v>
      </c>
      <c r="J24">
        <f>IF(DO24, AM24, AG24)</f>
        <v>0</v>
      </c>
      <c r="K24">
        <f>IF(DO24, AH24, AF24)</f>
        <v>0</v>
      </c>
      <c r="L24">
        <f>DQ24 - IF(AT24&gt;1, K24*DK24*100.0/(AV24), 0)</f>
        <v>0</v>
      </c>
      <c r="M24">
        <f>((S24-I24/2)*L24-K24)/(S24+I24/2)</f>
        <v>0</v>
      </c>
      <c r="N24">
        <f>M24*(DX24+DY24)/1000.0</f>
        <v>0</v>
      </c>
      <c r="O24">
        <f>(DQ24 - IF(AT24&gt;1, K24*DK24*100.0/(AV24), 0))*(DX24+DY24)/1000.0</f>
        <v>0</v>
      </c>
      <c r="P24">
        <f>2.0/((1/R24-1/Q24)+SIGN(R24)*SQRT((1/R24-1/Q24)*(1/R24-1/Q24) + 4*DL24/((DL24+1)*(DL24+1))*(2*1/R24*1/Q24-1/Q24*1/Q24)))</f>
        <v>0</v>
      </c>
      <c r="Q24">
        <f>IF(LEFT(DM24,1)&lt;&gt;"0",IF(LEFT(DM24,1)="1",3.0,DN24),$D$5+$E$5*(EE24*DX24/($K$5*1000))+$F$5*(EE24*DX24/($K$5*1000))*MAX(MIN(DK24,$J$5),$I$5)*MAX(MIN(DK24,$J$5),$I$5)+$G$5*MAX(MIN(DK24,$J$5),$I$5)*(EE24*DX24/($K$5*1000))+$H$5*(EE24*DX24/($K$5*1000))*(EE24*DX24/($K$5*1000)))</f>
        <v>0</v>
      </c>
      <c r="R24">
        <f>I24*(1000-(1000*0.61365*exp(17.502*V24/(240.97+V24))/(DX24+DY24)+DS24)/2)/(1000*0.61365*exp(17.502*V24/(240.97+V24))/(DX24+DY24)-DS24)</f>
        <v>0</v>
      </c>
      <c r="S24">
        <f>1/((DL24+1)/(P24/1.6)+1/(Q24/1.37)) + DL24/((DL24+1)/(P24/1.6) + DL24/(Q24/1.37))</f>
        <v>0</v>
      </c>
      <c r="T24">
        <f>(DG24*DJ24)</f>
        <v>0</v>
      </c>
      <c r="U24">
        <f>(DZ24+(T24+2*0.95*5.67E-8*(((DZ24+$B$9)+273)^4-(DZ24+273)^4)-44100*I24)/(1.84*29.3*Q24+8*0.95*5.67E-8*(DZ24+273)^3))</f>
        <v>0</v>
      </c>
      <c r="V24">
        <f>($C$9*EA24+$D$9*EB24+$E$9*U24)</f>
        <v>0</v>
      </c>
      <c r="W24">
        <f>0.61365*exp(17.502*V24/(240.97+V24))</f>
        <v>0</v>
      </c>
      <c r="X24">
        <f>(Y24/Z24*100)</f>
        <v>0</v>
      </c>
      <c r="Y24">
        <f>DS24*(DX24+DY24)/1000</f>
        <v>0</v>
      </c>
      <c r="Z24">
        <f>0.61365*exp(17.502*DZ24/(240.97+DZ24))</f>
        <v>0</v>
      </c>
      <c r="AA24">
        <f>(W24-DS24*(DX24+DY24)/1000)</f>
        <v>0</v>
      </c>
      <c r="AB24">
        <f>(-I24*44100)</f>
        <v>0</v>
      </c>
      <c r="AC24">
        <f>2*29.3*Q24*0.92*(DZ24-V24)</f>
        <v>0</v>
      </c>
      <c r="AD24">
        <f>2*0.95*5.67E-8*(((DZ24+$B$9)+273)^4-(V24+273)^4)</f>
        <v>0</v>
      </c>
      <c r="AE24">
        <f>T24+AD24+AB24+AC24</f>
        <v>0</v>
      </c>
      <c r="AF24">
        <f>DW24*AT24*(DR24-DQ24*(1000-AT24*DT24)/(1000-AT24*DS24))/(100*DK24)</f>
        <v>0</v>
      </c>
      <c r="AG24">
        <f>1000*DW24*AT24*(DS24-DT24)/(100*DK24*(1000-AT24*DS24))</f>
        <v>0</v>
      </c>
      <c r="AH24">
        <f>(AI24 - AJ24 - DX24*1E3/(8.314*(DZ24+273.15)) * AL24/DW24 * AK24) * DW24/(100*DK24) * (1000 - DT24)/1000</f>
        <v>0</v>
      </c>
      <c r="AI24">
        <v>0.3017441333333332</v>
      </c>
      <c r="AJ24">
        <v>0.5379301272727274</v>
      </c>
      <c r="AK24">
        <v>-0.001192598912166358</v>
      </c>
      <c r="AL24">
        <v>64.57264733012974</v>
      </c>
      <c r="AM24">
        <f>(AO24 - AN24 + DX24*1E3/(8.314*(DZ24+273.15)) * AQ24/DW24 * AP24) * DW24/(100*DK24) * 1000/(1000 - AO24)</f>
        <v>0</v>
      </c>
      <c r="AN24">
        <v>17.09419454545453</v>
      </c>
      <c r="AO24">
        <v>17.15303212121211</v>
      </c>
      <c r="AP24">
        <v>4.513894707308315E-05</v>
      </c>
      <c r="AQ24">
        <v>102.539485354657</v>
      </c>
      <c r="AR24">
        <v>44</v>
      </c>
      <c r="AS24">
        <v>9</v>
      </c>
      <c r="AT24">
        <f>IF(AR24*$H$15&gt;=AV24,1.0,(AV24/(AV24-AR24*$H$15)))</f>
        <v>0</v>
      </c>
      <c r="AU24">
        <f>(AT24-1)*100</f>
        <v>0</v>
      </c>
      <c r="AV24">
        <f>MAX(0,($B$15+$C$15*EE24)/(1+$D$15*EE24)*DX24/(DZ24+273)*$E$15)</f>
        <v>0</v>
      </c>
      <c r="AW24" t="s">
        <v>437</v>
      </c>
      <c r="AX24" t="s">
        <v>437</v>
      </c>
      <c r="AY24">
        <v>0</v>
      </c>
      <c r="AZ24">
        <v>0</v>
      </c>
      <c r="BA24">
        <f>1-AY24/AZ24</f>
        <v>0</v>
      </c>
      <c r="BB24">
        <v>0</v>
      </c>
      <c r="BC24" t="s">
        <v>437</v>
      </c>
      <c r="BD24" t="s">
        <v>437</v>
      </c>
      <c r="BE24">
        <v>0</v>
      </c>
      <c r="BF24">
        <v>0</v>
      </c>
      <c r="BG24">
        <f>1-BE24/BF24</f>
        <v>0</v>
      </c>
      <c r="BH24">
        <v>0.5</v>
      </c>
      <c r="BI24">
        <f>DH24</f>
        <v>0</v>
      </c>
      <c r="BJ24">
        <f>K24</f>
        <v>0</v>
      </c>
      <c r="BK24">
        <f>BG24*BH24*BI24</f>
        <v>0</v>
      </c>
      <c r="BL24">
        <f>(BJ24-BB24)/BI24</f>
        <v>0</v>
      </c>
      <c r="BM24">
        <f>(AZ24-BF24)/BF24</f>
        <v>0</v>
      </c>
      <c r="BN24">
        <f>AY24/(BA24+AY24/BF24)</f>
        <v>0</v>
      </c>
      <c r="BO24" t="s">
        <v>437</v>
      </c>
      <c r="BP24">
        <v>0</v>
      </c>
      <c r="BQ24">
        <f>IF(BP24&lt;&gt;0, BP24, BN24)</f>
        <v>0</v>
      </c>
      <c r="BR24">
        <f>1-BQ24/BF24</f>
        <v>0</v>
      </c>
      <c r="BS24">
        <f>(BF24-BE24)/(BF24-BQ24)</f>
        <v>0</v>
      </c>
      <c r="BT24">
        <f>(AZ24-BF24)/(AZ24-BQ24)</f>
        <v>0</v>
      </c>
      <c r="BU24">
        <f>(BF24-BE24)/(BF24-AY24)</f>
        <v>0</v>
      </c>
      <c r="BV24">
        <f>(AZ24-BF24)/(AZ24-AY24)</f>
        <v>0</v>
      </c>
      <c r="BW24">
        <f>(BS24*BQ24/BE24)</f>
        <v>0</v>
      </c>
      <c r="BX24">
        <f>(1-BW24)</f>
        <v>0</v>
      </c>
      <c r="DG24">
        <f>$B$13*EF24+$C$13*EG24+$F$13*ER24*(1-EU24)</f>
        <v>0</v>
      </c>
      <c r="DH24">
        <f>DG24*DI24</f>
        <v>0</v>
      </c>
      <c r="DI24">
        <f>($B$13*$D$11+$C$13*$D$11+$F$13*((FE24+EW24)/MAX(FE24+EW24+FF24, 0.1)*$I$11+FF24/MAX(FE24+EW24+FF24, 0.1)*$J$11))/($B$13+$C$13+$F$13)</f>
        <v>0</v>
      </c>
      <c r="DJ24">
        <f>($B$13*$K$11+$C$13*$K$11+$F$13*((FE24+EW24)/MAX(FE24+EW24+FF24, 0.1)*$P$11+FF24/MAX(FE24+EW24+FF24, 0.1)*$Q$11))/($B$13+$C$13+$F$13)</f>
        <v>0</v>
      </c>
      <c r="DK24">
        <v>5.66</v>
      </c>
      <c r="DL24">
        <v>0.5</v>
      </c>
      <c r="DM24" t="s">
        <v>438</v>
      </c>
      <c r="DN24">
        <v>2</v>
      </c>
      <c r="DO24" t="b">
        <v>1</v>
      </c>
      <c r="DP24">
        <v>1765297898.849999</v>
      </c>
      <c r="DQ24">
        <v>0.5530779</v>
      </c>
      <c r="DR24">
        <v>0.2734330666666667</v>
      </c>
      <c r="DS24">
        <v>17.13915</v>
      </c>
      <c r="DT24">
        <v>17.08664</v>
      </c>
      <c r="DU24">
        <v>0.5017085</v>
      </c>
      <c r="DV24">
        <v>17.06417666666667</v>
      </c>
      <c r="DW24">
        <v>500.0188</v>
      </c>
      <c r="DX24">
        <v>90.23677333333335</v>
      </c>
      <c r="DY24">
        <v>0.09986621666666666</v>
      </c>
      <c r="DZ24">
        <v>24.56887333333334</v>
      </c>
      <c r="EA24">
        <v>24.99928333333334</v>
      </c>
      <c r="EB24">
        <v>999.9000000000002</v>
      </c>
      <c r="EC24">
        <v>0</v>
      </c>
      <c r="ED24">
        <v>0</v>
      </c>
      <c r="EE24">
        <v>10020.42933333333</v>
      </c>
      <c r="EF24">
        <v>0</v>
      </c>
      <c r="EG24">
        <v>9.623737000000004</v>
      </c>
      <c r="EH24">
        <v>0.2796447666666667</v>
      </c>
      <c r="EI24">
        <v>0.5627224666666667</v>
      </c>
      <c r="EJ24">
        <v>0.2781862000000001</v>
      </c>
      <c r="EK24">
        <v>0.05252182666666667</v>
      </c>
      <c r="EL24">
        <v>0.2734330666666667</v>
      </c>
      <c r="EM24">
        <v>17.08664</v>
      </c>
      <c r="EN24">
        <v>1.546582333333333</v>
      </c>
      <c r="EO24">
        <v>1.541842</v>
      </c>
      <c r="EP24">
        <v>13.43662666666667</v>
      </c>
      <c r="EQ24">
        <v>13.38952666666667</v>
      </c>
      <c r="ER24">
        <v>800.0029666666667</v>
      </c>
      <c r="ES24">
        <v>0.9500030333333332</v>
      </c>
      <c r="ET24">
        <v>0.04999697666666666</v>
      </c>
      <c r="EU24">
        <v>0</v>
      </c>
      <c r="EV24">
        <v>821.9654333333334</v>
      </c>
      <c r="EW24">
        <v>5.00078</v>
      </c>
      <c r="EX24">
        <v>6150.447333333334</v>
      </c>
      <c r="EY24">
        <v>6463.447666666666</v>
      </c>
      <c r="EZ24">
        <v>35.55996666666667</v>
      </c>
      <c r="FA24">
        <v>38.02283333333333</v>
      </c>
      <c r="FB24">
        <v>37.18089999999999</v>
      </c>
      <c r="FC24">
        <v>37.57896666666667</v>
      </c>
      <c r="FD24">
        <v>37.20383333333333</v>
      </c>
      <c r="FE24">
        <v>755.2543333333334</v>
      </c>
      <c r="FF24">
        <v>39.74833333333333</v>
      </c>
      <c r="FG24">
        <v>0</v>
      </c>
      <c r="FH24">
        <v>1765297905.5</v>
      </c>
      <c r="FI24">
        <v>0</v>
      </c>
      <c r="FJ24">
        <v>821.9784800000001</v>
      </c>
      <c r="FK24">
        <v>-0.9192307730709856</v>
      </c>
      <c r="FL24">
        <v>-13.4223076429283</v>
      </c>
      <c r="FM24">
        <v>6150.3924</v>
      </c>
      <c r="FN24">
        <v>15</v>
      </c>
      <c r="FO24">
        <v>1765297883.6</v>
      </c>
      <c r="FP24" t="s">
        <v>459</v>
      </c>
      <c r="FQ24">
        <v>1765297881.1</v>
      </c>
      <c r="FR24">
        <v>1765297883.6</v>
      </c>
      <c r="FS24">
        <v>6</v>
      </c>
      <c r="FT24">
        <v>-0.027</v>
      </c>
      <c r="FU24">
        <v>0.001</v>
      </c>
      <c r="FV24">
        <v>0.051</v>
      </c>
      <c r="FW24">
        <v>0.074</v>
      </c>
      <c r="FX24">
        <v>0</v>
      </c>
      <c r="FY24">
        <v>17</v>
      </c>
      <c r="FZ24">
        <v>0.23</v>
      </c>
      <c r="GA24">
        <v>0.2</v>
      </c>
      <c r="GB24">
        <v>0.2665490536585365</v>
      </c>
      <c r="GC24">
        <v>0.2350930891986062</v>
      </c>
      <c r="GD24">
        <v>0.05509981804150867</v>
      </c>
      <c r="GE24">
        <v>1</v>
      </c>
      <c r="GF24">
        <v>821.9562352941177</v>
      </c>
      <c r="GG24">
        <v>0.06297937237554617</v>
      </c>
      <c r="GH24">
        <v>0.2381235540420548</v>
      </c>
      <c r="GI24">
        <v>1</v>
      </c>
      <c r="GJ24">
        <v>0.05424991951219513</v>
      </c>
      <c r="GK24">
        <v>-0.01425448013937265</v>
      </c>
      <c r="GL24">
        <v>0.0193187677868076</v>
      </c>
      <c r="GM24">
        <v>1</v>
      </c>
      <c r="GN24">
        <v>3</v>
      </c>
      <c r="GO24">
        <v>3</v>
      </c>
      <c r="GP24" t="s">
        <v>440</v>
      </c>
      <c r="GQ24">
        <v>3.10801</v>
      </c>
      <c r="GR24">
        <v>2.79189</v>
      </c>
      <c r="GS24">
        <v>0.000129359</v>
      </c>
      <c r="GT24">
        <v>6.93519E-05</v>
      </c>
      <c r="GU24">
        <v>0.0853158</v>
      </c>
      <c r="GV24">
        <v>0.08589380000000001</v>
      </c>
      <c r="GW24">
        <v>26262.5</v>
      </c>
      <c r="GX24">
        <v>23856.9</v>
      </c>
      <c r="GY24">
        <v>26824.7</v>
      </c>
      <c r="GZ24">
        <v>24066</v>
      </c>
      <c r="HA24">
        <v>39202.4</v>
      </c>
      <c r="HB24">
        <v>32463</v>
      </c>
      <c r="HC24">
        <v>46817.1</v>
      </c>
      <c r="HD24">
        <v>38062.4</v>
      </c>
      <c r="HE24">
        <v>1.79375</v>
      </c>
      <c r="HF24">
        <v>1.8378</v>
      </c>
      <c r="HG24">
        <v>0.0795498</v>
      </c>
      <c r="HH24">
        <v>0</v>
      </c>
      <c r="HI24">
        <v>23.6999</v>
      </c>
      <c r="HJ24">
        <v>999.9</v>
      </c>
      <c r="HK24">
        <v>39.7</v>
      </c>
      <c r="HL24">
        <v>32.6</v>
      </c>
      <c r="HM24">
        <v>21.7333</v>
      </c>
      <c r="HN24">
        <v>61.2078</v>
      </c>
      <c r="HO24">
        <v>29.3389</v>
      </c>
      <c r="HP24">
        <v>1</v>
      </c>
      <c r="HQ24">
        <v>0.0373577</v>
      </c>
      <c r="HR24">
        <v>1.20919</v>
      </c>
      <c r="HS24">
        <v>20.2902</v>
      </c>
      <c r="HT24">
        <v>5.21999</v>
      </c>
      <c r="HU24">
        <v>11.9773</v>
      </c>
      <c r="HV24">
        <v>4.9655</v>
      </c>
      <c r="HW24">
        <v>3.27583</v>
      </c>
      <c r="HX24">
        <v>9999</v>
      </c>
      <c r="HY24">
        <v>9999</v>
      </c>
      <c r="HZ24">
        <v>9999</v>
      </c>
      <c r="IA24">
        <v>999.9</v>
      </c>
      <c r="IB24">
        <v>1.86431</v>
      </c>
      <c r="IC24">
        <v>1.86049</v>
      </c>
      <c r="ID24">
        <v>1.8588</v>
      </c>
      <c r="IE24">
        <v>1.86007</v>
      </c>
      <c r="IF24">
        <v>1.86021</v>
      </c>
      <c r="IG24">
        <v>1.85878</v>
      </c>
      <c r="IH24">
        <v>1.85784</v>
      </c>
      <c r="II24">
        <v>1.85274</v>
      </c>
      <c r="IJ24">
        <v>0</v>
      </c>
      <c r="IK24">
        <v>0</v>
      </c>
      <c r="IL24">
        <v>0</v>
      </c>
      <c r="IM24">
        <v>0</v>
      </c>
      <c r="IN24" t="s">
        <v>441</v>
      </c>
      <c r="IO24" t="s">
        <v>442</v>
      </c>
      <c r="IP24" t="s">
        <v>443</v>
      </c>
      <c r="IQ24" t="s">
        <v>443</v>
      </c>
      <c r="IR24" t="s">
        <v>443</v>
      </c>
      <c r="IS24" t="s">
        <v>443</v>
      </c>
      <c r="IT24">
        <v>0</v>
      </c>
      <c r="IU24">
        <v>100</v>
      </c>
      <c r="IV24">
        <v>100</v>
      </c>
      <c r="IW24">
        <v>0.051</v>
      </c>
      <c r="IX24">
        <v>0.0752</v>
      </c>
      <c r="IY24">
        <v>0.0512895359086657</v>
      </c>
      <c r="IZ24">
        <v>0.0001583678016168383</v>
      </c>
      <c r="JA24">
        <v>1.526473431467286E-06</v>
      </c>
      <c r="JB24">
        <v>-4.446382740029455E-10</v>
      </c>
      <c r="JC24">
        <v>-0.03727078502730939</v>
      </c>
      <c r="JD24">
        <v>-0.009941991807247691</v>
      </c>
      <c r="JE24">
        <v>0.001256427533001032</v>
      </c>
      <c r="JF24">
        <v>-1.689728105039484E-05</v>
      </c>
      <c r="JG24">
        <v>2</v>
      </c>
      <c r="JH24">
        <v>1984</v>
      </c>
      <c r="JI24">
        <v>0</v>
      </c>
      <c r="JJ24">
        <v>25</v>
      </c>
      <c r="JK24">
        <v>0.4</v>
      </c>
      <c r="JL24">
        <v>0.4</v>
      </c>
      <c r="JM24">
        <v>0.0305176</v>
      </c>
      <c r="JN24">
        <v>4.99634</v>
      </c>
      <c r="JO24">
        <v>1.49658</v>
      </c>
      <c r="JP24">
        <v>2.34619</v>
      </c>
      <c r="JQ24">
        <v>1.54907</v>
      </c>
      <c r="JR24">
        <v>2.3938</v>
      </c>
      <c r="JS24">
        <v>38.1837</v>
      </c>
      <c r="JT24">
        <v>23.7285</v>
      </c>
      <c r="JU24">
        <v>18</v>
      </c>
      <c r="JV24">
        <v>428.525</v>
      </c>
      <c r="JW24">
        <v>477.347</v>
      </c>
      <c r="JX24">
        <v>23.0347</v>
      </c>
      <c r="JY24">
        <v>27.6492</v>
      </c>
      <c r="JZ24">
        <v>30.0001</v>
      </c>
      <c r="KA24">
        <v>27.9764</v>
      </c>
      <c r="KB24">
        <v>27.9975</v>
      </c>
      <c r="KC24">
        <v>0</v>
      </c>
      <c r="KD24">
        <v>20.4565</v>
      </c>
      <c r="KE24">
        <v>10.9169</v>
      </c>
      <c r="KF24">
        <v>23.003</v>
      </c>
      <c r="KG24">
        <v>0</v>
      </c>
      <c r="KH24">
        <v>17.1336</v>
      </c>
      <c r="KI24">
        <v>102.381</v>
      </c>
      <c r="KJ24">
        <v>91.804</v>
      </c>
    </row>
    <row r="25" spans="1:296">
      <c r="A25">
        <v>7</v>
      </c>
      <c r="B25">
        <v>1765297998.6</v>
      </c>
      <c r="C25">
        <v>565.5999999046326</v>
      </c>
      <c r="D25" t="s">
        <v>460</v>
      </c>
      <c r="E25" t="s">
        <v>461</v>
      </c>
      <c r="F25">
        <v>5</v>
      </c>
      <c r="G25" t="s">
        <v>436</v>
      </c>
      <c r="H25">
        <v>1765297990.599999</v>
      </c>
      <c r="I25">
        <f>(J25)/1000</f>
        <v>0</v>
      </c>
      <c r="J25">
        <f>IF(DO25, AM25, AG25)</f>
        <v>0</v>
      </c>
      <c r="K25">
        <f>IF(DO25, AH25, AF25)</f>
        <v>0</v>
      </c>
      <c r="L25">
        <f>DQ25 - IF(AT25&gt;1, K25*DK25*100.0/(AV25), 0)</f>
        <v>0</v>
      </c>
      <c r="M25">
        <f>((S25-I25/2)*L25-K25)/(S25+I25/2)</f>
        <v>0</v>
      </c>
      <c r="N25">
        <f>M25*(DX25+DY25)/1000.0</f>
        <v>0</v>
      </c>
      <c r="O25">
        <f>(DQ25 - IF(AT25&gt;1, K25*DK25*100.0/(AV25), 0))*(DX25+DY25)/1000.0</f>
        <v>0</v>
      </c>
      <c r="P25">
        <f>2.0/((1/R25-1/Q25)+SIGN(R25)*SQRT((1/R25-1/Q25)*(1/R25-1/Q25) + 4*DL25/((DL25+1)*(DL25+1))*(2*1/R25*1/Q25-1/Q25*1/Q25)))</f>
        <v>0</v>
      </c>
      <c r="Q25">
        <f>IF(LEFT(DM25,1)&lt;&gt;"0",IF(LEFT(DM25,1)="1",3.0,DN25),$D$5+$E$5*(EE25*DX25/($K$5*1000))+$F$5*(EE25*DX25/($K$5*1000))*MAX(MIN(DK25,$J$5),$I$5)*MAX(MIN(DK25,$J$5),$I$5)+$G$5*MAX(MIN(DK25,$J$5),$I$5)*(EE25*DX25/($K$5*1000))+$H$5*(EE25*DX25/($K$5*1000))*(EE25*DX25/($K$5*1000)))</f>
        <v>0</v>
      </c>
      <c r="R25">
        <f>I25*(1000-(1000*0.61365*exp(17.502*V25/(240.97+V25))/(DX25+DY25)+DS25)/2)/(1000*0.61365*exp(17.502*V25/(240.97+V25))/(DX25+DY25)-DS25)</f>
        <v>0</v>
      </c>
      <c r="S25">
        <f>1/((DL25+1)/(P25/1.6)+1/(Q25/1.37)) + DL25/((DL25+1)/(P25/1.6) + DL25/(Q25/1.37))</f>
        <v>0</v>
      </c>
      <c r="T25">
        <f>(DG25*DJ25)</f>
        <v>0</v>
      </c>
      <c r="U25">
        <f>(DZ25+(T25+2*0.95*5.67E-8*(((DZ25+$B$9)+273)^4-(DZ25+273)^4)-44100*I25)/(1.84*29.3*Q25+8*0.95*5.67E-8*(DZ25+273)^3))</f>
        <v>0</v>
      </c>
      <c r="V25">
        <f>($C$9*EA25+$D$9*EB25+$E$9*U25)</f>
        <v>0</v>
      </c>
      <c r="W25">
        <f>0.61365*exp(17.502*V25/(240.97+V25))</f>
        <v>0</v>
      </c>
      <c r="X25">
        <f>(Y25/Z25*100)</f>
        <v>0</v>
      </c>
      <c r="Y25">
        <f>DS25*(DX25+DY25)/1000</f>
        <v>0</v>
      </c>
      <c r="Z25">
        <f>0.61365*exp(17.502*DZ25/(240.97+DZ25))</f>
        <v>0</v>
      </c>
      <c r="AA25">
        <f>(W25-DS25*(DX25+DY25)/1000)</f>
        <v>0</v>
      </c>
      <c r="AB25">
        <f>(-I25*44100)</f>
        <v>0</v>
      </c>
      <c r="AC25">
        <f>2*29.3*Q25*0.92*(DZ25-V25)</f>
        <v>0</v>
      </c>
      <c r="AD25">
        <f>2*0.95*5.67E-8*(((DZ25+$B$9)+273)^4-(V25+273)^4)</f>
        <v>0</v>
      </c>
      <c r="AE25">
        <f>T25+AD25+AB25+AC25</f>
        <v>0</v>
      </c>
      <c r="AF25">
        <f>DW25*AT25*(DR25-DQ25*(1000-AT25*DT25)/(1000-AT25*DS25))/(100*DK25)</f>
        <v>0</v>
      </c>
      <c r="AG25">
        <f>1000*DW25*AT25*(DS25-DT25)/(100*DK25*(1000-AT25*DS25))</f>
        <v>0</v>
      </c>
      <c r="AH25">
        <f>(AI25 - AJ25 - DX25*1E3/(8.314*(DZ25+273.15)) * AL25/DW25 * AK25) * DW25/(100*DK25) * (1000 - DT25)/1000</f>
        <v>0</v>
      </c>
      <c r="AI25">
        <v>407.0895939393939</v>
      </c>
      <c r="AJ25">
        <v>406.5888787878787</v>
      </c>
      <c r="AK25">
        <v>0.0006001631284604633</v>
      </c>
      <c r="AL25">
        <v>64.57264733012974</v>
      </c>
      <c r="AM25">
        <f>(AO25 - AN25 + DX25*1E3/(8.314*(DZ25+273.15)) * AQ25/DW25 * AP25) * DW25/(100*DK25) * 1000/(1000 - AO25)</f>
        <v>0</v>
      </c>
      <c r="AN25">
        <v>17.0739993939394</v>
      </c>
      <c r="AO25">
        <v>17.15494303030302</v>
      </c>
      <c r="AP25">
        <v>-1.293820273709748E-05</v>
      </c>
      <c r="AQ25">
        <v>102.539485354657</v>
      </c>
      <c r="AR25">
        <v>25</v>
      </c>
      <c r="AS25">
        <v>5</v>
      </c>
      <c r="AT25">
        <f>IF(AR25*$H$15&gt;=AV25,1.0,(AV25/(AV25-AR25*$H$15)))</f>
        <v>0</v>
      </c>
      <c r="AU25">
        <f>(AT25-1)*100</f>
        <v>0</v>
      </c>
      <c r="AV25">
        <f>MAX(0,($B$15+$C$15*EE25)/(1+$D$15*EE25)*DX25/(DZ25+273)*$E$15)</f>
        <v>0</v>
      </c>
      <c r="AW25" t="s">
        <v>437</v>
      </c>
      <c r="AX25" t="s">
        <v>437</v>
      </c>
      <c r="AY25">
        <v>0</v>
      </c>
      <c r="AZ25">
        <v>0</v>
      </c>
      <c r="BA25">
        <f>1-AY25/AZ25</f>
        <v>0</v>
      </c>
      <c r="BB25">
        <v>0</v>
      </c>
      <c r="BC25" t="s">
        <v>437</v>
      </c>
      <c r="BD25" t="s">
        <v>437</v>
      </c>
      <c r="BE25">
        <v>0</v>
      </c>
      <c r="BF25">
        <v>0</v>
      </c>
      <c r="BG25">
        <f>1-BE25/BF25</f>
        <v>0</v>
      </c>
      <c r="BH25">
        <v>0.5</v>
      </c>
      <c r="BI25">
        <f>DH25</f>
        <v>0</v>
      </c>
      <c r="BJ25">
        <f>K25</f>
        <v>0</v>
      </c>
      <c r="BK25">
        <f>BG25*BH25*BI25</f>
        <v>0</v>
      </c>
      <c r="BL25">
        <f>(BJ25-BB25)/BI25</f>
        <v>0</v>
      </c>
      <c r="BM25">
        <f>(AZ25-BF25)/BF25</f>
        <v>0</v>
      </c>
      <c r="BN25">
        <f>AY25/(BA25+AY25/BF25)</f>
        <v>0</v>
      </c>
      <c r="BO25" t="s">
        <v>437</v>
      </c>
      <c r="BP25">
        <v>0</v>
      </c>
      <c r="BQ25">
        <f>IF(BP25&lt;&gt;0, BP25, BN25)</f>
        <v>0</v>
      </c>
      <c r="BR25">
        <f>1-BQ25/BF25</f>
        <v>0</v>
      </c>
      <c r="BS25">
        <f>(BF25-BE25)/(BF25-BQ25)</f>
        <v>0</v>
      </c>
      <c r="BT25">
        <f>(AZ25-BF25)/(AZ25-BQ25)</f>
        <v>0</v>
      </c>
      <c r="BU25">
        <f>(BF25-BE25)/(BF25-AY25)</f>
        <v>0</v>
      </c>
      <c r="BV25">
        <f>(AZ25-BF25)/(AZ25-AY25)</f>
        <v>0</v>
      </c>
      <c r="BW25">
        <f>(BS25*BQ25/BE25)</f>
        <v>0</v>
      </c>
      <c r="BX25">
        <f>(1-BW25)</f>
        <v>0</v>
      </c>
      <c r="DG25">
        <f>$B$13*EF25+$C$13*EG25+$F$13*ER25*(1-EU25)</f>
        <v>0</v>
      </c>
      <c r="DH25">
        <f>DG25*DI25</f>
        <v>0</v>
      </c>
      <c r="DI25">
        <f>($B$13*$D$11+$C$13*$D$11+$F$13*((FE25+EW25)/MAX(FE25+EW25+FF25, 0.1)*$I$11+FF25/MAX(FE25+EW25+FF25, 0.1)*$J$11))/($B$13+$C$13+$F$13)</f>
        <v>0</v>
      </c>
      <c r="DJ25">
        <f>($B$13*$K$11+$C$13*$K$11+$F$13*((FE25+EW25)/MAX(FE25+EW25+FF25, 0.1)*$P$11+FF25/MAX(FE25+EW25+FF25, 0.1)*$Q$11))/($B$13+$C$13+$F$13)</f>
        <v>0</v>
      </c>
      <c r="DK25">
        <v>5.66</v>
      </c>
      <c r="DL25">
        <v>0.5</v>
      </c>
      <c r="DM25" t="s">
        <v>438</v>
      </c>
      <c r="DN25">
        <v>2</v>
      </c>
      <c r="DO25" t="b">
        <v>1</v>
      </c>
      <c r="DP25">
        <v>1765297990.599999</v>
      </c>
      <c r="DQ25">
        <v>399.6176774193548</v>
      </c>
      <c r="DR25">
        <v>400.1488064516128</v>
      </c>
      <c r="DS25">
        <v>17.16292258064516</v>
      </c>
      <c r="DT25">
        <v>17.07934838709677</v>
      </c>
      <c r="DU25">
        <v>399.3136774193549</v>
      </c>
      <c r="DV25">
        <v>17.08792258064516</v>
      </c>
      <c r="DW25">
        <v>499.9973870967742</v>
      </c>
      <c r="DX25">
        <v>90.23750645161289</v>
      </c>
      <c r="DY25">
        <v>0.1002996387096774</v>
      </c>
      <c r="DZ25">
        <v>24.57594193548387</v>
      </c>
      <c r="EA25">
        <v>25.0130806451613</v>
      </c>
      <c r="EB25">
        <v>999.9000000000003</v>
      </c>
      <c r="EC25">
        <v>0</v>
      </c>
      <c r="ED25">
        <v>0</v>
      </c>
      <c r="EE25">
        <v>10001.55225806452</v>
      </c>
      <c r="EF25">
        <v>0</v>
      </c>
      <c r="EG25">
        <v>9.64198387096774</v>
      </c>
      <c r="EH25">
        <v>-0.5055876451612904</v>
      </c>
      <c r="EI25">
        <v>406.6221612903226</v>
      </c>
      <c r="EJ25">
        <v>407.101935483871</v>
      </c>
      <c r="EK25">
        <v>0.08398659032258066</v>
      </c>
      <c r="EL25">
        <v>400.1488064516128</v>
      </c>
      <c r="EM25">
        <v>17.07934838709677</v>
      </c>
      <c r="EN25">
        <v>1.548776774193548</v>
      </c>
      <c r="EO25">
        <v>1.541196129032258</v>
      </c>
      <c r="EP25">
        <v>13.45838387096774</v>
      </c>
      <c r="EQ25">
        <v>13.38310967741935</v>
      </c>
      <c r="ER25">
        <v>799.9887419354837</v>
      </c>
      <c r="ES25">
        <v>0.9500042580645162</v>
      </c>
      <c r="ET25">
        <v>0.04999597741935484</v>
      </c>
      <c r="EU25">
        <v>0</v>
      </c>
      <c r="EV25">
        <v>820.3912903225806</v>
      </c>
      <c r="EW25">
        <v>5.000779999999999</v>
      </c>
      <c r="EX25">
        <v>6165.59870967742</v>
      </c>
      <c r="EY25">
        <v>6463.334193548388</v>
      </c>
      <c r="EZ25">
        <v>36.5804193548387</v>
      </c>
      <c r="FA25">
        <v>40.13283870967742</v>
      </c>
      <c r="FB25">
        <v>38.71951612903225</v>
      </c>
      <c r="FC25">
        <v>40.05009677419353</v>
      </c>
      <c r="FD25">
        <v>38.79416129032257</v>
      </c>
      <c r="FE25">
        <v>755.2425806451612</v>
      </c>
      <c r="FF25">
        <v>39.74967741935484</v>
      </c>
      <c r="FG25">
        <v>0</v>
      </c>
      <c r="FH25">
        <v>1765297997.9</v>
      </c>
      <c r="FI25">
        <v>0</v>
      </c>
      <c r="FJ25">
        <v>820.3830800000001</v>
      </c>
      <c r="FK25">
        <v>-0.7493076869931803</v>
      </c>
      <c r="FL25">
        <v>18.58461534921737</v>
      </c>
      <c r="FM25">
        <v>6165.821999999999</v>
      </c>
      <c r="FN25">
        <v>15</v>
      </c>
      <c r="FO25">
        <v>1765298015.6</v>
      </c>
      <c r="FP25" t="s">
        <v>462</v>
      </c>
      <c r="FQ25">
        <v>1765298015.1</v>
      </c>
      <c r="FR25">
        <v>1765298015.6</v>
      </c>
      <c r="FS25">
        <v>7</v>
      </c>
      <c r="FT25">
        <v>-0.026</v>
      </c>
      <c r="FU25">
        <v>0.002</v>
      </c>
      <c r="FV25">
        <v>0.304</v>
      </c>
      <c r="FW25">
        <v>0.075</v>
      </c>
      <c r="FX25">
        <v>400</v>
      </c>
      <c r="FY25">
        <v>17</v>
      </c>
      <c r="FZ25">
        <v>0.54</v>
      </c>
      <c r="GA25">
        <v>0.2</v>
      </c>
      <c r="GB25">
        <v>-0.4712508780487805</v>
      </c>
      <c r="GC25">
        <v>-0.466903421602787</v>
      </c>
      <c r="GD25">
        <v>0.06932866678337855</v>
      </c>
      <c r="GE25">
        <v>1</v>
      </c>
      <c r="GF25">
        <v>820.3718235294118</v>
      </c>
      <c r="GG25">
        <v>-0.1287700509536972</v>
      </c>
      <c r="GH25">
        <v>0.2324568866526587</v>
      </c>
      <c r="GI25">
        <v>1</v>
      </c>
      <c r="GJ25">
        <v>0.08241067317073171</v>
      </c>
      <c r="GK25">
        <v>0.00930379233449498</v>
      </c>
      <c r="GL25">
        <v>0.00394138567814853</v>
      </c>
      <c r="GM25">
        <v>1</v>
      </c>
      <c r="GN25">
        <v>3</v>
      </c>
      <c r="GO25">
        <v>3</v>
      </c>
      <c r="GP25" t="s">
        <v>440</v>
      </c>
      <c r="GQ25">
        <v>3.10807</v>
      </c>
      <c r="GR25">
        <v>2.79124</v>
      </c>
      <c r="GS25">
        <v>0.0846433</v>
      </c>
      <c r="GT25">
        <v>0.0848172</v>
      </c>
      <c r="GU25">
        <v>0.0853288</v>
      </c>
      <c r="GV25">
        <v>0.0858319</v>
      </c>
      <c r="GW25">
        <v>24043.7</v>
      </c>
      <c r="GX25">
        <v>21836.2</v>
      </c>
      <c r="GY25">
        <v>26825.9</v>
      </c>
      <c r="GZ25">
        <v>24067.4</v>
      </c>
      <c r="HA25">
        <v>39214.3</v>
      </c>
      <c r="HB25">
        <v>32474.7</v>
      </c>
      <c r="HC25">
        <v>46819.5</v>
      </c>
      <c r="HD25">
        <v>38063.3</v>
      </c>
      <c r="HE25">
        <v>1.83528</v>
      </c>
      <c r="HF25">
        <v>1.83987</v>
      </c>
      <c r="HG25">
        <v>0.0785291</v>
      </c>
      <c r="HH25">
        <v>0</v>
      </c>
      <c r="HI25">
        <v>23.7248</v>
      </c>
      <c r="HJ25">
        <v>999.9</v>
      </c>
      <c r="HK25">
        <v>39.4</v>
      </c>
      <c r="HL25">
        <v>32.7</v>
      </c>
      <c r="HM25">
        <v>21.6897</v>
      </c>
      <c r="HN25">
        <v>61.9078</v>
      </c>
      <c r="HO25">
        <v>29.1146</v>
      </c>
      <c r="HP25">
        <v>1</v>
      </c>
      <c r="HQ25">
        <v>0.0344207</v>
      </c>
      <c r="HR25">
        <v>1.09636</v>
      </c>
      <c r="HS25">
        <v>20.2907</v>
      </c>
      <c r="HT25">
        <v>5.22283</v>
      </c>
      <c r="HU25">
        <v>11.9775</v>
      </c>
      <c r="HV25">
        <v>4.96565</v>
      </c>
      <c r="HW25">
        <v>3.27593</v>
      </c>
      <c r="HX25">
        <v>9999</v>
      </c>
      <c r="HY25">
        <v>9999</v>
      </c>
      <c r="HZ25">
        <v>9999</v>
      </c>
      <c r="IA25">
        <v>999.9</v>
      </c>
      <c r="IB25">
        <v>1.86427</v>
      </c>
      <c r="IC25">
        <v>1.86046</v>
      </c>
      <c r="ID25">
        <v>1.85879</v>
      </c>
      <c r="IE25">
        <v>1.86005</v>
      </c>
      <c r="IF25">
        <v>1.86019</v>
      </c>
      <c r="IG25">
        <v>1.8587</v>
      </c>
      <c r="IH25">
        <v>1.85778</v>
      </c>
      <c r="II25">
        <v>1.85273</v>
      </c>
      <c r="IJ25">
        <v>0</v>
      </c>
      <c r="IK25">
        <v>0</v>
      </c>
      <c r="IL25">
        <v>0</v>
      </c>
      <c r="IM25">
        <v>0</v>
      </c>
      <c r="IN25" t="s">
        <v>441</v>
      </c>
      <c r="IO25" t="s">
        <v>442</v>
      </c>
      <c r="IP25" t="s">
        <v>443</v>
      </c>
      <c r="IQ25" t="s">
        <v>443</v>
      </c>
      <c r="IR25" t="s">
        <v>443</v>
      </c>
      <c r="IS25" t="s">
        <v>443</v>
      </c>
      <c r="IT25">
        <v>0</v>
      </c>
      <c r="IU25">
        <v>100</v>
      </c>
      <c r="IV25">
        <v>100</v>
      </c>
      <c r="IW25">
        <v>0.304</v>
      </c>
      <c r="IX25">
        <v>0.075</v>
      </c>
      <c r="IY25">
        <v>0.0512895359086657</v>
      </c>
      <c r="IZ25">
        <v>0.0001583678016168383</v>
      </c>
      <c r="JA25">
        <v>1.526473431467286E-06</v>
      </c>
      <c r="JB25">
        <v>-4.446382740029455E-10</v>
      </c>
      <c r="JC25">
        <v>-0.03727078502730939</v>
      </c>
      <c r="JD25">
        <v>-0.009941991807247691</v>
      </c>
      <c r="JE25">
        <v>0.001256427533001032</v>
      </c>
      <c r="JF25">
        <v>-1.689728105039484E-05</v>
      </c>
      <c r="JG25">
        <v>2</v>
      </c>
      <c r="JH25">
        <v>1984</v>
      </c>
      <c r="JI25">
        <v>0</v>
      </c>
      <c r="JJ25">
        <v>25</v>
      </c>
      <c r="JK25">
        <v>2</v>
      </c>
      <c r="JL25">
        <v>1.9</v>
      </c>
      <c r="JM25">
        <v>1.09131</v>
      </c>
      <c r="JN25">
        <v>2.62085</v>
      </c>
      <c r="JO25">
        <v>1.49658</v>
      </c>
      <c r="JP25">
        <v>2.34619</v>
      </c>
      <c r="JQ25">
        <v>1.54907</v>
      </c>
      <c r="JR25">
        <v>2.47192</v>
      </c>
      <c r="JS25">
        <v>38.2324</v>
      </c>
      <c r="JT25">
        <v>23.7548</v>
      </c>
      <c r="JU25">
        <v>18</v>
      </c>
      <c r="JV25">
        <v>450.566</v>
      </c>
      <c r="JW25">
        <v>478.273</v>
      </c>
      <c r="JX25">
        <v>22.9719</v>
      </c>
      <c r="JY25">
        <v>27.6111</v>
      </c>
      <c r="JZ25">
        <v>30.0001</v>
      </c>
      <c r="KA25">
        <v>27.9297</v>
      </c>
      <c r="KB25">
        <v>27.9486</v>
      </c>
      <c r="KC25">
        <v>21.9461</v>
      </c>
      <c r="KD25">
        <v>20.4565</v>
      </c>
      <c r="KE25">
        <v>10.1736</v>
      </c>
      <c r="KF25">
        <v>22.9559</v>
      </c>
      <c r="KG25">
        <v>400</v>
      </c>
      <c r="KH25">
        <v>17.0804</v>
      </c>
      <c r="KI25">
        <v>102.386</v>
      </c>
      <c r="KJ25">
        <v>91.8075</v>
      </c>
    </row>
    <row r="26" spans="1:296">
      <c r="A26">
        <v>8</v>
      </c>
      <c r="B26">
        <v>1765298106.1</v>
      </c>
      <c r="C26">
        <v>673.0999999046326</v>
      </c>
      <c r="D26" t="s">
        <v>463</v>
      </c>
      <c r="E26" t="s">
        <v>464</v>
      </c>
      <c r="F26">
        <v>5</v>
      </c>
      <c r="G26" t="s">
        <v>436</v>
      </c>
      <c r="H26">
        <v>1765298098.099999</v>
      </c>
      <c r="I26">
        <f>(J26)/1000</f>
        <v>0</v>
      </c>
      <c r="J26">
        <f>IF(DO26, AM26, AG26)</f>
        <v>0</v>
      </c>
      <c r="K26">
        <f>IF(DO26, AH26, AF26)</f>
        <v>0</v>
      </c>
      <c r="L26">
        <f>DQ26 - IF(AT26&gt;1, K26*DK26*100.0/(AV26), 0)</f>
        <v>0</v>
      </c>
      <c r="M26">
        <f>((S26-I26/2)*L26-K26)/(S26+I26/2)</f>
        <v>0</v>
      </c>
      <c r="N26">
        <f>M26*(DX26+DY26)/1000.0</f>
        <v>0</v>
      </c>
      <c r="O26">
        <f>(DQ26 - IF(AT26&gt;1, K26*DK26*100.0/(AV26), 0))*(DX26+DY26)/1000.0</f>
        <v>0</v>
      </c>
      <c r="P26">
        <f>2.0/((1/R26-1/Q26)+SIGN(R26)*SQRT((1/R26-1/Q26)*(1/R26-1/Q26) + 4*DL26/((DL26+1)*(DL26+1))*(2*1/R26*1/Q26-1/Q26*1/Q26)))</f>
        <v>0</v>
      </c>
      <c r="Q26">
        <f>IF(LEFT(DM26,1)&lt;&gt;"0",IF(LEFT(DM26,1)="1",3.0,DN26),$D$5+$E$5*(EE26*DX26/($K$5*1000))+$F$5*(EE26*DX26/($K$5*1000))*MAX(MIN(DK26,$J$5),$I$5)*MAX(MIN(DK26,$J$5),$I$5)+$G$5*MAX(MIN(DK26,$J$5),$I$5)*(EE26*DX26/($K$5*1000))+$H$5*(EE26*DX26/($K$5*1000))*(EE26*DX26/($K$5*1000)))</f>
        <v>0</v>
      </c>
      <c r="R26">
        <f>I26*(1000-(1000*0.61365*exp(17.502*V26/(240.97+V26))/(DX26+DY26)+DS26)/2)/(1000*0.61365*exp(17.502*V26/(240.97+V26))/(DX26+DY26)-DS26)</f>
        <v>0</v>
      </c>
      <c r="S26">
        <f>1/((DL26+1)/(P26/1.6)+1/(Q26/1.37)) + DL26/((DL26+1)/(P26/1.6) + DL26/(Q26/1.37))</f>
        <v>0</v>
      </c>
      <c r="T26">
        <f>(DG26*DJ26)</f>
        <v>0</v>
      </c>
      <c r="U26">
        <f>(DZ26+(T26+2*0.95*5.67E-8*(((DZ26+$B$9)+273)^4-(DZ26+273)^4)-44100*I26)/(1.84*29.3*Q26+8*0.95*5.67E-8*(DZ26+273)^3))</f>
        <v>0</v>
      </c>
      <c r="V26">
        <f>($C$9*EA26+$D$9*EB26+$E$9*U26)</f>
        <v>0</v>
      </c>
      <c r="W26">
        <f>0.61365*exp(17.502*V26/(240.97+V26))</f>
        <v>0</v>
      </c>
      <c r="X26">
        <f>(Y26/Z26*100)</f>
        <v>0</v>
      </c>
      <c r="Y26">
        <f>DS26*(DX26+DY26)/1000</f>
        <v>0</v>
      </c>
      <c r="Z26">
        <f>0.61365*exp(17.502*DZ26/(240.97+DZ26))</f>
        <v>0</v>
      </c>
      <c r="AA26">
        <f>(W26-DS26*(DX26+DY26)/1000)</f>
        <v>0</v>
      </c>
      <c r="AB26">
        <f>(-I26*44100)</f>
        <v>0</v>
      </c>
      <c r="AC26">
        <f>2*29.3*Q26*0.92*(DZ26-V26)</f>
        <v>0</v>
      </c>
      <c r="AD26">
        <f>2*0.95*5.67E-8*(((DZ26+$B$9)+273)^4-(V26+273)^4)</f>
        <v>0</v>
      </c>
      <c r="AE26">
        <f>T26+AD26+AB26+AC26</f>
        <v>0</v>
      </c>
      <c r="AF26">
        <f>DW26*AT26*(DR26-DQ26*(1000-AT26*DT26)/(1000-AT26*DS26))/(100*DK26)</f>
        <v>0</v>
      </c>
      <c r="AG26">
        <f>1000*DW26*AT26*(DS26-DT26)/(100*DK26*(1000-AT26*DS26))</f>
        <v>0</v>
      </c>
      <c r="AH26">
        <f>(AI26 - AJ26 - DX26*1E3/(8.314*(DZ26+273.15)) * AL26/DW26 * AK26) * DW26/(100*DK26) * (1000 - DT26)/1000</f>
        <v>0</v>
      </c>
      <c r="AI26">
        <v>406.9501897339679</v>
      </c>
      <c r="AJ26">
        <v>406.5339575757574</v>
      </c>
      <c r="AK26">
        <v>0.0006329033190722003</v>
      </c>
      <c r="AL26">
        <v>65.70427087773655</v>
      </c>
      <c r="AM26">
        <f>(AO26 - AN26 + DX26*1E3/(8.314*(DZ26+273.15)) * AQ26/DW26 * AP26) * DW26/(100*DK26) * 1000/(1000 - AO26)</f>
        <v>0</v>
      </c>
      <c r="AN26">
        <v>17.11624525311707</v>
      </c>
      <c r="AO26">
        <v>17.17687272727272</v>
      </c>
      <c r="AP26">
        <v>-2.45250957639664E-05</v>
      </c>
      <c r="AQ26">
        <v>106.3668474963048</v>
      </c>
      <c r="AR26">
        <v>42</v>
      </c>
      <c r="AS26">
        <v>8</v>
      </c>
      <c r="AT26">
        <f>IF(AR26*$H$15&gt;=AV26,1.0,(AV26/(AV26-AR26*$H$15)))</f>
        <v>0</v>
      </c>
      <c r="AU26">
        <f>(AT26-1)*100</f>
        <v>0</v>
      </c>
      <c r="AV26">
        <f>MAX(0,($B$15+$C$15*EE26)/(1+$D$15*EE26)*DX26/(DZ26+273)*$E$15)</f>
        <v>0</v>
      </c>
      <c r="AW26" t="s">
        <v>437</v>
      </c>
      <c r="AX26" t="s">
        <v>437</v>
      </c>
      <c r="AY26">
        <v>0</v>
      </c>
      <c r="AZ26">
        <v>0</v>
      </c>
      <c r="BA26">
        <f>1-AY26/AZ26</f>
        <v>0</v>
      </c>
      <c r="BB26">
        <v>0</v>
      </c>
      <c r="BC26" t="s">
        <v>437</v>
      </c>
      <c r="BD26" t="s">
        <v>437</v>
      </c>
      <c r="BE26">
        <v>0</v>
      </c>
      <c r="BF26">
        <v>0</v>
      </c>
      <c r="BG26">
        <f>1-BE26/BF26</f>
        <v>0</v>
      </c>
      <c r="BH26">
        <v>0.5</v>
      </c>
      <c r="BI26">
        <f>DH26</f>
        <v>0</v>
      </c>
      <c r="BJ26">
        <f>K26</f>
        <v>0</v>
      </c>
      <c r="BK26">
        <f>BG26*BH26*BI26</f>
        <v>0</v>
      </c>
      <c r="BL26">
        <f>(BJ26-BB26)/BI26</f>
        <v>0</v>
      </c>
      <c r="BM26">
        <f>(AZ26-BF26)/BF26</f>
        <v>0</v>
      </c>
      <c r="BN26">
        <f>AY26/(BA26+AY26/BF26)</f>
        <v>0</v>
      </c>
      <c r="BO26" t="s">
        <v>437</v>
      </c>
      <c r="BP26">
        <v>0</v>
      </c>
      <c r="BQ26">
        <f>IF(BP26&lt;&gt;0, BP26, BN26)</f>
        <v>0</v>
      </c>
      <c r="BR26">
        <f>1-BQ26/BF26</f>
        <v>0</v>
      </c>
      <c r="BS26">
        <f>(BF26-BE26)/(BF26-BQ26)</f>
        <v>0</v>
      </c>
      <c r="BT26">
        <f>(AZ26-BF26)/(AZ26-BQ26)</f>
        <v>0</v>
      </c>
      <c r="BU26">
        <f>(BF26-BE26)/(BF26-AY26)</f>
        <v>0</v>
      </c>
      <c r="BV26">
        <f>(AZ26-BF26)/(AZ26-AY26)</f>
        <v>0</v>
      </c>
      <c r="BW26">
        <f>(BS26*BQ26/BE26)</f>
        <v>0</v>
      </c>
      <c r="BX26">
        <f>(1-BW26)</f>
        <v>0</v>
      </c>
      <c r="DG26">
        <f>$B$13*EF26+$C$13*EG26+$F$13*ER26*(1-EU26)</f>
        <v>0</v>
      </c>
      <c r="DH26">
        <f>DG26*DI26</f>
        <v>0</v>
      </c>
      <c r="DI26">
        <f>($B$13*$D$11+$C$13*$D$11+$F$13*((FE26+EW26)/MAX(FE26+EW26+FF26, 0.1)*$I$11+FF26/MAX(FE26+EW26+FF26, 0.1)*$J$11))/($B$13+$C$13+$F$13)</f>
        <v>0</v>
      </c>
      <c r="DJ26">
        <f>($B$13*$K$11+$C$13*$K$11+$F$13*((FE26+EW26)/MAX(FE26+EW26+FF26, 0.1)*$P$11+FF26/MAX(FE26+EW26+FF26, 0.1)*$Q$11))/($B$13+$C$13+$F$13)</f>
        <v>0</v>
      </c>
      <c r="DK26">
        <v>5.66</v>
      </c>
      <c r="DL26">
        <v>0.5</v>
      </c>
      <c r="DM26" t="s">
        <v>438</v>
      </c>
      <c r="DN26">
        <v>2</v>
      </c>
      <c r="DO26" t="b">
        <v>1</v>
      </c>
      <c r="DP26">
        <v>1765298098.099999</v>
      </c>
      <c r="DQ26">
        <v>399.5274838709678</v>
      </c>
      <c r="DR26">
        <v>400.0205161290322</v>
      </c>
      <c r="DS26">
        <v>17.17383870967742</v>
      </c>
      <c r="DT26">
        <v>17.11892580645162</v>
      </c>
      <c r="DU26">
        <v>399.2839032258063</v>
      </c>
      <c r="DV26">
        <v>17.09763225806451</v>
      </c>
      <c r="DW26">
        <v>500.0182580645161</v>
      </c>
      <c r="DX26">
        <v>90.2357064516129</v>
      </c>
      <c r="DY26">
        <v>0.1000179</v>
      </c>
      <c r="DZ26">
        <v>24.59586129032258</v>
      </c>
      <c r="EA26">
        <v>25.00819677419355</v>
      </c>
      <c r="EB26">
        <v>999.9000000000003</v>
      </c>
      <c r="EC26">
        <v>0</v>
      </c>
      <c r="ED26">
        <v>0</v>
      </c>
      <c r="EE26">
        <v>9995.163225806451</v>
      </c>
      <c r="EF26">
        <v>0</v>
      </c>
      <c r="EG26">
        <v>9.653540000000003</v>
      </c>
      <c r="EH26">
        <v>-0.4928835806451613</v>
      </c>
      <c r="EI26">
        <v>406.5088387096774</v>
      </c>
      <c r="EJ26">
        <v>406.9875483870968</v>
      </c>
      <c r="EK26">
        <v>0.05491292903225808</v>
      </c>
      <c r="EL26">
        <v>400.0205161290322</v>
      </c>
      <c r="EM26">
        <v>17.11892580645162</v>
      </c>
      <c r="EN26">
        <v>1.549693548387097</v>
      </c>
      <c r="EO26">
        <v>1.544738387096774</v>
      </c>
      <c r="EP26">
        <v>13.46747096774194</v>
      </c>
      <c r="EQ26">
        <v>13.41831612903226</v>
      </c>
      <c r="ER26">
        <v>800.0641612903227</v>
      </c>
      <c r="ES26">
        <v>0.9500072580645159</v>
      </c>
      <c r="ET26">
        <v>0.04999296451612904</v>
      </c>
      <c r="EU26">
        <v>0</v>
      </c>
      <c r="EV26">
        <v>818.1406774193549</v>
      </c>
      <c r="EW26">
        <v>5.000779999999999</v>
      </c>
      <c r="EX26">
        <v>6173.00129032258</v>
      </c>
      <c r="EY26">
        <v>6463.954193548387</v>
      </c>
      <c r="EZ26">
        <v>37.56416129032257</v>
      </c>
      <c r="FA26">
        <v>41.29006451612901</v>
      </c>
      <c r="FB26">
        <v>39.50983870967742</v>
      </c>
      <c r="FC26">
        <v>41.70135483870966</v>
      </c>
      <c r="FD26">
        <v>39.54203225806451</v>
      </c>
      <c r="FE26">
        <v>755.3164516129033</v>
      </c>
      <c r="FF26">
        <v>39.74774193548387</v>
      </c>
      <c r="FG26">
        <v>0</v>
      </c>
      <c r="FH26">
        <v>1765298105.3</v>
      </c>
      <c r="FI26">
        <v>0</v>
      </c>
      <c r="FJ26">
        <v>818.1586153846155</v>
      </c>
      <c r="FK26">
        <v>1.527726492165376</v>
      </c>
      <c r="FL26">
        <v>-20.0256410284738</v>
      </c>
      <c r="FM26">
        <v>6172.806538461537</v>
      </c>
      <c r="FN26">
        <v>15</v>
      </c>
      <c r="FO26">
        <v>1765298062.6</v>
      </c>
      <c r="FP26" t="s">
        <v>465</v>
      </c>
      <c r="FQ26">
        <v>1765298062.6</v>
      </c>
      <c r="FR26">
        <v>1765298062.6</v>
      </c>
      <c r="FS26">
        <v>8</v>
      </c>
      <c r="FT26">
        <v>-0.06</v>
      </c>
      <c r="FU26">
        <v>-0.001</v>
      </c>
      <c r="FV26">
        <v>0.244</v>
      </c>
      <c r="FW26">
        <v>0.074</v>
      </c>
      <c r="FX26">
        <v>400</v>
      </c>
      <c r="FY26">
        <v>17</v>
      </c>
      <c r="FZ26">
        <v>0.82</v>
      </c>
      <c r="GA26">
        <v>0.15</v>
      </c>
      <c r="GB26">
        <v>-0.5070427750000001</v>
      </c>
      <c r="GC26">
        <v>0.2626061425891185</v>
      </c>
      <c r="GD26">
        <v>0.03822317285266066</v>
      </c>
      <c r="GE26">
        <v>1</v>
      </c>
      <c r="GF26">
        <v>818.1559999999999</v>
      </c>
      <c r="GG26">
        <v>-0.1982887723164662</v>
      </c>
      <c r="GH26">
        <v>0.1891644165021267</v>
      </c>
      <c r="GI26">
        <v>1</v>
      </c>
      <c r="GJ26">
        <v>0.0503494225</v>
      </c>
      <c r="GK26">
        <v>0.09110757410881799</v>
      </c>
      <c r="GL26">
        <v>0.009158385750897575</v>
      </c>
      <c r="GM26">
        <v>1</v>
      </c>
      <c r="GN26">
        <v>3</v>
      </c>
      <c r="GO26">
        <v>3</v>
      </c>
      <c r="GP26" t="s">
        <v>440</v>
      </c>
      <c r="GQ26">
        <v>3.10817</v>
      </c>
      <c r="GR26">
        <v>2.79168</v>
      </c>
      <c r="GS26">
        <v>0.0846572</v>
      </c>
      <c r="GT26">
        <v>0.0848119</v>
      </c>
      <c r="GU26">
        <v>0.08541940000000001</v>
      </c>
      <c r="GV26">
        <v>0.0859969</v>
      </c>
      <c r="GW26">
        <v>24044.5</v>
      </c>
      <c r="GX26">
        <v>21836.5</v>
      </c>
      <c r="GY26">
        <v>26827</v>
      </c>
      <c r="GZ26">
        <v>24067.5</v>
      </c>
      <c r="HA26">
        <v>39212</v>
      </c>
      <c r="HB26">
        <v>32469</v>
      </c>
      <c r="HC26">
        <v>46821.5</v>
      </c>
      <c r="HD26">
        <v>38063.6</v>
      </c>
      <c r="HE26">
        <v>1.79895</v>
      </c>
      <c r="HF26">
        <v>1.84005</v>
      </c>
      <c r="HG26">
        <v>0.0784844</v>
      </c>
      <c r="HH26">
        <v>0</v>
      </c>
      <c r="HI26">
        <v>23.7254</v>
      </c>
      <c r="HJ26">
        <v>999.9</v>
      </c>
      <c r="HK26">
        <v>39.1</v>
      </c>
      <c r="HL26">
        <v>32.7</v>
      </c>
      <c r="HM26">
        <v>21.526</v>
      </c>
      <c r="HN26">
        <v>61.7878</v>
      </c>
      <c r="HO26">
        <v>29.0144</v>
      </c>
      <c r="HP26">
        <v>1</v>
      </c>
      <c r="HQ26">
        <v>0.0317505</v>
      </c>
      <c r="HR26">
        <v>1.10508</v>
      </c>
      <c r="HS26">
        <v>20.2893</v>
      </c>
      <c r="HT26">
        <v>5.22253</v>
      </c>
      <c r="HU26">
        <v>11.9758</v>
      </c>
      <c r="HV26">
        <v>4.96575</v>
      </c>
      <c r="HW26">
        <v>3.27583</v>
      </c>
      <c r="HX26">
        <v>9999</v>
      </c>
      <c r="HY26">
        <v>9999</v>
      </c>
      <c r="HZ26">
        <v>9999</v>
      </c>
      <c r="IA26">
        <v>999.9</v>
      </c>
      <c r="IB26">
        <v>1.8642</v>
      </c>
      <c r="IC26">
        <v>1.86045</v>
      </c>
      <c r="ID26">
        <v>1.85874</v>
      </c>
      <c r="IE26">
        <v>1.86006</v>
      </c>
      <c r="IF26">
        <v>1.86019</v>
      </c>
      <c r="IG26">
        <v>1.85869</v>
      </c>
      <c r="IH26">
        <v>1.85778</v>
      </c>
      <c r="II26">
        <v>1.85272</v>
      </c>
      <c r="IJ26">
        <v>0</v>
      </c>
      <c r="IK26">
        <v>0</v>
      </c>
      <c r="IL26">
        <v>0</v>
      </c>
      <c r="IM26">
        <v>0</v>
      </c>
      <c r="IN26" t="s">
        <v>441</v>
      </c>
      <c r="IO26" t="s">
        <v>442</v>
      </c>
      <c r="IP26" t="s">
        <v>443</v>
      </c>
      <c r="IQ26" t="s">
        <v>443</v>
      </c>
      <c r="IR26" t="s">
        <v>443</v>
      </c>
      <c r="IS26" t="s">
        <v>443</v>
      </c>
      <c r="IT26">
        <v>0</v>
      </c>
      <c r="IU26">
        <v>100</v>
      </c>
      <c r="IV26">
        <v>100</v>
      </c>
      <c r="IW26">
        <v>0.244</v>
      </c>
      <c r="IX26">
        <v>0.0762</v>
      </c>
      <c r="IY26">
        <v>-0.03466884518898461</v>
      </c>
      <c r="IZ26">
        <v>0.0001583678016168383</v>
      </c>
      <c r="JA26">
        <v>1.526473431467286E-06</v>
      </c>
      <c r="JB26">
        <v>-4.446382740029455E-10</v>
      </c>
      <c r="JC26">
        <v>-0.03664916792475341</v>
      </c>
      <c r="JD26">
        <v>-0.009941991807247691</v>
      </c>
      <c r="JE26">
        <v>0.001256427533001032</v>
      </c>
      <c r="JF26">
        <v>-1.689728105039484E-05</v>
      </c>
      <c r="JG26">
        <v>2</v>
      </c>
      <c r="JH26">
        <v>1984</v>
      </c>
      <c r="JI26">
        <v>0</v>
      </c>
      <c r="JJ26">
        <v>25</v>
      </c>
      <c r="JK26">
        <v>0.7</v>
      </c>
      <c r="JL26">
        <v>0.7</v>
      </c>
      <c r="JM26">
        <v>1.08887</v>
      </c>
      <c r="JN26">
        <v>2.61108</v>
      </c>
      <c r="JO26">
        <v>1.49658</v>
      </c>
      <c r="JP26">
        <v>2.34741</v>
      </c>
      <c r="JQ26">
        <v>1.54907</v>
      </c>
      <c r="JR26">
        <v>2.45728</v>
      </c>
      <c r="JS26">
        <v>38.2568</v>
      </c>
      <c r="JT26">
        <v>23.7548</v>
      </c>
      <c r="JU26">
        <v>18</v>
      </c>
      <c r="JV26">
        <v>430.661</v>
      </c>
      <c r="JW26">
        <v>477.996</v>
      </c>
      <c r="JX26">
        <v>22.9209</v>
      </c>
      <c r="JY26">
        <v>27.5762</v>
      </c>
      <c r="JZ26">
        <v>30</v>
      </c>
      <c r="KA26">
        <v>27.8843</v>
      </c>
      <c r="KB26">
        <v>27.9012</v>
      </c>
      <c r="KC26">
        <v>21.9053</v>
      </c>
      <c r="KD26">
        <v>19.906</v>
      </c>
      <c r="KE26">
        <v>9.801439999999999</v>
      </c>
      <c r="KF26">
        <v>22.9203</v>
      </c>
      <c r="KG26">
        <v>400</v>
      </c>
      <c r="KH26">
        <v>17.1268</v>
      </c>
      <c r="KI26">
        <v>102.391</v>
      </c>
      <c r="KJ26">
        <v>91.80800000000001</v>
      </c>
    </row>
    <row r="27" spans="1:296">
      <c r="A27">
        <v>9</v>
      </c>
      <c r="B27">
        <v>1765298174.6</v>
      </c>
      <c r="C27">
        <v>741.5999999046326</v>
      </c>
      <c r="D27" t="s">
        <v>466</v>
      </c>
      <c r="E27" t="s">
        <v>467</v>
      </c>
      <c r="F27">
        <v>5</v>
      </c>
      <c r="G27" t="s">
        <v>436</v>
      </c>
      <c r="H27">
        <v>1765298171.6</v>
      </c>
      <c r="I27">
        <f>(J27)/1000</f>
        <v>0</v>
      </c>
      <c r="J27">
        <f>IF(DO27, AM27, AG27)</f>
        <v>0</v>
      </c>
      <c r="K27">
        <f>IF(DO27, AH27, AF27)</f>
        <v>0</v>
      </c>
      <c r="L27">
        <f>DQ27 - IF(AT27&gt;1, K27*DK27*100.0/(AV27), 0)</f>
        <v>0</v>
      </c>
      <c r="M27">
        <f>((S27-I27/2)*L27-K27)/(S27+I27/2)</f>
        <v>0</v>
      </c>
      <c r="N27">
        <f>M27*(DX27+DY27)/1000.0</f>
        <v>0</v>
      </c>
      <c r="O27">
        <f>(DQ27 - IF(AT27&gt;1, K27*DK27*100.0/(AV27), 0))*(DX27+DY27)/1000.0</f>
        <v>0</v>
      </c>
      <c r="P27">
        <f>2.0/((1/R27-1/Q27)+SIGN(R27)*SQRT((1/R27-1/Q27)*(1/R27-1/Q27) + 4*DL27/((DL27+1)*(DL27+1))*(2*1/R27*1/Q27-1/Q27*1/Q27)))</f>
        <v>0</v>
      </c>
      <c r="Q27">
        <f>IF(LEFT(DM27,1)&lt;&gt;"0",IF(LEFT(DM27,1)="1",3.0,DN27),$D$5+$E$5*(EE27*DX27/($K$5*1000))+$F$5*(EE27*DX27/($K$5*1000))*MAX(MIN(DK27,$J$5),$I$5)*MAX(MIN(DK27,$J$5),$I$5)+$G$5*MAX(MIN(DK27,$J$5),$I$5)*(EE27*DX27/($K$5*1000))+$H$5*(EE27*DX27/($K$5*1000))*(EE27*DX27/($K$5*1000)))</f>
        <v>0</v>
      </c>
      <c r="R27">
        <f>I27*(1000-(1000*0.61365*exp(17.502*V27/(240.97+V27))/(DX27+DY27)+DS27)/2)/(1000*0.61365*exp(17.502*V27/(240.97+V27))/(DX27+DY27)-DS27)</f>
        <v>0</v>
      </c>
      <c r="S27">
        <f>1/((DL27+1)/(P27/1.6)+1/(Q27/1.37)) + DL27/((DL27+1)/(P27/1.6) + DL27/(Q27/1.37))</f>
        <v>0</v>
      </c>
      <c r="T27">
        <f>(DG27*DJ27)</f>
        <v>0</v>
      </c>
      <c r="U27">
        <f>(DZ27+(T27+2*0.95*5.67E-8*(((DZ27+$B$9)+273)^4-(DZ27+273)^4)-44100*I27)/(1.84*29.3*Q27+8*0.95*5.67E-8*(DZ27+273)^3))</f>
        <v>0</v>
      </c>
      <c r="V27">
        <f>($C$9*EA27+$D$9*EB27+$E$9*U27)</f>
        <v>0</v>
      </c>
      <c r="W27">
        <f>0.61365*exp(17.502*V27/(240.97+V27))</f>
        <v>0</v>
      </c>
      <c r="X27">
        <f>(Y27/Z27*100)</f>
        <v>0</v>
      </c>
      <c r="Y27">
        <f>DS27*(DX27+DY27)/1000</f>
        <v>0</v>
      </c>
      <c r="Z27">
        <f>0.61365*exp(17.502*DZ27/(240.97+DZ27))</f>
        <v>0</v>
      </c>
      <c r="AA27">
        <f>(W27-DS27*(DX27+DY27)/1000)</f>
        <v>0</v>
      </c>
      <c r="AB27">
        <f>(-I27*44100)</f>
        <v>0</v>
      </c>
      <c r="AC27">
        <f>2*29.3*Q27*0.92*(DZ27-V27)</f>
        <v>0</v>
      </c>
      <c r="AD27">
        <f>2*0.95*5.67E-8*(((DZ27+$B$9)+273)^4-(V27+273)^4)</f>
        <v>0</v>
      </c>
      <c r="AE27">
        <f>T27+AD27+AB27+AC27</f>
        <v>0</v>
      </c>
      <c r="AF27">
        <f>DW27*AT27*(DR27-DQ27*(1000-AT27*DT27)/(1000-AT27*DS27))/(100*DK27)</f>
        <v>0</v>
      </c>
      <c r="AG27">
        <f>1000*DW27*AT27*(DS27-DT27)/(100*DK27*(1000-AT27*DS27))</f>
        <v>0</v>
      </c>
      <c r="AH27">
        <f>(AI27 - AJ27 - DX27*1E3/(8.314*(DZ27+273.15)) * AL27/DW27 * AK27) * DW27/(100*DK27) * (1000 - DT27)/1000</f>
        <v>0</v>
      </c>
      <c r="AI27">
        <v>610.6025878787879</v>
      </c>
      <c r="AJ27">
        <v>609.8628363636363</v>
      </c>
      <c r="AK27">
        <v>-0.3186186147185489</v>
      </c>
      <c r="AL27">
        <v>64.35328240874929</v>
      </c>
      <c r="AM27">
        <f>(AO27 - AN27 + DX27*1E3/(8.314*(DZ27+273.15)) * AQ27/DW27 * AP27) * DW27/(100*DK27) * 1000/(1000 - AO27)</f>
        <v>0</v>
      </c>
      <c r="AN27">
        <v>17.07007878787878</v>
      </c>
      <c r="AO27">
        <v>17.14219333333333</v>
      </c>
      <c r="AP27">
        <v>0.02102761904761498</v>
      </c>
      <c r="AQ27">
        <v>99.56699645121975</v>
      </c>
      <c r="AR27">
        <v>46</v>
      </c>
      <c r="AS27">
        <v>9</v>
      </c>
      <c r="AT27">
        <f>IF(AR27*$H$15&gt;=AV27,1.0,(AV27/(AV27-AR27*$H$15)))</f>
        <v>0</v>
      </c>
      <c r="AU27">
        <f>(AT27-1)*100</f>
        <v>0</v>
      </c>
      <c r="AV27">
        <f>MAX(0,($B$15+$C$15*EE27)/(1+$D$15*EE27)*DX27/(DZ27+273)*$E$15)</f>
        <v>0</v>
      </c>
      <c r="AW27" t="s">
        <v>437</v>
      </c>
      <c r="AX27" t="s">
        <v>437</v>
      </c>
      <c r="AY27">
        <v>0</v>
      </c>
      <c r="AZ27">
        <v>0</v>
      </c>
      <c r="BA27">
        <f>1-AY27/AZ27</f>
        <v>0</v>
      </c>
      <c r="BB27">
        <v>0</v>
      </c>
      <c r="BC27" t="s">
        <v>437</v>
      </c>
      <c r="BD27" t="s">
        <v>437</v>
      </c>
      <c r="BE27">
        <v>0</v>
      </c>
      <c r="BF27">
        <v>0</v>
      </c>
      <c r="BG27">
        <f>1-BE27/BF27</f>
        <v>0</v>
      </c>
      <c r="BH27">
        <v>0.5</v>
      </c>
      <c r="BI27">
        <f>DH27</f>
        <v>0</v>
      </c>
      <c r="BJ27">
        <f>K27</f>
        <v>0</v>
      </c>
      <c r="BK27">
        <f>BG27*BH27*BI27</f>
        <v>0</v>
      </c>
      <c r="BL27">
        <f>(BJ27-BB27)/BI27</f>
        <v>0</v>
      </c>
      <c r="BM27">
        <f>(AZ27-BF27)/BF27</f>
        <v>0</v>
      </c>
      <c r="BN27">
        <f>AY27/(BA27+AY27/BF27)</f>
        <v>0</v>
      </c>
      <c r="BO27" t="s">
        <v>437</v>
      </c>
      <c r="BP27">
        <v>0</v>
      </c>
      <c r="BQ27">
        <f>IF(BP27&lt;&gt;0, BP27, BN27)</f>
        <v>0</v>
      </c>
      <c r="BR27">
        <f>1-BQ27/BF27</f>
        <v>0</v>
      </c>
      <c r="BS27">
        <f>(BF27-BE27)/(BF27-BQ27)</f>
        <v>0</v>
      </c>
      <c r="BT27">
        <f>(AZ27-BF27)/(AZ27-BQ27)</f>
        <v>0</v>
      </c>
      <c r="BU27">
        <f>(BF27-BE27)/(BF27-AY27)</f>
        <v>0</v>
      </c>
      <c r="BV27">
        <f>(AZ27-BF27)/(AZ27-AY27)</f>
        <v>0</v>
      </c>
      <c r="BW27">
        <f>(BS27*BQ27/BE27)</f>
        <v>0</v>
      </c>
      <c r="BX27">
        <f>(1-BW27)</f>
        <v>0</v>
      </c>
      <c r="DG27">
        <f>$B$13*EF27+$C$13*EG27+$F$13*ER27*(1-EU27)</f>
        <v>0</v>
      </c>
      <c r="DH27">
        <f>DG27*DI27</f>
        <v>0</v>
      </c>
      <c r="DI27">
        <f>($B$13*$D$11+$C$13*$D$11+$F$13*((FE27+EW27)/MAX(FE27+EW27+FF27, 0.1)*$I$11+FF27/MAX(FE27+EW27+FF27, 0.1)*$J$11))/($B$13+$C$13+$F$13)</f>
        <v>0</v>
      </c>
      <c r="DJ27">
        <f>($B$13*$K$11+$C$13*$K$11+$F$13*((FE27+EW27)/MAX(FE27+EW27+FF27, 0.1)*$P$11+FF27/MAX(FE27+EW27+FF27, 0.1)*$Q$11))/($B$13+$C$13+$F$13)</f>
        <v>0</v>
      </c>
      <c r="DK27">
        <v>5.66</v>
      </c>
      <c r="DL27">
        <v>0.5</v>
      </c>
      <c r="DM27" t="s">
        <v>438</v>
      </c>
      <c r="DN27">
        <v>2</v>
      </c>
      <c r="DO27" t="b">
        <v>1</v>
      </c>
      <c r="DP27">
        <v>1765298171.6</v>
      </c>
      <c r="DQ27">
        <v>599.8718181818182</v>
      </c>
      <c r="DR27">
        <v>600.2597272727272</v>
      </c>
      <c r="DS27">
        <v>17.09957272727272</v>
      </c>
      <c r="DT27">
        <v>17.07273636363637</v>
      </c>
      <c r="DU27">
        <v>599.2033636363636</v>
      </c>
      <c r="DV27">
        <v>17.02393636363636</v>
      </c>
      <c r="DW27">
        <v>500.2854545454546</v>
      </c>
      <c r="DX27">
        <v>90.2313909090909</v>
      </c>
      <c r="DY27">
        <v>0.09932937272727273</v>
      </c>
      <c r="DZ27">
        <v>24.59377272727273</v>
      </c>
      <c r="EA27">
        <v>25.00120909090909</v>
      </c>
      <c r="EB27">
        <v>999.9</v>
      </c>
      <c r="EC27">
        <v>0</v>
      </c>
      <c r="ED27">
        <v>0</v>
      </c>
      <c r="EE27">
        <v>9995.794545454544</v>
      </c>
      <c r="EF27">
        <v>0</v>
      </c>
      <c r="EG27">
        <v>9.653539999999998</v>
      </c>
      <c r="EH27">
        <v>-0.3879505454545455</v>
      </c>
      <c r="EI27">
        <v>610.3077272727273</v>
      </c>
      <c r="EJ27">
        <v>610.685909090909</v>
      </c>
      <c r="EK27">
        <v>0.02684316481818182</v>
      </c>
      <c r="EL27">
        <v>600.2597272727272</v>
      </c>
      <c r="EM27">
        <v>17.07273636363637</v>
      </c>
      <c r="EN27">
        <v>1.542919090909091</v>
      </c>
      <c r="EO27">
        <v>1.540496363636364</v>
      </c>
      <c r="EP27">
        <v>13.40022727272727</v>
      </c>
      <c r="EQ27">
        <v>13.37616363636364</v>
      </c>
      <c r="ER27">
        <v>800.0285454545453</v>
      </c>
      <c r="ES27">
        <v>0.9500100000000002</v>
      </c>
      <c r="ET27">
        <v>0.04998989999999999</v>
      </c>
      <c r="EU27">
        <v>0</v>
      </c>
      <c r="EV27">
        <v>819.2286363636363</v>
      </c>
      <c r="EW27">
        <v>5.00078</v>
      </c>
      <c r="EX27">
        <v>6162.454545454544</v>
      </c>
      <c r="EY27">
        <v>6463.669999999999</v>
      </c>
      <c r="EZ27">
        <v>36.95990909090909</v>
      </c>
      <c r="FA27">
        <v>39.52254545454545</v>
      </c>
      <c r="FB27">
        <v>38.59627272727273</v>
      </c>
      <c r="FC27">
        <v>39.443</v>
      </c>
      <c r="FD27">
        <v>38.52245454545454</v>
      </c>
      <c r="FE27">
        <v>755.2863636363636</v>
      </c>
      <c r="FF27">
        <v>39.74</v>
      </c>
      <c r="FG27">
        <v>0</v>
      </c>
      <c r="FH27">
        <v>1765298173.7</v>
      </c>
      <c r="FI27">
        <v>0</v>
      </c>
      <c r="FJ27">
        <v>819.3153846153847</v>
      </c>
      <c r="FK27">
        <v>-0.7703931502972962</v>
      </c>
      <c r="FL27">
        <v>-6.698803422338832</v>
      </c>
      <c r="FM27">
        <v>6162.925384615383</v>
      </c>
      <c r="FN27">
        <v>15</v>
      </c>
      <c r="FO27">
        <v>1765298169.1</v>
      </c>
      <c r="FP27" t="s">
        <v>468</v>
      </c>
      <c r="FQ27">
        <v>1765298169.1</v>
      </c>
      <c r="FR27">
        <v>1765298161.6</v>
      </c>
      <c r="FS27">
        <v>9</v>
      </c>
      <c r="FT27">
        <v>0.214</v>
      </c>
      <c r="FU27">
        <v>0.001</v>
      </c>
      <c r="FV27">
        <v>0.727</v>
      </c>
      <c r="FW27">
        <v>0.075</v>
      </c>
      <c r="FX27">
        <v>600</v>
      </c>
      <c r="FY27">
        <v>17</v>
      </c>
      <c r="FZ27">
        <v>0.76</v>
      </c>
      <c r="GA27">
        <v>0.1</v>
      </c>
      <c r="GB27">
        <v>-0.271196</v>
      </c>
      <c r="GC27">
        <v>-0.5480816735459658</v>
      </c>
      <c r="GD27">
        <v>0.1253892703685208</v>
      </c>
      <c r="GE27">
        <v>0</v>
      </c>
      <c r="GF27">
        <v>819.2884117647059</v>
      </c>
      <c r="GG27">
        <v>-0.0286325409925999</v>
      </c>
      <c r="GH27">
        <v>0.2111577494569099</v>
      </c>
      <c r="GI27">
        <v>1</v>
      </c>
      <c r="GJ27">
        <v>0.006540729052499999</v>
      </c>
      <c r="GK27">
        <v>0.1176024506307692</v>
      </c>
      <c r="GL27">
        <v>0.01816662124107365</v>
      </c>
      <c r="GM27">
        <v>0</v>
      </c>
      <c r="GN27">
        <v>1</v>
      </c>
      <c r="GO27">
        <v>3</v>
      </c>
      <c r="GP27" t="s">
        <v>469</v>
      </c>
      <c r="GQ27">
        <v>3.10835</v>
      </c>
      <c r="GR27">
        <v>2.7911</v>
      </c>
      <c r="GS27">
        <v>0.113852</v>
      </c>
      <c r="GT27">
        <v>0.114109</v>
      </c>
      <c r="GU27">
        <v>0.0853085</v>
      </c>
      <c r="GV27">
        <v>0.0858288</v>
      </c>
      <c r="GW27">
        <v>23278.7</v>
      </c>
      <c r="GX27">
        <v>21138.1</v>
      </c>
      <c r="GY27">
        <v>26828</v>
      </c>
      <c r="GZ27">
        <v>24068</v>
      </c>
      <c r="HA27">
        <v>39221.7</v>
      </c>
      <c r="HB27">
        <v>32478.6</v>
      </c>
      <c r="HC27">
        <v>46823</v>
      </c>
      <c r="HD27">
        <v>38064.3</v>
      </c>
      <c r="HE27">
        <v>1.79135</v>
      </c>
      <c r="HF27">
        <v>1.83545</v>
      </c>
      <c r="HG27">
        <v>0.0781715</v>
      </c>
      <c r="HH27">
        <v>0</v>
      </c>
      <c r="HI27">
        <v>23.7234</v>
      </c>
      <c r="HJ27">
        <v>999.9</v>
      </c>
      <c r="HK27">
        <v>38.9</v>
      </c>
      <c r="HL27">
        <v>32.8</v>
      </c>
      <c r="HM27">
        <v>21.5378</v>
      </c>
      <c r="HN27">
        <v>60.9878</v>
      </c>
      <c r="HO27">
        <v>28.9944</v>
      </c>
      <c r="HP27">
        <v>1</v>
      </c>
      <c r="HQ27">
        <v>0.0298399</v>
      </c>
      <c r="HR27">
        <v>1.06248</v>
      </c>
      <c r="HS27">
        <v>20.2893</v>
      </c>
      <c r="HT27">
        <v>5.22088</v>
      </c>
      <c r="HU27">
        <v>11.9781</v>
      </c>
      <c r="HV27">
        <v>4.96505</v>
      </c>
      <c r="HW27">
        <v>3.27548</v>
      </c>
      <c r="HX27">
        <v>9999</v>
      </c>
      <c r="HY27">
        <v>9999</v>
      </c>
      <c r="HZ27">
        <v>9999</v>
      </c>
      <c r="IA27">
        <v>999.9</v>
      </c>
      <c r="IB27">
        <v>1.86426</v>
      </c>
      <c r="IC27">
        <v>1.86045</v>
      </c>
      <c r="ID27">
        <v>1.85873</v>
      </c>
      <c r="IE27">
        <v>1.86006</v>
      </c>
      <c r="IF27">
        <v>1.8602</v>
      </c>
      <c r="IG27">
        <v>1.85868</v>
      </c>
      <c r="IH27">
        <v>1.85779</v>
      </c>
      <c r="II27">
        <v>1.85272</v>
      </c>
      <c r="IJ27">
        <v>0</v>
      </c>
      <c r="IK27">
        <v>0</v>
      </c>
      <c r="IL27">
        <v>0</v>
      </c>
      <c r="IM27">
        <v>0</v>
      </c>
      <c r="IN27" t="s">
        <v>441</v>
      </c>
      <c r="IO27" t="s">
        <v>442</v>
      </c>
      <c r="IP27" t="s">
        <v>443</v>
      </c>
      <c r="IQ27" t="s">
        <v>443</v>
      </c>
      <c r="IR27" t="s">
        <v>443</v>
      </c>
      <c r="IS27" t="s">
        <v>443</v>
      </c>
      <c r="IT27">
        <v>0</v>
      </c>
      <c r="IU27">
        <v>100</v>
      </c>
      <c r="IV27">
        <v>100</v>
      </c>
      <c r="IW27">
        <v>0.726</v>
      </c>
      <c r="IX27">
        <v>0.0765</v>
      </c>
      <c r="IY27">
        <v>0.1794346858609893</v>
      </c>
      <c r="IZ27">
        <v>0.0001583678016168383</v>
      </c>
      <c r="JA27">
        <v>1.526473431467286E-06</v>
      </c>
      <c r="JB27">
        <v>-4.446382740029455E-10</v>
      </c>
      <c r="JC27">
        <v>-0.03586147250203911</v>
      </c>
      <c r="JD27">
        <v>-0.009941991807247691</v>
      </c>
      <c r="JE27">
        <v>0.001256427533001032</v>
      </c>
      <c r="JF27">
        <v>-1.689728105039484E-05</v>
      </c>
      <c r="JG27">
        <v>2</v>
      </c>
      <c r="JH27">
        <v>1984</v>
      </c>
      <c r="JI27">
        <v>0</v>
      </c>
      <c r="JJ27">
        <v>25</v>
      </c>
      <c r="JK27">
        <v>0.1</v>
      </c>
      <c r="JL27">
        <v>0.2</v>
      </c>
      <c r="JM27">
        <v>1.50757</v>
      </c>
      <c r="JN27">
        <v>2.62939</v>
      </c>
      <c r="JO27">
        <v>1.49658</v>
      </c>
      <c r="JP27">
        <v>2.34741</v>
      </c>
      <c r="JQ27">
        <v>1.54907</v>
      </c>
      <c r="JR27">
        <v>2.42188</v>
      </c>
      <c r="JS27">
        <v>38.2568</v>
      </c>
      <c r="JT27">
        <v>23.746</v>
      </c>
      <c r="JU27">
        <v>18</v>
      </c>
      <c r="JV27">
        <v>426.517</v>
      </c>
      <c r="JW27">
        <v>474.909</v>
      </c>
      <c r="JX27">
        <v>22.8946</v>
      </c>
      <c r="JY27">
        <v>27.555</v>
      </c>
      <c r="JZ27">
        <v>29.9999</v>
      </c>
      <c r="KA27">
        <v>27.864</v>
      </c>
      <c r="KB27">
        <v>27.8824</v>
      </c>
      <c r="KC27">
        <v>30.2973</v>
      </c>
      <c r="KD27">
        <v>19.906</v>
      </c>
      <c r="KE27">
        <v>9.430960000000001</v>
      </c>
      <c r="KF27">
        <v>22.8922</v>
      </c>
      <c r="KG27">
        <v>600</v>
      </c>
      <c r="KH27">
        <v>17.1337</v>
      </c>
      <c r="KI27">
        <v>102.394</v>
      </c>
      <c r="KJ27">
        <v>91.8099</v>
      </c>
    </row>
    <row r="28" spans="1:296">
      <c r="A28">
        <v>10</v>
      </c>
      <c r="B28">
        <v>1765298265.6</v>
      </c>
      <c r="C28">
        <v>832.5999999046326</v>
      </c>
      <c r="D28" t="s">
        <v>470</v>
      </c>
      <c r="E28" t="s">
        <v>471</v>
      </c>
      <c r="F28">
        <v>5</v>
      </c>
      <c r="G28" t="s">
        <v>436</v>
      </c>
      <c r="H28">
        <v>1765298257.849999</v>
      </c>
      <c r="I28">
        <f>(J28)/1000</f>
        <v>0</v>
      </c>
      <c r="J28">
        <f>IF(DO28, AM28, AG28)</f>
        <v>0</v>
      </c>
      <c r="K28">
        <f>IF(DO28, AH28, AF28)</f>
        <v>0</v>
      </c>
      <c r="L28">
        <f>DQ28 - IF(AT28&gt;1, K28*DK28*100.0/(AV28), 0)</f>
        <v>0</v>
      </c>
      <c r="M28">
        <f>((S28-I28/2)*L28-K28)/(S28+I28/2)</f>
        <v>0</v>
      </c>
      <c r="N28">
        <f>M28*(DX28+DY28)/1000.0</f>
        <v>0</v>
      </c>
      <c r="O28">
        <f>(DQ28 - IF(AT28&gt;1, K28*DK28*100.0/(AV28), 0))*(DX28+DY28)/1000.0</f>
        <v>0</v>
      </c>
      <c r="P28">
        <f>2.0/((1/R28-1/Q28)+SIGN(R28)*SQRT((1/R28-1/Q28)*(1/R28-1/Q28) + 4*DL28/((DL28+1)*(DL28+1))*(2*1/R28*1/Q28-1/Q28*1/Q28)))</f>
        <v>0</v>
      </c>
      <c r="Q28">
        <f>IF(LEFT(DM28,1)&lt;&gt;"0",IF(LEFT(DM28,1)="1",3.0,DN28),$D$5+$E$5*(EE28*DX28/($K$5*1000))+$F$5*(EE28*DX28/($K$5*1000))*MAX(MIN(DK28,$J$5),$I$5)*MAX(MIN(DK28,$J$5),$I$5)+$G$5*MAX(MIN(DK28,$J$5),$I$5)*(EE28*DX28/($K$5*1000))+$H$5*(EE28*DX28/($K$5*1000))*(EE28*DX28/($K$5*1000)))</f>
        <v>0</v>
      </c>
      <c r="R28">
        <f>I28*(1000-(1000*0.61365*exp(17.502*V28/(240.97+V28))/(DX28+DY28)+DS28)/2)/(1000*0.61365*exp(17.502*V28/(240.97+V28))/(DX28+DY28)-DS28)</f>
        <v>0</v>
      </c>
      <c r="S28">
        <f>1/((DL28+1)/(P28/1.6)+1/(Q28/1.37)) + DL28/((DL28+1)/(P28/1.6) + DL28/(Q28/1.37))</f>
        <v>0</v>
      </c>
      <c r="T28">
        <f>(DG28*DJ28)</f>
        <v>0</v>
      </c>
      <c r="U28">
        <f>(DZ28+(T28+2*0.95*5.67E-8*(((DZ28+$B$9)+273)^4-(DZ28+273)^4)-44100*I28)/(1.84*29.3*Q28+8*0.95*5.67E-8*(DZ28+273)^3))</f>
        <v>0</v>
      </c>
      <c r="V28">
        <f>($C$9*EA28+$D$9*EB28+$E$9*U28)</f>
        <v>0</v>
      </c>
      <c r="W28">
        <f>0.61365*exp(17.502*V28/(240.97+V28))</f>
        <v>0</v>
      </c>
      <c r="X28">
        <f>(Y28/Z28*100)</f>
        <v>0</v>
      </c>
      <c r="Y28">
        <f>DS28*(DX28+DY28)/1000</f>
        <v>0</v>
      </c>
      <c r="Z28">
        <f>0.61365*exp(17.502*DZ28/(240.97+DZ28))</f>
        <v>0</v>
      </c>
      <c r="AA28">
        <f>(W28-DS28*(DX28+DY28)/1000)</f>
        <v>0</v>
      </c>
      <c r="AB28">
        <f>(-I28*44100)</f>
        <v>0</v>
      </c>
      <c r="AC28">
        <f>2*29.3*Q28*0.92*(DZ28-V28)</f>
        <v>0</v>
      </c>
      <c r="AD28">
        <f>2*0.95*5.67E-8*(((DZ28+$B$9)+273)^4-(V28+273)^4)</f>
        <v>0</v>
      </c>
      <c r="AE28">
        <f>T28+AD28+AB28+AC28</f>
        <v>0</v>
      </c>
      <c r="AF28">
        <f>DW28*AT28*(DR28-DQ28*(1000-AT28*DT28)/(1000-AT28*DS28))/(100*DK28)</f>
        <v>0</v>
      </c>
      <c r="AG28">
        <f>1000*DW28*AT28*(DS28-DT28)/(100*DK28*(1000-AT28*DS28))</f>
        <v>0</v>
      </c>
      <c r="AH28">
        <f>(AI28 - AJ28 - DX28*1E3/(8.314*(DZ28+273.15)) * AL28/DW28 * AK28) * DW28/(100*DK28) * (1000 - DT28)/1000</f>
        <v>0</v>
      </c>
      <c r="AI28">
        <v>813.924957575757</v>
      </c>
      <c r="AJ28">
        <v>812.7235333333333</v>
      </c>
      <c r="AK28">
        <v>0.001082915844876345</v>
      </c>
      <c r="AL28">
        <v>64.69080112288241</v>
      </c>
      <c r="AM28">
        <f>(AO28 - AN28 + DX28*1E3/(8.314*(DZ28+273.15)) * AQ28/DW28 * AP28) * DW28/(100*DK28) * 1000/(1000 - AO28)</f>
        <v>0</v>
      </c>
      <c r="AN28">
        <v>17.11993696969697</v>
      </c>
      <c r="AO28">
        <v>17.15365757575758</v>
      </c>
      <c r="AP28">
        <v>0.0002753018910915602</v>
      </c>
      <c r="AQ28">
        <v>102.7147329596709</v>
      </c>
      <c r="AR28">
        <v>42</v>
      </c>
      <c r="AS28">
        <v>8</v>
      </c>
      <c r="AT28">
        <f>IF(AR28*$H$15&gt;=AV28,1.0,(AV28/(AV28-AR28*$H$15)))</f>
        <v>0</v>
      </c>
      <c r="AU28">
        <f>(AT28-1)*100</f>
        <v>0</v>
      </c>
      <c r="AV28">
        <f>MAX(0,($B$15+$C$15*EE28)/(1+$D$15*EE28)*DX28/(DZ28+273)*$E$15)</f>
        <v>0</v>
      </c>
      <c r="AW28" t="s">
        <v>437</v>
      </c>
      <c r="AX28" t="s">
        <v>437</v>
      </c>
      <c r="AY28">
        <v>0</v>
      </c>
      <c r="AZ28">
        <v>0</v>
      </c>
      <c r="BA28">
        <f>1-AY28/AZ28</f>
        <v>0</v>
      </c>
      <c r="BB28">
        <v>0</v>
      </c>
      <c r="BC28" t="s">
        <v>437</v>
      </c>
      <c r="BD28" t="s">
        <v>437</v>
      </c>
      <c r="BE28">
        <v>0</v>
      </c>
      <c r="BF28">
        <v>0</v>
      </c>
      <c r="BG28">
        <f>1-BE28/BF28</f>
        <v>0</v>
      </c>
      <c r="BH28">
        <v>0.5</v>
      </c>
      <c r="BI28">
        <f>DH28</f>
        <v>0</v>
      </c>
      <c r="BJ28">
        <f>K28</f>
        <v>0</v>
      </c>
      <c r="BK28">
        <f>BG28*BH28*BI28</f>
        <v>0</v>
      </c>
      <c r="BL28">
        <f>(BJ28-BB28)/BI28</f>
        <v>0</v>
      </c>
      <c r="BM28">
        <f>(AZ28-BF28)/BF28</f>
        <v>0</v>
      </c>
      <c r="BN28">
        <f>AY28/(BA28+AY28/BF28)</f>
        <v>0</v>
      </c>
      <c r="BO28" t="s">
        <v>437</v>
      </c>
      <c r="BP28">
        <v>0</v>
      </c>
      <c r="BQ28">
        <f>IF(BP28&lt;&gt;0, BP28, BN28)</f>
        <v>0</v>
      </c>
      <c r="BR28">
        <f>1-BQ28/BF28</f>
        <v>0</v>
      </c>
      <c r="BS28">
        <f>(BF28-BE28)/(BF28-BQ28)</f>
        <v>0</v>
      </c>
      <c r="BT28">
        <f>(AZ28-BF28)/(AZ28-BQ28)</f>
        <v>0</v>
      </c>
      <c r="BU28">
        <f>(BF28-BE28)/(BF28-AY28)</f>
        <v>0</v>
      </c>
      <c r="BV28">
        <f>(AZ28-BF28)/(AZ28-AY28)</f>
        <v>0</v>
      </c>
      <c r="BW28">
        <f>(BS28*BQ28/BE28)</f>
        <v>0</v>
      </c>
      <c r="BX28">
        <f>(1-BW28)</f>
        <v>0</v>
      </c>
      <c r="DG28">
        <f>$B$13*EF28+$C$13*EG28+$F$13*ER28*(1-EU28)</f>
        <v>0</v>
      </c>
      <c r="DH28">
        <f>DG28*DI28</f>
        <v>0</v>
      </c>
      <c r="DI28">
        <f>($B$13*$D$11+$C$13*$D$11+$F$13*((FE28+EW28)/MAX(FE28+EW28+FF28, 0.1)*$I$11+FF28/MAX(FE28+EW28+FF28, 0.1)*$J$11))/($B$13+$C$13+$F$13)</f>
        <v>0</v>
      </c>
      <c r="DJ28">
        <f>($B$13*$K$11+$C$13*$K$11+$F$13*((FE28+EW28)/MAX(FE28+EW28+FF28, 0.1)*$P$11+FF28/MAX(FE28+EW28+FF28, 0.1)*$Q$11))/($B$13+$C$13+$F$13)</f>
        <v>0</v>
      </c>
      <c r="DK28">
        <v>5.66</v>
      </c>
      <c r="DL28">
        <v>0.5</v>
      </c>
      <c r="DM28" t="s">
        <v>438</v>
      </c>
      <c r="DN28">
        <v>2</v>
      </c>
      <c r="DO28" t="b">
        <v>1</v>
      </c>
      <c r="DP28">
        <v>1765298257.849999</v>
      </c>
      <c r="DQ28">
        <v>798.7432333333334</v>
      </c>
      <c r="DR28">
        <v>799.9897666666667</v>
      </c>
      <c r="DS28">
        <v>17.15252</v>
      </c>
      <c r="DT28">
        <v>17.07807</v>
      </c>
      <c r="DU28">
        <v>797.5404000000001</v>
      </c>
      <c r="DV28">
        <v>17.07485</v>
      </c>
      <c r="DW28">
        <v>500.0752666666667</v>
      </c>
      <c r="DX28">
        <v>90.22471666666668</v>
      </c>
      <c r="DY28">
        <v>0.09960294666666666</v>
      </c>
      <c r="DZ28">
        <v>24.57747333333333</v>
      </c>
      <c r="EA28">
        <v>24.99472</v>
      </c>
      <c r="EB28">
        <v>999.9000000000002</v>
      </c>
      <c r="EC28">
        <v>0</v>
      </c>
      <c r="ED28">
        <v>0</v>
      </c>
      <c r="EE28">
        <v>10004.87366666667</v>
      </c>
      <c r="EF28">
        <v>0</v>
      </c>
      <c r="EG28">
        <v>9.653540000000001</v>
      </c>
      <c r="EH28">
        <v>-1.246514333333333</v>
      </c>
      <c r="EI28">
        <v>812.6827666666667</v>
      </c>
      <c r="EJ28">
        <v>813.8894333333335</v>
      </c>
      <c r="EK28">
        <v>0.07446867666666666</v>
      </c>
      <c r="EL28">
        <v>799.9897666666667</v>
      </c>
      <c r="EM28">
        <v>17.07807</v>
      </c>
      <c r="EN28">
        <v>1.547582</v>
      </c>
      <c r="EO28">
        <v>1.540863333333333</v>
      </c>
      <c r="EP28">
        <v>13.44655</v>
      </c>
      <c r="EQ28">
        <v>13.37978666666667</v>
      </c>
      <c r="ER28">
        <v>800.0062666666666</v>
      </c>
      <c r="ES28">
        <v>0.9500030999999999</v>
      </c>
      <c r="ET28">
        <v>0.04999691333333332</v>
      </c>
      <c r="EU28">
        <v>0</v>
      </c>
      <c r="EV28">
        <v>821.3247</v>
      </c>
      <c r="EW28">
        <v>5.00078</v>
      </c>
      <c r="EX28">
        <v>6161.316</v>
      </c>
      <c r="EY28">
        <v>6463.474999999999</v>
      </c>
      <c r="EZ28">
        <v>36.27476666666666</v>
      </c>
      <c r="FA28">
        <v>38.63933333333333</v>
      </c>
      <c r="FB28">
        <v>38.01023333333332</v>
      </c>
      <c r="FC28">
        <v>38.27273333333333</v>
      </c>
      <c r="FD28">
        <v>37.86426666666667</v>
      </c>
      <c r="FE28">
        <v>755.258</v>
      </c>
      <c r="FF28">
        <v>39.75</v>
      </c>
      <c r="FG28">
        <v>0</v>
      </c>
      <c r="FH28">
        <v>1765298264.9</v>
      </c>
      <c r="FI28">
        <v>0</v>
      </c>
      <c r="FJ28">
        <v>821.3282692307693</v>
      </c>
      <c r="FK28">
        <v>-0.4646495677603495</v>
      </c>
      <c r="FL28">
        <v>-18.01606833419293</v>
      </c>
      <c r="FM28">
        <v>6161.272692307693</v>
      </c>
      <c r="FN28">
        <v>15</v>
      </c>
      <c r="FO28">
        <v>1765298239.6</v>
      </c>
      <c r="FP28" t="s">
        <v>472</v>
      </c>
      <c r="FQ28">
        <v>1765298239.6</v>
      </c>
      <c r="FR28">
        <v>1765298231.1</v>
      </c>
      <c r="FS28">
        <v>10</v>
      </c>
      <c r="FT28">
        <v>0.152</v>
      </c>
      <c r="FU28">
        <v>0.001</v>
      </c>
      <c r="FV28">
        <v>1.205</v>
      </c>
      <c r="FW28">
        <v>0.077</v>
      </c>
      <c r="FX28">
        <v>800</v>
      </c>
      <c r="FY28">
        <v>17</v>
      </c>
      <c r="FZ28">
        <v>0.51</v>
      </c>
      <c r="GA28">
        <v>0.16</v>
      </c>
      <c r="GB28">
        <v>-1.236342926829268</v>
      </c>
      <c r="GC28">
        <v>-0.2526079442508691</v>
      </c>
      <c r="GD28">
        <v>0.03959961174014533</v>
      </c>
      <c r="GE28">
        <v>1</v>
      </c>
      <c r="GF28">
        <v>821.2920000000001</v>
      </c>
      <c r="GG28">
        <v>0.2104201743967718</v>
      </c>
      <c r="GH28">
        <v>0.2017931381098823</v>
      </c>
      <c r="GI28">
        <v>1</v>
      </c>
      <c r="GJ28">
        <v>0.07713797317073171</v>
      </c>
      <c r="GK28">
        <v>-0.05507137003484317</v>
      </c>
      <c r="GL28">
        <v>0.009535150085457857</v>
      </c>
      <c r="GM28">
        <v>1</v>
      </c>
      <c r="GN28">
        <v>3</v>
      </c>
      <c r="GO28">
        <v>3</v>
      </c>
      <c r="GP28" t="s">
        <v>440</v>
      </c>
      <c r="GQ28">
        <v>3.10779</v>
      </c>
      <c r="GR28">
        <v>2.79134</v>
      </c>
      <c r="GS28">
        <v>0.138521</v>
      </c>
      <c r="GT28">
        <v>0.138869</v>
      </c>
      <c r="GU28">
        <v>0.0853368</v>
      </c>
      <c r="GV28">
        <v>0.0860284</v>
      </c>
      <c r="GW28">
        <v>22631.8</v>
      </c>
      <c r="GX28">
        <v>20547.5</v>
      </c>
      <c r="GY28">
        <v>26829.1</v>
      </c>
      <c r="GZ28">
        <v>24068</v>
      </c>
      <c r="HA28">
        <v>39224.3</v>
      </c>
      <c r="HB28">
        <v>32473.9</v>
      </c>
      <c r="HC28">
        <v>46824</v>
      </c>
      <c r="HD28">
        <v>38064.2</v>
      </c>
      <c r="HE28">
        <v>1.79935</v>
      </c>
      <c r="HF28">
        <v>1.84165</v>
      </c>
      <c r="HG28">
        <v>0.0781342</v>
      </c>
      <c r="HH28">
        <v>0</v>
      </c>
      <c r="HI28">
        <v>23.7094</v>
      </c>
      <c r="HJ28">
        <v>999.9</v>
      </c>
      <c r="HK28">
        <v>38.7</v>
      </c>
      <c r="HL28">
        <v>32.8</v>
      </c>
      <c r="HM28">
        <v>21.4279</v>
      </c>
      <c r="HN28">
        <v>62.0578</v>
      </c>
      <c r="HO28">
        <v>29.1346</v>
      </c>
      <c r="HP28">
        <v>1</v>
      </c>
      <c r="HQ28">
        <v>0.0276347</v>
      </c>
      <c r="HR28">
        <v>0.940485</v>
      </c>
      <c r="HS28">
        <v>20.2905</v>
      </c>
      <c r="HT28">
        <v>5.22268</v>
      </c>
      <c r="HU28">
        <v>11.9778</v>
      </c>
      <c r="HV28">
        <v>4.96565</v>
      </c>
      <c r="HW28">
        <v>3.276</v>
      </c>
      <c r="HX28">
        <v>9999</v>
      </c>
      <c r="HY28">
        <v>9999</v>
      </c>
      <c r="HZ28">
        <v>9999</v>
      </c>
      <c r="IA28">
        <v>999.9</v>
      </c>
      <c r="IB28">
        <v>1.86421</v>
      </c>
      <c r="IC28">
        <v>1.86046</v>
      </c>
      <c r="ID28">
        <v>1.85876</v>
      </c>
      <c r="IE28">
        <v>1.86006</v>
      </c>
      <c r="IF28">
        <v>1.8602</v>
      </c>
      <c r="IG28">
        <v>1.85868</v>
      </c>
      <c r="IH28">
        <v>1.85783</v>
      </c>
      <c r="II28">
        <v>1.85272</v>
      </c>
      <c r="IJ28">
        <v>0</v>
      </c>
      <c r="IK28">
        <v>0</v>
      </c>
      <c r="IL28">
        <v>0</v>
      </c>
      <c r="IM28">
        <v>0</v>
      </c>
      <c r="IN28" t="s">
        <v>441</v>
      </c>
      <c r="IO28" t="s">
        <v>442</v>
      </c>
      <c r="IP28" t="s">
        <v>443</v>
      </c>
      <c r="IQ28" t="s">
        <v>443</v>
      </c>
      <c r="IR28" t="s">
        <v>443</v>
      </c>
      <c r="IS28" t="s">
        <v>443</v>
      </c>
      <c r="IT28">
        <v>0</v>
      </c>
      <c r="IU28">
        <v>100</v>
      </c>
      <c r="IV28">
        <v>100</v>
      </c>
      <c r="IW28">
        <v>1.203</v>
      </c>
      <c r="IX28">
        <v>0.07779999999999999</v>
      </c>
      <c r="IY28">
        <v>0.3311504758480454</v>
      </c>
      <c r="IZ28">
        <v>0.0001583678016168383</v>
      </c>
      <c r="JA28">
        <v>1.526473431467286E-06</v>
      </c>
      <c r="JB28">
        <v>-4.446382740029455E-10</v>
      </c>
      <c r="JC28">
        <v>-0.03475716015460144</v>
      </c>
      <c r="JD28">
        <v>-0.009941991807247691</v>
      </c>
      <c r="JE28">
        <v>0.001256427533001032</v>
      </c>
      <c r="JF28">
        <v>-1.689728105039484E-05</v>
      </c>
      <c r="JG28">
        <v>2</v>
      </c>
      <c r="JH28">
        <v>1984</v>
      </c>
      <c r="JI28">
        <v>0</v>
      </c>
      <c r="JJ28">
        <v>25</v>
      </c>
      <c r="JK28">
        <v>0.4</v>
      </c>
      <c r="JL28">
        <v>0.6</v>
      </c>
      <c r="JM28">
        <v>1.90308</v>
      </c>
      <c r="JN28">
        <v>2.62451</v>
      </c>
      <c r="JO28">
        <v>1.49658</v>
      </c>
      <c r="JP28">
        <v>2.34741</v>
      </c>
      <c r="JQ28">
        <v>1.54907</v>
      </c>
      <c r="JR28">
        <v>2.46582</v>
      </c>
      <c r="JS28">
        <v>38.2568</v>
      </c>
      <c r="JT28">
        <v>23.7373</v>
      </c>
      <c r="JU28">
        <v>18</v>
      </c>
      <c r="JV28">
        <v>430.462</v>
      </c>
      <c r="JW28">
        <v>478.495</v>
      </c>
      <c r="JX28">
        <v>23.0022</v>
      </c>
      <c r="JY28">
        <v>27.5251</v>
      </c>
      <c r="JZ28">
        <v>29.9999</v>
      </c>
      <c r="KA28">
        <v>27.823</v>
      </c>
      <c r="KB28">
        <v>27.8375</v>
      </c>
      <c r="KC28">
        <v>38.2172</v>
      </c>
      <c r="KD28">
        <v>19.3313</v>
      </c>
      <c r="KE28">
        <v>9.05941</v>
      </c>
      <c r="KF28">
        <v>23.0043</v>
      </c>
      <c r="KG28">
        <v>800</v>
      </c>
      <c r="KH28">
        <v>17.1373</v>
      </c>
      <c r="KI28">
        <v>102.397</v>
      </c>
      <c r="KJ28">
        <v>91.8096</v>
      </c>
    </row>
    <row r="29" spans="1:296">
      <c r="A29">
        <v>11</v>
      </c>
      <c r="B29">
        <v>1765298352.6</v>
      </c>
      <c r="C29">
        <v>919.5999999046326</v>
      </c>
      <c r="D29" t="s">
        <v>473</v>
      </c>
      <c r="E29" t="s">
        <v>474</v>
      </c>
      <c r="F29">
        <v>5</v>
      </c>
      <c r="G29" t="s">
        <v>436</v>
      </c>
      <c r="H29">
        <v>1765298344.599999</v>
      </c>
      <c r="I29">
        <f>(J29)/1000</f>
        <v>0</v>
      </c>
      <c r="J29">
        <f>IF(DO29, AM29, AG29)</f>
        <v>0</v>
      </c>
      <c r="K29">
        <f>IF(DO29, AH29, AF29)</f>
        <v>0</v>
      </c>
      <c r="L29">
        <f>DQ29 - IF(AT29&gt;1, K29*DK29*100.0/(AV29), 0)</f>
        <v>0</v>
      </c>
      <c r="M29">
        <f>((S29-I29/2)*L29-K29)/(S29+I29/2)</f>
        <v>0</v>
      </c>
      <c r="N29">
        <f>M29*(DX29+DY29)/1000.0</f>
        <v>0</v>
      </c>
      <c r="O29">
        <f>(DQ29 - IF(AT29&gt;1, K29*DK29*100.0/(AV29), 0))*(DX29+DY29)/1000.0</f>
        <v>0</v>
      </c>
      <c r="P29">
        <f>2.0/((1/R29-1/Q29)+SIGN(R29)*SQRT((1/R29-1/Q29)*(1/R29-1/Q29) + 4*DL29/((DL29+1)*(DL29+1))*(2*1/R29*1/Q29-1/Q29*1/Q29)))</f>
        <v>0</v>
      </c>
      <c r="Q29">
        <f>IF(LEFT(DM29,1)&lt;&gt;"0",IF(LEFT(DM29,1)="1",3.0,DN29),$D$5+$E$5*(EE29*DX29/($K$5*1000))+$F$5*(EE29*DX29/($K$5*1000))*MAX(MIN(DK29,$J$5),$I$5)*MAX(MIN(DK29,$J$5),$I$5)+$G$5*MAX(MIN(DK29,$J$5),$I$5)*(EE29*DX29/($K$5*1000))+$H$5*(EE29*DX29/($K$5*1000))*(EE29*DX29/($K$5*1000)))</f>
        <v>0</v>
      </c>
      <c r="R29">
        <f>I29*(1000-(1000*0.61365*exp(17.502*V29/(240.97+V29))/(DX29+DY29)+DS29)/2)/(1000*0.61365*exp(17.502*V29/(240.97+V29))/(DX29+DY29)-DS29)</f>
        <v>0</v>
      </c>
      <c r="S29">
        <f>1/((DL29+1)/(P29/1.6)+1/(Q29/1.37)) + DL29/((DL29+1)/(P29/1.6) + DL29/(Q29/1.37))</f>
        <v>0</v>
      </c>
      <c r="T29">
        <f>(DG29*DJ29)</f>
        <v>0</v>
      </c>
      <c r="U29">
        <f>(DZ29+(T29+2*0.95*5.67E-8*(((DZ29+$B$9)+273)^4-(DZ29+273)^4)-44100*I29)/(1.84*29.3*Q29+8*0.95*5.67E-8*(DZ29+273)^3))</f>
        <v>0</v>
      </c>
      <c r="V29">
        <f>($C$9*EA29+$D$9*EB29+$E$9*U29)</f>
        <v>0</v>
      </c>
      <c r="W29">
        <f>0.61365*exp(17.502*V29/(240.97+V29))</f>
        <v>0</v>
      </c>
      <c r="X29">
        <f>(Y29/Z29*100)</f>
        <v>0</v>
      </c>
      <c r="Y29">
        <f>DS29*(DX29+DY29)/1000</f>
        <v>0</v>
      </c>
      <c r="Z29">
        <f>0.61365*exp(17.502*DZ29/(240.97+DZ29))</f>
        <v>0</v>
      </c>
      <c r="AA29">
        <f>(W29-DS29*(DX29+DY29)/1000)</f>
        <v>0</v>
      </c>
      <c r="AB29">
        <f>(-I29*44100)</f>
        <v>0</v>
      </c>
      <c r="AC29">
        <f>2*29.3*Q29*0.92*(DZ29-V29)</f>
        <v>0</v>
      </c>
      <c r="AD29">
        <f>2*0.95*5.67E-8*(((DZ29+$B$9)+273)^4-(V29+273)^4)</f>
        <v>0</v>
      </c>
      <c r="AE29">
        <f>T29+AD29+AB29+AC29</f>
        <v>0</v>
      </c>
      <c r="AF29">
        <f>DW29*AT29*(DR29-DQ29*(1000-AT29*DT29)/(1000-AT29*DS29))/(100*DK29)</f>
        <v>0</v>
      </c>
      <c r="AG29">
        <f>1000*DW29*AT29*(DS29-DT29)/(100*DK29*(1000-AT29*DS29))</f>
        <v>0</v>
      </c>
      <c r="AH29">
        <f>(AI29 - AJ29 - DX29*1E3/(8.314*(DZ29+273.15)) * AL29/DW29 * AK29) * DW29/(100*DK29) * (1000 - DT29)/1000</f>
        <v>0</v>
      </c>
      <c r="AI29">
        <v>1017.430909090909</v>
      </c>
      <c r="AJ29">
        <v>1015.915636363636</v>
      </c>
      <c r="AK29">
        <v>-0.01075543999299871</v>
      </c>
      <c r="AL29">
        <v>64.69363014654208</v>
      </c>
      <c r="AM29">
        <f>(AO29 - AN29 + DX29*1E3/(8.314*(DZ29+273.15)) * AQ29/DW29 * AP29) * DW29/(100*DK29) * 1000/(1000 - AO29)</f>
        <v>0</v>
      </c>
      <c r="AN29">
        <v>17.1037503030303</v>
      </c>
      <c r="AO29">
        <v>17.18935757575757</v>
      </c>
      <c r="AP29">
        <v>-6.3718263718486E-05</v>
      </c>
      <c r="AQ29">
        <v>102.7191488009531</v>
      </c>
      <c r="AR29">
        <v>6</v>
      </c>
      <c r="AS29">
        <v>1</v>
      </c>
      <c r="AT29">
        <f>IF(AR29*$H$15&gt;=AV29,1.0,(AV29/(AV29-AR29*$H$15)))</f>
        <v>0</v>
      </c>
      <c r="AU29">
        <f>(AT29-1)*100</f>
        <v>0</v>
      </c>
      <c r="AV29">
        <f>MAX(0,($B$15+$C$15*EE29)/(1+$D$15*EE29)*DX29/(DZ29+273)*$E$15)</f>
        <v>0</v>
      </c>
      <c r="AW29" t="s">
        <v>437</v>
      </c>
      <c r="AX29" t="s">
        <v>437</v>
      </c>
      <c r="AY29">
        <v>0</v>
      </c>
      <c r="AZ29">
        <v>0</v>
      </c>
      <c r="BA29">
        <f>1-AY29/AZ29</f>
        <v>0</v>
      </c>
      <c r="BB29">
        <v>0</v>
      </c>
      <c r="BC29" t="s">
        <v>437</v>
      </c>
      <c r="BD29" t="s">
        <v>437</v>
      </c>
      <c r="BE29">
        <v>0</v>
      </c>
      <c r="BF29">
        <v>0</v>
      </c>
      <c r="BG29">
        <f>1-BE29/BF29</f>
        <v>0</v>
      </c>
      <c r="BH29">
        <v>0.5</v>
      </c>
      <c r="BI29">
        <f>DH29</f>
        <v>0</v>
      </c>
      <c r="BJ29">
        <f>K29</f>
        <v>0</v>
      </c>
      <c r="BK29">
        <f>BG29*BH29*BI29</f>
        <v>0</v>
      </c>
      <c r="BL29">
        <f>(BJ29-BB29)/BI29</f>
        <v>0</v>
      </c>
      <c r="BM29">
        <f>(AZ29-BF29)/BF29</f>
        <v>0</v>
      </c>
      <c r="BN29">
        <f>AY29/(BA29+AY29/BF29)</f>
        <v>0</v>
      </c>
      <c r="BO29" t="s">
        <v>437</v>
      </c>
      <c r="BP29">
        <v>0</v>
      </c>
      <c r="BQ29">
        <f>IF(BP29&lt;&gt;0, BP29, BN29)</f>
        <v>0</v>
      </c>
      <c r="BR29">
        <f>1-BQ29/BF29</f>
        <v>0</v>
      </c>
      <c r="BS29">
        <f>(BF29-BE29)/(BF29-BQ29)</f>
        <v>0</v>
      </c>
      <c r="BT29">
        <f>(AZ29-BF29)/(AZ29-BQ29)</f>
        <v>0</v>
      </c>
      <c r="BU29">
        <f>(BF29-BE29)/(BF29-AY29)</f>
        <v>0</v>
      </c>
      <c r="BV29">
        <f>(AZ29-BF29)/(AZ29-AY29)</f>
        <v>0</v>
      </c>
      <c r="BW29">
        <f>(BS29*BQ29/BE29)</f>
        <v>0</v>
      </c>
      <c r="BX29">
        <f>(1-BW29)</f>
        <v>0</v>
      </c>
      <c r="DG29">
        <f>$B$13*EF29+$C$13*EG29+$F$13*ER29*(1-EU29)</f>
        <v>0</v>
      </c>
      <c r="DH29">
        <f>DG29*DI29</f>
        <v>0</v>
      </c>
      <c r="DI29">
        <f>($B$13*$D$11+$C$13*$D$11+$F$13*((FE29+EW29)/MAX(FE29+EW29+FF29, 0.1)*$I$11+FF29/MAX(FE29+EW29+FF29, 0.1)*$J$11))/($B$13+$C$13+$F$13)</f>
        <v>0</v>
      </c>
      <c r="DJ29">
        <f>($B$13*$K$11+$C$13*$K$11+$F$13*((FE29+EW29)/MAX(FE29+EW29+FF29, 0.1)*$P$11+FF29/MAX(FE29+EW29+FF29, 0.1)*$Q$11))/($B$13+$C$13+$F$13)</f>
        <v>0</v>
      </c>
      <c r="DK29">
        <v>5.66</v>
      </c>
      <c r="DL29">
        <v>0.5</v>
      </c>
      <c r="DM29" t="s">
        <v>438</v>
      </c>
      <c r="DN29">
        <v>2</v>
      </c>
      <c r="DO29" t="b">
        <v>1</v>
      </c>
      <c r="DP29">
        <v>1765298344.599999</v>
      </c>
      <c r="DQ29">
        <v>998.4078387096774</v>
      </c>
      <c r="DR29">
        <v>1000.020322580645</v>
      </c>
      <c r="DS29">
        <v>17.19754193548387</v>
      </c>
      <c r="DT29">
        <v>17.1061</v>
      </c>
      <c r="DU29">
        <v>997.0250967741936</v>
      </c>
      <c r="DV29">
        <v>17.11871612903226</v>
      </c>
      <c r="DW29">
        <v>500.0084193548387</v>
      </c>
      <c r="DX29">
        <v>90.22080967741935</v>
      </c>
      <c r="DY29">
        <v>0.09999140967741933</v>
      </c>
      <c r="DZ29">
        <v>24.57176129032258</v>
      </c>
      <c r="EA29">
        <v>24.99381290322581</v>
      </c>
      <c r="EB29">
        <v>999.9000000000003</v>
      </c>
      <c r="EC29">
        <v>0</v>
      </c>
      <c r="ED29">
        <v>0</v>
      </c>
      <c r="EE29">
        <v>9997.478387096775</v>
      </c>
      <c r="EF29">
        <v>0</v>
      </c>
      <c r="EG29">
        <v>9.653540000000003</v>
      </c>
      <c r="EH29">
        <v>-1.612782903225807</v>
      </c>
      <c r="EI29">
        <v>1015.877419354839</v>
      </c>
      <c r="EJ29">
        <v>1017.424516129032</v>
      </c>
      <c r="EK29">
        <v>0.09143571290322579</v>
      </c>
      <c r="EL29">
        <v>1000.020322580645</v>
      </c>
      <c r="EM29">
        <v>17.1061</v>
      </c>
      <c r="EN29">
        <v>1.551575806451613</v>
      </c>
      <c r="EO29">
        <v>1.543327096774193</v>
      </c>
      <c r="EP29">
        <v>13.48610967741936</v>
      </c>
      <c r="EQ29">
        <v>13.40429677419355</v>
      </c>
      <c r="ER29">
        <v>799.9941290322579</v>
      </c>
      <c r="ES29">
        <v>0.9500007419354839</v>
      </c>
      <c r="ET29">
        <v>0.04999922903225806</v>
      </c>
      <c r="EU29">
        <v>0</v>
      </c>
      <c r="EV29">
        <v>823.5794516129031</v>
      </c>
      <c r="EW29">
        <v>5.000779999999999</v>
      </c>
      <c r="EX29">
        <v>6165.989677419356</v>
      </c>
      <c r="EY29">
        <v>6463.371290322581</v>
      </c>
      <c r="EZ29">
        <v>35.69132258064516</v>
      </c>
      <c r="FA29">
        <v>38.09451612903224</v>
      </c>
      <c r="FB29">
        <v>37.39090322580644</v>
      </c>
      <c r="FC29">
        <v>37.64487096774193</v>
      </c>
      <c r="FD29">
        <v>37.31616129032257</v>
      </c>
      <c r="FE29">
        <v>755.2435483870967</v>
      </c>
      <c r="FF29">
        <v>39.75</v>
      </c>
      <c r="FG29">
        <v>0</v>
      </c>
      <c r="FH29">
        <v>1765298351.9</v>
      </c>
      <c r="FI29">
        <v>0</v>
      </c>
      <c r="FJ29">
        <v>823.6009200000001</v>
      </c>
      <c r="FK29">
        <v>0.9056923028464877</v>
      </c>
      <c r="FL29">
        <v>-2.005384729914979</v>
      </c>
      <c r="FM29">
        <v>6165.9888</v>
      </c>
      <c r="FN29">
        <v>15</v>
      </c>
      <c r="FO29">
        <v>1765298327.1</v>
      </c>
      <c r="FP29" t="s">
        <v>475</v>
      </c>
      <c r="FQ29">
        <v>1765298327.1</v>
      </c>
      <c r="FR29">
        <v>1765298318.1</v>
      </c>
      <c r="FS29">
        <v>11</v>
      </c>
      <c r="FT29">
        <v>-0.184</v>
      </c>
      <c r="FU29">
        <v>0</v>
      </c>
      <c r="FV29">
        <v>1.386</v>
      </c>
      <c r="FW29">
        <v>0.078</v>
      </c>
      <c r="FX29">
        <v>1000</v>
      </c>
      <c r="FY29">
        <v>17</v>
      </c>
      <c r="FZ29">
        <v>0.57</v>
      </c>
      <c r="GA29">
        <v>0.11</v>
      </c>
      <c r="GB29">
        <v>-1.581849024390244</v>
      </c>
      <c r="GC29">
        <v>-0.200694355400699</v>
      </c>
      <c r="GD29">
        <v>0.1037079042735137</v>
      </c>
      <c r="GE29">
        <v>1</v>
      </c>
      <c r="GF29">
        <v>823.5586764705882</v>
      </c>
      <c r="GG29">
        <v>0.5047364402301172</v>
      </c>
      <c r="GH29">
        <v>0.1895550084040733</v>
      </c>
      <c r="GI29">
        <v>1</v>
      </c>
      <c r="GJ29">
        <v>0.08997954390243902</v>
      </c>
      <c r="GK29">
        <v>0.003556036933797821</v>
      </c>
      <c r="GL29">
        <v>0.006527355943391714</v>
      </c>
      <c r="GM29">
        <v>1</v>
      </c>
      <c r="GN29">
        <v>3</v>
      </c>
      <c r="GO29">
        <v>3</v>
      </c>
      <c r="GP29" t="s">
        <v>440</v>
      </c>
      <c r="GQ29">
        <v>3.10805</v>
      </c>
      <c r="GR29">
        <v>2.79172</v>
      </c>
      <c r="GS29">
        <v>0.160229</v>
      </c>
      <c r="GT29">
        <v>0.160608</v>
      </c>
      <c r="GU29">
        <v>0.0854589</v>
      </c>
      <c r="GV29">
        <v>0.0859615</v>
      </c>
      <c r="GW29">
        <v>22063.7</v>
      </c>
      <c r="GX29">
        <v>20030.2</v>
      </c>
      <c r="GY29">
        <v>26831.3</v>
      </c>
      <c r="GZ29">
        <v>24069.3</v>
      </c>
      <c r="HA29">
        <v>39224.8</v>
      </c>
      <c r="HB29">
        <v>32479.9</v>
      </c>
      <c r="HC29">
        <v>46827.6</v>
      </c>
      <c r="HD29">
        <v>38065.9</v>
      </c>
      <c r="HE29">
        <v>1.87447</v>
      </c>
      <c r="HF29">
        <v>1.84177</v>
      </c>
      <c r="HG29">
        <v>0.07754560000000001</v>
      </c>
      <c r="HH29">
        <v>0</v>
      </c>
      <c r="HI29">
        <v>23.7114</v>
      </c>
      <c r="HJ29">
        <v>999.9</v>
      </c>
      <c r="HK29">
        <v>38.5</v>
      </c>
      <c r="HL29">
        <v>32.8</v>
      </c>
      <c r="HM29">
        <v>21.3181</v>
      </c>
      <c r="HN29">
        <v>62.7778</v>
      </c>
      <c r="HO29">
        <v>29.2348</v>
      </c>
      <c r="HP29">
        <v>1</v>
      </c>
      <c r="HQ29">
        <v>0.024967</v>
      </c>
      <c r="HR29">
        <v>0.8877890000000001</v>
      </c>
      <c r="HS29">
        <v>20.2904</v>
      </c>
      <c r="HT29">
        <v>5.22058</v>
      </c>
      <c r="HU29">
        <v>11.9779</v>
      </c>
      <c r="HV29">
        <v>4.9656</v>
      </c>
      <c r="HW29">
        <v>3.276</v>
      </c>
      <c r="HX29">
        <v>9999</v>
      </c>
      <c r="HY29">
        <v>9999</v>
      </c>
      <c r="HZ29">
        <v>9999</v>
      </c>
      <c r="IA29">
        <v>999.9</v>
      </c>
      <c r="IB29">
        <v>1.86425</v>
      </c>
      <c r="IC29">
        <v>1.86042</v>
      </c>
      <c r="ID29">
        <v>1.85875</v>
      </c>
      <c r="IE29">
        <v>1.86005</v>
      </c>
      <c r="IF29">
        <v>1.86019</v>
      </c>
      <c r="IG29">
        <v>1.85868</v>
      </c>
      <c r="IH29">
        <v>1.85779</v>
      </c>
      <c r="II29">
        <v>1.85272</v>
      </c>
      <c r="IJ29">
        <v>0</v>
      </c>
      <c r="IK29">
        <v>0</v>
      </c>
      <c r="IL29">
        <v>0</v>
      </c>
      <c r="IM29">
        <v>0</v>
      </c>
      <c r="IN29" t="s">
        <v>441</v>
      </c>
      <c r="IO29" t="s">
        <v>442</v>
      </c>
      <c r="IP29" t="s">
        <v>443</v>
      </c>
      <c r="IQ29" t="s">
        <v>443</v>
      </c>
      <c r="IR29" t="s">
        <v>443</v>
      </c>
      <c r="IS29" t="s">
        <v>443</v>
      </c>
      <c r="IT29">
        <v>0</v>
      </c>
      <c r="IU29">
        <v>100</v>
      </c>
      <c r="IV29">
        <v>100</v>
      </c>
      <c r="IW29">
        <v>1.383</v>
      </c>
      <c r="IX29">
        <v>0.07870000000000001</v>
      </c>
      <c r="IY29">
        <v>0.1479209458729049</v>
      </c>
      <c r="IZ29">
        <v>0.0001583678016168383</v>
      </c>
      <c r="JA29">
        <v>1.526473431467286E-06</v>
      </c>
      <c r="JB29">
        <v>-4.446382740029455E-10</v>
      </c>
      <c r="JC29">
        <v>-0.03441238157935902</v>
      </c>
      <c r="JD29">
        <v>-0.009941991807247691</v>
      </c>
      <c r="JE29">
        <v>0.001256427533001032</v>
      </c>
      <c r="JF29">
        <v>-1.689728105039484E-05</v>
      </c>
      <c r="JG29">
        <v>2</v>
      </c>
      <c r="JH29">
        <v>1984</v>
      </c>
      <c r="JI29">
        <v>0</v>
      </c>
      <c r="JJ29">
        <v>25</v>
      </c>
      <c r="JK29">
        <v>0.4</v>
      </c>
      <c r="JL29">
        <v>0.6</v>
      </c>
      <c r="JM29">
        <v>2.28149</v>
      </c>
      <c r="JN29">
        <v>2.62329</v>
      </c>
      <c r="JO29">
        <v>1.49658</v>
      </c>
      <c r="JP29">
        <v>2.34619</v>
      </c>
      <c r="JQ29">
        <v>1.54907</v>
      </c>
      <c r="JR29">
        <v>2.35107</v>
      </c>
      <c r="JS29">
        <v>38.2812</v>
      </c>
      <c r="JT29">
        <v>23.7373</v>
      </c>
      <c r="JU29">
        <v>18</v>
      </c>
      <c r="JV29">
        <v>471.398</v>
      </c>
      <c r="JW29">
        <v>478.26</v>
      </c>
      <c r="JX29">
        <v>23.058</v>
      </c>
      <c r="JY29">
        <v>27.4883</v>
      </c>
      <c r="JZ29">
        <v>29.9999</v>
      </c>
      <c r="KA29">
        <v>27.7864</v>
      </c>
      <c r="KB29">
        <v>27.7994</v>
      </c>
      <c r="KC29">
        <v>45.7761</v>
      </c>
      <c r="KD29">
        <v>19.3313</v>
      </c>
      <c r="KE29">
        <v>8.689159999999999</v>
      </c>
      <c r="KF29">
        <v>23.0647</v>
      </c>
      <c r="KG29">
        <v>1000</v>
      </c>
      <c r="KH29">
        <v>17.097</v>
      </c>
      <c r="KI29">
        <v>102.405</v>
      </c>
      <c r="KJ29">
        <v>91.8141</v>
      </c>
    </row>
    <row r="30" spans="1:296">
      <c r="A30">
        <v>12</v>
      </c>
      <c r="B30">
        <v>1765298430.6</v>
      </c>
      <c r="C30">
        <v>997.5999999046326</v>
      </c>
      <c r="D30" t="s">
        <v>476</v>
      </c>
      <c r="E30" t="s">
        <v>477</v>
      </c>
      <c r="F30">
        <v>5</v>
      </c>
      <c r="G30" t="s">
        <v>436</v>
      </c>
      <c r="H30">
        <v>1765298422.599999</v>
      </c>
      <c r="I30">
        <f>(J30)/1000</f>
        <v>0</v>
      </c>
      <c r="J30">
        <f>IF(DO30, AM30, AG30)</f>
        <v>0</v>
      </c>
      <c r="K30">
        <f>IF(DO30, AH30, AF30)</f>
        <v>0</v>
      </c>
      <c r="L30">
        <f>DQ30 - IF(AT30&gt;1, K30*DK30*100.0/(AV30), 0)</f>
        <v>0</v>
      </c>
      <c r="M30">
        <f>((S30-I30/2)*L30-K30)/(S30+I30/2)</f>
        <v>0</v>
      </c>
      <c r="N30">
        <f>M30*(DX30+DY30)/1000.0</f>
        <v>0</v>
      </c>
      <c r="O30">
        <f>(DQ30 - IF(AT30&gt;1, K30*DK30*100.0/(AV30), 0))*(DX30+DY30)/1000.0</f>
        <v>0</v>
      </c>
      <c r="P30">
        <f>2.0/((1/R30-1/Q30)+SIGN(R30)*SQRT((1/R30-1/Q30)*(1/R30-1/Q30) + 4*DL30/((DL30+1)*(DL30+1))*(2*1/R30*1/Q30-1/Q30*1/Q30)))</f>
        <v>0</v>
      </c>
      <c r="Q30">
        <f>IF(LEFT(DM30,1)&lt;&gt;"0",IF(LEFT(DM30,1)="1",3.0,DN30),$D$5+$E$5*(EE30*DX30/($K$5*1000))+$F$5*(EE30*DX30/($K$5*1000))*MAX(MIN(DK30,$J$5),$I$5)*MAX(MIN(DK30,$J$5),$I$5)+$G$5*MAX(MIN(DK30,$J$5),$I$5)*(EE30*DX30/($K$5*1000))+$H$5*(EE30*DX30/($K$5*1000))*(EE30*DX30/($K$5*1000)))</f>
        <v>0</v>
      </c>
      <c r="R30">
        <f>I30*(1000-(1000*0.61365*exp(17.502*V30/(240.97+V30))/(DX30+DY30)+DS30)/2)/(1000*0.61365*exp(17.502*V30/(240.97+V30))/(DX30+DY30)-DS30)</f>
        <v>0</v>
      </c>
      <c r="S30">
        <f>1/((DL30+1)/(P30/1.6)+1/(Q30/1.37)) + DL30/((DL30+1)/(P30/1.6) + DL30/(Q30/1.37))</f>
        <v>0</v>
      </c>
      <c r="T30">
        <f>(DG30*DJ30)</f>
        <v>0</v>
      </c>
      <c r="U30">
        <f>(DZ30+(T30+2*0.95*5.67E-8*(((DZ30+$B$9)+273)^4-(DZ30+273)^4)-44100*I30)/(1.84*29.3*Q30+8*0.95*5.67E-8*(DZ30+273)^3))</f>
        <v>0</v>
      </c>
      <c r="V30">
        <f>($C$9*EA30+$D$9*EB30+$E$9*U30)</f>
        <v>0</v>
      </c>
      <c r="W30">
        <f>0.61365*exp(17.502*V30/(240.97+V30))</f>
        <v>0</v>
      </c>
      <c r="X30">
        <f>(Y30/Z30*100)</f>
        <v>0</v>
      </c>
      <c r="Y30">
        <f>DS30*(DX30+DY30)/1000</f>
        <v>0</v>
      </c>
      <c r="Z30">
        <f>0.61365*exp(17.502*DZ30/(240.97+DZ30))</f>
        <v>0</v>
      </c>
      <c r="AA30">
        <f>(W30-DS30*(DX30+DY30)/1000)</f>
        <v>0</v>
      </c>
      <c r="AB30">
        <f>(-I30*44100)</f>
        <v>0</v>
      </c>
      <c r="AC30">
        <f>2*29.3*Q30*0.92*(DZ30-V30)</f>
        <v>0</v>
      </c>
      <c r="AD30">
        <f>2*0.95*5.67E-8*(((DZ30+$B$9)+273)^4-(V30+273)^4)</f>
        <v>0</v>
      </c>
      <c r="AE30">
        <f>T30+AD30+AB30+AC30</f>
        <v>0</v>
      </c>
      <c r="AF30">
        <f>DW30*AT30*(DR30-DQ30*(1000-AT30*DT30)/(1000-AT30*DS30))/(100*DK30)</f>
        <v>0</v>
      </c>
      <c r="AG30">
        <f>1000*DW30*AT30*(DS30-DT30)/(100*DK30*(1000-AT30*DS30))</f>
        <v>0</v>
      </c>
      <c r="AH30">
        <f>(AI30 - AJ30 - DX30*1E3/(8.314*(DZ30+273.15)) * AL30/DW30 * AK30) * DW30/(100*DK30) * (1000 - DT30)/1000</f>
        <v>0</v>
      </c>
      <c r="AI30">
        <v>1220.853939393939</v>
      </c>
      <c r="AJ30">
        <v>1219.070121212121</v>
      </c>
      <c r="AK30">
        <v>0.0340649350641035</v>
      </c>
      <c r="AL30">
        <v>63.98459117972663</v>
      </c>
      <c r="AM30">
        <f>(AO30 - AN30 + DX30*1E3/(8.314*(DZ30+273.15)) * AQ30/DW30 * AP30) * DW30/(100*DK30) * 1000/(1000 - AO30)</f>
        <v>0</v>
      </c>
      <c r="AN30">
        <v>17.07506181818181</v>
      </c>
      <c r="AO30">
        <v>17.17156242424241</v>
      </c>
      <c r="AP30">
        <v>-5.773929773945757E-05</v>
      </c>
      <c r="AQ30">
        <v>102.0148426555129</v>
      </c>
      <c r="AR30">
        <v>27</v>
      </c>
      <c r="AS30">
        <v>5</v>
      </c>
      <c r="AT30">
        <f>IF(AR30*$H$15&gt;=AV30,1.0,(AV30/(AV30-AR30*$H$15)))</f>
        <v>0</v>
      </c>
      <c r="AU30">
        <f>(AT30-1)*100</f>
        <v>0</v>
      </c>
      <c r="AV30">
        <f>MAX(0,($B$15+$C$15*EE30)/(1+$D$15*EE30)*DX30/(DZ30+273)*$E$15)</f>
        <v>0</v>
      </c>
      <c r="AW30" t="s">
        <v>437</v>
      </c>
      <c r="AX30" t="s">
        <v>437</v>
      </c>
      <c r="AY30">
        <v>0</v>
      </c>
      <c r="AZ30">
        <v>0</v>
      </c>
      <c r="BA30">
        <f>1-AY30/AZ30</f>
        <v>0</v>
      </c>
      <c r="BB30">
        <v>0</v>
      </c>
      <c r="BC30" t="s">
        <v>437</v>
      </c>
      <c r="BD30" t="s">
        <v>437</v>
      </c>
      <c r="BE30">
        <v>0</v>
      </c>
      <c r="BF30">
        <v>0</v>
      </c>
      <c r="BG30">
        <f>1-BE30/BF30</f>
        <v>0</v>
      </c>
      <c r="BH30">
        <v>0.5</v>
      </c>
      <c r="BI30">
        <f>DH30</f>
        <v>0</v>
      </c>
      <c r="BJ30">
        <f>K30</f>
        <v>0</v>
      </c>
      <c r="BK30">
        <f>BG30*BH30*BI30</f>
        <v>0</v>
      </c>
      <c r="BL30">
        <f>(BJ30-BB30)/BI30</f>
        <v>0</v>
      </c>
      <c r="BM30">
        <f>(AZ30-BF30)/BF30</f>
        <v>0</v>
      </c>
      <c r="BN30">
        <f>AY30/(BA30+AY30/BF30)</f>
        <v>0</v>
      </c>
      <c r="BO30" t="s">
        <v>437</v>
      </c>
      <c r="BP30">
        <v>0</v>
      </c>
      <c r="BQ30">
        <f>IF(BP30&lt;&gt;0, BP30, BN30)</f>
        <v>0</v>
      </c>
      <c r="BR30">
        <f>1-BQ30/BF30</f>
        <v>0</v>
      </c>
      <c r="BS30">
        <f>(BF30-BE30)/(BF30-BQ30)</f>
        <v>0</v>
      </c>
      <c r="BT30">
        <f>(AZ30-BF30)/(AZ30-BQ30)</f>
        <v>0</v>
      </c>
      <c r="BU30">
        <f>(BF30-BE30)/(BF30-AY30)</f>
        <v>0</v>
      </c>
      <c r="BV30">
        <f>(AZ30-BF30)/(AZ30-AY30)</f>
        <v>0</v>
      </c>
      <c r="BW30">
        <f>(BS30*BQ30/BE30)</f>
        <v>0</v>
      </c>
      <c r="BX30">
        <f>(1-BW30)</f>
        <v>0</v>
      </c>
      <c r="DG30">
        <f>$B$13*EF30+$C$13*EG30+$F$13*ER30*(1-EU30)</f>
        <v>0</v>
      </c>
      <c r="DH30">
        <f>DG30*DI30</f>
        <v>0</v>
      </c>
      <c r="DI30">
        <f>($B$13*$D$11+$C$13*$D$11+$F$13*((FE30+EW30)/MAX(FE30+EW30+FF30, 0.1)*$I$11+FF30/MAX(FE30+EW30+FF30, 0.1)*$J$11))/($B$13+$C$13+$F$13)</f>
        <v>0</v>
      </c>
      <c r="DJ30">
        <f>($B$13*$K$11+$C$13*$K$11+$F$13*((FE30+EW30)/MAX(FE30+EW30+FF30, 0.1)*$P$11+FF30/MAX(FE30+EW30+FF30, 0.1)*$Q$11))/($B$13+$C$13+$F$13)</f>
        <v>0</v>
      </c>
      <c r="DK30">
        <v>5.66</v>
      </c>
      <c r="DL30">
        <v>0.5</v>
      </c>
      <c r="DM30" t="s">
        <v>438</v>
      </c>
      <c r="DN30">
        <v>2</v>
      </c>
      <c r="DO30" t="b">
        <v>1</v>
      </c>
      <c r="DP30">
        <v>1765298422.599999</v>
      </c>
      <c r="DQ30">
        <v>1198.134193548387</v>
      </c>
      <c r="DR30">
        <v>1200.010967741935</v>
      </c>
      <c r="DS30">
        <v>17.17542258064517</v>
      </c>
      <c r="DT30">
        <v>17.09234193548387</v>
      </c>
      <c r="DU30">
        <v>1196.364516129032</v>
      </c>
      <c r="DV30">
        <v>17.09668709677419</v>
      </c>
      <c r="DW30">
        <v>499.9688064516129</v>
      </c>
      <c r="DX30">
        <v>90.22361612903227</v>
      </c>
      <c r="DY30">
        <v>0.1003318419354839</v>
      </c>
      <c r="DZ30">
        <v>24.56157741935484</v>
      </c>
      <c r="EA30">
        <v>24.98609677419355</v>
      </c>
      <c r="EB30">
        <v>999.9000000000003</v>
      </c>
      <c r="EC30">
        <v>0</v>
      </c>
      <c r="ED30">
        <v>0</v>
      </c>
      <c r="EE30">
        <v>9999.914193548386</v>
      </c>
      <c r="EF30">
        <v>0</v>
      </c>
      <c r="EG30">
        <v>9.653540000000003</v>
      </c>
      <c r="EH30">
        <v>-1.878197741935484</v>
      </c>
      <c r="EI30">
        <v>1219.072258064516</v>
      </c>
      <c r="EJ30">
        <v>1220.879677419355</v>
      </c>
      <c r="EK30">
        <v>0.0830778870967742</v>
      </c>
      <c r="EL30">
        <v>1200.010967741935</v>
      </c>
      <c r="EM30">
        <v>17.09234193548387</v>
      </c>
      <c r="EN30">
        <v>1.549629032258065</v>
      </c>
      <c r="EO30">
        <v>1.542132580645161</v>
      </c>
      <c r="EP30">
        <v>13.46682580645161</v>
      </c>
      <c r="EQ30">
        <v>13.39242580645161</v>
      </c>
      <c r="ER30">
        <v>800.0091935483871</v>
      </c>
      <c r="ES30">
        <v>0.9499962258064515</v>
      </c>
      <c r="ET30">
        <v>0.05000401290322581</v>
      </c>
      <c r="EU30">
        <v>0</v>
      </c>
      <c r="EV30">
        <v>823.2337741935484</v>
      </c>
      <c r="EW30">
        <v>5.000779999999999</v>
      </c>
      <c r="EX30">
        <v>6178.124516129031</v>
      </c>
      <c r="EY30">
        <v>6463.482258064517</v>
      </c>
      <c r="EZ30">
        <v>36.20741935483871</v>
      </c>
      <c r="FA30">
        <v>39.45532258064515</v>
      </c>
      <c r="FB30">
        <v>38.18525806451613</v>
      </c>
      <c r="FC30">
        <v>39.16099999999999</v>
      </c>
      <c r="FD30">
        <v>38.35058064516129</v>
      </c>
      <c r="FE30">
        <v>755.2545161290321</v>
      </c>
      <c r="FF30">
        <v>39.75</v>
      </c>
      <c r="FG30">
        <v>0</v>
      </c>
      <c r="FH30">
        <v>1765298429.9</v>
      </c>
      <c r="FI30">
        <v>0</v>
      </c>
      <c r="FJ30">
        <v>823.2150800000001</v>
      </c>
      <c r="FK30">
        <v>-0.9655384574478615</v>
      </c>
      <c r="FL30">
        <v>14.54615388393318</v>
      </c>
      <c r="FM30">
        <v>6178.458000000001</v>
      </c>
      <c r="FN30">
        <v>15</v>
      </c>
      <c r="FO30">
        <v>1765298405.1</v>
      </c>
      <c r="FP30" t="s">
        <v>478</v>
      </c>
      <c r="FQ30">
        <v>1765298405.1</v>
      </c>
      <c r="FR30">
        <v>1765298404.1</v>
      </c>
      <c r="FS30">
        <v>12</v>
      </c>
      <c r="FT30">
        <v>0.008999999999999999</v>
      </c>
      <c r="FU30">
        <v>0</v>
      </c>
      <c r="FV30">
        <v>1.773</v>
      </c>
      <c r="FW30">
        <v>0.077</v>
      </c>
      <c r="FX30">
        <v>1200</v>
      </c>
      <c r="FY30">
        <v>17</v>
      </c>
      <c r="FZ30">
        <v>0.53</v>
      </c>
      <c r="GA30">
        <v>0.15</v>
      </c>
      <c r="GB30">
        <v>-1.882878536585366</v>
      </c>
      <c r="GC30">
        <v>0.1447112195121949</v>
      </c>
      <c r="GD30">
        <v>0.1237174153121417</v>
      </c>
      <c r="GE30">
        <v>1</v>
      </c>
      <c r="GF30">
        <v>823.2543529411765</v>
      </c>
      <c r="GG30">
        <v>-0.9779984665659194</v>
      </c>
      <c r="GH30">
        <v>0.2476081917243235</v>
      </c>
      <c r="GI30">
        <v>1</v>
      </c>
      <c r="GJ30">
        <v>0.08122141219512194</v>
      </c>
      <c r="GK30">
        <v>0.03534491498257854</v>
      </c>
      <c r="GL30">
        <v>0.005779303255845122</v>
      </c>
      <c r="GM30">
        <v>1</v>
      </c>
      <c r="GN30">
        <v>3</v>
      </c>
      <c r="GO30">
        <v>3</v>
      </c>
      <c r="GP30" t="s">
        <v>440</v>
      </c>
      <c r="GQ30">
        <v>3.10827</v>
      </c>
      <c r="GR30">
        <v>2.79269</v>
      </c>
      <c r="GS30">
        <v>0.179689</v>
      </c>
      <c r="GT30">
        <v>0.180127</v>
      </c>
      <c r="GU30">
        <v>0.08540689999999999</v>
      </c>
      <c r="GV30">
        <v>0.0858585</v>
      </c>
      <c r="GW30">
        <v>21553.6</v>
      </c>
      <c r="GX30">
        <v>19565</v>
      </c>
      <c r="GY30">
        <v>26832.3</v>
      </c>
      <c r="GZ30">
        <v>24069.5</v>
      </c>
      <c r="HA30">
        <v>39231</v>
      </c>
      <c r="HB30">
        <v>32485.9</v>
      </c>
      <c r="HC30">
        <v>46829.6</v>
      </c>
      <c r="HD30">
        <v>38066.2</v>
      </c>
      <c r="HE30">
        <v>1.83368</v>
      </c>
      <c r="HF30">
        <v>1.84238</v>
      </c>
      <c r="HG30">
        <v>0.0790246</v>
      </c>
      <c r="HH30">
        <v>0</v>
      </c>
      <c r="HI30">
        <v>23.6895</v>
      </c>
      <c r="HJ30">
        <v>999.9</v>
      </c>
      <c r="HK30">
        <v>38.3</v>
      </c>
      <c r="HL30">
        <v>32.9</v>
      </c>
      <c r="HM30">
        <v>21.3253</v>
      </c>
      <c r="HN30">
        <v>62.6278</v>
      </c>
      <c r="HO30">
        <v>29.367</v>
      </c>
      <c r="HP30">
        <v>1</v>
      </c>
      <c r="HQ30">
        <v>0.0219639</v>
      </c>
      <c r="HR30">
        <v>0.753494</v>
      </c>
      <c r="HS30">
        <v>20.2932</v>
      </c>
      <c r="HT30">
        <v>5.22238</v>
      </c>
      <c r="HU30">
        <v>11.9764</v>
      </c>
      <c r="HV30">
        <v>4.96555</v>
      </c>
      <c r="HW30">
        <v>3.27595</v>
      </c>
      <c r="HX30">
        <v>9999</v>
      </c>
      <c r="HY30">
        <v>9999</v>
      </c>
      <c r="HZ30">
        <v>9999</v>
      </c>
      <c r="IA30">
        <v>999.9</v>
      </c>
      <c r="IB30">
        <v>1.86421</v>
      </c>
      <c r="IC30">
        <v>1.86038</v>
      </c>
      <c r="ID30">
        <v>1.85873</v>
      </c>
      <c r="IE30">
        <v>1.86005</v>
      </c>
      <c r="IF30">
        <v>1.86019</v>
      </c>
      <c r="IG30">
        <v>1.85868</v>
      </c>
      <c r="IH30">
        <v>1.85778</v>
      </c>
      <c r="II30">
        <v>1.85272</v>
      </c>
      <c r="IJ30">
        <v>0</v>
      </c>
      <c r="IK30">
        <v>0</v>
      </c>
      <c r="IL30">
        <v>0</v>
      </c>
      <c r="IM30">
        <v>0</v>
      </c>
      <c r="IN30" t="s">
        <v>441</v>
      </c>
      <c r="IO30" t="s">
        <v>442</v>
      </c>
      <c r="IP30" t="s">
        <v>443</v>
      </c>
      <c r="IQ30" t="s">
        <v>443</v>
      </c>
      <c r="IR30" t="s">
        <v>443</v>
      </c>
      <c r="IS30" t="s">
        <v>443</v>
      </c>
      <c r="IT30">
        <v>0</v>
      </c>
      <c r="IU30">
        <v>100</v>
      </c>
      <c r="IV30">
        <v>100</v>
      </c>
      <c r="IW30">
        <v>1.77</v>
      </c>
      <c r="IX30">
        <v>0.07870000000000001</v>
      </c>
      <c r="IY30">
        <v>0.1565502616237887</v>
      </c>
      <c r="IZ30">
        <v>0.0001583678016168383</v>
      </c>
      <c r="JA30">
        <v>1.526473431467286E-06</v>
      </c>
      <c r="JB30">
        <v>-4.446382740029455E-10</v>
      </c>
      <c r="JC30">
        <v>-0.0340999203128453</v>
      </c>
      <c r="JD30">
        <v>-0.009941991807247691</v>
      </c>
      <c r="JE30">
        <v>0.001256427533001032</v>
      </c>
      <c r="JF30">
        <v>-1.689728105039484E-05</v>
      </c>
      <c r="JG30">
        <v>2</v>
      </c>
      <c r="JH30">
        <v>1984</v>
      </c>
      <c r="JI30">
        <v>0</v>
      </c>
      <c r="JJ30">
        <v>25</v>
      </c>
      <c r="JK30">
        <v>0.4</v>
      </c>
      <c r="JL30">
        <v>0.4</v>
      </c>
      <c r="JM30">
        <v>2.6416</v>
      </c>
      <c r="JN30">
        <v>2.61597</v>
      </c>
      <c r="JO30">
        <v>1.49658</v>
      </c>
      <c r="JP30">
        <v>2.34619</v>
      </c>
      <c r="JQ30">
        <v>1.54907</v>
      </c>
      <c r="JR30">
        <v>2.41699</v>
      </c>
      <c r="JS30">
        <v>38.3056</v>
      </c>
      <c r="JT30">
        <v>23.7373</v>
      </c>
      <c r="JU30">
        <v>18</v>
      </c>
      <c r="JV30">
        <v>448.438</v>
      </c>
      <c r="JW30">
        <v>478.359</v>
      </c>
      <c r="JX30">
        <v>23.1535</v>
      </c>
      <c r="JY30">
        <v>27.4504</v>
      </c>
      <c r="JZ30">
        <v>29.9999</v>
      </c>
      <c r="KA30">
        <v>27.7518</v>
      </c>
      <c r="KB30">
        <v>27.765</v>
      </c>
      <c r="KC30">
        <v>53.0107</v>
      </c>
      <c r="KD30">
        <v>19.3313</v>
      </c>
      <c r="KE30">
        <v>8.312480000000001</v>
      </c>
      <c r="KF30">
        <v>23.1562</v>
      </c>
      <c r="KG30">
        <v>1200</v>
      </c>
      <c r="KH30">
        <v>17.0807</v>
      </c>
      <c r="KI30">
        <v>102.409</v>
      </c>
      <c r="KJ30">
        <v>91.81489999999999</v>
      </c>
    </row>
    <row r="31" spans="1:296">
      <c r="A31">
        <v>13</v>
      </c>
      <c r="B31">
        <v>1765301050.6</v>
      </c>
      <c r="C31">
        <v>3617.599999904633</v>
      </c>
      <c r="D31" t="s">
        <v>479</v>
      </c>
      <c r="E31" t="s">
        <v>480</v>
      </c>
      <c r="F31">
        <v>5</v>
      </c>
      <c r="G31" t="s">
        <v>481</v>
      </c>
      <c r="H31">
        <v>1765301042.849999</v>
      </c>
      <c r="I31">
        <f>(J31)/1000</f>
        <v>0</v>
      </c>
      <c r="J31">
        <f>IF(DO31, AM31, AG31)</f>
        <v>0</v>
      </c>
      <c r="K31">
        <f>IF(DO31, AH31, AF31)</f>
        <v>0</v>
      </c>
      <c r="L31">
        <f>DQ31 - IF(AT31&gt;1, K31*DK31*100.0/(AV31), 0)</f>
        <v>0</v>
      </c>
      <c r="M31">
        <f>((S31-I31/2)*L31-K31)/(S31+I31/2)</f>
        <v>0</v>
      </c>
      <c r="N31">
        <f>M31*(DX31+DY31)/1000.0</f>
        <v>0</v>
      </c>
      <c r="O31">
        <f>(DQ31 - IF(AT31&gt;1, K31*DK31*100.0/(AV31), 0))*(DX31+DY31)/1000.0</f>
        <v>0</v>
      </c>
      <c r="P31">
        <f>2.0/((1/R31-1/Q31)+SIGN(R31)*SQRT((1/R31-1/Q31)*(1/R31-1/Q31) + 4*DL31/((DL31+1)*(DL31+1))*(2*1/R31*1/Q31-1/Q31*1/Q31)))</f>
        <v>0</v>
      </c>
      <c r="Q31">
        <f>IF(LEFT(DM31,1)&lt;&gt;"0",IF(LEFT(DM31,1)="1",3.0,DN31),$D$5+$E$5*(EE31*DX31/($K$5*1000))+$F$5*(EE31*DX31/($K$5*1000))*MAX(MIN(DK31,$J$5),$I$5)*MAX(MIN(DK31,$J$5),$I$5)+$G$5*MAX(MIN(DK31,$J$5),$I$5)*(EE31*DX31/($K$5*1000))+$H$5*(EE31*DX31/($K$5*1000))*(EE31*DX31/($K$5*1000)))</f>
        <v>0</v>
      </c>
      <c r="R31">
        <f>I31*(1000-(1000*0.61365*exp(17.502*V31/(240.97+V31))/(DX31+DY31)+DS31)/2)/(1000*0.61365*exp(17.502*V31/(240.97+V31))/(DX31+DY31)-DS31)</f>
        <v>0</v>
      </c>
      <c r="S31">
        <f>1/((DL31+1)/(P31/1.6)+1/(Q31/1.37)) + DL31/((DL31+1)/(P31/1.6) + DL31/(Q31/1.37))</f>
        <v>0</v>
      </c>
      <c r="T31">
        <f>(DG31*DJ31)</f>
        <v>0</v>
      </c>
      <c r="U31">
        <f>(DZ31+(T31+2*0.95*5.67E-8*(((DZ31+$B$9)+273)^4-(DZ31+273)^4)-44100*I31)/(1.84*29.3*Q31+8*0.95*5.67E-8*(DZ31+273)^3))</f>
        <v>0</v>
      </c>
      <c r="V31">
        <f>($C$9*EA31+$D$9*EB31+$E$9*U31)</f>
        <v>0</v>
      </c>
      <c r="W31">
        <f>0.61365*exp(17.502*V31/(240.97+V31))</f>
        <v>0</v>
      </c>
      <c r="X31">
        <f>(Y31/Z31*100)</f>
        <v>0</v>
      </c>
      <c r="Y31">
        <f>DS31*(DX31+DY31)/1000</f>
        <v>0</v>
      </c>
      <c r="Z31">
        <f>0.61365*exp(17.502*DZ31/(240.97+DZ31))</f>
        <v>0</v>
      </c>
      <c r="AA31">
        <f>(W31-DS31*(DX31+DY31)/1000)</f>
        <v>0</v>
      </c>
      <c r="AB31">
        <f>(-I31*44100)</f>
        <v>0</v>
      </c>
      <c r="AC31">
        <f>2*29.3*Q31*0.92*(DZ31-V31)</f>
        <v>0</v>
      </c>
      <c r="AD31">
        <f>2*0.95*5.67E-8*(((DZ31+$B$9)+273)^4-(V31+273)^4)</f>
        <v>0</v>
      </c>
      <c r="AE31">
        <f>T31+AD31+AB31+AC31</f>
        <v>0</v>
      </c>
      <c r="AF31">
        <f>DW31*AT31*(DR31-DQ31*(1000-AT31*DT31)/(1000-AT31*DS31))/(100*DK31)</f>
        <v>0</v>
      </c>
      <c r="AG31">
        <f>1000*DW31*AT31*(DS31-DT31)/(100*DK31*(1000-AT31*DS31))</f>
        <v>0</v>
      </c>
      <c r="AH31">
        <f>(AI31 - AJ31 - DX31*1E3/(8.314*(DZ31+273.15)) * AL31/DW31 * AK31) * DW31/(100*DK31) * (1000 - DT31)/1000</f>
        <v>0</v>
      </c>
      <c r="AI31">
        <v>407.1150250906236</v>
      </c>
      <c r="AJ31">
        <v>407.2856727272728</v>
      </c>
      <c r="AK31">
        <v>-0.02244419223231869</v>
      </c>
      <c r="AL31">
        <v>65.84299931180428</v>
      </c>
      <c r="AM31">
        <f>(AO31 - AN31 + DX31*1E3/(8.314*(DZ31+273.15)) * AQ31/DW31 * AP31) * DW31/(100*DK31) * 1000/(1000 - AO31)</f>
        <v>0</v>
      </c>
      <c r="AN31">
        <v>17.45469541663889</v>
      </c>
      <c r="AO31">
        <v>17.5394303030303</v>
      </c>
      <c r="AP31">
        <v>-1.252580793922159E-06</v>
      </c>
      <c r="AQ31">
        <v>108.2925504800474</v>
      </c>
      <c r="AR31">
        <v>24</v>
      </c>
      <c r="AS31">
        <v>5</v>
      </c>
      <c r="AT31">
        <f>IF(AR31*$H$15&gt;=AV31,1.0,(AV31/(AV31-AR31*$H$15)))</f>
        <v>0</v>
      </c>
      <c r="AU31">
        <f>(AT31-1)*100</f>
        <v>0</v>
      </c>
      <c r="AV31">
        <f>MAX(0,($B$15+$C$15*EE31)/(1+$D$15*EE31)*DX31/(DZ31+273)*$E$15)</f>
        <v>0</v>
      </c>
      <c r="AW31" t="s">
        <v>437</v>
      </c>
      <c r="AX31" t="s">
        <v>437</v>
      </c>
      <c r="AY31">
        <v>0</v>
      </c>
      <c r="AZ31">
        <v>0</v>
      </c>
      <c r="BA31">
        <f>1-AY31/AZ31</f>
        <v>0</v>
      </c>
      <c r="BB31">
        <v>0</v>
      </c>
      <c r="BC31" t="s">
        <v>437</v>
      </c>
      <c r="BD31" t="s">
        <v>437</v>
      </c>
      <c r="BE31">
        <v>0</v>
      </c>
      <c r="BF31">
        <v>0</v>
      </c>
      <c r="BG31">
        <f>1-BE31/BF31</f>
        <v>0</v>
      </c>
      <c r="BH31">
        <v>0.5</v>
      </c>
      <c r="BI31">
        <f>DH31</f>
        <v>0</v>
      </c>
      <c r="BJ31">
        <f>K31</f>
        <v>0</v>
      </c>
      <c r="BK31">
        <f>BG31*BH31*BI31</f>
        <v>0</v>
      </c>
      <c r="BL31">
        <f>(BJ31-BB31)/BI31</f>
        <v>0</v>
      </c>
      <c r="BM31">
        <f>(AZ31-BF31)/BF31</f>
        <v>0</v>
      </c>
      <c r="BN31">
        <f>AY31/(BA31+AY31/BF31)</f>
        <v>0</v>
      </c>
      <c r="BO31" t="s">
        <v>437</v>
      </c>
      <c r="BP31">
        <v>0</v>
      </c>
      <c r="BQ31">
        <f>IF(BP31&lt;&gt;0, BP31, BN31)</f>
        <v>0</v>
      </c>
      <c r="BR31">
        <f>1-BQ31/BF31</f>
        <v>0</v>
      </c>
      <c r="BS31">
        <f>(BF31-BE31)/(BF31-BQ31)</f>
        <v>0</v>
      </c>
      <c r="BT31">
        <f>(AZ31-BF31)/(AZ31-BQ31)</f>
        <v>0</v>
      </c>
      <c r="BU31">
        <f>(BF31-BE31)/(BF31-AY31)</f>
        <v>0</v>
      </c>
      <c r="BV31">
        <f>(AZ31-BF31)/(AZ31-AY31)</f>
        <v>0</v>
      </c>
      <c r="BW31">
        <f>(BS31*BQ31/BE31)</f>
        <v>0</v>
      </c>
      <c r="BX31">
        <f>(1-BW31)</f>
        <v>0</v>
      </c>
      <c r="DG31">
        <f>$B$13*EF31+$C$13*EG31+$F$13*ER31*(1-EU31)</f>
        <v>0</v>
      </c>
      <c r="DH31">
        <f>DG31*DI31</f>
        <v>0</v>
      </c>
      <c r="DI31">
        <f>($B$13*$D$11+$C$13*$D$11+$F$13*((FE31+EW31)/MAX(FE31+EW31+FF31, 0.1)*$I$11+FF31/MAX(FE31+EW31+FF31, 0.1)*$J$11))/($B$13+$C$13+$F$13)</f>
        <v>0</v>
      </c>
      <c r="DJ31">
        <f>($B$13*$K$11+$C$13*$K$11+$F$13*((FE31+EW31)/MAX(FE31+EW31+FF31, 0.1)*$P$11+FF31/MAX(FE31+EW31+FF31, 0.1)*$Q$11))/($B$13+$C$13+$F$13)</f>
        <v>0</v>
      </c>
      <c r="DK31">
        <v>5.66</v>
      </c>
      <c r="DL31">
        <v>0.5</v>
      </c>
      <c r="DM31" t="s">
        <v>438</v>
      </c>
      <c r="DN31">
        <v>2</v>
      </c>
      <c r="DO31" t="b">
        <v>1</v>
      </c>
      <c r="DP31">
        <v>1765301042.849999</v>
      </c>
      <c r="DQ31">
        <v>400.2423666666667</v>
      </c>
      <c r="DR31">
        <v>400.0070666666667</v>
      </c>
      <c r="DS31">
        <v>17.53583333333334</v>
      </c>
      <c r="DT31">
        <v>17.45374</v>
      </c>
      <c r="DU31">
        <v>400.1723666666667</v>
      </c>
      <c r="DV31">
        <v>17.46183333333333</v>
      </c>
      <c r="DW31">
        <v>500.0183333333334</v>
      </c>
      <c r="DX31">
        <v>90.16302333333334</v>
      </c>
      <c r="DY31">
        <v>0.1000218033333333</v>
      </c>
      <c r="DZ31">
        <v>24.90792666666666</v>
      </c>
      <c r="EA31">
        <v>24.99011</v>
      </c>
      <c r="EB31">
        <v>999.9000000000002</v>
      </c>
      <c r="EC31">
        <v>0</v>
      </c>
      <c r="ED31">
        <v>0</v>
      </c>
      <c r="EE31">
        <v>10002.01666666667</v>
      </c>
      <c r="EF31">
        <v>0</v>
      </c>
      <c r="EG31">
        <v>9.489558666666666</v>
      </c>
      <c r="EH31">
        <v>0.1750386</v>
      </c>
      <c r="EI31">
        <v>407.3263000000001</v>
      </c>
      <c r="EJ31">
        <v>407.1126666666667</v>
      </c>
      <c r="EK31">
        <v>0.08527755666666666</v>
      </c>
      <c r="EL31">
        <v>400.0070666666667</v>
      </c>
      <c r="EM31">
        <v>17.45374</v>
      </c>
      <c r="EN31">
        <v>1.581371333333334</v>
      </c>
      <c r="EO31">
        <v>1.573682</v>
      </c>
      <c r="EP31">
        <v>13.77845333333333</v>
      </c>
      <c r="EQ31">
        <v>13.70349333333333</v>
      </c>
      <c r="ER31">
        <v>800.0046333333335</v>
      </c>
      <c r="ES31">
        <v>0.9499956999999999</v>
      </c>
      <c r="ET31">
        <v>0.05000461000000001</v>
      </c>
      <c r="EU31">
        <v>0</v>
      </c>
      <c r="EV31">
        <v>1340.357</v>
      </c>
      <c r="EW31">
        <v>5.00078</v>
      </c>
      <c r="EX31">
        <v>10043.50333333333</v>
      </c>
      <c r="EY31">
        <v>6463.444</v>
      </c>
      <c r="EZ31">
        <v>36.3748</v>
      </c>
      <c r="FA31">
        <v>39.98103333333332</v>
      </c>
      <c r="FB31">
        <v>38.452</v>
      </c>
      <c r="FC31">
        <v>39.91433333333332</v>
      </c>
      <c r="FD31">
        <v>38.61429999999999</v>
      </c>
      <c r="FE31">
        <v>755.2493333333332</v>
      </c>
      <c r="FF31">
        <v>39.75300000000001</v>
      </c>
      <c r="FG31">
        <v>0</v>
      </c>
      <c r="FH31">
        <v>1765301050.1</v>
      </c>
      <c r="FI31">
        <v>0</v>
      </c>
      <c r="FJ31">
        <v>1340.347692307692</v>
      </c>
      <c r="FK31">
        <v>-2.972307678156383</v>
      </c>
      <c r="FL31">
        <v>3.073504278201419</v>
      </c>
      <c r="FM31">
        <v>10043.53461538461</v>
      </c>
      <c r="FN31">
        <v>15</v>
      </c>
      <c r="FO31">
        <v>1765301071.6</v>
      </c>
      <c r="FP31" t="s">
        <v>482</v>
      </c>
      <c r="FQ31">
        <v>1765301071.6</v>
      </c>
      <c r="FR31">
        <v>1765301067.6</v>
      </c>
      <c r="FS31">
        <v>14</v>
      </c>
      <c r="FT31">
        <v>0.06</v>
      </c>
      <c r="FU31">
        <v>-0.002</v>
      </c>
      <c r="FV31">
        <v>0.07000000000000001</v>
      </c>
      <c r="FW31">
        <v>0.074</v>
      </c>
      <c r="FX31">
        <v>400</v>
      </c>
      <c r="FY31">
        <v>17</v>
      </c>
      <c r="FZ31">
        <v>0.62</v>
      </c>
      <c r="GA31">
        <v>0.2</v>
      </c>
      <c r="GB31">
        <v>0.18792945</v>
      </c>
      <c r="GC31">
        <v>-0.114815797373359</v>
      </c>
      <c r="GD31">
        <v>0.0346663383081845</v>
      </c>
      <c r="GE31">
        <v>1</v>
      </c>
      <c r="GF31">
        <v>1340.507352941177</v>
      </c>
      <c r="GG31">
        <v>-2.614056524649464</v>
      </c>
      <c r="GH31">
        <v>0.350372145209061</v>
      </c>
      <c r="GI31">
        <v>0</v>
      </c>
      <c r="GJ31">
        <v>0.08589349</v>
      </c>
      <c r="GK31">
        <v>-0.00974900037523471</v>
      </c>
      <c r="GL31">
        <v>0.001213241927811596</v>
      </c>
      <c r="GM31">
        <v>1</v>
      </c>
      <c r="GN31">
        <v>2</v>
      </c>
      <c r="GO31">
        <v>3</v>
      </c>
      <c r="GP31" t="s">
        <v>453</v>
      </c>
      <c r="GQ31">
        <v>3.10825</v>
      </c>
      <c r="GR31">
        <v>2.79164</v>
      </c>
      <c r="GS31">
        <v>0.0846548</v>
      </c>
      <c r="GT31">
        <v>0.08467330000000001</v>
      </c>
      <c r="GU31">
        <v>0.08659260000000001</v>
      </c>
      <c r="GV31">
        <v>0.08708249999999999</v>
      </c>
      <c r="GW31">
        <v>24012.8</v>
      </c>
      <c r="GX31">
        <v>21807.9</v>
      </c>
      <c r="GY31">
        <v>26793.1</v>
      </c>
      <c r="GZ31">
        <v>24034.1</v>
      </c>
      <c r="HA31">
        <v>39113.2</v>
      </c>
      <c r="HB31">
        <v>32384.6</v>
      </c>
      <c r="HC31">
        <v>46763.3</v>
      </c>
      <c r="HD31">
        <v>38009.7</v>
      </c>
      <c r="HE31">
        <v>1.83312</v>
      </c>
      <c r="HF31">
        <v>1.82862</v>
      </c>
      <c r="HG31">
        <v>0.0552088</v>
      </c>
      <c r="HH31">
        <v>0</v>
      </c>
      <c r="HI31">
        <v>24.0799</v>
      </c>
      <c r="HJ31">
        <v>999.9</v>
      </c>
      <c r="HK31">
        <v>36.4</v>
      </c>
      <c r="HL31">
        <v>33.6</v>
      </c>
      <c r="HM31">
        <v>21.0932</v>
      </c>
      <c r="HN31">
        <v>61.5437</v>
      </c>
      <c r="HO31">
        <v>28.5697</v>
      </c>
      <c r="HP31">
        <v>1</v>
      </c>
      <c r="HQ31">
        <v>0.0667073</v>
      </c>
      <c r="HR31">
        <v>1.12317</v>
      </c>
      <c r="HS31">
        <v>20.2907</v>
      </c>
      <c r="HT31">
        <v>5.21774</v>
      </c>
      <c r="HU31">
        <v>11.977</v>
      </c>
      <c r="HV31">
        <v>4.96535</v>
      </c>
      <c r="HW31">
        <v>3.27598</v>
      </c>
      <c r="HX31">
        <v>9999</v>
      </c>
      <c r="HY31">
        <v>9999</v>
      </c>
      <c r="HZ31">
        <v>9999</v>
      </c>
      <c r="IA31">
        <v>999.9</v>
      </c>
      <c r="IB31">
        <v>1.86419</v>
      </c>
      <c r="IC31">
        <v>1.86041</v>
      </c>
      <c r="ID31">
        <v>1.85877</v>
      </c>
      <c r="IE31">
        <v>1.86005</v>
      </c>
      <c r="IF31">
        <v>1.8602</v>
      </c>
      <c r="IG31">
        <v>1.85869</v>
      </c>
      <c r="IH31">
        <v>1.85776</v>
      </c>
      <c r="II31">
        <v>1.85272</v>
      </c>
      <c r="IJ31">
        <v>0</v>
      </c>
      <c r="IK31">
        <v>0</v>
      </c>
      <c r="IL31">
        <v>0</v>
      </c>
      <c r="IM31">
        <v>0</v>
      </c>
      <c r="IN31" t="s">
        <v>441</v>
      </c>
      <c r="IO31" t="s">
        <v>442</v>
      </c>
      <c r="IP31" t="s">
        <v>443</v>
      </c>
      <c r="IQ31" t="s">
        <v>443</v>
      </c>
      <c r="IR31" t="s">
        <v>443</v>
      </c>
      <c r="IS31" t="s">
        <v>443</v>
      </c>
      <c r="IT31">
        <v>0</v>
      </c>
      <c r="IU31">
        <v>100</v>
      </c>
      <c r="IV31">
        <v>100</v>
      </c>
      <c r="IW31">
        <v>0.07000000000000001</v>
      </c>
      <c r="IX31">
        <v>0.074</v>
      </c>
      <c r="IY31">
        <v>-0.2694859650888295</v>
      </c>
      <c r="IZ31">
        <v>0.0001583678016168383</v>
      </c>
      <c r="JA31">
        <v>1.526473431467286E-06</v>
      </c>
      <c r="JB31">
        <v>-4.446382740029455E-10</v>
      </c>
      <c r="JC31">
        <v>-0.04233821240572984</v>
      </c>
      <c r="JD31">
        <v>-0.009941991807247691</v>
      </c>
      <c r="JE31">
        <v>0.001256427533001032</v>
      </c>
      <c r="JF31">
        <v>-1.689728105039484E-05</v>
      </c>
      <c r="JG31">
        <v>2</v>
      </c>
      <c r="JH31">
        <v>1984</v>
      </c>
      <c r="JI31">
        <v>0</v>
      </c>
      <c r="JJ31">
        <v>25</v>
      </c>
      <c r="JK31">
        <v>20.5</v>
      </c>
      <c r="JL31">
        <v>20.5</v>
      </c>
      <c r="JM31">
        <v>1.08887</v>
      </c>
      <c r="JN31">
        <v>2.60254</v>
      </c>
      <c r="JO31">
        <v>1.49658</v>
      </c>
      <c r="JP31">
        <v>2.34741</v>
      </c>
      <c r="JQ31">
        <v>1.54907</v>
      </c>
      <c r="JR31">
        <v>2.4585</v>
      </c>
      <c r="JS31">
        <v>38.8211</v>
      </c>
      <c r="JT31">
        <v>23.711</v>
      </c>
      <c r="JU31">
        <v>18</v>
      </c>
      <c r="JV31">
        <v>451.48</v>
      </c>
      <c r="JW31">
        <v>473.275</v>
      </c>
      <c r="JX31">
        <v>23.2839</v>
      </c>
      <c r="JY31">
        <v>28.0226</v>
      </c>
      <c r="JZ31">
        <v>30.0001</v>
      </c>
      <c r="KA31">
        <v>28.2266</v>
      </c>
      <c r="KB31">
        <v>28.2161</v>
      </c>
      <c r="KC31">
        <v>21.9</v>
      </c>
      <c r="KD31">
        <v>17.1932</v>
      </c>
      <c r="KE31">
        <v>7.61961</v>
      </c>
      <c r="KF31">
        <v>23.2912</v>
      </c>
      <c r="KG31">
        <v>400</v>
      </c>
      <c r="KH31">
        <v>17.4842</v>
      </c>
      <c r="KI31">
        <v>102.263</v>
      </c>
      <c r="KJ31">
        <v>91.67910000000001</v>
      </c>
    </row>
    <row r="32" spans="1:296">
      <c r="A32">
        <v>14</v>
      </c>
      <c r="B32">
        <v>1765301162.6</v>
      </c>
      <c r="C32">
        <v>3729.599999904633</v>
      </c>
      <c r="D32" t="s">
        <v>483</v>
      </c>
      <c r="E32" t="s">
        <v>484</v>
      </c>
      <c r="F32">
        <v>5</v>
      </c>
      <c r="G32" t="s">
        <v>481</v>
      </c>
      <c r="H32">
        <v>1765301154.599999</v>
      </c>
      <c r="I32">
        <f>(J32)/1000</f>
        <v>0</v>
      </c>
      <c r="J32">
        <f>IF(DO32, AM32, AG32)</f>
        <v>0</v>
      </c>
      <c r="K32">
        <f>IF(DO32, AH32, AF32)</f>
        <v>0</v>
      </c>
      <c r="L32">
        <f>DQ32 - IF(AT32&gt;1, K32*DK32*100.0/(AV32), 0)</f>
        <v>0</v>
      </c>
      <c r="M32">
        <f>((S32-I32/2)*L32-K32)/(S32+I32/2)</f>
        <v>0</v>
      </c>
      <c r="N32">
        <f>M32*(DX32+DY32)/1000.0</f>
        <v>0</v>
      </c>
      <c r="O32">
        <f>(DQ32 - IF(AT32&gt;1, K32*DK32*100.0/(AV32), 0))*(DX32+DY32)/1000.0</f>
        <v>0</v>
      </c>
      <c r="P32">
        <f>2.0/((1/R32-1/Q32)+SIGN(R32)*SQRT((1/R32-1/Q32)*(1/R32-1/Q32) + 4*DL32/((DL32+1)*(DL32+1))*(2*1/R32*1/Q32-1/Q32*1/Q32)))</f>
        <v>0</v>
      </c>
      <c r="Q32">
        <f>IF(LEFT(DM32,1)&lt;&gt;"0",IF(LEFT(DM32,1)="1",3.0,DN32),$D$5+$E$5*(EE32*DX32/($K$5*1000))+$F$5*(EE32*DX32/($K$5*1000))*MAX(MIN(DK32,$J$5),$I$5)*MAX(MIN(DK32,$J$5),$I$5)+$G$5*MAX(MIN(DK32,$J$5),$I$5)*(EE32*DX32/($K$5*1000))+$H$5*(EE32*DX32/($K$5*1000))*(EE32*DX32/($K$5*1000)))</f>
        <v>0</v>
      </c>
      <c r="R32">
        <f>I32*(1000-(1000*0.61365*exp(17.502*V32/(240.97+V32))/(DX32+DY32)+DS32)/2)/(1000*0.61365*exp(17.502*V32/(240.97+V32))/(DX32+DY32)-DS32)</f>
        <v>0</v>
      </c>
      <c r="S32">
        <f>1/((DL32+1)/(P32/1.6)+1/(Q32/1.37)) + DL32/((DL32+1)/(P32/1.6) + DL32/(Q32/1.37))</f>
        <v>0</v>
      </c>
      <c r="T32">
        <f>(DG32*DJ32)</f>
        <v>0</v>
      </c>
      <c r="U32">
        <f>(DZ32+(T32+2*0.95*5.67E-8*(((DZ32+$B$9)+273)^4-(DZ32+273)^4)-44100*I32)/(1.84*29.3*Q32+8*0.95*5.67E-8*(DZ32+273)^3))</f>
        <v>0</v>
      </c>
      <c r="V32">
        <f>($C$9*EA32+$D$9*EB32+$E$9*U32)</f>
        <v>0</v>
      </c>
      <c r="W32">
        <f>0.61365*exp(17.502*V32/(240.97+V32))</f>
        <v>0</v>
      </c>
      <c r="X32">
        <f>(Y32/Z32*100)</f>
        <v>0</v>
      </c>
      <c r="Y32">
        <f>DS32*(DX32+DY32)/1000</f>
        <v>0</v>
      </c>
      <c r="Z32">
        <f>0.61365*exp(17.502*DZ32/(240.97+DZ32))</f>
        <v>0</v>
      </c>
      <c r="AA32">
        <f>(W32-DS32*(DX32+DY32)/1000)</f>
        <v>0</v>
      </c>
      <c r="AB32">
        <f>(-I32*44100)</f>
        <v>0</v>
      </c>
      <c r="AC32">
        <f>2*29.3*Q32*0.92*(DZ32-V32)</f>
        <v>0</v>
      </c>
      <c r="AD32">
        <f>2*0.95*5.67E-8*(((DZ32+$B$9)+273)^4-(V32+273)^4)</f>
        <v>0</v>
      </c>
      <c r="AE32">
        <f>T32+AD32+AB32+AC32</f>
        <v>0</v>
      </c>
      <c r="AF32">
        <f>DW32*AT32*(DR32-DQ32*(1000-AT32*DT32)/(1000-AT32*DS32))/(100*DK32)</f>
        <v>0</v>
      </c>
      <c r="AG32">
        <f>1000*DW32*AT32*(DS32-DT32)/(100*DK32*(1000-AT32*DS32))</f>
        <v>0</v>
      </c>
      <c r="AH32">
        <f>(AI32 - AJ32 - DX32*1E3/(8.314*(DZ32+273.15)) * AL32/DW32 * AK32) * DW32/(100*DK32) * (1000 - DT32)/1000</f>
        <v>0</v>
      </c>
      <c r="AI32">
        <v>305.3666848484849</v>
      </c>
      <c r="AJ32">
        <v>305.7341333333334</v>
      </c>
      <c r="AK32">
        <v>-0.003048327207678563</v>
      </c>
      <c r="AL32">
        <v>64.08340648357036</v>
      </c>
      <c r="AM32">
        <f>(AO32 - AN32 + DX32*1E3/(8.314*(DZ32+273.15)) * AQ32/DW32 * AP32) * DW32/(100*DK32) * 1000/(1000 - AO32)</f>
        <v>0</v>
      </c>
      <c r="AN32">
        <v>17.4815193939394</v>
      </c>
      <c r="AO32">
        <v>17.56934969696969</v>
      </c>
      <c r="AP32">
        <v>-1.451855587822984E-05</v>
      </c>
      <c r="AQ32">
        <v>102.0691548858687</v>
      </c>
      <c r="AR32">
        <v>24</v>
      </c>
      <c r="AS32">
        <v>5</v>
      </c>
      <c r="AT32">
        <f>IF(AR32*$H$15&gt;=AV32,1.0,(AV32/(AV32-AR32*$H$15)))</f>
        <v>0</v>
      </c>
      <c r="AU32">
        <f>(AT32-1)*100</f>
        <v>0</v>
      </c>
      <c r="AV32">
        <f>MAX(0,($B$15+$C$15*EE32)/(1+$D$15*EE32)*DX32/(DZ32+273)*$E$15)</f>
        <v>0</v>
      </c>
      <c r="AW32" t="s">
        <v>437</v>
      </c>
      <c r="AX32" t="s">
        <v>437</v>
      </c>
      <c r="AY32">
        <v>0</v>
      </c>
      <c r="AZ32">
        <v>0</v>
      </c>
      <c r="BA32">
        <f>1-AY32/AZ32</f>
        <v>0</v>
      </c>
      <c r="BB32">
        <v>0</v>
      </c>
      <c r="BC32" t="s">
        <v>437</v>
      </c>
      <c r="BD32" t="s">
        <v>437</v>
      </c>
      <c r="BE32">
        <v>0</v>
      </c>
      <c r="BF32">
        <v>0</v>
      </c>
      <c r="BG32">
        <f>1-BE32/BF32</f>
        <v>0</v>
      </c>
      <c r="BH32">
        <v>0.5</v>
      </c>
      <c r="BI32">
        <f>DH32</f>
        <v>0</v>
      </c>
      <c r="BJ32">
        <f>K32</f>
        <v>0</v>
      </c>
      <c r="BK32">
        <f>BG32*BH32*BI32</f>
        <v>0</v>
      </c>
      <c r="BL32">
        <f>(BJ32-BB32)/BI32</f>
        <v>0</v>
      </c>
      <c r="BM32">
        <f>(AZ32-BF32)/BF32</f>
        <v>0</v>
      </c>
      <c r="BN32">
        <f>AY32/(BA32+AY32/BF32)</f>
        <v>0</v>
      </c>
      <c r="BO32" t="s">
        <v>437</v>
      </c>
      <c r="BP32">
        <v>0</v>
      </c>
      <c r="BQ32">
        <f>IF(BP32&lt;&gt;0, BP32, BN32)</f>
        <v>0</v>
      </c>
      <c r="BR32">
        <f>1-BQ32/BF32</f>
        <v>0</v>
      </c>
      <c r="BS32">
        <f>(BF32-BE32)/(BF32-BQ32)</f>
        <v>0</v>
      </c>
      <c r="BT32">
        <f>(AZ32-BF32)/(AZ32-BQ32)</f>
        <v>0</v>
      </c>
      <c r="BU32">
        <f>(BF32-BE32)/(BF32-AY32)</f>
        <v>0</v>
      </c>
      <c r="BV32">
        <f>(AZ32-BF32)/(AZ32-AY32)</f>
        <v>0</v>
      </c>
      <c r="BW32">
        <f>(BS32*BQ32/BE32)</f>
        <v>0</v>
      </c>
      <c r="BX32">
        <f>(1-BW32)</f>
        <v>0</v>
      </c>
      <c r="DG32">
        <f>$B$13*EF32+$C$13*EG32+$F$13*ER32*(1-EU32)</f>
        <v>0</v>
      </c>
      <c r="DH32">
        <f>DG32*DI32</f>
        <v>0</v>
      </c>
      <c r="DI32">
        <f>($B$13*$D$11+$C$13*$D$11+$F$13*((FE32+EW32)/MAX(FE32+EW32+FF32, 0.1)*$I$11+FF32/MAX(FE32+EW32+FF32, 0.1)*$J$11))/($B$13+$C$13+$F$13)</f>
        <v>0</v>
      </c>
      <c r="DJ32">
        <f>($B$13*$K$11+$C$13*$K$11+$F$13*((FE32+EW32)/MAX(FE32+EW32+FF32, 0.1)*$P$11+FF32/MAX(FE32+EW32+FF32, 0.1)*$Q$11))/($B$13+$C$13+$F$13)</f>
        <v>0</v>
      </c>
      <c r="DK32">
        <v>5.66</v>
      </c>
      <c r="DL32">
        <v>0.5</v>
      </c>
      <c r="DM32" t="s">
        <v>438</v>
      </c>
      <c r="DN32">
        <v>2</v>
      </c>
      <c r="DO32" t="b">
        <v>1</v>
      </c>
      <c r="DP32">
        <v>1765301154.599999</v>
      </c>
      <c r="DQ32">
        <v>300.3264516129032</v>
      </c>
      <c r="DR32">
        <v>299.9785161290323</v>
      </c>
      <c r="DS32">
        <v>17.56353225806452</v>
      </c>
      <c r="DT32">
        <v>17.48270322580645</v>
      </c>
      <c r="DU32">
        <v>300.3884516129032</v>
      </c>
      <c r="DV32">
        <v>17.49353225806452</v>
      </c>
      <c r="DW32">
        <v>499.9995806451613</v>
      </c>
      <c r="DX32">
        <v>90.15813225806453</v>
      </c>
      <c r="DY32">
        <v>0.09995905806451613</v>
      </c>
      <c r="DZ32">
        <v>24.958</v>
      </c>
      <c r="EA32">
        <v>24.99841290322581</v>
      </c>
      <c r="EB32">
        <v>999.9000000000003</v>
      </c>
      <c r="EC32">
        <v>0</v>
      </c>
      <c r="ED32">
        <v>0</v>
      </c>
      <c r="EE32">
        <v>9999.275806451613</v>
      </c>
      <c r="EF32">
        <v>0</v>
      </c>
      <c r="EG32">
        <v>9.482364516129033</v>
      </c>
      <c r="EH32">
        <v>0.3739023870967741</v>
      </c>
      <c r="EI32">
        <v>305.7239032258064</v>
      </c>
      <c r="EJ32">
        <v>305.3163225806452</v>
      </c>
      <c r="EK32">
        <v>0.0868322935483871</v>
      </c>
      <c r="EL32">
        <v>299.9785161290323</v>
      </c>
      <c r="EM32">
        <v>17.48270322580645</v>
      </c>
      <c r="EN32">
        <v>1.584035483870968</v>
      </c>
      <c r="EO32">
        <v>1.576208387096774</v>
      </c>
      <c r="EP32">
        <v>13.80438064516129</v>
      </c>
      <c r="EQ32">
        <v>13.72815161290323</v>
      </c>
      <c r="ER32">
        <v>800.040935483871</v>
      </c>
      <c r="ES32">
        <v>0.9499949032258064</v>
      </c>
      <c r="ET32">
        <v>0.0500053129032258</v>
      </c>
      <c r="EU32">
        <v>0</v>
      </c>
      <c r="EV32">
        <v>1334.225806451613</v>
      </c>
      <c r="EW32">
        <v>5.000779999999999</v>
      </c>
      <c r="EX32">
        <v>10031.76451612903</v>
      </c>
      <c r="EY32">
        <v>6463.737741935483</v>
      </c>
      <c r="EZ32">
        <v>37.3686129032258</v>
      </c>
      <c r="FA32">
        <v>41.19138709677418</v>
      </c>
      <c r="FB32">
        <v>39.21951612903224</v>
      </c>
      <c r="FC32">
        <v>41.63287096774192</v>
      </c>
      <c r="FD32">
        <v>39.36670967741934</v>
      </c>
      <c r="FE32">
        <v>755.283870967742</v>
      </c>
      <c r="FF32">
        <v>39.75645161290323</v>
      </c>
      <c r="FG32">
        <v>0</v>
      </c>
      <c r="FH32">
        <v>1765301161.7</v>
      </c>
      <c r="FI32">
        <v>0</v>
      </c>
      <c r="FJ32">
        <v>1334.195384615385</v>
      </c>
      <c r="FK32">
        <v>-0.7541880567071552</v>
      </c>
      <c r="FL32">
        <v>-41.84273510901151</v>
      </c>
      <c r="FM32">
        <v>10031.43461538461</v>
      </c>
      <c r="FN32">
        <v>15</v>
      </c>
      <c r="FO32">
        <v>1765301184.6</v>
      </c>
      <c r="FP32" t="s">
        <v>485</v>
      </c>
      <c r="FQ32">
        <v>1765301184.6</v>
      </c>
      <c r="FR32">
        <v>1765301179.6</v>
      </c>
      <c r="FS32">
        <v>15</v>
      </c>
      <c r="FT32">
        <v>-0.026</v>
      </c>
      <c r="FU32">
        <v>-0.004</v>
      </c>
      <c r="FV32">
        <v>-0.062</v>
      </c>
      <c r="FW32">
        <v>0.07000000000000001</v>
      </c>
      <c r="FX32">
        <v>300</v>
      </c>
      <c r="FY32">
        <v>17</v>
      </c>
      <c r="FZ32">
        <v>0.28</v>
      </c>
      <c r="GA32">
        <v>0.12</v>
      </c>
      <c r="GB32">
        <v>0.3685704634146341</v>
      </c>
      <c r="GC32">
        <v>0.06112494773519259</v>
      </c>
      <c r="GD32">
        <v>0.03030940899561217</v>
      </c>
      <c r="GE32">
        <v>1</v>
      </c>
      <c r="GF32">
        <v>1334.283823529412</v>
      </c>
      <c r="GG32">
        <v>-1.521619570416878</v>
      </c>
      <c r="GH32">
        <v>0.2971730997433386</v>
      </c>
      <c r="GI32">
        <v>0</v>
      </c>
      <c r="GJ32">
        <v>0.08672598048780489</v>
      </c>
      <c r="GK32">
        <v>0.0006999491289198544</v>
      </c>
      <c r="GL32">
        <v>0.0008152574997133036</v>
      </c>
      <c r="GM32">
        <v>1</v>
      </c>
      <c r="GN32">
        <v>2</v>
      </c>
      <c r="GO32">
        <v>3</v>
      </c>
      <c r="GP32" t="s">
        <v>453</v>
      </c>
      <c r="GQ32">
        <v>3.10829</v>
      </c>
      <c r="GR32">
        <v>2.79166</v>
      </c>
      <c r="GS32">
        <v>0.06758450000000001</v>
      </c>
      <c r="GT32">
        <v>0.06755</v>
      </c>
      <c r="GU32">
        <v>0.0866943</v>
      </c>
      <c r="GV32">
        <v>0.08717709999999999</v>
      </c>
      <c r="GW32">
        <v>24460.5</v>
      </c>
      <c r="GX32">
        <v>22216.6</v>
      </c>
      <c r="GY32">
        <v>26793.1</v>
      </c>
      <c r="GZ32">
        <v>24034.9</v>
      </c>
      <c r="HA32">
        <v>39107</v>
      </c>
      <c r="HB32">
        <v>32380.6</v>
      </c>
      <c r="HC32">
        <v>46763.7</v>
      </c>
      <c r="HD32">
        <v>38011.1</v>
      </c>
      <c r="HE32">
        <v>1.83375</v>
      </c>
      <c r="HF32">
        <v>1.8281</v>
      </c>
      <c r="HG32">
        <v>0.057891</v>
      </c>
      <c r="HH32">
        <v>0</v>
      </c>
      <c r="HI32">
        <v>24.05</v>
      </c>
      <c r="HJ32">
        <v>999.9</v>
      </c>
      <c r="HK32">
        <v>36.3</v>
      </c>
      <c r="HL32">
        <v>33.6</v>
      </c>
      <c r="HM32">
        <v>21.0347</v>
      </c>
      <c r="HN32">
        <v>61.9837</v>
      </c>
      <c r="HO32">
        <v>28.4215</v>
      </c>
      <c r="HP32">
        <v>1</v>
      </c>
      <c r="HQ32">
        <v>0.0666235</v>
      </c>
      <c r="HR32">
        <v>1.12634</v>
      </c>
      <c r="HS32">
        <v>20.2888</v>
      </c>
      <c r="HT32">
        <v>5.22193</v>
      </c>
      <c r="HU32">
        <v>11.9764</v>
      </c>
      <c r="HV32">
        <v>4.96545</v>
      </c>
      <c r="HW32">
        <v>3.27598</v>
      </c>
      <c r="HX32">
        <v>9999</v>
      </c>
      <c r="HY32">
        <v>9999</v>
      </c>
      <c r="HZ32">
        <v>9999</v>
      </c>
      <c r="IA32">
        <v>999.9</v>
      </c>
      <c r="IB32">
        <v>1.86418</v>
      </c>
      <c r="IC32">
        <v>1.86045</v>
      </c>
      <c r="ID32">
        <v>1.85875</v>
      </c>
      <c r="IE32">
        <v>1.86006</v>
      </c>
      <c r="IF32">
        <v>1.8602</v>
      </c>
      <c r="IG32">
        <v>1.8587</v>
      </c>
      <c r="IH32">
        <v>1.85777</v>
      </c>
      <c r="II32">
        <v>1.85271</v>
      </c>
      <c r="IJ32">
        <v>0</v>
      </c>
      <c r="IK32">
        <v>0</v>
      </c>
      <c r="IL32">
        <v>0</v>
      </c>
      <c r="IM32">
        <v>0</v>
      </c>
      <c r="IN32" t="s">
        <v>441</v>
      </c>
      <c r="IO32" t="s">
        <v>442</v>
      </c>
      <c r="IP32" t="s">
        <v>443</v>
      </c>
      <c r="IQ32" t="s">
        <v>443</v>
      </c>
      <c r="IR32" t="s">
        <v>443</v>
      </c>
      <c r="IS32" t="s">
        <v>443</v>
      </c>
      <c r="IT32">
        <v>0</v>
      </c>
      <c r="IU32">
        <v>100</v>
      </c>
      <c r="IV32">
        <v>100</v>
      </c>
      <c r="IW32">
        <v>-0.062</v>
      </c>
      <c r="IX32">
        <v>0.07000000000000001</v>
      </c>
      <c r="IY32">
        <v>-0.2092887892802525</v>
      </c>
      <c r="IZ32">
        <v>0.0001583678016168383</v>
      </c>
      <c r="JA32">
        <v>1.526473431467286E-06</v>
      </c>
      <c r="JB32">
        <v>-4.446382740029455E-10</v>
      </c>
      <c r="JC32">
        <v>-0.04411772300125917</v>
      </c>
      <c r="JD32">
        <v>-0.009941991807247691</v>
      </c>
      <c r="JE32">
        <v>0.001256427533001032</v>
      </c>
      <c r="JF32">
        <v>-1.689728105039484E-05</v>
      </c>
      <c r="JG32">
        <v>2</v>
      </c>
      <c r="JH32">
        <v>1984</v>
      </c>
      <c r="JI32">
        <v>0</v>
      </c>
      <c r="JJ32">
        <v>25</v>
      </c>
      <c r="JK32">
        <v>1.5</v>
      </c>
      <c r="JL32">
        <v>1.6</v>
      </c>
      <c r="JM32">
        <v>0.866699</v>
      </c>
      <c r="JN32">
        <v>2.61108</v>
      </c>
      <c r="JO32">
        <v>1.49658</v>
      </c>
      <c r="JP32">
        <v>2.34619</v>
      </c>
      <c r="JQ32">
        <v>1.54907</v>
      </c>
      <c r="JR32">
        <v>2.41089</v>
      </c>
      <c r="JS32">
        <v>38.8457</v>
      </c>
      <c r="JT32">
        <v>23.711</v>
      </c>
      <c r="JU32">
        <v>18</v>
      </c>
      <c r="JV32">
        <v>451.989</v>
      </c>
      <c r="JW32">
        <v>473.154</v>
      </c>
      <c r="JX32">
        <v>23.2634</v>
      </c>
      <c r="JY32">
        <v>28.0298</v>
      </c>
      <c r="JZ32">
        <v>30</v>
      </c>
      <c r="KA32">
        <v>28.25</v>
      </c>
      <c r="KB32">
        <v>28.2425</v>
      </c>
      <c r="KC32">
        <v>17.4526</v>
      </c>
      <c r="KD32">
        <v>16.9157</v>
      </c>
      <c r="KE32">
        <v>7.61961</v>
      </c>
      <c r="KF32">
        <v>23.2665</v>
      </c>
      <c r="KG32">
        <v>300</v>
      </c>
      <c r="KH32">
        <v>17.4487</v>
      </c>
      <c r="KI32">
        <v>102.263</v>
      </c>
      <c r="KJ32">
        <v>91.68219999999999</v>
      </c>
    </row>
    <row r="33" spans="1:296">
      <c r="A33">
        <v>15</v>
      </c>
      <c r="B33">
        <v>1765301257.1</v>
      </c>
      <c r="C33">
        <v>3824.099999904633</v>
      </c>
      <c r="D33" t="s">
        <v>486</v>
      </c>
      <c r="E33" t="s">
        <v>487</v>
      </c>
      <c r="F33">
        <v>5</v>
      </c>
      <c r="G33" t="s">
        <v>481</v>
      </c>
      <c r="H33">
        <v>1765301249.349999</v>
      </c>
      <c r="I33">
        <f>(J33)/1000</f>
        <v>0</v>
      </c>
      <c r="J33">
        <f>IF(DO33, AM33, AG33)</f>
        <v>0</v>
      </c>
      <c r="K33">
        <f>IF(DO33, AH33, AF33)</f>
        <v>0</v>
      </c>
      <c r="L33">
        <f>DQ33 - IF(AT33&gt;1, K33*DK33*100.0/(AV33), 0)</f>
        <v>0</v>
      </c>
      <c r="M33">
        <f>((S33-I33/2)*L33-K33)/(S33+I33/2)</f>
        <v>0</v>
      </c>
      <c r="N33">
        <f>M33*(DX33+DY33)/1000.0</f>
        <v>0</v>
      </c>
      <c r="O33">
        <f>(DQ33 - IF(AT33&gt;1, K33*DK33*100.0/(AV33), 0))*(DX33+DY33)/1000.0</f>
        <v>0</v>
      </c>
      <c r="P33">
        <f>2.0/((1/R33-1/Q33)+SIGN(R33)*SQRT((1/R33-1/Q33)*(1/R33-1/Q33) + 4*DL33/((DL33+1)*(DL33+1))*(2*1/R33*1/Q33-1/Q33*1/Q33)))</f>
        <v>0</v>
      </c>
      <c r="Q33">
        <f>IF(LEFT(DM33,1)&lt;&gt;"0",IF(LEFT(DM33,1)="1",3.0,DN33),$D$5+$E$5*(EE33*DX33/($K$5*1000))+$F$5*(EE33*DX33/($K$5*1000))*MAX(MIN(DK33,$J$5),$I$5)*MAX(MIN(DK33,$J$5),$I$5)+$G$5*MAX(MIN(DK33,$J$5),$I$5)*(EE33*DX33/($K$5*1000))+$H$5*(EE33*DX33/($K$5*1000))*(EE33*DX33/($K$5*1000)))</f>
        <v>0</v>
      </c>
      <c r="R33">
        <f>I33*(1000-(1000*0.61365*exp(17.502*V33/(240.97+V33))/(DX33+DY33)+DS33)/2)/(1000*0.61365*exp(17.502*V33/(240.97+V33))/(DX33+DY33)-DS33)</f>
        <v>0</v>
      </c>
      <c r="S33">
        <f>1/((DL33+1)/(P33/1.6)+1/(Q33/1.37)) + DL33/((DL33+1)/(P33/1.6) + DL33/(Q33/1.37))</f>
        <v>0</v>
      </c>
      <c r="T33">
        <f>(DG33*DJ33)</f>
        <v>0</v>
      </c>
      <c r="U33">
        <f>(DZ33+(T33+2*0.95*5.67E-8*(((DZ33+$B$9)+273)^4-(DZ33+273)^4)-44100*I33)/(1.84*29.3*Q33+8*0.95*5.67E-8*(DZ33+273)^3))</f>
        <v>0</v>
      </c>
      <c r="V33">
        <f>($C$9*EA33+$D$9*EB33+$E$9*U33)</f>
        <v>0</v>
      </c>
      <c r="W33">
        <f>0.61365*exp(17.502*V33/(240.97+V33))</f>
        <v>0</v>
      </c>
      <c r="X33">
        <f>(Y33/Z33*100)</f>
        <v>0</v>
      </c>
      <c r="Y33">
        <f>DS33*(DX33+DY33)/1000</f>
        <v>0</v>
      </c>
      <c r="Z33">
        <f>0.61365*exp(17.502*DZ33/(240.97+DZ33))</f>
        <v>0</v>
      </c>
      <c r="AA33">
        <f>(W33-DS33*(DX33+DY33)/1000)</f>
        <v>0</v>
      </c>
      <c r="AB33">
        <f>(-I33*44100)</f>
        <v>0</v>
      </c>
      <c r="AC33">
        <f>2*29.3*Q33*0.92*(DZ33-V33)</f>
        <v>0</v>
      </c>
      <c r="AD33">
        <f>2*0.95*5.67E-8*(((DZ33+$B$9)+273)^4-(V33+273)^4)</f>
        <v>0</v>
      </c>
      <c r="AE33">
        <f>T33+AD33+AB33+AC33</f>
        <v>0</v>
      </c>
      <c r="AF33">
        <f>DW33*AT33*(DR33-DQ33*(1000-AT33*DT33)/(1000-AT33*DS33))/(100*DK33)</f>
        <v>0</v>
      </c>
      <c r="AG33">
        <f>1000*DW33*AT33*(DS33-DT33)/(100*DK33*(1000-AT33*DS33))</f>
        <v>0</v>
      </c>
      <c r="AH33">
        <f>(AI33 - AJ33 - DX33*1E3/(8.314*(DZ33+273.15)) * AL33/DW33 * AK33) * DW33/(100*DK33) * (1000 - DT33)/1000</f>
        <v>0</v>
      </c>
      <c r="AI33">
        <v>203.4912363636364</v>
      </c>
      <c r="AJ33">
        <v>203.934903030303</v>
      </c>
      <c r="AK33">
        <v>0.003231000925852488</v>
      </c>
      <c r="AL33">
        <v>64.17884240004423</v>
      </c>
      <c r="AM33">
        <f>(AO33 - AN33 + DX33*1E3/(8.314*(DZ33+273.15)) * AQ33/DW33 * AP33) * DW33/(100*DK33) * 1000/(1000 - AO33)</f>
        <v>0</v>
      </c>
      <c r="AN33">
        <v>17.46067212121212</v>
      </c>
      <c r="AO33">
        <v>17.54483878787877</v>
      </c>
      <c r="AP33">
        <v>-1.611579260461372E-05</v>
      </c>
      <c r="AQ33">
        <v>102.133351787185</v>
      </c>
      <c r="AR33">
        <v>24</v>
      </c>
      <c r="AS33">
        <v>5</v>
      </c>
      <c r="AT33">
        <f>IF(AR33*$H$15&gt;=AV33,1.0,(AV33/(AV33-AR33*$H$15)))</f>
        <v>0</v>
      </c>
      <c r="AU33">
        <f>(AT33-1)*100</f>
        <v>0</v>
      </c>
      <c r="AV33">
        <f>MAX(0,($B$15+$C$15*EE33)/(1+$D$15*EE33)*DX33/(DZ33+273)*$E$15)</f>
        <v>0</v>
      </c>
      <c r="AW33" t="s">
        <v>437</v>
      </c>
      <c r="AX33" t="s">
        <v>437</v>
      </c>
      <c r="AY33">
        <v>0</v>
      </c>
      <c r="AZ33">
        <v>0</v>
      </c>
      <c r="BA33">
        <f>1-AY33/AZ33</f>
        <v>0</v>
      </c>
      <c r="BB33">
        <v>0</v>
      </c>
      <c r="BC33" t="s">
        <v>437</v>
      </c>
      <c r="BD33" t="s">
        <v>437</v>
      </c>
      <c r="BE33">
        <v>0</v>
      </c>
      <c r="BF33">
        <v>0</v>
      </c>
      <c r="BG33">
        <f>1-BE33/BF33</f>
        <v>0</v>
      </c>
      <c r="BH33">
        <v>0.5</v>
      </c>
      <c r="BI33">
        <f>DH33</f>
        <v>0</v>
      </c>
      <c r="BJ33">
        <f>K33</f>
        <v>0</v>
      </c>
      <c r="BK33">
        <f>BG33*BH33*BI33</f>
        <v>0</v>
      </c>
      <c r="BL33">
        <f>(BJ33-BB33)/BI33</f>
        <v>0</v>
      </c>
      <c r="BM33">
        <f>(AZ33-BF33)/BF33</f>
        <v>0</v>
      </c>
      <c r="BN33">
        <f>AY33/(BA33+AY33/BF33)</f>
        <v>0</v>
      </c>
      <c r="BO33" t="s">
        <v>437</v>
      </c>
      <c r="BP33">
        <v>0</v>
      </c>
      <c r="BQ33">
        <f>IF(BP33&lt;&gt;0, BP33, BN33)</f>
        <v>0</v>
      </c>
      <c r="BR33">
        <f>1-BQ33/BF33</f>
        <v>0</v>
      </c>
      <c r="BS33">
        <f>(BF33-BE33)/(BF33-BQ33)</f>
        <v>0</v>
      </c>
      <c r="BT33">
        <f>(AZ33-BF33)/(AZ33-BQ33)</f>
        <v>0</v>
      </c>
      <c r="BU33">
        <f>(BF33-BE33)/(BF33-AY33)</f>
        <v>0</v>
      </c>
      <c r="BV33">
        <f>(AZ33-BF33)/(AZ33-AY33)</f>
        <v>0</v>
      </c>
      <c r="BW33">
        <f>(BS33*BQ33/BE33)</f>
        <v>0</v>
      </c>
      <c r="BX33">
        <f>(1-BW33)</f>
        <v>0</v>
      </c>
      <c r="DG33">
        <f>$B$13*EF33+$C$13*EG33+$F$13*ER33*(1-EU33)</f>
        <v>0</v>
      </c>
      <c r="DH33">
        <f>DG33*DI33</f>
        <v>0</v>
      </c>
      <c r="DI33">
        <f>($B$13*$D$11+$C$13*$D$11+$F$13*((FE33+EW33)/MAX(FE33+EW33+FF33, 0.1)*$I$11+FF33/MAX(FE33+EW33+FF33, 0.1)*$J$11))/($B$13+$C$13+$F$13)</f>
        <v>0</v>
      </c>
      <c r="DJ33">
        <f>($B$13*$K$11+$C$13*$K$11+$F$13*((FE33+EW33)/MAX(FE33+EW33+FF33, 0.1)*$P$11+FF33/MAX(FE33+EW33+FF33, 0.1)*$Q$11))/($B$13+$C$13+$F$13)</f>
        <v>0</v>
      </c>
      <c r="DK33">
        <v>5.66</v>
      </c>
      <c r="DL33">
        <v>0.5</v>
      </c>
      <c r="DM33" t="s">
        <v>438</v>
      </c>
      <c r="DN33">
        <v>2</v>
      </c>
      <c r="DO33" t="b">
        <v>1</v>
      </c>
      <c r="DP33">
        <v>1765301249.349999</v>
      </c>
      <c r="DQ33">
        <v>200.446</v>
      </c>
      <c r="DR33">
        <v>199.989</v>
      </c>
      <c r="DS33">
        <v>17.54338666666667</v>
      </c>
      <c r="DT33">
        <v>17.46080333333333</v>
      </c>
      <c r="DU33">
        <v>200.532</v>
      </c>
      <c r="DV33">
        <v>17.47338666666667</v>
      </c>
      <c r="DW33">
        <v>499.9983333333333</v>
      </c>
      <c r="DX33">
        <v>90.15338</v>
      </c>
      <c r="DY33">
        <v>0.09997361666666668</v>
      </c>
      <c r="DZ33">
        <v>24.96513999999999</v>
      </c>
      <c r="EA33">
        <v>25.00278</v>
      </c>
      <c r="EB33">
        <v>999.9000000000002</v>
      </c>
      <c r="EC33">
        <v>0</v>
      </c>
      <c r="ED33">
        <v>0</v>
      </c>
      <c r="EE33">
        <v>9997.423000000001</v>
      </c>
      <c r="EF33">
        <v>0</v>
      </c>
      <c r="EG33">
        <v>9.452067333333332</v>
      </c>
      <c r="EH33">
        <v>0.3973195666666667</v>
      </c>
      <c r="EI33">
        <v>203.9648666666667</v>
      </c>
      <c r="EJ33">
        <v>203.5429666666667</v>
      </c>
      <c r="EK33">
        <v>0.08425038</v>
      </c>
      <c r="EL33">
        <v>199.989</v>
      </c>
      <c r="EM33">
        <v>17.46080333333333</v>
      </c>
      <c r="EN33">
        <v>1.581746666666667</v>
      </c>
      <c r="EO33">
        <v>1.574150666666666</v>
      </c>
      <c r="EP33">
        <v>13.78212666666667</v>
      </c>
      <c r="EQ33">
        <v>13.70807666666667</v>
      </c>
      <c r="ER33">
        <v>800.0129666666667</v>
      </c>
      <c r="ES33">
        <v>0.9499941333333335</v>
      </c>
      <c r="ET33">
        <v>0.05000591333333333</v>
      </c>
      <c r="EU33">
        <v>0</v>
      </c>
      <c r="EV33">
        <v>1332.778</v>
      </c>
      <c r="EW33">
        <v>5.00078</v>
      </c>
      <c r="EX33">
        <v>9994.494999999999</v>
      </c>
      <c r="EY33">
        <v>6463.508999999999</v>
      </c>
      <c r="EZ33">
        <v>36.82893333333332</v>
      </c>
      <c r="FA33">
        <v>39.31646666666666</v>
      </c>
      <c r="FB33">
        <v>38.37893333333332</v>
      </c>
      <c r="FC33">
        <v>39.24986666666666</v>
      </c>
      <c r="FD33">
        <v>38.37480000000001</v>
      </c>
      <c r="FE33">
        <v>755.2566666666668</v>
      </c>
      <c r="FF33">
        <v>39.757</v>
      </c>
      <c r="FG33">
        <v>0</v>
      </c>
      <c r="FH33">
        <v>1765301256.5</v>
      </c>
      <c r="FI33">
        <v>0</v>
      </c>
      <c r="FJ33">
        <v>1332.781153846154</v>
      </c>
      <c r="FK33">
        <v>-0.705299139411252</v>
      </c>
      <c r="FL33">
        <v>-15.02051289651748</v>
      </c>
      <c r="FM33">
        <v>9994.166538461537</v>
      </c>
      <c r="FN33">
        <v>15</v>
      </c>
      <c r="FO33">
        <v>1765301274.1</v>
      </c>
      <c r="FP33" t="s">
        <v>488</v>
      </c>
      <c r="FQ33">
        <v>1765301274.1</v>
      </c>
      <c r="FR33">
        <v>1765301273.1</v>
      </c>
      <c r="FS33">
        <v>16</v>
      </c>
      <c r="FT33">
        <v>0.06</v>
      </c>
      <c r="FU33">
        <v>0</v>
      </c>
      <c r="FV33">
        <v>-0.08599999999999999</v>
      </c>
      <c r="FW33">
        <v>0.07000000000000001</v>
      </c>
      <c r="FX33">
        <v>200</v>
      </c>
      <c r="FY33">
        <v>17</v>
      </c>
      <c r="FZ33">
        <v>0.24</v>
      </c>
      <c r="GA33">
        <v>0.16</v>
      </c>
      <c r="GB33">
        <v>0.422842825</v>
      </c>
      <c r="GC33">
        <v>-0.3820698574108826</v>
      </c>
      <c r="GD33">
        <v>0.05022431817450961</v>
      </c>
      <c r="GE33">
        <v>1</v>
      </c>
      <c r="GF33">
        <v>1332.760294117647</v>
      </c>
      <c r="GG33">
        <v>-0.5523300244472229</v>
      </c>
      <c r="GH33">
        <v>0.1792711599475074</v>
      </c>
      <c r="GI33">
        <v>1</v>
      </c>
      <c r="GJ33">
        <v>0.08430366</v>
      </c>
      <c r="GK33">
        <v>0.003948959099437066</v>
      </c>
      <c r="GL33">
        <v>0.0009710061363863779</v>
      </c>
      <c r="GM33">
        <v>1</v>
      </c>
      <c r="GN33">
        <v>3</v>
      </c>
      <c r="GO33">
        <v>3</v>
      </c>
      <c r="GP33" t="s">
        <v>440</v>
      </c>
      <c r="GQ33">
        <v>3.10828</v>
      </c>
      <c r="GR33">
        <v>2.79173</v>
      </c>
      <c r="GS33">
        <v>0.048139</v>
      </c>
      <c r="GT33">
        <v>0.0480305</v>
      </c>
      <c r="GU33">
        <v>0.08661389999999999</v>
      </c>
      <c r="GV33">
        <v>0.0870923</v>
      </c>
      <c r="GW33">
        <v>24971.7</v>
      </c>
      <c r="GX33">
        <v>22682.3</v>
      </c>
      <c r="GY33">
        <v>26794.3</v>
      </c>
      <c r="GZ33">
        <v>24035.6</v>
      </c>
      <c r="HA33">
        <v>39109.6</v>
      </c>
      <c r="HB33">
        <v>32383.1</v>
      </c>
      <c r="HC33">
        <v>46765.5</v>
      </c>
      <c r="HD33">
        <v>38012.8</v>
      </c>
      <c r="HE33">
        <v>1.83312</v>
      </c>
      <c r="HF33">
        <v>1.82755</v>
      </c>
      <c r="HG33">
        <v>0.0581145</v>
      </c>
      <c r="HH33">
        <v>0</v>
      </c>
      <c r="HI33">
        <v>24.0537</v>
      </c>
      <c r="HJ33">
        <v>999.9</v>
      </c>
      <c r="HK33">
        <v>36.3</v>
      </c>
      <c r="HL33">
        <v>33.6</v>
      </c>
      <c r="HM33">
        <v>21.0394</v>
      </c>
      <c r="HN33">
        <v>61.7237</v>
      </c>
      <c r="HO33">
        <v>28.4135</v>
      </c>
      <c r="HP33">
        <v>1</v>
      </c>
      <c r="HQ33">
        <v>0.0654116</v>
      </c>
      <c r="HR33">
        <v>1.19722</v>
      </c>
      <c r="HS33">
        <v>20.2882</v>
      </c>
      <c r="HT33">
        <v>5.22208</v>
      </c>
      <c r="HU33">
        <v>11.979</v>
      </c>
      <c r="HV33">
        <v>4.9653</v>
      </c>
      <c r="HW33">
        <v>3.27598</v>
      </c>
      <c r="HX33">
        <v>9999</v>
      </c>
      <c r="HY33">
        <v>9999</v>
      </c>
      <c r="HZ33">
        <v>9999</v>
      </c>
      <c r="IA33">
        <v>999.9</v>
      </c>
      <c r="IB33">
        <v>1.86422</v>
      </c>
      <c r="IC33">
        <v>1.86046</v>
      </c>
      <c r="ID33">
        <v>1.8588</v>
      </c>
      <c r="IE33">
        <v>1.86008</v>
      </c>
      <c r="IF33">
        <v>1.8602</v>
      </c>
      <c r="IG33">
        <v>1.85872</v>
      </c>
      <c r="IH33">
        <v>1.85781</v>
      </c>
      <c r="II33">
        <v>1.85272</v>
      </c>
      <c r="IJ33">
        <v>0</v>
      </c>
      <c r="IK33">
        <v>0</v>
      </c>
      <c r="IL33">
        <v>0</v>
      </c>
      <c r="IM33">
        <v>0</v>
      </c>
      <c r="IN33" t="s">
        <v>441</v>
      </c>
      <c r="IO33" t="s">
        <v>442</v>
      </c>
      <c r="IP33" t="s">
        <v>443</v>
      </c>
      <c r="IQ33" t="s">
        <v>443</v>
      </c>
      <c r="IR33" t="s">
        <v>443</v>
      </c>
      <c r="IS33" t="s">
        <v>443</v>
      </c>
      <c r="IT33">
        <v>0</v>
      </c>
      <c r="IU33">
        <v>100</v>
      </c>
      <c r="IV33">
        <v>100</v>
      </c>
      <c r="IW33">
        <v>-0.08599999999999999</v>
      </c>
      <c r="IX33">
        <v>0.07000000000000001</v>
      </c>
      <c r="IY33">
        <v>-0.2353430117611052</v>
      </c>
      <c r="IZ33">
        <v>0.0001583678016168383</v>
      </c>
      <c r="JA33">
        <v>1.526473431467286E-06</v>
      </c>
      <c r="JB33">
        <v>-4.446382740029455E-10</v>
      </c>
      <c r="JC33">
        <v>-0.04807427634964587</v>
      </c>
      <c r="JD33">
        <v>-0.009941991807247691</v>
      </c>
      <c r="JE33">
        <v>0.001256427533001032</v>
      </c>
      <c r="JF33">
        <v>-1.689728105039484E-05</v>
      </c>
      <c r="JG33">
        <v>2</v>
      </c>
      <c r="JH33">
        <v>1984</v>
      </c>
      <c r="JI33">
        <v>0</v>
      </c>
      <c r="JJ33">
        <v>25</v>
      </c>
      <c r="JK33">
        <v>1.2</v>
      </c>
      <c r="JL33">
        <v>1.3</v>
      </c>
      <c r="JM33">
        <v>0.6359860000000001</v>
      </c>
      <c r="JN33">
        <v>2.63184</v>
      </c>
      <c r="JO33">
        <v>1.49658</v>
      </c>
      <c r="JP33">
        <v>2.34497</v>
      </c>
      <c r="JQ33">
        <v>1.54907</v>
      </c>
      <c r="JR33">
        <v>2.42065</v>
      </c>
      <c r="JS33">
        <v>38.8704</v>
      </c>
      <c r="JT33">
        <v>23.6935</v>
      </c>
      <c r="JU33">
        <v>18</v>
      </c>
      <c r="JV33">
        <v>451.683</v>
      </c>
      <c r="JW33">
        <v>472.883</v>
      </c>
      <c r="JX33">
        <v>23.2138</v>
      </c>
      <c r="JY33">
        <v>28.0226</v>
      </c>
      <c r="JZ33">
        <v>30</v>
      </c>
      <c r="KA33">
        <v>28.2553</v>
      </c>
      <c r="KB33">
        <v>28.2522</v>
      </c>
      <c r="KC33">
        <v>12.8179</v>
      </c>
      <c r="KD33">
        <v>16.9157</v>
      </c>
      <c r="KE33">
        <v>7.61961</v>
      </c>
      <c r="KF33">
        <v>23.2093</v>
      </c>
      <c r="KG33">
        <v>200</v>
      </c>
      <c r="KH33">
        <v>17.4689</v>
      </c>
      <c r="KI33">
        <v>102.267</v>
      </c>
      <c r="KJ33">
        <v>91.6858</v>
      </c>
    </row>
    <row r="34" spans="1:296">
      <c r="A34">
        <v>16</v>
      </c>
      <c r="B34">
        <v>1765301349.1</v>
      </c>
      <c r="C34">
        <v>3916.099999904633</v>
      </c>
      <c r="D34" t="s">
        <v>489</v>
      </c>
      <c r="E34" t="s">
        <v>490</v>
      </c>
      <c r="F34">
        <v>5</v>
      </c>
      <c r="G34" t="s">
        <v>481</v>
      </c>
      <c r="H34">
        <v>1765301341.099999</v>
      </c>
      <c r="I34">
        <f>(J34)/1000</f>
        <v>0</v>
      </c>
      <c r="J34">
        <f>IF(DO34, AM34, AG34)</f>
        <v>0</v>
      </c>
      <c r="K34">
        <f>IF(DO34, AH34, AF34)</f>
        <v>0</v>
      </c>
      <c r="L34">
        <f>DQ34 - IF(AT34&gt;1, K34*DK34*100.0/(AV34), 0)</f>
        <v>0</v>
      </c>
      <c r="M34">
        <f>((S34-I34/2)*L34-K34)/(S34+I34/2)</f>
        <v>0</v>
      </c>
      <c r="N34">
        <f>M34*(DX34+DY34)/1000.0</f>
        <v>0</v>
      </c>
      <c r="O34">
        <f>(DQ34 - IF(AT34&gt;1, K34*DK34*100.0/(AV34), 0))*(DX34+DY34)/1000.0</f>
        <v>0</v>
      </c>
      <c r="P34">
        <f>2.0/((1/R34-1/Q34)+SIGN(R34)*SQRT((1/R34-1/Q34)*(1/R34-1/Q34) + 4*DL34/((DL34+1)*(DL34+1))*(2*1/R34*1/Q34-1/Q34*1/Q34)))</f>
        <v>0</v>
      </c>
      <c r="Q34">
        <f>IF(LEFT(DM34,1)&lt;&gt;"0",IF(LEFT(DM34,1)="1",3.0,DN34),$D$5+$E$5*(EE34*DX34/($K$5*1000))+$F$5*(EE34*DX34/($K$5*1000))*MAX(MIN(DK34,$J$5),$I$5)*MAX(MIN(DK34,$J$5),$I$5)+$G$5*MAX(MIN(DK34,$J$5),$I$5)*(EE34*DX34/($K$5*1000))+$H$5*(EE34*DX34/($K$5*1000))*(EE34*DX34/($K$5*1000)))</f>
        <v>0</v>
      </c>
      <c r="R34">
        <f>I34*(1000-(1000*0.61365*exp(17.502*V34/(240.97+V34))/(DX34+DY34)+DS34)/2)/(1000*0.61365*exp(17.502*V34/(240.97+V34))/(DX34+DY34)-DS34)</f>
        <v>0</v>
      </c>
      <c r="S34">
        <f>1/((DL34+1)/(P34/1.6)+1/(Q34/1.37)) + DL34/((DL34+1)/(P34/1.6) + DL34/(Q34/1.37))</f>
        <v>0</v>
      </c>
      <c r="T34">
        <f>(DG34*DJ34)</f>
        <v>0</v>
      </c>
      <c r="U34">
        <f>(DZ34+(T34+2*0.95*5.67E-8*(((DZ34+$B$9)+273)^4-(DZ34+273)^4)-44100*I34)/(1.84*29.3*Q34+8*0.95*5.67E-8*(DZ34+273)^3))</f>
        <v>0</v>
      </c>
      <c r="V34">
        <f>($C$9*EA34+$D$9*EB34+$E$9*U34)</f>
        <v>0</v>
      </c>
      <c r="W34">
        <f>0.61365*exp(17.502*V34/(240.97+V34))</f>
        <v>0</v>
      </c>
      <c r="X34">
        <f>(Y34/Z34*100)</f>
        <v>0</v>
      </c>
      <c r="Y34">
        <f>DS34*(DX34+DY34)/1000</f>
        <v>0</v>
      </c>
      <c r="Z34">
        <f>0.61365*exp(17.502*DZ34/(240.97+DZ34))</f>
        <v>0</v>
      </c>
      <c r="AA34">
        <f>(W34-DS34*(DX34+DY34)/1000)</f>
        <v>0</v>
      </c>
      <c r="AB34">
        <f>(-I34*44100)</f>
        <v>0</v>
      </c>
      <c r="AC34">
        <f>2*29.3*Q34*0.92*(DZ34-V34)</f>
        <v>0</v>
      </c>
      <c r="AD34">
        <f>2*0.95*5.67E-8*(((DZ34+$B$9)+273)^4-(V34+273)^4)</f>
        <v>0</v>
      </c>
      <c r="AE34">
        <f>T34+AD34+AB34+AC34</f>
        <v>0</v>
      </c>
      <c r="AF34">
        <f>DW34*AT34*(DR34-DQ34*(1000-AT34*DT34)/(1000-AT34*DS34))/(100*DK34)</f>
        <v>0</v>
      </c>
      <c r="AG34">
        <f>1000*DW34*AT34*(DS34-DT34)/(100*DK34*(1000-AT34*DS34))</f>
        <v>0</v>
      </c>
      <c r="AH34">
        <f>(AI34 - AJ34 - DX34*1E3/(8.314*(DZ34+273.15)) * AL34/DW34 * AK34) * DW34/(100*DK34) * (1000 - DT34)/1000</f>
        <v>0</v>
      </c>
      <c r="AI34">
        <v>101.7595818181818</v>
      </c>
      <c r="AJ34">
        <v>102.2571818181818</v>
      </c>
      <c r="AK34">
        <v>0.0009918078262043965</v>
      </c>
      <c r="AL34">
        <v>64.45768344341907</v>
      </c>
      <c r="AM34">
        <f>(AO34 - AN34 + DX34*1E3/(8.314*(DZ34+273.15)) * AQ34/DW34 * AP34) * DW34/(100*DK34) * 1000/(1000 - AO34)</f>
        <v>0</v>
      </c>
      <c r="AN34">
        <v>17.45478242424243</v>
      </c>
      <c r="AO34">
        <v>17.53524363636364</v>
      </c>
      <c r="AP34">
        <v>-2.274298540989305E-05</v>
      </c>
      <c r="AQ34">
        <v>102.3926852190616</v>
      </c>
      <c r="AR34">
        <v>24</v>
      </c>
      <c r="AS34">
        <v>5</v>
      </c>
      <c r="AT34">
        <f>IF(AR34*$H$15&gt;=AV34,1.0,(AV34/(AV34-AR34*$H$15)))</f>
        <v>0</v>
      </c>
      <c r="AU34">
        <f>(AT34-1)*100</f>
        <v>0</v>
      </c>
      <c r="AV34">
        <f>MAX(0,($B$15+$C$15*EE34)/(1+$D$15*EE34)*DX34/(DZ34+273)*$E$15)</f>
        <v>0</v>
      </c>
      <c r="AW34" t="s">
        <v>437</v>
      </c>
      <c r="AX34" t="s">
        <v>437</v>
      </c>
      <c r="AY34">
        <v>0</v>
      </c>
      <c r="AZ34">
        <v>0</v>
      </c>
      <c r="BA34">
        <f>1-AY34/AZ34</f>
        <v>0</v>
      </c>
      <c r="BB34">
        <v>0</v>
      </c>
      <c r="BC34" t="s">
        <v>437</v>
      </c>
      <c r="BD34" t="s">
        <v>437</v>
      </c>
      <c r="BE34">
        <v>0</v>
      </c>
      <c r="BF34">
        <v>0</v>
      </c>
      <c r="BG34">
        <f>1-BE34/BF34</f>
        <v>0</v>
      </c>
      <c r="BH34">
        <v>0.5</v>
      </c>
      <c r="BI34">
        <f>DH34</f>
        <v>0</v>
      </c>
      <c r="BJ34">
        <f>K34</f>
        <v>0</v>
      </c>
      <c r="BK34">
        <f>BG34*BH34*BI34</f>
        <v>0</v>
      </c>
      <c r="BL34">
        <f>(BJ34-BB34)/BI34</f>
        <v>0</v>
      </c>
      <c r="BM34">
        <f>(AZ34-BF34)/BF34</f>
        <v>0</v>
      </c>
      <c r="BN34">
        <f>AY34/(BA34+AY34/BF34)</f>
        <v>0</v>
      </c>
      <c r="BO34" t="s">
        <v>437</v>
      </c>
      <c r="BP34">
        <v>0</v>
      </c>
      <c r="BQ34">
        <f>IF(BP34&lt;&gt;0, BP34, BN34)</f>
        <v>0</v>
      </c>
      <c r="BR34">
        <f>1-BQ34/BF34</f>
        <v>0</v>
      </c>
      <c r="BS34">
        <f>(BF34-BE34)/(BF34-BQ34)</f>
        <v>0</v>
      </c>
      <c r="BT34">
        <f>(AZ34-BF34)/(AZ34-BQ34)</f>
        <v>0</v>
      </c>
      <c r="BU34">
        <f>(BF34-BE34)/(BF34-AY34)</f>
        <v>0</v>
      </c>
      <c r="BV34">
        <f>(AZ34-BF34)/(AZ34-AY34)</f>
        <v>0</v>
      </c>
      <c r="BW34">
        <f>(BS34*BQ34/BE34)</f>
        <v>0</v>
      </c>
      <c r="BX34">
        <f>(1-BW34)</f>
        <v>0</v>
      </c>
      <c r="DG34">
        <f>$B$13*EF34+$C$13*EG34+$F$13*ER34*(1-EU34)</f>
        <v>0</v>
      </c>
      <c r="DH34">
        <f>DG34*DI34</f>
        <v>0</v>
      </c>
      <c r="DI34">
        <f>($B$13*$D$11+$C$13*$D$11+$F$13*((FE34+EW34)/MAX(FE34+EW34+FF34, 0.1)*$I$11+FF34/MAX(FE34+EW34+FF34, 0.1)*$J$11))/($B$13+$C$13+$F$13)</f>
        <v>0</v>
      </c>
      <c r="DJ34">
        <f>($B$13*$K$11+$C$13*$K$11+$F$13*((FE34+EW34)/MAX(FE34+EW34+FF34, 0.1)*$P$11+FF34/MAX(FE34+EW34+FF34, 0.1)*$Q$11))/($B$13+$C$13+$F$13)</f>
        <v>0</v>
      </c>
      <c r="DK34">
        <v>5.66</v>
      </c>
      <c r="DL34">
        <v>0.5</v>
      </c>
      <c r="DM34" t="s">
        <v>438</v>
      </c>
      <c r="DN34">
        <v>2</v>
      </c>
      <c r="DO34" t="b">
        <v>1</v>
      </c>
      <c r="DP34">
        <v>1765301341.099999</v>
      </c>
      <c r="DQ34">
        <v>100.5558387096774</v>
      </c>
      <c r="DR34">
        <v>99.99701612903226</v>
      </c>
      <c r="DS34">
        <v>17.53855806451613</v>
      </c>
      <c r="DT34">
        <v>17.45732258064517</v>
      </c>
      <c r="DU34">
        <v>100.6318387096774</v>
      </c>
      <c r="DV34">
        <v>17.46555806451613</v>
      </c>
      <c r="DW34">
        <v>500.011064516129</v>
      </c>
      <c r="DX34">
        <v>90.15247096774193</v>
      </c>
      <c r="DY34">
        <v>0.09999345483870965</v>
      </c>
      <c r="DZ34">
        <v>24.93544193548387</v>
      </c>
      <c r="EA34">
        <v>24.99776451612903</v>
      </c>
      <c r="EB34">
        <v>999.9000000000003</v>
      </c>
      <c r="EC34">
        <v>0</v>
      </c>
      <c r="ED34">
        <v>0</v>
      </c>
      <c r="EE34">
        <v>9997.060322580644</v>
      </c>
      <c r="EF34">
        <v>0</v>
      </c>
      <c r="EG34">
        <v>9.479230967741938</v>
      </c>
      <c r="EH34">
        <v>0.4903704838709678</v>
      </c>
      <c r="EI34">
        <v>102.2812580645161</v>
      </c>
      <c r="EJ34">
        <v>101.7735806451613</v>
      </c>
      <c r="EK34">
        <v>0.0800871064516129</v>
      </c>
      <c r="EL34">
        <v>99.99701612903226</v>
      </c>
      <c r="EM34">
        <v>17.45732258064517</v>
      </c>
      <c r="EN34">
        <v>1.581040322580645</v>
      </c>
      <c r="EO34">
        <v>1.57382</v>
      </c>
      <c r="EP34">
        <v>13.77524838709677</v>
      </c>
      <c r="EQ34">
        <v>13.70484193548387</v>
      </c>
      <c r="ER34">
        <v>800.0012903225805</v>
      </c>
      <c r="ES34">
        <v>0.9499910000000003</v>
      </c>
      <c r="ET34">
        <v>0.05000910000000001</v>
      </c>
      <c r="EU34">
        <v>0</v>
      </c>
      <c r="EV34">
        <v>1332.169032258064</v>
      </c>
      <c r="EW34">
        <v>5.000779999999999</v>
      </c>
      <c r="EX34">
        <v>9973.885483870969</v>
      </c>
      <c r="EY34">
        <v>6463.407096774195</v>
      </c>
      <c r="EZ34">
        <v>36.34448387096774</v>
      </c>
      <c r="FA34">
        <v>38.70135483870967</v>
      </c>
      <c r="FB34">
        <v>38.06025806451612</v>
      </c>
      <c r="FC34">
        <v>38.44541935483871</v>
      </c>
      <c r="FD34">
        <v>37.93119354838709</v>
      </c>
      <c r="FE34">
        <v>755.2435483870967</v>
      </c>
      <c r="FF34">
        <v>39.76</v>
      </c>
      <c r="FG34">
        <v>0</v>
      </c>
      <c r="FH34">
        <v>1765301348.3</v>
      </c>
      <c r="FI34">
        <v>0</v>
      </c>
      <c r="FJ34">
        <v>1332.1592</v>
      </c>
      <c r="FK34">
        <v>-0.2361538439428968</v>
      </c>
      <c r="FL34">
        <v>-10.28615386556286</v>
      </c>
      <c r="FM34">
        <v>9973.7304</v>
      </c>
      <c r="FN34">
        <v>15</v>
      </c>
      <c r="FO34">
        <v>1765301367.1</v>
      </c>
      <c r="FP34" t="s">
        <v>491</v>
      </c>
      <c r="FQ34">
        <v>1765301365.1</v>
      </c>
      <c r="FR34">
        <v>1765301367.1</v>
      </c>
      <c r="FS34">
        <v>17</v>
      </c>
      <c r="FT34">
        <v>0.06900000000000001</v>
      </c>
      <c r="FU34">
        <v>0.003</v>
      </c>
      <c r="FV34">
        <v>-0.076</v>
      </c>
      <c r="FW34">
        <v>0.073</v>
      </c>
      <c r="FX34">
        <v>100</v>
      </c>
      <c r="FY34">
        <v>17</v>
      </c>
      <c r="FZ34">
        <v>0.29</v>
      </c>
      <c r="GA34">
        <v>0.21</v>
      </c>
      <c r="GB34">
        <v>0.50461025</v>
      </c>
      <c r="GC34">
        <v>-0.3147140037523466</v>
      </c>
      <c r="GD34">
        <v>0.03632836970175651</v>
      </c>
      <c r="GE34">
        <v>1</v>
      </c>
      <c r="GF34">
        <v>1332.20205882353</v>
      </c>
      <c r="GG34">
        <v>-0.4374331535051074</v>
      </c>
      <c r="GH34">
        <v>0.1819628179822252</v>
      </c>
      <c r="GI34">
        <v>1</v>
      </c>
      <c r="GJ34">
        <v>0.0802146475</v>
      </c>
      <c r="GK34">
        <v>0.005421652908067408</v>
      </c>
      <c r="GL34">
        <v>0.001587092092001516</v>
      </c>
      <c r="GM34">
        <v>1</v>
      </c>
      <c r="GN34">
        <v>3</v>
      </c>
      <c r="GO34">
        <v>3</v>
      </c>
      <c r="GP34" t="s">
        <v>440</v>
      </c>
      <c r="GQ34">
        <v>3.10825</v>
      </c>
      <c r="GR34">
        <v>2.79182</v>
      </c>
      <c r="GS34">
        <v>0.0257067</v>
      </c>
      <c r="GT34">
        <v>0.025538</v>
      </c>
      <c r="GU34">
        <v>0.086578</v>
      </c>
      <c r="GV34">
        <v>0.0870687</v>
      </c>
      <c r="GW34">
        <v>25559.9</v>
      </c>
      <c r="GX34">
        <v>23217.5</v>
      </c>
      <c r="GY34">
        <v>26793.9</v>
      </c>
      <c r="GZ34">
        <v>24034.8</v>
      </c>
      <c r="HA34">
        <v>39107.8</v>
      </c>
      <c r="HB34">
        <v>32381.2</v>
      </c>
      <c r="HC34">
        <v>46764.8</v>
      </c>
      <c r="HD34">
        <v>38012.2</v>
      </c>
      <c r="HE34">
        <v>1.83307</v>
      </c>
      <c r="HF34">
        <v>1.82712</v>
      </c>
      <c r="HG34">
        <v>0.0567175</v>
      </c>
      <c r="HH34">
        <v>0</v>
      </c>
      <c r="HI34">
        <v>24.0645</v>
      </c>
      <c r="HJ34">
        <v>999.9</v>
      </c>
      <c r="HK34">
        <v>36.2</v>
      </c>
      <c r="HL34">
        <v>33.7</v>
      </c>
      <c r="HM34">
        <v>21.097</v>
      </c>
      <c r="HN34">
        <v>61.7637</v>
      </c>
      <c r="HO34">
        <v>28.5897</v>
      </c>
      <c r="HP34">
        <v>1</v>
      </c>
      <c r="HQ34">
        <v>0.06551070000000001</v>
      </c>
      <c r="HR34">
        <v>1.21788</v>
      </c>
      <c r="HS34">
        <v>20.2883</v>
      </c>
      <c r="HT34">
        <v>5.21879</v>
      </c>
      <c r="HU34">
        <v>11.9772</v>
      </c>
      <c r="HV34">
        <v>4.96515</v>
      </c>
      <c r="HW34">
        <v>3.27598</v>
      </c>
      <c r="HX34">
        <v>9999</v>
      </c>
      <c r="HY34">
        <v>9999</v>
      </c>
      <c r="HZ34">
        <v>9999</v>
      </c>
      <c r="IA34">
        <v>999.9</v>
      </c>
      <c r="IB34">
        <v>1.86423</v>
      </c>
      <c r="IC34">
        <v>1.86049</v>
      </c>
      <c r="ID34">
        <v>1.85881</v>
      </c>
      <c r="IE34">
        <v>1.86008</v>
      </c>
      <c r="IF34">
        <v>1.8602</v>
      </c>
      <c r="IG34">
        <v>1.85873</v>
      </c>
      <c r="IH34">
        <v>1.85781</v>
      </c>
      <c r="II34">
        <v>1.85272</v>
      </c>
      <c r="IJ34">
        <v>0</v>
      </c>
      <c r="IK34">
        <v>0</v>
      </c>
      <c r="IL34">
        <v>0</v>
      </c>
      <c r="IM34">
        <v>0</v>
      </c>
      <c r="IN34" t="s">
        <v>441</v>
      </c>
      <c r="IO34" t="s">
        <v>442</v>
      </c>
      <c r="IP34" t="s">
        <v>443</v>
      </c>
      <c r="IQ34" t="s">
        <v>443</v>
      </c>
      <c r="IR34" t="s">
        <v>443</v>
      </c>
      <c r="IS34" t="s">
        <v>443</v>
      </c>
      <c r="IT34">
        <v>0</v>
      </c>
      <c r="IU34">
        <v>100</v>
      </c>
      <c r="IV34">
        <v>100</v>
      </c>
      <c r="IW34">
        <v>-0.076</v>
      </c>
      <c r="IX34">
        <v>0.073</v>
      </c>
      <c r="IY34">
        <v>-0.1753480020334544</v>
      </c>
      <c r="IZ34">
        <v>0.0001583678016168383</v>
      </c>
      <c r="JA34">
        <v>1.526473431467286E-06</v>
      </c>
      <c r="JB34">
        <v>-4.446382740029455E-10</v>
      </c>
      <c r="JC34">
        <v>-0.04774723706777853</v>
      </c>
      <c r="JD34">
        <v>-0.009941991807247691</v>
      </c>
      <c r="JE34">
        <v>0.001256427533001032</v>
      </c>
      <c r="JF34">
        <v>-1.689728105039484E-05</v>
      </c>
      <c r="JG34">
        <v>2</v>
      </c>
      <c r="JH34">
        <v>1984</v>
      </c>
      <c r="JI34">
        <v>0</v>
      </c>
      <c r="JJ34">
        <v>25</v>
      </c>
      <c r="JK34">
        <v>1.2</v>
      </c>
      <c r="JL34">
        <v>1.3</v>
      </c>
      <c r="JM34">
        <v>0.395508</v>
      </c>
      <c r="JN34">
        <v>2.64526</v>
      </c>
      <c r="JO34">
        <v>1.49658</v>
      </c>
      <c r="JP34">
        <v>2.34741</v>
      </c>
      <c r="JQ34">
        <v>1.54907</v>
      </c>
      <c r="JR34">
        <v>2.49268</v>
      </c>
      <c r="JS34">
        <v>38.8951</v>
      </c>
      <c r="JT34">
        <v>23.7022</v>
      </c>
      <c r="JU34">
        <v>18</v>
      </c>
      <c r="JV34">
        <v>451.689</v>
      </c>
      <c r="JW34">
        <v>472.669</v>
      </c>
      <c r="JX34">
        <v>23.2247</v>
      </c>
      <c r="JY34">
        <v>28.0203</v>
      </c>
      <c r="JZ34">
        <v>30.0001</v>
      </c>
      <c r="KA34">
        <v>28.2601</v>
      </c>
      <c r="KB34">
        <v>28.2592</v>
      </c>
      <c r="KC34">
        <v>7.9903</v>
      </c>
      <c r="KD34">
        <v>16.6434</v>
      </c>
      <c r="KE34">
        <v>7.61961</v>
      </c>
      <c r="KF34">
        <v>23.2307</v>
      </c>
      <c r="KG34">
        <v>100</v>
      </c>
      <c r="KH34">
        <v>17.5135</v>
      </c>
      <c r="KI34">
        <v>102.266</v>
      </c>
      <c r="KJ34">
        <v>91.68380000000001</v>
      </c>
    </row>
    <row r="35" spans="1:296">
      <c r="A35">
        <v>17</v>
      </c>
      <c r="B35">
        <v>1765301436.1</v>
      </c>
      <c r="C35">
        <v>4003.099999904633</v>
      </c>
      <c r="D35" t="s">
        <v>492</v>
      </c>
      <c r="E35" t="s">
        <v>493</v>
      </c>
      <c r="F35">
        <v>5</v>
      </c>
      <c r="G35" t="s">
        <v>481</v>
      </c>
      <c r="H35">
        <v>1765301428.099999</v>
      </c>
      <c r="I35">
        <f>(J35)/1000</f>
        <v>0</v>
      </c>
      <c r="J35">
        <f>IF(DO35, AM35, AG35)</f>
        <v>0</v>
      </c>
      <c r="K35">
        <f>IF(DO35, AH35, AF35)</f>
        <v>0</v>
      </c>
      <c r="L35">
        <f>DQ35 - IF(AT35&gt;1, K35*DK35*100.0/(AV35), 0)</f>
        <v>0</v>
      </c>
      <c r="M35">
        <f>((S35-I35/2)*L35-K35)/(S35+I35/2)</f>
        <v>0</v>
      </c>
      <c r="N35">
        <f>M35*(DX35+DY35)/1000.0</f>
        <v>0</v>
      </c>
      <c r="O35">
        <f>(DQ35 - IF(AT35&gt;1, K35*DK35*100.0/(AV35), 0))*(DX35+DY35)/1000.0</f>
        <v>0</v>
      </c>
      <c r="P35">
        <f>2.0/((1/R35-1/Q35)+SIGN(R35)*SQRT((1/R35-1/Q35)*(1/R35-1/Q35) + 4*DL35/((DL35+1)*(DL35+1))*(2*1/R35*1/Q35-1/Q35*1/Q35)))</f>
        <v>0</v>
      </c>
      <c r="Q35">
        <f>IF(LEFT(DM35,1)&lt;&gt;"0",IF(LEFT(DM35,1)="1",3.0,DN35),$D$5+$E$5*(EE35*DX35/($K$5*1000))+$F$5*(EE35*DX35/($K$5*1000))*MAX(MIN(DK35,$J$5),$I$5)*MAX(MIN(DK35,$J$5),$I$5)+$G$5*MAX(MIN(DK35,$J$5),$I$5)*(EE35*DX35/($K$5*1000))+$H$5*(EE35*DX35/($K$5*1000))*(EE35*DX35/($K$5*1000)))</f>
        <v>0</v>
      </c>
      <c r="R35">
        <f>I35*(1000-(1000*0.61365*exp(17.502*V35/(240.97+V35))/(DX35+DY35)+DS35)/2)/(1000*0.61365*exp(17.502*V35/(240.97+V35))/(DX35+DY35)-DS35)</f>
        <v>0</v>
      </c>
      <c r="S35">
        <f>1/((DL35+1)/(P35/1.6)+1/(Q35/1.37)) + DL35/((DL35+1)/(P35/1.6) + DL35/(Q35/1.37))</f>
        <v>0</v>
      </c>
      <c r="T35">
        <f>(DG35*DJ35)</f>
        <v>0</v>
      </c>
      <c r="U35">
        <f>(DZ35+(T35+2*0.95*5.67E-8*(((DZ35+$B$9)+273)^4-(DZ35+273)^4)-44100*I35)/(1.84*29.3*Q35+8*0.95*5.67E-8*(DZ35+273)^3))</f>
        <v>0</v>
      </c>
      <c r="V35">
        <f>($C$9*EA35+$D$9*EB35+$E$9*U35)</f>
        <v>0</v>
      </c>
      <c r="W35">
        <f>0.61365*exp(17.502*V35/(240.97+V35))</f>
        <v>0</v>
      </c>
      <c r="X35">
        <f>(Y35/Z35*100)</f>
        <v>0</v>
      </c>
      <c r="Y35">
        <f>DS35*(DX35+DY35)/1000</f>
        <v>0</v>
      </c>
      <c r="Z35">
        <f>0.61365*exp(17.502*DZ35/(240.97+DZ35))</f>
        <v>0</v>
      </c>
      <c r="AA35">
        <f>(W35-DS35*(DX35+DY35)/1000)</f>
        <v>0</v>
      </c>
      <c r="AB35">
        <f>(-I35*44100)</f>
        <v>0</v>
      </c>
      <c r="AC35">
        <f>2*29.3*Q35*0.92*(DZ35-V35)</f>
        <v>0</v>
      </c>
      <c r="AD35">
        <f>2*0.95*5.67E-8*(((DZ35+$B$9)+273)^4-(V35+273)^4)</f>
        <v>0</v>
      </c>
      <c r="AE35">
        <f>T35+AD35+AB35+AC35</f>
        <v>0</v>
      </c>
      <c r="AF35">
        <f>DW35*AT35*(DR35-DQ35*(1000-AT35*DT35)/(1000-AT35*DS35))/(100*DK35)</f>
        <v>0</v>
      </c>
      <c r="AG35">
        <f>1000*DW35*AT35*(DS35-DT35)/(100*DK35*(1000-AT35*DS35))</f>
        <v>0</v>
      </c>
      <c r="AH35">
        <f>(AI35 - AJ35 - DX35*1E3/(8.314*(DZ35+273.15)) * AL35/DW35 * AK35) * DW35/(100*DK35) * (1000 - DT35)/1000</f>
        <v>0</v>
      </c>
      <c r="AI35">
        <v>50.89009843492842</v>
      </c>
      <c r="AJ35">
        <v>51.41636969696969</v>
      </c>
      <c r="AK35">
        <v>0.0005104558570753462</v>
      </c>
      <c r="AL35">
        <v>65.79201629988886</v>
      </c>
      <c r="AM35">
        <f>(AO35 - AN35 + DX35*1E3/(8.314*(DZ35+273.15)) * AQ35/DW35 * AP35) * DW35/(100*DK35) * 1000/(1000 - AO35)</f>
        <v>0</v>
      </c>
      <c r="AN35">
        <v>17.47900573295482</v>
      </c>
      <c r="AO35">
        <v>17.56506242424242</v>
      </c>
      <c r="AP35">
        <v>-8.740315352210405E-06</v>
      </c>
      <c r="AQ35">
        <v>107.6324167204949</v>
      </c>
      <c r="AR35">
        <v>24</v>
      </c>
      <c r="AS35">
        <v>5</v>
      </c>
      <c r="AT35">
        <f>IF(AR35*$H$15&gt;=AV35,1.0,(AV35/(AV35-AR35*$H$15)))</f>
        <v>0</v>
      </c>
      <c r="AU35">
        <f>(AT35-1)*100</f>
        <v>0</v>
      </c>
      <c r="AV35">
        <f>MAX(0,($B$15+$C$15*EE35)/(1+$D$15*EE35)*DX35/(DZ35+273)*$E$15)</f>
        <v>0</v>
      </c>
      <c r="AW35" t="s">
        <v>437</v>
      </c>
      <c r="AX35" t="s">
        <v>437</v>
      </c>
      <c r="AY35">
        <v>0</v>
      </c>
      <c r="AZ35">
        <v>0</v>
      </c>
      <c r="BA35">
        <f>1-AY35/AZ35</f>
        <v>0</v>
      </c>
      <c r="BB35">
        <v>0</v>
      </c>
      <c r="BC35" t="s">
        <v>437</v>
      </c>
      <c r="BD35" t="s">
        <v>437</v>
      </c>
      <c r="BE35">
        <v>0</v>
      </c>
      <c r="BF35">
        <v>0</v>
      </c>
      <c r="BG35">
        <f>1-BE35/BF35</f>
        <v>0</v>
      </c>
      <c r="BH35">
        <v>0.5</v>
      </c>
      <c r="BI35">
        <f>DH35</f>
        <v>0</v>
      </c>
      <c r="BJ35">
        <f>K35</f>
        <v>0</v>
      </c>
      <c r="BK35">
        <f>BG35*BH35*BI35</f>
        <v>0</v>
      </c>
      <c r="BL35">
        <f>(BJ35-BB35)/BI35</f>
        <v>0</v>
      </c>
      <c r="BM35">
        <f>(AZ35-BF35)/BF35</f>
        <v>0</v>
      </c>
      <c r="BN35">
        <f>AY35/(BA35+AY35/BF35)</f>
        <v>0</v>
      </c>
      <c r="BO35" t="s">
        <v>437</v>
      </c>
      <c r="BP35">
        <v>0</v>
      </c>
      <c r="BQ35">
        <f>IF(BP35&lt;&gt;0, BP35, BN35)</f>
        <v>0</v>
      </c>
      <c r="BR35">
        <f>1-BQ35/BF35</f>
        <v>0</v>
      </c>
      <c r="BS35">
        <f>(BF35-BE35)/(BF35-BQ35)</f>
        <v>0</v>
      </c>
      <c r="BT35">
        <f>(AZ35-BF35)/(AZ35-BQ35)</f>
        <v>0</v>
      </c>
      <c r="BU35">
        <f>(BF35-BE35)/(BF35-AY35)</f>
        <v>0</v>
      </c>
      <c r="BV35">
        <f>(AZ35-BF35)/(AZ35-AY35)</f>
        <v>0</v>
      </c>
      <c r="BW35">
        <f>(BS35*BQ35/BE35)</f>
        <v>0</v>
      </c>
      <c r="BX35">
        <f>(1-BW35)</f>
        <v>0</v>
      </c>
      <c r="DG35">
        <f>$B$13*EF35+$C$13*EG35+$F$13*ER35*(1-EU35)</f>
        <v>0</v>
      </c>
      <c r="DH35">
        <f>DG35*DI35</f>
        <v>0</v>
      </c>
      <c r="DI35">
        <f>($B$13*$D$11+$C$13*$D$11+$F$13*((FE35+EW35)/MAX(FE35+EW35+FF35, 0.1)*$I$11+FF35/MAX(FE35+EW35+FF35, 0.1)*$J$11))/($B$13+$C$13+$F$13)</f>
        <v>0</v>
      </c>
      <c r="DJ35">
        <f>($B$13*$K$11+$C$13*$K$11+$F$13*((FE35+EW35)/MAX(FE35+EW35+FF35, 0.1)*$P$11+FF35/MAX(FE35+EW35+FF35, 0.1)*$Q$11))/($B$13+$C$13+$F$13)</f>
        <v>0</v>
      </c>
      <c r="DK35">
        <v>5.66</v>
      </c>
      <c r="DL35">
        <v>0.5</v>
      </c>
      <c r="DM35" t="s">
        <v>438</v>
      </c>
      <c r="DN35">
        <v>2</v>
      </c>
      <c r="DO35" t="b">
        <v>1</v>
      </c>
      <c r="DP35">
        <v>1765301428.099999</v>
      </c>
      <c r="DQ35">
        <v>50.60776774193549</v>
      </c>
      <c r="DR35">
        <v>49.99654516129031</v>
      </c>
      <c r="DS35">
        <v>17.56651935483871</v>
      </c>
      <c r="DT35">
        <v>17.48079677419355</v>
      </c>
      <c r="DU35">
        <v>50.64476774193549</v>
      </c>
      <c r="DV35">
        <v>17.49251935483871</v>
      </c>
      <c r="DW35">
        <v>500.0025483870967</v>
      </c>
      <c r="DX35">
        <v>90.1511483870968</v>
      </c>
      <c r="DY35">
        <v>0.09990910967741935</v>
      </c>
      <c r="DZ35">
        <v>24.92500322580645</v>
      </c>
      <c r="EA35">
        <v>25.00372258064517</v>
      </c>
      <c r="EB35">
        <v>999.9000000000003</v>
      </c>
      <c r="EC35">
        <v>0</v>
      </c>
      <c r="ED35">
        <v>0</v>
      </c>
      <c r="EE35">
        <v>10018.10709677419</v>
      </c>
      <c r="EF35">
        <v>0</v>
      </c>
      <c r="EG35">
        <v>9.48319548387097</v>
      </c>
      <c r="EH35">
        <v>0.5534293225806453</v>
      </c>
      <c r="EI35">
        <v>51.45389354838711</v>
      </c>
      <c r="EJ35">
        <v>50.88607096774193</v>
      </c>
      <c r="EK35">
        <v>0.0867790193548387</v>
      </c>
      <c r="EL35">
        <v>49.99654516129031</v>
      </c>
      <c r="EM35">
        <v>17.48079677419355</v>
      </c>
      <c r="EN35">
        <v>1.583737741935484</v>
      </c>
      <c r="EO35">
        <v>1.575915806451613</v>
      </c>
      <c r="EP35">
        <v>13.80147419354839</v>
      </c>
      <c r="EQ35">
        <v>13.72529677419355</v>
      </c>
      <c r="ER35">
        <v>800.0019032258065</v>
      </c>
      <c r="ES35">
        <v>0.9499890322580646</v>
      </c>
      <c r="ET35">
        <v>0.05001104838709677</v>
      </c>
      <c r="EU35">
        <v>0</v>
      </c>
      <c r="EV35">
        <v>1331.710967741935</v>
      </c>
      <c r="EW35">
        <v>5.000779999999999</v>
      </c>
      <c r="EX35">
        <v>9957.264838709676</v>
      </c>
      <c r="EY35">
        <v>6463.410000000001</v>
      </c>
      <c r="EZ35">
        <v>35.93325806451612</v>
      </c>
      <c r="FA35">
        <v>38.32419354838708</v>
      </c>
      <c r="FB35">
        <v>37.74170967741934</v>
      </c>
      <c r="FC35">
        <v>38.02793548387096</v>
      </c>
      <c r="FD35">
        <v>37.58038709677418</v>
      </c>
      <c r="FE35">
        <v>755.2422580645159</v>
      </c>
      <c r="FF35">
        <v>39.76</v>
      </c>
      <c r="FG35">
        <v>0</v>
      </c>
      <c r="FH35">
        <v>1765301435.3</v>
      </c>
      <c r="FI35">
        <v>0</v>
      </c>
      <c r="FJ35">
        <v>1331.715</v>
      </c>
      <c r="FK35">
        <v>-0.3682051262909622</v>
      </c>
      <c r="FL35">
        <v>-14.4635897740494</v>
      </c>
      <c r="FM35">
        <v>9957.113846153847</v>
      </c>
      <c r="FN35">
        <v>15</v>
      </c>
      <c r="FO35">
        <v>1765301452.1</v>
      </c>
      <c r="FP35" t="s">
        <v>494</v>
      </c>
      <c r="FQ35">
        <v>1765301452.1</v>
      </c>
      <c r="FR35">
        <v>1765301452.1</v>
      </c>
      <c r="FS35">
        <v>18</v>
      </c>
      <c r="FT35">
        <v>0.058</v>
      </c>
      <c r="FU35">
        <v>0</v>
      </c>
      <c r="FV35">
        <v>-0.037</v>
      </c>
      <c r="FW35">
        <v>0.074</v>
      </c>
      <c r="FX35">
        <v>50</v>
      </c>
      <c r="FY35">
        <v>17</v>
      </c>
      <c r="FZ35">
        <v>0.39</v>
      </c>
      <c r="GA35">
        <v>0.2</v>
      </c>
      <c r="GB35">
        <v>0.57412565</v>
      </c>
      <c r="GC35">
        <v>-0.4689622964352747</v>
      </c>
      <c r="GD35">
        <v>0.05097763342219312</v>
      </c>
      <c r="GE35">
        <v>1</v>
      </c>
      <c r="GF35">
        <v>1331.736470588235</v>
      </c>
      <c r="GG35">
        <v>-0.333384261146263</v>
      </c>
      <c r="GH35">
        <v>0.2208790240212603</v>
      </c>
      <c r="GI35">
        <v>1</v>
      </c>
      <c r="GJ35">
        <v>0.08661642999999999</v>
      </c>
      <c r="GK35">
        <v>0.001958291932457563</v>
      </c>
      <c r="GL35">
        <v>0.0006193014371854782</v>
      </c>
      <c r="GM35">
        <v>1</v>
      </c>
      <c r="GN35">
        <v>3</v>
      </c>
      <c r="GO35">
        <v>3</v>
      </c>
      <c r="GP35" t="s">
        <v>440</v>
      </c>
      <c r="GQ35">
        <v>3.10828</v>
      </c>
      <c r="GR35">
        <v>2.79171</v>
      </c>
      <c r="GS35">
        <v>0.013263</v>
      </c>
      <c r="GT35">
        <v>0.0130761</v>
      </c>
      <c r="GU35">
        <v>0.0866714</v>
      </c>
      <c r="GV35">
        <v>0.08715100000000001</v>
      </c>
      <c r="GW35">
        <v>25885.9</v>
      </c>
      <c r="GX35">
        <v>23514</v>
      </c>
      <c r="GY35">
        <v>26793.4</v>
      </c>
      <c r="GZ35">
        <v>24034.3</v>
      </c>
      <c r="HA35">
        <v>39101.2</v>
      </c>
      <c r="HB35">
        <v>32376.1</v>
      </c>
      <c r="HC35">
        <v>46763.6</v>
      </c>
      <c r="HD35">
        <v>38011.3</v>
      </c>
      <c r="HE35">
        <v>1.83315</v>
      </c>
      <c r="HF35">
        <v>1.8271</v>
      </c>
      <c r="HG35">
        <v>0.059288</v>
      </c>
      <c r="HH35">
        <v>0</v>
      </c>
      <c r="HI35">
        <v>24.0307</v>
      </c>
      <c r="HJ35">
        <v>999.9</v>
      </c>
      <c r="HK35">
        <v>36.1</v>
      </c>
      <c r="HL35">
        <v>33.7</v>
      </c>
      <c r="HM35">
        <v>21.0404</v>
      </c>
      <c r="HN35">
        <v>61.7937</v>
      </c>
      <c r="HO35">
        <v>28.3734</v>
      </c>
      <c r="HP35">
        <v>1</v>
      </c>
      <c r="HQ35">
        <v>0.06547</v>
      </c>
      <c r="HR35">
        <v>1.27639</v>
      </c>
      <c r="HS35">
        <v>20.2877</v>
      </c>
      <c r="HT35">
        <v>5.22298</v>
      </c>
      <c r="HU35">
        <v>11.9784</v>
      </c>
      <c r="HV35">
        <v>4.96545</v>
      </c>
      <c r="HW35">
        <v>3.27598</v>
      </c>
      <c r="HX35">
        <v>9999</v>
      </c>
      <c r="HY35">
        <v>9999</v>
      </c>
      <c r="HZ35">
        <v>9999</v>
      </c>
      <c r="IA35">
        <v>999.9</v>
      </c>
      <c r="IB35">
        <v>1.86421</v>
      </c>
      <c r="IC35">
        <v>1.86047</v>
      </c>
      <c r="ID35">
        <v>1.8588</v>
      </c>
      <c r="IE35">
        <v>1.86007</v>
      </c>
      <c r="IF35">
        <v>1.8602</v>
      </c>
      <c r="IG35">
        <v>1.85869</v>
      </c>
      <c r="IH35">
        <v>1.85781</v>
      </c>
      <c r="II35">
        <v>1.85272</v>
      </c>
      <c r="IJ35">
        <v>0</v>
      </c>
      <c r="IK35">
        <v>0</v>
      </c>
      <c r="IL35">
        <v>0</v>
      </c>
      <c r="IM35">
        <v>0</v>
      </c>
      <c r="IN35" t="s">
        <v>441</v>
      </c>
      <c r="IO35" t="s">
        <v>442</v>
      </c>
      <c r="IP35" t="s">
        <v>443</v>
      </c>
      <c r="IQ35" t="s">
        <v>443</v>
      </c>
      <c r="IR35" t="s">
        <v>443</v>
      </c>
      <c r="IS35" t="s">
        <v>443</v>
      </c>
      <c r="IT35">
        <v>0</v>
      </c>
      <c r="IU35">
        <v>100</v>
      </c>
      <c r="IV35">
        <v>100</v>
      </c>
      <c r="IW35">
        <v>-0.037</v>
      </c>
      <c r="IX35">
        <v>0.074</v>
      </c>
      <c r="IY35">
        <v>-0.1066643292305965</v>
      </c>
      <c r="IZ35">
        <v>0.0001583678016168383</v>
      </c>
      <c r="JA35">
        <v>1.526473431467286E-06</v>
      </c>
      <c r="JB35">
        <v>-4.446382740029455E-10</v>
      </c>
      <c r="JC35">
        <v>-0.0450268717658332</v>
      </c>
      <c r="JD35">
        <v>-0.009941991807247691</v>
      </c>
      <c r="JE35">
        <v>0.001256427533001032</v>
      </c>
      <c r="JF35">
        <v>-1.689728105039484E-05</v>
      </c>
      <c r="JG35">
        <v>2</v>
      </c>
      <c r="JH35">
        <v>1984</v>
      </c>
      <c r="JI35">
        <v>0</v>
      </c>
      <c r="JJ35">
        <v>25</v>
      </c>
      <c r="JK35">
        <v>1.2</v>
      </c>
      <c r="JL35">
        <v>1.1</v>
      </c>
      <c r="JM35">
        <v>0.272217</v>
      </c>
      <c r="JN35">
        <v>2.677</v>
      </c>
      <c r="JO35">
        <v>1.49658</v>
      </c>
      <c r="JP35">
        <v>2.34619</v>
      </c>
      <c r="JQ35">
        <v>1.54907</v>
      </c>
      <c r="JR35">
        <v>2.39624</v>
      </c>
      <c r="JS35">
        <v>38.8951</v>
      </c>
      <c r="JT35">
        <v>23.6935</v>
      </c>
      <c r="JU35">
        <v>18</v>
      </c>
      <c r="JV35">
        <v>451.714</v>
      </c>
      <c r="JW35">
        <v>472.634</v>
      </c>
      <c r="JX35">
        <v>23.2972</v>
      </c>
      <c r="JY35">
        <v>28.0107</v>
      </c>
      <c r="JZ35">
        <v>30.0002</v>
      </c>
      <c r="KA35">
        <v>28.2577</v>
      </c>
      <c r="KB35">
        <v>28.2568</v>
      </c>
      <c r="KC35">
        <v>5.54886</v>
      </c>
      <c r="KD35">
        <v>16.288</v>
      </c>
      <c r="KE35">
        <v>7.61961</v>
      </c>
      <c r="KF35">
        <v>23.2837</v>
      </c>
      <c r="KG35">
        <v>50</v>
      </c>
      <c r="KH35">
        <v>17.5141</v>
      </c>
      <c r="KI35">
        <v>102.264</v>
      </c>
      <c r="KJ35">
        <v>91.68170000000001</v>
      </c>
    </row>
    <row r="36" spans="1:296">
      <c r="A36">
        <v>18</v>
      </c>
      <c r="B36">
        <v>1765301518.1</v>
      </c>
      <c r="C36">
        <v>4085.099999904633</v>
      </c>
      <c r="D36" t="s">
        <v>495</v>
      </c>
      <c r="E36" t="s">
        <v>496</v>
      </c>
      <c r="F36">
        <v>5</v>
      </c>
      <c r="G36" t="s">
        <v>481</v>
      </c>
      <c r="H36">
        <v>1765301510.099999</v>
      </c>
      <c r="I36">
        <f>(J36)/1000</f>
        <v>0</v>
      </c>
      <c r="J36">
        <f>IF(DO36, AM36, AG36)</f>
        <v>0</v>
      </c>
      <c r="K36">
        <f>IF(DO36, AH36, AF36)</f>
        <v>0</v>
      </c>
      <c r="L36">
        <f>DQ36 - IF(AT36&gt;1, K36*DK36*100.0/(AV36), 0)</f>
        <v>0</v>
      </c>
      <c r="M36">
        <f>((S36-I36/2)*L36-K36)/(S36+I36/2)</f>
        <v>0</v>
      </c>
      <c r="N36">
        <f>M36*(DX36+DY36)/1000.0</f>
        <v>0</v>
      </c>
      <c r="O36">
        <f>(DQ36 - IF(AT36&gt;1, K36*DK36*100.0/(AV36), 0))*(DX36+DY36)/1000.0</f>
        <v>0</v>
      </c>
      <c r="P36">
        <f>2.0/((1/R36-1/Q36)+SIGN(R36)*SQRT((1/R36-1/Q36)*(1/R36-1/Q36) + 4*DL36/((DL36+1)*(DL36+1))*(2*1/R36*1/Q36-1/Q36*1/Q36)))</f>
        <v>0</v>
      </c>
      <c r="Q36">
        <f>IF(LEFT(DM36,1)&lt;&gt;"0",IF(LEFT(DM36,1)="1",3.0,DN36),$D$5+$E$5*(EE36*DX36/($K$5*1000))+$F$5*(EE36*DX36/($K$5*1000))*MAX(MIN(DK36,$J$5),$I$5)*MAX(MIN(DK36,$J$5),$I$5)+$G$5*MAX(MIN(DK36,$J$5),$I$5)*(EE36*DX36/($K$5*1000))+$H$5*(EE36*DX36/($K$5*1000))*(EE36*DX36/($K$5*1000)))</f>
        <v>0</v>
      </c>
      <c r="R36">
        <f>I36*(1000-(1000*0.61365*exp(17.502*V36/(240.97+V36))/(DX36+DY36)+DS36)/2)/(1000*0.61365*exp(17.502*V36/(240.97+V36))/(DX36+DY36)-DS36)</f>
        <v>0</v>
      </c>
      <c r="S36">
        <f>1/((DL36+1)/(P36/1.6)+1/(Q36/1.37)) + DL36/((DL36+1)/(P36/1.6) + DL36/(Q36/1.37))</f>
        <v>0</v>
      </c>
      <c r="T36">
        <f>(DG36*DJ36)</f>
        <v>0</v>
      </c>
      <c r="U36">
        <f>(DZ36+(T36+2*0.95*5.67E-8*(((DZ36+$B$9)+273)^4-(DZ36+273)^4)-44100*I36)/(1.84*29.3*Q36+8*0.95*5.67E-8*(DZ36+273)^3))</f>
        <v>0</v>
      </c>
      <c r="V36">
        <f>($C$9*EA36+$D$9*EB36+$E$9*U36)</f>
        <v>0</v>
      </c>
      <c r="W36">
        <f>0.61365*exp(17.502*V36/(240.97+V36))</f>
        <v>0</v>
      </c>
      <c r="X36">
        <f>(Y36/Z36*100)</f>
        <v>0</v>
      </c>
      <c r="Y36">
        <f>DS36*(DX36+DY36)/1000</f>
        <v>0</v>
      </c>
      <c r="Z36">
        <f>0.61365*exp(17.502*DZ36/(240.97+DZ36))</f>
        <v>0</v>
      </c>
      <c r="AA36">
        <f>(W36-DS36*(DX36+DY36)/1000)</f>
        <v>0</v>
      </c>
      <c r="AB36">
        <f>(-I36*44100)</f>
        <v>0</v>
      </c>
      <c r="AC36">
        <f>2*29.3*Q36*0.92*(DZ36-V36)</f>
        <v>0</v>
      </c>
      <c r="AD36">
        <f>2*0.95*5.67E-8*(((DZ36+$B$9)+273)^4-(V36+273)^4)</f>
        <v>0</v>
      </c>
      <c r="AE36">
        <f>T36+AD36+AB36+AC36</f>
        <v>0</v>
      </c>
      <c r="AF36">
        <f>DW36*AT36*(DR36-DQ36*(1000-AT36*DT36)/(1000-AT36*DS36))/(100*DK36)</f>
        <v>0</v>
      </c>
      <c r="AG36">
        <f>1000*DW36*AT36*(DS36-DT36)/(100*DK36*(1000-AT36*DS36))</f>
        <v>0</v>
      </c>
      <c r="AH36">
        <f>(AI36 - AJ36 - DX36*1E3/(8.314*(DZ36+273.15)) * AL36/DW36 * AK36) * DW36/(100*DK36) * (1000 - DT36)/1000</f>
        <v>0</v>
      </c>
      <c r="AI36">
        <v>0.263574193939394</v>
      </c>
      <c r="AJ36">
        <v>0.8929050181818178</v>
      </c>
      <c r="AK36">
        <v>1.280177526450011E-05</v>
      </c>
      <c r="AL36">
        <v>64.15112719128591</v>
      </c>
      <c r="AM36">
        <f>(AO36 - AN36 + DX36*1E3/(8.314*(DZ36+273.15)) * AQ36/DW36 * AP36) * DW36/(100*DK36) * 1000/(1000 - AO36)</f>
        <v>0</v>
      </c>
      <c r="AN36">
        <v>17.52703090909091</v>
      </c>
      <c r="AO36">
        <v>17.60104242424243</v>
      </c>
      <c r="AP36">
        <v>-4.919672919764989E-05</v>
      </c>
      <c r="AQ36">
        <v>102.115486978408</v>
      </c>
      <c r="AR36">
        <v>24</v>
      </c>
      <c r="AS36">
        <v>5</v>
      </c>
      <c r="AT36">
        <f>IF(AR36*$H$15&gt;=AV36,1.0,(AV36/(AV36-AR36*$H$15)))</f>
        <v>0</v>
      </c>
      <c r="AU36">
        <f>(AT36-1)*100</f>
        <v>0</v>
      </c>
      <c r="AV36">
        <f>MAX(0,($B$15+$C$15*EE36)/(1+$D$15*EE36)*DX36/(DZ36+273)*$E$15)</f>
        <v>0</v>
      </c>
      <c r="AW36" t="s">
        <v>437</v>
      </c>
      <c r="AX36" t="s">
        <v>437</v>
      </c>
      <c r="AY36">
        <v>0</v>
      </c>
      <c r="AZ36">
        <v>0</v>
      </c>
      <c r="BA36">
        <f>1-AY36/AZ36</f>
        <v>0</v>
      </c>
      <c r="BB36">
        <v>0</v>
      </c>
      <c r="BC36" t="s">
        <v>437</v>
      </c>
      <c r="BD36" t="s">
        <v>437</v>
      </c>
      <c r="BE36">
        <v>0</v>
      </c>
      <c r="BF36">
        <v>0</v>
      </c>
      <c r="BG36">
        <f>1-BE36/BF36</f>
        <v>0</v>
      </c>
      <c r="BH36">
        <v>0.5</v>
      </c>
      <c r="BI36">
        <f>DH36</f>
        <v>0</v>
      </c>
      <c r="BJ36">
        <f>K36</f>
        <v>0</v>
      </c>
      <c r="BK36">
        <f>BG36*BH36*BI36</f>
        <v>0</v>
      </c>
      <c r="BL36">
        <f>(BJ36-BB36)/BI36</f>
        <v>0</v>
      </c>
      <c r="BM36">
        <f>(AZ36-BF36)/BF36</f>
        <v>0</v>
      </c>
      <c r="BN36">
        <f>AY36/(BA36+AY36/BF36)</f>
        <v>0</v>
      </c>
      <c r="BO36" t="s">
        <v>437</v>
      </c>
      <c r="BP36">
        <v>0</v>
      </c>
      <c r="BQ36">
        <f>IF(BP36&lt;&gt;0, BP36, BN36)</f>
        <v>0</v>
      </c>
      <c r="BR36">
        <f>1-BQ36/BF36</f>
        <v>0</v>
      </c>
      <c r="BS36">
        <f>(BF36-BE36)/(BF36-BQ36)</f>
        <v>0</v>
      </c>
      <c r="BT36">
        <f>(AZ36-BF36)/(AZ36-BQ36)</f>
        <v>0</v>
      </c>
      <c r="BU36">
        <f>(BF36-BE36)/(BF36-AY36)</f>
        <v>0</v>
      </c>
      <c r="BV36">
        <f>(AZ36-BF36)/(AZ36-AY36)</f>
        <v>0</v>
      </c>
      <c r="BW36">
        <f>(BS36*BQ36/BE36)</f>
        <v>0</v>
      </c>
      <c r="BX36">
        <f>(1-BW36)</f>
        <v>0</v>
      </c>
      <c r="DG36">
        <f>$B$13*EF36+$C$13*EG36+$F$13*ER36*(1-EU36)</f>
        <v>0</v>
      </c>
      <c r="DH36">
        <f>DG36*DI36</f>
        <v>0</v>
      </c>
      <c r="DI36">
        <f>($B$13*$D$11+$C$13*$D$11+$F$13*((FE36+EW36)/MAX(FE36+EW36+FF36, 0.1)*$I$11+FF36/MAX(FE36+EW36+FF36, 0.1)*$J$11))/($B$13+$C$13+$F$13)</f>
        <v>0</v>
      </c>
      <c r="DJ36">
        <f>($B$13*$K$11+$C$13*$K$11+$F$13*((FE36+EW36)/MAX(FE36+EW36+FF36, 0.1)*$P$11+FF36/MAX(FE36+EW36+FF36, 0.1)*$Q$11))/($B$13+$C$13+$F$13)</f>
        <v>0</v>
      </c>
      <c r="DK36">
        <v>5.66</v>
      </c>
      <c r="DL36">
        <v>0.5</v>
      </c>
      <c r="DM36" t="s">
        <v>438</v>
      </c>
      <c r="DN36">
        <v>2</v>
      </c>
      <c r="DO36" t="b">
        <v>1</v>
      </c>
      <c r="DP36">
        <v>1765301510.099999</v>
      </c>
      <c r="DQ36">
        <v>0.9103509999999998</v>
      </c>
      <c r="DR36">
        <v>0.2443525483870968</v>
      </c>
      <c r="DS36">
        <v>17.59663870967742</v>
      </c>
      <c r="DT36">
        <v>17.52761935483871</v>
      </c>
      <c r="DU36">
        <v>0.9523509999999998</v>
      </c>
      <c r="DV36">
        <v>17.52163870967742</v>
      </c>
      <c r="DW36">
        <v>500.0162258064516</v>
      </c>
      <c r="DX36">
        <v>90.15414838709678</v>
      </c>
      <c r="DY36">
        <v>0.1000161774193548</v>
      </c>
      <c r="DZ36">
        <v>24.91274516129033</v>
      </c>
      <c r="EA36">
        <v>24.99310967741936</v>
      </c>
      <c r="EB36">
        <v>999.9000000000003</v>
      </c>
      <c r="EC36">
        <v>0</v>
      </c>
      <c r="ED36">
        <v>0</v>
      </c>
      <c r="EE36">
        <v>9996.809999999999</v>
      </c>
      <c r="EF36">
        <v>0</v>
      </c>
      <c r="EG36">
        <v>9.474385161290323</v>
      </c>
      <c r="EH36">
        <v>0.6595911935483871</v>
      </c>
      <c r="EI36">
        <v>0.9201357419354838</v>
      </c>
      <c r="EJ36">
        <v>0.2487118387096774</v>
      </c>
      <c r="EK36">
        <v>0.06979505161290323</v>
      </c>
      <c r="EL36">
        <v>0.2443525483870968</v>
      </c>
      <c r="EM36">
        <v>17.52761935483871</v>
      </c>
      <c r="EN36">
        <v>1.586480322580645</v>
      </c>
      <c r="EO36">
        <v>1.580187419354838</v>
      </c>
      <c r="EP36">
        <v>13.82810322580645</v>
      </c>
      <c r="EQ36">
        <v>13.76695806451613</v>
      </c>
      <c r="ER36">
        <v>799.9946129032259</v>
      </c>
      <c r="ES36">
        <v>0.9499873225806453</v>
      </c>
      <c r="ET36">
        <v>0.0500128</v>
      </c>
      <c r="EU36">
        <v>0</v>
      </c>
      <c r="EV36">
        <v>1331.057419354839</v>
      </c>
      <c r="EW36">
        <v>5.000779999999999</v>
      </c>
      <c r="EX36">
        <v>9944.017741935484</v>
      </c>
      <c r="EY36">
        <v>6463.345483870968</v>
      </c>
      <c r="EZ36">
        <v>35.61058064516128</v>
      </c>
      <c r="FA36">
        <v>38.05799999999999</v>
      </c>
      <c r="FB36">
        <v>37.10264516129032</v>
      </c>
      <c r="FC36">
        <v>37.7376129032258</v>
      </c>
      <c r="FD36">
        <v>37.20745161290322</v>
      </c>
      <c r="FE36">
        <v>755.2329032258064</v>
      </c>
      <c r="FF36">
        <v>39.76</v>
      </c>
      <c r="FG36">
        <v>0</v>
      </c>
      <c r="FH36">
        <v>1765301517.5</v>
      </c>
      <c r="FI36">
        <v>0</v>
      </c>
      <c r="FJ36">
        <v>1331.0396</v>
      </c>
      <c r="FK36">
        <v>-0.5984615462984429</v>
      </c>
      <c r="FL36">
        <v>-12.33384617248899</v>
      </c>
      <c r="FM36">
        <v>9943.8696</v>
      </c>
      <c r="FN36">
        <v>15</v>
      </c>
      <c r="FO36">
        <v>1765301538.1</v>
      </c>
      <c r="FP36" t="s">
        <v>497</v>
      </c>
      <c r="FQ36">
        <v>1765301538.1</v>
      </c>
      <c r="FR36">
        <v>1765301535.1</v>
      </c>
      <c r="FS36">
        <v>19</v>
      </c>
      <c r="FT36">
        <v>0.006</v>
      </c>
      <c r="FU36">
        <v>0.001</v>
      </c>
      <c r="FV36">
        <v>-0.042</v>
      </c>
      <c r="FW36">
        <v>0.075</v>
      </c>
      <c r="FX36">
        <v>0</v>
      </c>
      <c r="FY36">
        <v>17</v>
      </c>
      <c r="FZ36">
        <v>0.35</v>
      </c>
      <c r="GA36">
        <v>0.18</v>
      </c>
      <c r="GB36">
        <v>0.6852912</v>
      </c>
      <c r="GC36">
        <v>-0.4771649606003752</v>
      </c>
      <c r="GD36">
        <v>0.05033507917158769</v>
      </c>
      <c r="GE36">
        <v>1</v>
      </c>
      <c r="GF36">
        <v>1331.110588235294</v>
      </c>
      <c r="GG36">
        <v>-0.668601987459883</v>
      </c>
      <c r="GH36">
        <v>0.2105027759558468</v>
      </c>
      <c r="GI36">
        <v>1</v>
      </c>
      <c r="GJ36">
        <v>0.06501155</v>
      </c>
      <c r="GK36">
        <v>0.09264536735459653</v>
      </c>
      <c r="GL36">
        <v>0.009354131853063651</v>
      </c>
      <c r="GM36">
        <v>1</v>
      </c>
      <c r="GN36">
        <v>3</v>
      </c>
      <c r="GO36">
        <v>3</v>
      </c>
      <c r="GP36" t="s">
        <v>440</v>
      </c>
      <c r="GQ36">
        <v>3.10831</v>
      </c>
      <c r="GR36">
        <v>2.79146</v>
      </c>
      <c r="GS36">
        <v>0.000246075</v>
      </c>
      <c r="GT36">
        <v>6.53376E-05</v>
      </c>
      <c r="GU36">
        <v>0.0868043</v>
      </c>
      <c r="GV36">
        <v>0.087323</v>
      </c>
      <c r="GW36">
        <v>26226.5</v>
      </c>
      <c r="GX36">
        <v>23823.7</v>
      </c>
      <c r="GY36">
        <v>26792.3</v>
      </c>
      <c r="GZ36">
        <v>24033.9</v>
      </c>
      <c r="HA36">
        <v>39092.4</v>
      </c>
      <c r="HB36">
        <v>32367.9</v>
      </c>
      <c r="HC36">
        <v>46762</v>
      </c>
      <c r="HD36">
        <v>38010.4</v>
      </c>
      <c r="HE36">
        <v>1.83312</v>
      </c>
      <c r="HF36">
        <v>1.82668</v>
      </c>
      <c r="HG36">
        <v>0.0599027</v>
      </c>
      <c r="HH36">
        <v>0</v>
      </c>
      <c r="HI36">
        <v>24.0188</v>
      </c>
      <c r="HJ36">
        <v>999.9</v>
      </c>
      <c r="HK36">
        <v>36</v>
      </c>
      <c r="HL36">
        <v>33.7</v>
      </c>
      <c r="HM36">
        <v>20.9812</v>
      </c>
      <c r="HN36">
        <v>61.2437</v>
      </c>
      <c r="HO36">
        <v>28.3053</v>
      </c>
      <c r="HP36">
        <v>1</v>
      </c>
      <c r="HQ36">
        <v>0.0643064</v>
      </c>
      <c r="HR36">
        <v>1.0151</v>
      </c>
      <c r="HS36">
        <v>20.2896</v>
      </c>
      <c r="HT36">
        <v>5.22328</v>
      </c>
      <c r="HU36">
        <v>11.9773</v>
      </c>
      <c r="HV36">
        <v>4.96555</v>
      </c>
      <c r="HW36">
        <v>3.276</v>
      </c>
      <c r="HX36">
        <v>9999</v>
      </c>
      <c r="HY36">
        <v>9999</v>
      </c>
      <c r="HZ36">
        <v>9999</v>
      </c>
      <c r="IA36">
        <v>999.9</v>
      </c>
      <c r="IB36">
        <v>1.86429</v>
      </c>
      <c r="IC36">
        <v>1.8605</v>
      </c>
      <c r="ID36">
        <v>1.85883</v>
      </c>
      <c r="IE36">
        <v>1.86011</v>
      </c>
      <c r="IF36">
        <v>1.86021</v>
      </c>
      <c r="IG36">
        <v>1.85879</v>
      </c>
      <c r="IH36">
        <v>1.85789</v>
      </c>
      <c r="II36">
        <v>1.85273</v>
      </c>
      <c r="IJ36">
        <v>0</v>
      </c>
      <c r="IK36">
        <v>0</v>
      </c>
      <c r="IL36">
        <v>0</v>
      </c>
      <c r="IM36">
        <v>0</v>
      </c>
      <c r="IN36" t="s">
        <v>441</v>
      </c>
      <c r="IO36" t="s">
        <v>442</v>
      </c>
      <c r="IP36" t="s">
        <v>443</v>
      </c>
      <c r="IQ36" t="s">
        <v>443</v>
      </c>
      <c r="IR36" t="s">
        <v>443</v>
      </c>
      <c r="IS36" t="s">
        <v>443</v>
      </c>
      <c r="IT36">
        <v>0</v>
      </c>
      <c r="IU36">
        <v>100</v>
      </c>
      <c r="IV36">
        <v>100</v>
      </c>
      <c r="IW36">
        <v>-0.042</v>
      </c>
      <c r="IX36">
        <v>0.075</v>
      </c>
      <c r="IY36">
        <v>-0.04855940924692148</v>
      </c>
      <c r="IZ36">
        <v>0.0001583678016168383</v>
      </c>
      <c r="JA36">
        <v>1.526473431467286E-06</v>
      </c>
      <c r="JB36">
        <v>-4.446382740029455E-10</v>
      </c>
      <c r="JC36">
        <v>-0.04485089148810746</v>
      </c>
      <c r="JD36">
        <v>-0.009941991807247691</v>
      </c>
      <c r="JE36">
        <v>0.001256427533001032</v>
      </c>
      <c r="JF36">
        <v>-1.689728105039484E-05</v>
      </c>
      <c r="JG36">
        <v>2</v>
      </c>
      <c r="JH36">
        <v>1984</v>
      </c>
      <c r="JI36">
        <v>0</v>
      </c>
      <c r="JJ36">
        <v>25</v>
      </c>
      <c r="JK36">
        <v>1.1</v>
      </c>
      <c r="JL36">
        <v>1.1</v>
      </c>
      <c r="JM36">
        <v>0.0305176</v>
      </c>
      <c r="JN36">
        <v>4.99634</v>
      </c>
      <c r="JO36">
        <v>1.49658</v>
      </c>
      <c r="JP36">
        <v>2.34619</v>
      </c>
      <c r="JQ36">
        <v>1.54907</v>
      </c>
      <c r="JR36">
        <v>2.3877</v>
      </c>
      <c r="JS36">
        <v>38.9198</v>
      </c>
      <c r="JT36">
        <v>23.676</v>
      </c>
      <c r="JU36">
        <v>18</v>
      </c>
      <c r="JV36">
        <v>451.666</v>
      </c>
      <c r="JW36">
        <v>472.344</v>
      </c>
      <c r="JX36">
        <v>23.3924</v>
      </c>
      <c r="JY36">
        <v>28.0012</v>
      </c>
      <c r="JZ36">
        <v>30</v>
      </c>
      <c r="KA36">
        <v>28.2529</v>
      </c>
      <c r="KB36">
        <v>28.2544</v>
      </c>
      <c r="KC36">
        <v>0</v>
      </c>
      <c r="KD36">
        <v>16.287</v>
      </c>
      <c r="KE36">
        <v>7.61961</v>
      </c>
      <c r="KF36">
        <v>23.3933</v>
      </c>
      <c r="KG36">
        <v>0</v>
      </c>
      <c r="KH36">
        <v>17.4357</v>
      </c>
      <c r="KI36">
        <v>102.26</v>
      </c>
      <c r="KJ36">
        <v>91.6798</v>
      </c>
    </row>
    <row r="37" spans="1:296">
      <c r="A37">
        <v>19</v>
      </c>
      <c r="B37">
        <v>1765301629.1</v>
      </c>
      <c r="C37">
        <v>4196.099999904633</v>
      </c>
      <c r="D37" t="s">
        <v>498</v>
      </c>
      <c r="E37" t="s">
        <v>499</v>
      </c>
      <c r="F37">
        <v>5</v>
      </c>
      <c r="G37" t="s">
        <v>481</v>
      </c>
      <c r="H37">
        <v>1765301621.099999</v>
      </c>
      <c r="I37">
        <f>(J37)/1000</f>
        <v>0</v>
      </c>
      <c r="J37">
        <f>IF(DO37, AM37, AG37)</f>
        <v>0</v>
      </c>
      <c r="K37">
        <f>IF(DO37, AH37, AF37)</f>
        <v>0</v>
      </c>
      <c r="L37">
        <f>DQ37 - IF(AT37&gt;1, K37*DK37*100.0/(AV37), 0)</f>
        <v>0</v>
      </c>
      <c r="M37">
        <f>((S37-I37/2)*L37-K37)/(S37+I37/2)</f>
        <v>0</v>
      </c>
      <c r="N37">
        <f>M37*(DX37+DY37)/1000.0</f>
        <v>0</v>
      </c>
      <c r="O37">
        <f>(DQ37 - IF(AT37&gt;1, K37*DK37*100.0/(AV37), 0))*(DX37+DY37)/1000.0</f>
        <v>0</v>
      </c>
      <c r="P37">
        <f>2.0/((1/R37-1/Q37)+SIGN(R37)*SQRT((1/R37-1/Q37)*(1/R37-1/Q37) + 4*DL37/((DL37+1)*(DL37+1))*(2*1/R37*1/Q37-1/Q37*1/Q37)))</f>
        <v>0</v>
      </c>
      <c r="Q37">
        <f>IF(LEFT(DM37,1)&lt;&gt;"0",IF(LEFT(DM37,1)="1",3.0,DN37),$D$5+$E$5*(EE37*DX37/($K$5*1000))+$F$5*(EE37*DX37/($K$5*1000))*MAX(MIN(DK37,$J$5),$I$5)*MAX(MIN(DK37,$J$5),$I$5)+$G$5*MAX(MIN(DK37,$J$5),$I$5)*(EE37*DX37/($K$5*1000))+$H$5*(EE37*DX37/($K$5*1000))*(EE37*DX37/($K$5*1000)))</f>
        <v>0</v>
      </c>
      <c r="R37">
        <f>I37*(1000-(1000*0.61365*exp(17.502*V37/(240.97+V37))/(DX37+DY37)+DS37)/2)/(1000*0.61365*exp(17.502*V37/(240.97+V37))/(DX37+DY37)-DS37)</f>
        <v>0</v>
      </c>
      <c r="S37">
        <f>1/((DL37+1)/(P37/1.6)+1/(Q37/1.37)) + DL37/((DL37+1)/(P37/1.6) + DL37/(Q37/1.37))</f>
        <v>0</v>
      </c>
      <c r="T37">
        <f>(DG37*DJ37)</f>
        <v>0</v>
      </c>
      <c r="U37">
        <f>(DZ37+(T37+2*0.95*5.67E-8*(((DZ37+$B$9)+273)^4-(DZ37+273)^4)-44100*I37)/(1.84*29.3*Q37+8*0.95*5.67E-8*(DZ37+273)^3))</f>
        <v>0</v>
      </c>
      <c r="V37">
        <f>($C$9*EA37+$D$9*EB37+$E$9*U37)</f>
        <v>0</v>
      </c>
      <c r="W37">
        <f>0.61365*exp(17.502*V37/(240.97+V37))</f>
        <v>0</v>
      </c>
      <c r="X37">
        <f>(Y37/Z37*100)</f>
        <v>0</v>
      </c>
      <c r="Y37">
        <f>DS37*(DX37+DY37)/1000</f>
        <v>0</v>
      </c>
      <c r="Z37">
        <f>0.61365*exp(17.502*DZ37/(240.97+DZ37))</f>
        <v>0</v>
      </c>
      <c r="AA37">
        <f>(W37-DS37*(DX37+DY37)/1000)</f>
        <v>0</v>
      </c>
      <c r="AB37">
        <f>(-I37*44100)</f>
        <v>0</v>
      </c>
      <c r="AC37">
        <f>2*29.3*Q37*0.92*(DZ37-V37)</f>
        <v>0</v>
      </c>
      <c r="AD37">
        <f>2*0.95*5.67E-8*(((DZ37+$B$9)+273)^4-(V37+273)^4)</f>
        <v>0</v>
      </c>
      <c r="AE37">
        <f>T37+AD37+AB37+AC37</f>
        <v>0</v>
      </c>
      <c r="AF37">
        <f>DW37*AT37*(DR37-DQ37*(1000-AT37*DT37)/(1000-AT37*DS37))/(100*DK37)</f>
        <v>0</v>
      </c>
      <c r="AG37">
        <f>1000*DW37*AT37*(DS37-DT37)/(100*DK37*(1000-AT37*DS37))</f>
        <v>0</v>
      </c>
      <c r="AH37">
        <f>(AI37 - AJ37 - DX37*1E3/(8.314*(DZ37+273.15)) * AL37/DW37 * AK37) * DW37/(100*DK37) * (1000 - DT37)/1000</f>
        <v>0</v>
      </c>
      <c r="AI37">
        <v>407.1973151515153</v>
      </c>
      <c r="AJ37">
        <v>407.430103030303</v>
      </c>
      <c r="AK37">
        <v>-0.005801501685050972</v>
      </c>
      <c r="AL37">
        <v>64.16729565407844</v>
      </c>
      <c r="AM37">
        <f>(AO37 - AN37 + DX37*1E3/(8.314*(DZ37+273.15)) * AQ37/DW37 * AP37) * DW37/(100*DK37) * 1000/(1000 - AO37)</f>
        <v>0</v>
      </c>
      <c r="AN37">
        <v>17.38974303030303</v>
      </c>
      <c r="AO37">
        <v>17.4839709090909</v>
      </c>
      <c r="AP37">
        <v>4.821294407835006E-06</v>
      </c>
      <c r="AQ37">
        <v>102.1240386132976</v>
      </c>
      <c r="AR37">
        <v>22</v>
      </c>
      <c r="AS37">
        <v>4</v>
      </c>
      <c r="AT37">
        <f>IF(AR37*$H$15&gt;=AV37,1.0,(AV37/(AV37-AR37*$H$15)))</f>
        <v>0</v>
      </c>
      <c r="AU37">
        <f>(AT37-1)*100</f>
        <v>0</v>
      </c>
      <c r="AV37">
        <f>MAX(0,($B$15+$C$15*EE37)/(1+$D$15*EE37)*DX37/(DZ37+273)*$E$15)</f>
        <v>0</v>
      </c>
      <c r="AW37" t="s">
        <v>437</v>
      </c>
      <c r="AX37" t="s">
        <v>437</v>
      </c>
      <c r="AY37">
        <v>0</v>
      </c>
      <c r="AZ37">
        <v>0</v>
      </c>
      <c r="BA37">
        <f>1-AY37/AZ37</f>
        <v>0</v>
      </c>
      <c r="BB37">
        <v>0</v>
      </c>
      <c r="BC37" t="s">
        <v>437</v>
      </c>
      <c r="BD37" t="s">
        <v>437</v>
      </c>
      <c r="BE37">
        <v>0</v>
      </c>
      <c r="BF37">
        <v>0</v>
      </c>
      <c r="BG37">
        <f>1-BE37/BF37</f>
        <v>0</v>
      </c>
      <c r="BH37">
        <v>0.5</v>
      </c>
      <c r="BI37">
        <f>DH37</f>
        <v>0</v>
      </c>
      <c r="BJ37">
        <f>K37</f>
        <v>0</v>
      </c>
      <c r="BK37">
        <f>BG37*BH37*BI37</f>
        <v>0</v>
      </c>
      <c r="BL37">
        <f>(BJ37-BB37)/BI37</f>
        <v>0</v>
      </c>
      <c r="BM37">
        <f>(AZ37-BF37)/BF37</f>
        <v>0</v>
      </c>
      <c r="BN37">
        <f>AY37/(BA37+AY37/BF37)</f>
        <v>0</v>
      </c>
      <c r="BO37" t="s">
        <v>437</v>
      </c>
      <c r="BP37">
        <v>0</v>
      </c>
      <c r="BQ37">
        <f>IF(BP37&lt;&gt;0, BP37, BN37)</f>
        <v>0</v>
      </c>
      <c r="BR37">
        <f>1-BQ37/BF37</f>
        <v>0</v>
      </c>
      <c r="BS37">
        <f>(BF37-BE37)/(BF37-BQ37)</f>
        <v>0</v>
      </c>
      <c r="BT37">
        <f>(AZ37-BF37)/(AZ37-BQ37)</f>
        <v>0</v>
      </c>
      <c r="BU37">
        <f>(BF37-BE37)/(BF37-AY37)</f>
        <v>0</v>
      </c>
      <c r="BV37">
        <f>(AZ37-BF37)/(AZ37-AY37)</f>
        <v>0</v>
      </c>
      <c r="BW37">
        <f>(BS37*BQ37/BE37)</f>
        <v>0</v>
      </c>
      <c r="BX37">
        <f>(1-BW37)</f>
        <v>0</v>
      </c>
      <c r="DG37">
        <f>$B$13*EF37+$C$13*EG37+$F$13*ER37*(1-EU37)</f>
        <v>0</v>
      </c>
      <c r="DH37">
        <f>DG37*DI37</f>
        <v>0</v>
      </c>
      <c r="DI37">
        <f>($B$13*$D$11+$C$13*$D$11+$F$13*((FE37+EW37)/MAX(FE37+EW37+FF37, 0.1)*$I$11+FF37/MAX(FE37+EW37+FF37, 0.1)*$J$11))/($B$13+$C$13+$F$13)</f>
        <v>0</v>
      </c>
      <c r="DJ37">
        <f>($B$13*$K$11+$C$13*$K$11+$F$13*((FE37+EW37)/MAX(FE37+EW37+FF37, 0.1)*$P$11+FF37/MAX(FE37+EW37+FF37, 0.1)*$Q$11))/($B$13+$C$13+$F$13)</f>
        <v>0</v>
      </c>
      <c r="DK37">
        <v>5.66</v>
      </c>
      <c r="DL37">
        <v>0.5</v>
      </c>
      <c r="DM37" t="s">
        <v>438</v>
      </c>
      <c r="DN37">
        <v>2</v>
      </c>
      <c r="DO37" t="b">
        <v>1</v>
      </c>
      <c r="DP37">
        <v>1765301621.099999</v>
      </c>
      <c r="DQ37">
        <v>400.23</v>
      </c>
      <c r="DR37">
        <v>400.1623870967741</v>
      </c>
      <c r="DS37">
        <v>17.48667419354839</v>
      </c>
      <c r="DT37">
        <v>17.39330967741936</v>
      </c>
      <c r="DU37">
        <v>400.152</v>
      </c>
      <c r="DV37">
        <v>17.41167419354839</v>
      </c>
      <c r="DW37">
        <v>500.0147096774193</v>
      </c>
      <c r="DX37">
        <v>90.15117419354839</v>
      </c>
      <c r="DY37">
        <v>0.09990813870967739</v>
      </c>
      <c r="DZ37">
        <v>24.92827096774193</v>
      </c>
      <c r="EA37">
        <v>25.00161290322581</v>
      </c>
      <c r="EB37">
        <v>999.9000000000003</v>
      </c>
      <c r="EC37">
        <v>0</v>
      </c>
      <c r="ED37">
        <v>0</v>
      </c>
      <c r="EE37">
        <v>10013.30290322581</v>
      </c>
      <c r="EF37">
        <v>0</v>
      </c>
      <c r="EG37">
        <v>9.467481935483871</v>
      </c>
      <c r="EH37">
        <v>0.2266944516129032</v>
      </c>
      <c r="EI37">
        <v>407.5149354838709</v>
      </c>
      <c r="EJ37">
        <v>407.2457419354839</v>
      </c>
      <c r="EK37">
        <v>0.09293150645161288</v>
      </c>
      <c r="EL37">
        <v>400.1623870967741</v>
      </c>
      <c r="EM37">
        <v>17.39330967741936</v>
      </c>
      <c r="EN37">
        <v>1.576407096774193</v>
      </c>
      <c r="EO37">
        <v>1.568028064516129</v>
      </c>
      <c r="EP37">
        <v>13.73008387096774</v>
      </c>
      <c r="EQ37">
        <v>13.64815806451613</v>
      </c>
      <c r="ER37">
        <v>799.9981290322581</v>
      </c>
      <c r="ES37">
        <v>0.9499889999999996</v>
      </c>
      <c r="ET37">
        <v>0.05001140000000001</v>
      </c>
      <c r="EU37">
        <v>0</v>
      </c>
      <c r="EV37">
        <v>1327.247419354839</v>
      </c>
      <c r="EW37">
        <v>5.000779999999999</v>
      </c>
      <c r="EX37">
        <v>9949.861290322582</v>
      </c>
      <c r="EY37">
        <v>6463.376451612906</v>
      </c>
      <c r="EZ37">
        <v>36.46151612903225</v>
      </c>
      <c r="FA37">
        <v>40.05816129032256</v>
      </c>
      <c r="FB37">
        <v>38.46345161290321</v>
      </c>
      <c r="FC37">
        <v>40.04816129032257</v>
      </c>
      <c r="FD37">
        <v>38.69729032258063</v>
      </c>
      <c r="FE37">
        <v>755.2380645161289</v>
      </c>
      <c r="FF37">
        <v>39.76</v>
      </c>
      <c r="FG37">
        <v>0</v>
      </c>
      <c r="FH37">
        <v>1765301628.5</v>
      </c>
      <c r="FI37">
        <v>0</v>
      </c>
      <c r="FJ37">
        <v>1327.217692307692</v>
      </c>
      <c r="FK37">
        <v>-2.812307702809295</v>
      </c>
      <c r="FL37">
        <v>-10.10119657267625</v>
      </c>
      <c r="FM37">
        <v>9949.726153846153</v>
      </c>
      <c r="FN37">
        <v>15</v>
      </c>
      <c r="FO37">
        <v>1765301650.6</v>
      </c>
      <c r="FP37" t="s">
        <v>500</v>
      </c>
      <c r="FQ37">
        <v>1765301641.1</v>
      </c>
      <c r="FR37">
        <v>1765301650.6</v>
      </c>
      <c r="FS37">
        <v>20</v>
      </c>
      <c r="FT37">
        <v>-0.159</v>
      </c>
      <c r="FU37">
        <v>0.002</v>
      </c>
      <c r="FV37">
        <v>0.078</v>
      </c>
      <c r="FW37">
        <v>0.075</v>
      </c>
      <c r="FX37">
        <v>400</v>
      </c>
      <c r="FY37">
        <v>17</v>
      </c>
      <c r="FZ37">
        <v>0.78</v>
      </c>
      <c r="GA37">
        <v>0.21</v>
      </c>
      <c r="GB37">
        <v>0.2646841463414634</v>
      </c>
      <c r="GC37">
        <v>-0.6033385087108014</v>
      </c>
      <c r="GD37">
        <v>0.07300029543861399</v>
      </c>
      <c r="GE37">
        <v>0</v>
      </c>
      <c r="GF37">
        <v>1327.50705882353</v>
      </c>
      <c r="GG37">
        <v>-4.428724229798767</v>
      </c>
      <c r="GH37">
        <v>0.4929952237673855</v>
      </c>
      <c r="GI37">
        <v>0</v>
      </c>
      <c r="GJ37">
        <v>0.09383169268292683</v>
      </c>
      <c r="GK37">
        <v>-0.01261545783972102</v>
      </c>
      <c r="GL37">
        <v>0.001816154144686935</v>
      </c>
      <c r="GM37">
        <v>1</v>
      </c>
      <c r="GN37">
        <v>1</v>
      </c>
      <c r="GO37">
        <v>3</v>
      </c>
      <c r="GP37" t="s">
        <v>469</v>
      </c>
      <c r="GQ37">
        <v>3.10828</v>
      </c>
      <c r="GR37">
        <v>2.79193</v>
      </c>
      <c r="GS37">
        <v>0.0846305</v>
      </c>
      <c r="GT37">
        <v>0.0846778</v>
      </c>
      <c r="GU37">
        <v>0.08638179999999999</v>
      </c>
      <c r="GV37">
        <v>0.08683539999999999</v>
      </c>
      <c r="GW37">
        <v>24012.7</v>
      </c>
      <c r="GX37">
        <v>21808</v>
      </c>
      <c r="GY37">
        <v>26792.2</v>
      </c>
      <c r="GZ37">
        <v>24034.2</v>
      </c>
      <c r="HA37">
        <v>39121.4</v>
      </c>
      <c r="HB37">
        <v>32394.2</v>
      </c>
      <c r="HC37">
        <v>46762.2</v>
      </c>
      <c r="HD37">
        <v>38010.6</v>
      </c>
      <c r="HE37">
        <v>1.83685</v>
      </c>
      <c r="HF37">
        <v>1.82775</v>
      </c>
      <c r="HG37">
        <v>0.0587292</v>
      </c>
      <c r="HH37">
        <v>0</v>
      </c>
      <c r="HI37">
        <v>24.0372</v>
      </c>
      <c r="HJ37">
        <v>999.9</v>
      </c>
      <c r="HK37">
        <v>35.9</v>
      </c>
      <c r="HL37">
        <v>33.7</v>
      </c>
      <c r="HM37">
        <v>20.9232</v>
      </c>
      <c r="HN37">
        <v>61.9037</v>
      </c>
      <c r="HO37">
        <v>28.3053</v>
      </c>
      <c r="HP37">
        <v>1</v>
      </c>
      <c r="HQ37">
        <v>0.06479169999999999</v>
      </c>
      <c r="HR37">
        <v>1.09457</v>
      </c>
      <c r="HS37">
        <v>20.2907</v>
      </c>
      <c r="HT37">
        <v>5.22298</v>
      </c>
      <c r="HU37">
        <v>11.9784</v>
      </c>
      <c r="HV37">
        <v>4.9657</v>
      </c>
      <c r="HW37">
        <v>3.27595</v>
      </c>
      <c r="HX37">
        <v>9999</v>
      </c>
      <c r="HY37">
        <v>9999</v>
      </c>
      <c r="HZ37">
        <v>9999</v>
      </c>
      <c r="IA37">
        <v>999.9</v>
      </c>
      <c r="IB37">
        <v>1.86422</v>
      </c>
      <c r="IC37">
        <v>1.86049</v>
      </c>
      <c r="ID37">
        <v>1.85881</v>
      </c>
      <c r="IE37">
        <v>1.86006</v>
      </c>
      <c r="IF37">
        <v>1.8602</v>
      </c>
      <c r="IG37">
        <v>1.85874</v>
      </c>
      <c r="IH37">
        <v>1.85779</v>
      </c>
      <c r="II37">
        <v>1.85272</v>
      </c>
      <c r="IJ37">
        <v>0</v>
      </c>
      <c r="IK37">
        <v>0</v>
      </c>
      <c r="IL37">
        <v>0</v>
      </c>
      <c r="IM37">
        <v>0</v>
      </c>
      <c r="IN37" t="s">
        <v>441</v>
      </c>
      <c r="IO37" t="s">
        <v>442</v>
      </c>
      <c r="IP37" t="s">
        <v>443</v>
      </c>
      <c r="IQ37" t="s">
        <v>443</v>
      </c>
      <c r="IR37" t="s">
        <v>443</v>
      </c>
      <c r="IS37" t="s">
        <v>443</v>
      </c>
      <c r="IT37">
        <v>0</v>
      </c>
      <c r="IU37">
        <v>100</v>
      </c>
      <c r="IV37">
        <v>100</v>
      </c>
      <c r="IW37">
        <v>0.078</v>
      </c>
      <c r="IX37">
        <v>0.075</v>
      </c>
      <c r="IY37">
        <v>-0.04226500770349745</v>
      </c>
      <c r="IZ37">
        <v>0.0001583678016168383</v>
      </c>
      <c r="JA37">
        <v>1.526473431467286E-06</v>
      </c>
      <c r="JB37">
        <v>-4.446382740029455E-10</v>
      </c>
      <c r="JC37">
        <v>-0.04402556014961218</v>
      </c>
      <c r="JD37">
        <v>-0.009941991807247691</v>
      </c>
      <c r="JE37">
        <v>0.001256427533001032</v>
      </c>
      <c r="JF37">
        <v>-1.689728105039484E-05</v>
      </c>
      <c r="JG37">
        <v>2</v>
      </c>
      <c r="JH37">
        <v>1984</v>
      </c>
      <c r="JI37">
        <v>0</v>
      </c>
      <c r="JJ37">
        <v>25</v>
      </c>
      <c r="JK37">
        <v>1.5</v>
      </c>
      <c r="JL37">
        <v>1.6</v>
      </c>
      <c r="JM37">
        <v>1.09375</v>
      </c>
      <c r="JN37">
        <v>2.64282</v>
      </c>
      <c r="JO37">
        <v>1.49658</v>
      </c>
      <c r="JP37">
        <v>2.34619</v>
      </c>
      <c r="JQ37">
        <v>1.54907</v>
      </c>
      <c r="JR37">
        <v>2.34009</v>
      </c>
      <c r="JS37">
        <v>38.9693</v>
      </c>
      <c r="JT37">
        <v>23.6935</v>
      </c>
      <c r="JU37">
        <v>18</v>
      </c>
      <c r="JV37">
        <v>453.688</v>
      </c>
      <c r="JW37">
        <v>473.009</v>
      </c>
      <c r="JX37">
        <v>23.3545</v>
      </c>
      <c r="JY37">
        <v>27.994</v>
      </c>
      <c r="JZ37">
        <v>30.0001</v>
      </c>
      <c r="KA37">
        <v>28.2481</v>
      </c>
      <c r="KB37">
        <v>28.252</v>
      </c>
      <c r="KC37">
        <v>21.9999</v>
      </c>
      <c r="KD37">
        <v>17.1712</v>
      </c>
      <c r="KE37">
        <v>7.61961</v>
      </c>
      <c r="KF37">
        <v>23.3533</v>
      </c>
      <c r="KG37">
        <v>400</v>
      </c>
      <c r="KH37">
        <v>17.4069</v>
      </c>
      <c r="KI37">
        <v>102.26</v>
      </c>
      <c r="KJ37">
        <v>91.6806</v>
      </c>
    </row>
    <row r="38" spans="1:296">
      <c r="A38">
        <v>20</v>
      </c>
      <c r="B38">
        <v>1765301733.1</v>
      </c>
      <c r="C38">
        <v>4300.099999904633</v>
      </c>
      <c r="D38" t="s">
        <v>501</v>
      </c>
      <c r="E38" t="s">
        <v>502</v>
      </c>
      <c r="F38">
        <v>5</v>
      </c>
      <c r="G38" t="s">
        <v>481</v>
      </c>
      <c r="H38">
        <v>1765301725.349999</v>
      </c>
      <c r="I38">
        <f>(J38)/1000</f>
        <v>0</v>
      </c>
      <c r="J38">
        <f>IF(DO38, AM38, AG38)</f>
        <v>0</v>
      </c>
      <c r="K38">
        <f>IF(DO38, AH38, AF38)</f>
        <v>0</v>
      </c>
      <c r="L38">
        <f>DQ38 - IF(AT38&gt;1, K38*DK38*100.0/(AV38), 0)</f>
        <v>0</v>
      </c>
      <c r="M38">
        <f>((S38-I38/2)*L38-K38)/(S38+I38/2)</f>
        <v>0</v>
      </c>
      <c r="N38">
        <f>M38*(DX38+DY38)/1000.0</f>
        <v>0</v>
      </c>
      <c r="O38">
        <f>(DQ38 - IF(AT38&gt;1, K38*DK38*100.0/(AV38), 0))*(DX38+DY38)/1000.0</f>
        <v>0</v>
      </c>
      <c r="P38">
        <f>2.0/((1/R38-1/Q38)+SIGN(R38)*SQRT((1/R38-1/Q38)*(1/R38-1/Q38) + 4*DL38/((DL38+1)*(DL38+1))*(2*1/R38*1/Q38-1/Q38*1/Q38)))</f>
        <v>0</v>
      </c>
      <c r="Q38">
        <f>IF(LEFT(DM38,1)&lt;&gt;"0",IF(LEFT(DM38,1)="1",3.0,DN38),$D$5+$E$5*(EE38*DX38/($K$5*1000))+$F$5*(EE38*DX38/($K$5*1000))*MAX(MIN(DK38,$J$5),$I$5)*MAX(MIN(DK38,$J$5),$I$5)+$G$5*MAX(MIN(DK38,$J$5),$I$5)*(EE38*DX38/($K$5*1000))+$H$5*(EE38*DX38/($K$5*1000))*(EE38*DX38/($K$5*1000)))</f>
        <v>0</v>
      </c>
      <c r="R38">
        <f>I38*(1000-(1000*0.61365*exp(17.502*V38/(240.97+V38))/(DX38+DY38)+DS38)/2)/(1000*0.61365*exp(17.502*V38/(240.97+V38))/(DX38+DY38)-DS38)</f>
        <v>0</v>
      </c>
      <c r="S38">
        <f>1/((DL38+1)/(P38/1.6)+1/(Q38/1.37)) + DL38/((DL38+1)/(P38/1.6) + DL38/(Q38/1.37))</f>
        <v>0</v>
      </c>
      <c r="T38">
        <f>(DG38*DJ38)</f>
        <v>0</v>
      </c>
      <c r="U38">
        <f>(DZ38+(T38+2*0.95*5.67E-8*(((DZ38+$B$9)+273)^4-(DZ38+273)^4)-44100*I38)/(1.84*29.3*Q38+8*0.95*5.67E-8*(DZ38+273)^3))</f>
        <v>0</v>
      </c>
      <c r="V38">
        <f>($C$9*EA38+$D$9*EB38+$E$9*U38)</f>
        <v>0</v>
      </c>
      <c r="W38">
        <f>0.61365*exp(17.502*V38/(240.97+V38))</f>
        <v>0</v>
      </c>
      <c r="X38">
        <f>(Y38/Z38*100)</f>
        <v>0</v>
      </c>
      <c r="Y38">
        <f>DS38*(DX38+DY38)/1000</f>
        <v>0</v>
      </c>
      <c r="Z38">
        <f>0.61365*exp(17.502*DZ38/(240.97+DZ38))</f>
        <v>0</v>
      </c>
      <c r="AA38">
        <f>(W38-DS38*(DX38+DY38)/1000)</f>
        <v>0</v>
      </c>
      <c r="AB38">
        <f>(-I38*44100)</f>
        <v>0</v>
      </c>
      <c r="AC38">
        <f>2*29.3*Q38*0.92*(DZ38-V38)</f>
        <v>0</v>
      </c>
      <c r="AD38">
        <f>2*0.95*5.67E-8*(((DZ38+$B$9)+273)^4-(V38+273)^4)</f>
        <v>0</v>
      </c>
      <c r="AE38">
        <f>T38+AD38+AB38+AC38</f>
        <v>0</v>
      </c>
      <c r="AF38">
        <f>DW38*AT38*(DR38-DQ38*(1000-AT38*DT38)/(1000-AT38*DS38))/(100*DK38)</f>
        <v>0</v>
      </c>
      <c r="AG38">
        <f>1000*DW38*AT38*(DS38-DT38)/(100*DK38*(1000-AT38*DS38))</f>
        <v>0</v>
      </c>
      <c r="AH38">
        <f>(AI38 - AJ38 - DX38*1E3/(8.314*(DZ38+273.15)) * AL38/DW38 * AK38) * DW38/(100*DK38) * (1000 - DT38)/1000</f>
        <v>0</v>
      </c>
      <c r="AI38">
        <v>407.1494666666665</v>
      </c>
      <c r="AJ38">
        <v>407.314296969697</v>
      </c>
      <c r="AK38">
        <v>-0.001772269256706496</v>
      </c>
      <c r="AL38">
        <v>64.19339450211638</v>
      </c>
      <c r="AM38">
        <f>(AO38 - AN38 + DX38*1E3/(8.314*(DZ38+273.15)) * AQ38/DW38 * AP38) * DW38/(100*DK38) * 1000/(1000 - AO38)</f>
        <v>0</v>
      </c>
      <c r="AN38">
        <v>17.48398727272725</v>
      </c>
      <c r="AO38">
        <v>17.56908484848485</v>
      </c>
      <c r="AP38">
        <v>3.402244014451515E-05</v>
      </c>
      <c r="AQ38">
        <v>102.1454370669038</v>
      </c>
      <c r="AR38">
        <v>24</v>
      </c>
      <c r="AS38">
        <v>5</v>
      </c>
      <c r="AT38">
        <f>IF(AR38*$H$15&gt;=AV38,1.0,(AV38/(AV38-AR38*$H$15)))</f>
        <v>0</v>
      </c>
      <c r="AU38">
        <f>(AT38-1)*100</f>
        <v>0</v>
      </c>
      <c r="AV38">
        <f>MAX(0,($B$15+$C$15*EE38)/(1+$D$15*EE38)*DX38/(DZ38+273)*$E$15)</f>
        <v>0</v>
      </c>
      <c r="AW38" t="s">
        <v>437</v>
      </c>
      <c r="AX38" t="s">
        <v>437</v>
      </c>
      <c r="AY38">
        <v>0</v>
      </c>
      <c r="AZ38">
        <v>0</v>
      </c>
      <c r="BA38">
        <f>1-AY38/AZ38</f>
        <v>0</v>
      </c>
      <c r="BB38">
        <v>0</v>
      </c>
      <c r="BC38" t="s">
        <v>437</v>
      </c>
      <c r="BD38" t="s">
        <v>437</v>
      </c>
      <c r="BE38">
        <v>0</v>
      </c>
      <c r="BF38">
        <v>0</v>
      </c>
      <c r="BG38">
        <f>1-BE38/BF38</f>
        <v>0</v>
      </c>
      <c r="BH38">
        <v>0.5</v>
      </c>
      <c r="BI38">
        <f>DH38</f>
        <v>0</v>
      </c>
      <c r="BJ38">
        <f>K38</f>
        <v>0</v>
      </c>
      <c r="BK38">
        <f>BG38*BH38*BI38</f>
        <v>0</v>
      </c>
      <c r="BL38">
        <f>(BJ38-BB38)/BI38</f>
        <v>0</v>
      </c>
      <c r="BM38">
        <f>(AZ38-BF38)/BF38</f>
        <v>0</v>
      </c>
      <c r="BN38">
        <f>AY38/(BA38+AY38/BF38)</f>
        <v>0</v>
      </c>
      <c r="BO38" t="s">
        <v>437</v>
      </c>
      <c r="BP38">
        <v>0</v>
      </c>
      <c r="BQ38">
        <f>IF(BP38&lt;&gt;0, BP38, BN38)</f>
        <v>0</v>
      </c>
      <c r="BR38">
        <f>1-BQ38/BF38</f>
        <v>0</v>
      </c>
      <c r="BS38">
        <f>(BF38-BE38)/(BF38-BQ38)</f>
        <v>0</v>
      </c>
      <c r="BT38">
        <f>(AZ38-BF38)/(AZ38-BQ38)</f>
        <v>0</v>
      </c>
      <c r="BU38">
        <f>(BF38-BE38)/(BF38-AY38)</f>
        <v>0</v>
      </c>
      <c r="BV38">
        <f>(AZ38-BF38)/(AZ38-AY38)</f>
        <v>0</v>
      </c>
      <c r="BW38">
        <f>(BS38*BQ38/BE38)</f>
        <v>0</v>
      </c>
      <c r="BX38">
        <f>(1-BW38)</f>
        <v>0</v>
      </c>
      <c r="DG38">
        <f>$B$13*EF38+$C$13*EG38+$F$13*ER38*(1-EU38)</f>
        <v>0</v>
      </c>
      <c r="DH38">
        <f>DG38*DI38</f>
        <v>0</v>
      </c>
      <c r="DI38">
        <f>($B$13*$D$11+$C$13*$D$11+$F$13*((FE38+EW38)/MAX(FE38+EW38+FF38, 0.1)*$I$11+FF38/MAX(FE38+EW38+FF38, 0.1)*$J$11))/($B$13+$C$13+$F$13)</f>
        <v>0</v>
      </c>
      <c r="DJ38">
        <f>($B$13*$K$11+$C$13*$K$11+$F$13*((FE38+EW38)/MAX(FE38+EW38+FF38, 0.1)*$P$11+FF38/MAX(FE38+EW38+FF38, 0.1)*$Q$11))/($B$13+$C$13+$F$13)</f>
        <v>0</v>
      </c>
      <c r="DK38">
        <v>5.66</v>
      </c>
      <c r="DL38">
        <v>0.5</v>
      </c>
      <c r="DM38" t="s">
        <v>438</v>
      </c>
      <c r="DN38">
        <v>2</v>
      </c>
      <c r="DO38" t="b">
        <v>1</v>
      </c>
      <c r="DP38">
        <v>1765301725.349999</v>
      </c>
      <c r="DQ38">
        <v>400.1833333333333</v>
      </c>
      <c r="DR38">
        <v>400.0526666666667</v>
      </c>
      <c r="DS38">
        <v>17.56323</v>
      </c>
      <c r="DT38">
        <v>17.48490666666667</v>
      </c>
      <c r="DU38">
        <v>400.1013333333333</v>
      </c>
      <c r="DV38">
        <v>17.48923</v>
      </c>
      <c r="DW38">
        <v>500.0241666666668</v>
      </c>
      <c r="DX38">
        <v>90.14258</v>
      </c>
      <c r="DY38">
        <v>0.1000897633333333</v>
      </c>
      <c r="DZ38">
        <v>24.97052666666666</v>
      </c>
      <c r="EA38">
        <v>25.00666333333334</v>
      </c>
      <c r="EB38">
        <v>999.9000000000002</v>
      </c>
      <c r="EC38">
        <v>0</v>
      </c>
      <c r="ED38">
        <v>0</v>
      </c>
      <c r="EE38">
        <v>9990.911666666665</v>
      </c>
      <c r="EF38">
        <v>0</v>
      </c>
      <c r="EG38">
        <v>9.494111666666669</v>
      </c>
      <c r="EH38">
        <v>0.1270385766666667</v>
      </c>
      <c r="EI38">
        <v>407.3356333333334</v>
      </c>
      <c r="EJ38">
        <v>407.1720333333334</v>
      </c>
      <c r="EK38">
        <v>0.08267223999999999</v>
      </c>
      <c r="EL38">
        <v>400.0526666666667</v>
      </c>
      <c r="EM38">
        <v>17.48490666666667</v>
      </c>
      <c r="EN38">
        <v>1.583588</v>
      </c>
      <c r="EO38">
        <v>1.576134666666667</v>
      </c>
      <c r="EP38">
        <v>13.80001</v>
      </c>
      <c r="EQ38">
        <v>13.72744</v>
      </c>
      <c r="ER38">
        <v>800.0427999999999</v>
      </c>
      <c r="ES38">
        <v>0.9500026333333331</v>
      </c>
      <c r="ET38">
        <v>0.04999750333333332</v>
      </c>
      <c r="EU38">
        <v>0</v>
      </c>
      <c r="EV38">
        <v>1322.210666666667</v>
      </c>
      <c r="EW38">
        <v>5.00078</v>
      </c>
      <c r="EX38">
        <v>9941.253999999997</v>
      </c>
      <c r="EY38">
        <v>6463.771999999999</v>
      </c>
      <c r="EZ38">
        <v>37.37053333333333</v>
      </c>
      <c r="FA38">
        <v>41.04966666666666</v>
      </c>
      <c r="FB38">
        <v>39.17046666666666</v>
      </c>
      <c r="FC38">
        <v>41.51226666666665</v>
      </c>
      <c r="FD38">
        <v>39.31646666666666</v>
      </c>
      <c r="FE38">
        <v>755.2903333333335</v>
      </c>
      <c r="FF38">
        <v>39.751</v>
      </c>
      <c r="FG38">
        <v>0</v>
      </c>
      <c r="FH38">
        <v>1765301732.3</v>
      </c>
      <c r="FI38">
        <v>0</v>
      </c>
      <c r="FJ38">
        <v>1322.2164</v>
      </c>
      <c r="FK38">
        <v>-0.1476922957983869</v>
      </c>
      <c r="FL38">
        <v>-51.36692319862029</v>
      </c>
      <c r="FM38">
        <v>9940.9352</v>
      </c>
      <c r="FN38">
        <v>15</v>
      </c>
      <c r="FO38">
        <v>1765301758.1</v>
      </c>
      <c r="FP38" t="s">
        <v>503</v>
      </c>
      <c r="FQ38">
        <v>1765301758.1</v>
      </c>
      <c r="FR38">
        <v>1765301749.1</v>
      </c>
      <c r="FS38">
        <v>21</v>
      </c>
      <c r="FT38">
        <v>0.004</v>
      </c>
      <c r="FU38">
        <v>-0.003</v>
      </c>
      <c r="FV38">
        <v>0.082</v>
      </c>
      <c r="FW38">
        <v>0.074</v>
      </c>
      <c r="FX38">
        <v>400</v>
      </c>
      <c r="FY38">
        <v>17</v>
      </c>
      <c r="FZ38">
        <v>0.51</v>
      </c>
      <c r="GA38">
        <v>0.18</v>
      </c>
      <c r="GB38">
        <v>0.1224807525</v>
      </c>
      <c r="GC38">
        <v>0.1267219125703563</v>
      </c>
      <c r="GD38">
        <v>0.0252685965356506</v>
      </c>
      <c r="GE38">
        <v>1</v>
      </c>
      <c r="GF38">
        <v>1322.292647058823</v>
      </c>
      <c r="GG38">
        <v>-0.9902215382953263</v>
      </c>
      <c r="GH38">
        <v>0.2802447336287304</v>
      </c>
      <c r="GI38">
        <v>1</v>
      </c>
      <c r="GJ38">
        <v>0.08289642</v>
      </c>
      <c r="GK38">
        <v>-0.002970292682926957</v>
      </c>
      <c r="GL38">
        <v>0.001683958026377142</v>
      </c>
      <c r="GM38">
        <v>1</v>
      </c>
      <c r="GN38">
        <v>3</v>
      </c>
      <c r="GO38">
        <v>3</v>
      </c>
      <c r="GP38" t="s">
        <v>440</v>
      </c>
      <c r="GQ38">
        <v>3.10817</v>
      </c>
      <c r="GR38">
        <v>2.79144</v>
      </c>
      <c r="GS38">
        <v>0.0846213</v>
      </c>
      <c r="GT38">
        <v>0.0846548</v>
      </c>
      <c r="GU38">
        <v>0.0866691</v>
      </c>
      <c r="GV38">
        <v>0.0871654</v>
      </c>
      <c r="GW38">
        <v>24012.9</v>
      </c>
      <c r="GX38">
        <v>21808.6</v>
      </c>
      <c r="GY38">
        <v>26792.1</v>
      </c>
      <c r="GZ38">
        <v>24034.2</v>
      </c>
      <c r="HA38">
        <v>39109</v>
      </c>
      <c r="HB38">
        <v>32382.7</v>
      </c>
      <c r="HC38">
        <v>46762.3</v>
      </c>
      <c r="HD38">
        <v>38011</v>
      </c>
      <c r="HE38">
        <v>1.83377</v>
      </c>
      <c r="HF38">
        <v>1.82773</v>
      </c>
      <c r="HG38">
        <v>0.0617094</v>
      </c>
      <c r="HH38">
        <v>0</v>
      </c>
      <c r="HI38">
        <v>23.9912</v>
      </c>
      <c r="HJ38">
        <v>999.9</v>
      </c>
      <c r="HK38">
        <v>35.9</v>
      </c>
      <c r="HL38">
        <v>33.8</v>
      </c>
      <c r="HM38">
        <v>21.0411</v>
      </c>
      <c r="HN38">
        <v>62.1537</v>
      </c>
      <c r="HO38">
        <v>28.4014</v>
      </c>
      <c r="HP38">
        <v>1</v>
      </c>
      <c r="HQ38">
        <v>0.06414889999999999</v>
      </c>
      <c r="HR38">
        <v>1.1653</v>
      </c>
      <c r="HS38">
        <v>20.2883</v>
      </c>
      <c r="HT38">
        <v>5.22253</v>
      </c>
      <c r="HU38">
        <v>11.9788</v>
      </c>
      <c r="HV38">
        <v>4.9655</v>
      </c>
      <c r="HW38">
        <v>3.27593</v>
      </c>
      <c r="HX38">
        <v>9999</v>
      </c>
      <c r="HY38">
        <v>9999</v>
      </c>
      <c r="HZ38">
        <v>9999</v>
      </c>
      <c r="IA38">
        <v>999.9</v>
      </c>
      <c r="IB38">
        <v>1.86423</v>
      </c>
      <c r="IC38">
        <v>1.86047</v>
      </c>
      <c r="ID38">
        <v>1.85878</v>
      </c>
      <c r="IE38">
        <v>1.86007</v>
      </c>
      <c r="IF38">
        <v>1.8602</v>
      </c>
      <c r="IG38">
        <v>1.85873</v>
      </c>
      <c r="IH38">
        <v>1.85779</v>
      </c>
      <c r="II38">
        <v>1.85272</v>
      </c>
      <c r="IJ38">
        <v>0</v>
      </c>
      <c r="IK38">
        <v>0</v>
      </c>
      <c r="IL38">
        <v>0</v>
      </c>
      <c r="IM38">
        <v>0</v>
      </c>
      <c r="IN38" t="s">
        <v>441</v>
      </c>
      <c r="IO38" t="s">
        <v>442</v>
      </c>
      <c r="IP38" t="s">
        <v>443</v>
      </c>
      <c r="IQ38" t="s">
        <v>443</v>
      </c>
      <c r="IR38" t="s">
        <v>443</v>
      </c>
      <c r="IS38" t="s">
        <v>443</v>
      </c>
      <c r="IT38">
        <v>0</v>
      </c>
      <c r="IU38">
        <v>100</v>
      </c>
      <c r="IV38">
        <v>100</v>
      </c>
      <c r="IW38">
        <v>0.082</v>
      </c>
      <c r="IX38">
        <v>0.074</v>
      </c>
      <c r="IY38">
        <v>-0.2008004226537913</v>
      </c>
      <c r="IZ38">
        <v>0.0001583678016168383</v>
      </c>
      <c r="JA38">
        <v>1.526473431467286E-06</v>
      </c>
      <c r="JB38">
        <v>-4.446382740029455E-10</v>
      </c>
      <c r="JC38">
        <v>-0.0416867262151754</v>
      </c>
      <c r="JD38">
        <v>-0.009941991807247691</v>
      </c>
      <c r="JE38">
        <v>0.001256427533001032</v>
      </c>
      <c r="JF38">
        <v>-1.689728105039484E-05</v>
      </c>
      <c r="JG38">
        <v>2</v>
      </c>
      <c r="JH38">
        <v>1984</v>
      </c>
      <c r="JI38">
        <v>0</v>
      </c>
      <c r="JJ38">
        <v>25</v>
      </c>
      <c r="JK38">
        <v>1.5</v>
      </c>
      <c r="JL38">
        <v>1.4</v>
      </c>
      <c r="JM38">
        <v>1.09131</v>
      </c>
      <c r="JN38">
        <v>2.63062</v>
      </c>
      <c r="JO38">
        <v>1.49658</v>
      </c>
      <c r="JP38">
        <v>2.34741</v>
      </c>
      <c r="JQ38">
        <v>1.54907</v>
      </c>
      <c r="JR38">
        <v>2.42554</v>
      </c>
      <c r="JS38">
        <v>38.9693</v>
      </c>
      <c r="JT38">
        <v>23.6935</v>
      </c>
      <c r="JU38">
        <v>18</v>
      </c>
      <c r="JV38">
        <v>451.973</v>
      </c>
      <c r="JW38">
        <v>472.973</v>
      </c>
      <c r="JX38">
        <v>23.3055</v>
      </c>
      <c r="JY38">
        <v>27.9893</v>
      </c>
      <c r="JZ38">
        <v>30</v>
      </c>
      <c r="KA38">
        <v>28.2457</v>
      </c>
      <c r="KB38">
        <v>28.2496</v>
      </c>
      <c r="KC38">
        <v>21.9425</v>
      </c>
      <c r="KD38">
        <v>16.3339</v>
      </c>
      <c r="KE38">
        <v>7.61961</v>
      </c>
      <c r="KF38">
        <v>23.2992</v>
      </c>
      <c r="KG38">
        <v>400</v>
      </c>
      <c r="KH38">
        <v>17.4906</v>
      </c>
      <c r="KI38">
        <v>102.26</v>
      </c>
      <c r="KJ38">
        <v>91.6812</v>
      </c>
    </row>
    <row r="39" spans="1:296">
      <c r="A39">
        <v>21</v>
      </c>
      <c r="B39">
        <v>1765301836.6</v>
      </c>
      <c r="C39">
        <v>4403.599999904633</v>
      </c>
      <c r="D39" t="s">
        <v>504</v>
      </c>
      <c r="E39" t="s">
        <v>505</v>
      </c>
      <c r="F39">
        <v>5</v>
      </c>
      <c r="G39" t="s">
        <v>481</v>
      </c>
      <c r="H39">
        <v>1765301828.849999</v>
      </c>
      <c r="I39">
        <f>(J39)/1000</f>
        <v>0</v>
      </c>
      <c r="J39">
        <f>IF(DO39, AM39, AG39)</f>
        <v>0</v>
      </c>
      <c r="K39">
        <f>IF(DO39, AH39, AF39)</f>
        <v>0</v>
      </c>
      <c r="L39">
        <f>DQ39 - IF(AT39&gt;1, K39*DK39*100.0/(AV39), 0)</f>
        <v>0</v>
      </c>
      <c r="M39">
        <f>((S39-I39/2)*L39-K39)/(S39+I39/2)</f>
        <v>0</v>
      </c>
      <c r="N39">
        <f>M39*(DX39+DY39)/1000.0</f>
        <v>0</v>
      </c>
      <c r="O39">
        <f>(DQ39 - IF(AT39&gt;1, K39*DK39*100.0/(AV39), 0))*(DX39+DY39)/1000.0</f>
        <v>0</v>
      </c>
      <c r="P39">
        <f>2.0/((1/R39-1/Q39)+SIGN(R39)*SQRT((1/R39-1/Q39)*(1/R39-1/Q39) + 4*DL39/((DL39+1)*(DL39+1))*(2*1/R39*1/Q39-1/Q39*1/Q39)))</f>
        <v>0</v>
      </c>
      <c r="Q39">
        <f>IF(LEFT(DM39,1)&lt;&gt;"0",IF(LEFT(DM39,1)="1",3.0,DN39),$D$5+$E$5*(EE39*DX39/($K$5*1000))+$F$5*(EE39*DX39/($K$5*1000))*MAX(MIN(DK39,$J$5),$I$5)*MAX(MIN(DK39,$J$5),$I$5)+$G$5*MAX(MIN(DK39,$J$5),$I$5)*(EE39*DX39/($K$5*1000))+$H$5*(EE39*DX39/($K$5*1000))*(EE39*DX39/($K$5*1000)))</f>
        <v>0</v>
      </c>
      <c r="R39">
        <f>I39*(1000-(1000*0.61365*exp(17.502*V39/(240.97+V39))/(DX39+DY39)+DS39)/2)/(1000*0.61365*exp(17.502*V39/(240.97+V39))/(DX39+DY39)-DS39)</f>
        <v>0</v>
      </c>
      <c r="S39">
        <f>1/((DL39+1)/(P39/1.6)+1/(Q39/1.37)) + DL39/((DL39+1)/(P39/1.6) + DL39/(Q39/1.37))</f>
        <v>0</v>
      </c>
      <c r="T39">
        <f>(DG39*DJ39)</f>
        <v>0</v>
      </c>
      <c r="U39">
        <f>(DZ39+(T39+2*0.95*5.67E-8*(((DZ39+$B$9)+273)^4-(DZ39+273)^4)-44100*I39)/(1.84*29.3*Q39+8*0.95*5.67E-8*(DZ39+273)^3))</f>
        <v>0</v>
      </c>
      <c r="V39">
        <f>($C$9*EA39+$D$9*EB39+$E$9*U39)</f>
        <v>0</v>
      </c>
      <c r="W39">
        <f>0.61365*exp(17.502*V39/(240.97+V39))</f>
        <v>0</v>
      </c>
      <c r="X39">
        <f>(Y39/Z39*100)</f>
        <v>0</v>
      </c>
      <c r="Y39">
        <f>DS39*(DX39+DY39)/1000</f>
        <v>0</v>
      </c>
      <c r="Z39">
        <f>0.61365*exp(17.502*DZ39/(240.97+DZ39))</f>
        <v>0</v>
      </c>
      <c r="AA39">
        <f>(W39-DS39*(DX39+DY39)/1000)</f>
        <v>0</v>
      </c>
      <c r="AB39">
        <f>(-I39*44100)</f>
        <v>0</v>
      </c>
      <c r="AC39">
        <f>2*29.3*Q39*0.92*(DZ39-V39)</f>
        <v>0</v>
      </c>
      <c r="AD39">
        <f>2*0.95*5.67E-8*(((DZ39+$B$9)+273)^4-(V39+273)^4)</f>
        <v>0</v>
      </c>
      <c r="AE39">
        <f>T39+AD39+AB39+AC39</f>
        <v>0</v>
      </c>
      <c r="AF39">
        <f>DW39*AT39*(DR39-DQ39*(1000-AT39*DT39)/(1000-AT39*DS39))/(100*DK39)</f>
        <v>0</v>
      </c>
      <c r="AG39">
        <f>1000*DW39*AT39*(DS39-DT39)/(100*DK39*(1000-AT39*DS39))</f>
        <v>0</v>
      </c>
      <c r="AH39">
        <f>(AI39 - AJ39 - DX39*1E3/(8.314*(DZ39+273.15)) * AL39/DW39 * AK39) * DW39/(100*DK39) * (1000 - DT39)/1000</f>
        <v>0</v>
      </c>
      <c r="AI39">
        <v>610.6521757575755</v>
      </c>
      <c r="AJ39">
        <v>610.4110666666669</v>
      </c>
      <c r="AK39">
        <v>-0.030929131264634</v>
      </c>
      <c r="AL39">
        <v>64.26125210813808</v>
      </c>
      <c r="AM39">
        <f>(AO39 - AN39 + DX39*1E3/(8.314*(DZ39+273.15)) * AQ39/DW39 * AP39) * DW39/(100*DK39) * 1000/(1000 - AO39)</f>
        <v>0</v>
      </c>
      <c r="AN39">
        <v>17.49158303030302</v>
      </c>
      <c r="AO39">
        <v>17.57203272727273</v>
      </c>
      <c r="AP39">
        <v>-7.674362674676159E-06</v>
      </c>
      <c r="AQ39">
        <v>102.1989030548968</v>
      </c>
      <c r="AR39">
        <v>22</v>
      </c>
      <c r="AS39">
        <v>4</v>
      </c>
      <c r="AT39">
        <f>IF(AR39*$H$15&gt;=AV39,1.0,(AV39/(AV39-AR39*$H$15)))</f>
        <v>0</v>
      </c>
      <c r="AU39">
        <f>(AT39-1)*100</f>
        <v>0</v>
      </c>
      <c r="AV39">
        <f>MAX(0,($B$15+$C$15*EE39)/(1+$D$15*EE39)*DX39/(DZ39+273)*$E$15)</f>
        <v>0</v>
      </c>
      <c r="AW39" t="s">
        <v>437</v>
      </c>
      <c r="AX39" t="s">
        <v>437</v>
      </c>
      <c r="AY39">
        <v>0</v>
      </c>
      <c r="AZ39">
        <v>0</v>
      </c>
      <c r="BA39">
        <f>1-AY39/AZ39</f>
        <v>0</v>
      </c>
      <c r="BB39">
        <v>0</v>
      </c>
      <c r="BC39" t="s">
        <v>437</v>
      </c>
      <c r="BD39" t="s">
        <v>437</v>
      </c>
      <c r="BE39">
        <v>0</v>
      </c>
      <c r="BF39">
        <v>0</v>
      </c>
      <c r="BG39">
        <f>1-BE39/BF39</f>
        <v>0</v>
      </c>
      <c r="BH39">
        <v>0.5</v>
      </c>
      <c r="BI39">
        <f>DH39</f>
        <v>0</v>
      </c>
      <c r="BJ39">
        <f>K39</f>
        <v>0</v>
      </c>
      <c r="BK39">
        <f>BG39*BH39*BI39</f>
        <v>0</v>
      </c>
      <c r="BL39">
        <f>(BJ39-BB39)/BI39</f>
        <v>0</v>
      </c>
      <c r="BM39">
        <f>(AZ39-BF39)/BF39</f>
        <v>0</v>
      </c>
      <c r="BN39">
        <f>AY39/(BA39+AY39/BF39)</f>
        <v>0</v>
      </c>
      <c r="BO39" t="s">
        <v>437</v>
      </c>
      <c r="BP39">
        <v>0</v>
      </c>
      <c r="BQ39">
        <f>IF(BP39&lt;&gt;0, BP39, BN39)</f>
        <v>0</v>
      </c>
      <c r="BR39">
        <f>1-BQ39/BF39</f>
        <v>0</v>
      </c>
      <c r="BS39">
        <f>(BF39-BE39)/(BF39-BQ39)</f>
        <v>0</v>
      </c>
      <c r="BT39">
        <f>(AZ39-BF39)/(AZ39-BQ39)</f>
        <v>0</v>
      </c>
      <c r="BU39">
        <f>(BF39-BE39)/(BF39-AY39)</f>
        <v>0</v>
      </c>
      <c r="BV39">
        <f>(AZ39-BF39)/(AZ39-AY39)</f>
        <v>0</v>
      </c>
      <c r="BW39">
        <f>(BS39*BQ39/BE39)</f>
        <v>0</v>
      </c>
      <c r="BX39">
        <f>(1-BW39)</f>
        <v>0</v>
      </c>
      <c r="DG39">
        <f>$B$13*EF39+$C$13*EG39+$F$13*ER39*(1-EU39)</f>
        <v>0</v>
      </c>
      <c r="DH39">
        <f>DG39*DI39</f>
        <v>0</v>
      </c>
      <c r="DI39">
        <f>($B$13*$D$11+$C$13*$D$11+$F$13*((FE39+EW39)/MAX(FE39+EW39+FF39, 0.1)*$I$11+FF39/MAX(FE39+EW39+FF39, 0.1)*$J$11))/($B$13+$C$13+$F$13)</f>
        <v>0</v>
      </c>
      <c r="DJ39">
        <f>($B$13*$K$11+$C$13*$K$11+$F$13*((FE39+EW39)/MAX(FE39+EW39+FF39, 0.1)*$P$11+FF39/MAX(FE39+EW39+FF39, 0.1)*$Q$11))/($B$13+$C$13+$F$13)</f>
        <v>0</v>
      </c>
      <c r="DK39">
        <v>5.66</v>
      </c>
      <c r="DL39">
        <v>0.5</v>
      </c>
      <c r="DM39" t="s">
        <v>438</v>
      </c>
      <c r="DN39">
        <v>2</v>
      </c>
      <c r="DO39" t="b">
        <v>1</v>
      </c>
      <c r="DP39">
        <v>1765301828.849999</v>
      </c>
      <c r="DQ39">
        <v>599.8908666666669</v>
      </c>
      <c r="DR39">
        <v>600.0134999999999</v>
      </c>
      <c r="DS39">
        <v>17.57544666666667</v>
      </c>
      <c r="DT39">
        <v>17.49316666666666</v>
      </c>
      <c r="DU39">
        <v>599.3778666666668</v>
      </c>
      <c r="DV39">
        <v>17.49644666666667</v>
      </c>
      <c r="DW39">
        <v>500.0175333333333</v>
      </c>
      <c r="DX39">
        <v>90.13911666666668</v>
      </c>
      <c r="DY39">
        <v>0.09998107333333332</v>
      </c>
      <c r="DZ39">
        <v>24.95297333333333</v>
      </c>
      <c r="EA39">
        <v>24.99066333333333</v>
      </c>
      <c r="EB39">
        <v>999.9000000000002</v>
      </c>
      <c r="EC39">
        <v>0</v>
      </c>
      <c r="ED39">
        <v>0</v>
      </c>
      <c r="EE39">
        <v>10004.06466666667</v>
      </c>
      <c r="EF39">
        <v>0</v>
      </c>
      <c r="EG39">
        <v>9.471399999999999</v>
      </c>
      <c r="EH39">
        <v>-0.2851033</v>
      </c>
      <c r="EI39">
        <v>610.4555999999999</v>
      </c>
      <c r="EJ39">
        <v>610.6966000000001</v>
      </c>
      <c r="EK39">
        <v>0.07920176</v>
      </c>
      <c r="EL39">
        <v>600.0134999999999</v>
      </c>
      <c r="EM39">
        <v>17.49316666666666</v>
      </c>
      <c r="EN39">
        <v>1.583958333333333</v>
      </c>
      <c r="EO39">
        <v>1.576818</v>
      </c>
      <c r="EP39">
        <v>13.80362</v>
      </c>
      <c r="EQ39">
        <v>13.73410666666667</v>
      </c>
      <c r="ER39">
        <v>800.0213333333334</v>
      </c>
      <c r="ES39">
        <v>0.9499985333333335</v>
      </c>
      <c r="ET39">
        <v>0.05000143999999999</v>
      </c>
      <c r="EU39">
        <v>0</v>
      </c>
      <c r="EV39">
        <v>1321.801666666667</v>
      </c>
      <c r="EW39">
        <v>5.00078</v>
      </c>
      <c r="EX39">
        <v>9911.35</v>
      </c>
      <c r="EY39">
        <v>6463.585999999999</v>
      </c>
      <c r="EZ39">
        <v>36.7228</v>
      </c>
      <c r="FA39">
        <v>39.1873</v>
      </c>
      <c r="FB39">
        <v>38.18513333333332</v>
      </c>
      <c r="FC39">
        <v>39.04976666666666</v>
      </c>
      <c r="FD39">
        <v>38.24773333333334</v>
      </c>
      <c r="FE39">
        <v>755.2683333333333</v>
      </c>
      <c r="FF39">
        <v>39.75033333333333</v>
      </c>
      <c r="FG39">
        <v>0</v>
      </c>
      <c r="FH39">
        <v>1765301836.1</v>
      </c>
      <c r="FI39">
        <v>0</v>
      </c>
      <c r="FJ39">
        <v>1321.777692307692</v>
      </c>
      <c r="FK39">
        <v>-2.482051279795358</v>
      </c>
      <c r="FL39">
        <v>-30.62769243672897</v>
      </c>
      <c r="FM39">
        <v>9911.073076923078</v>
      </c>
      <c r="FN39">
        <v>15</v>
      </c>
      <c r="FO39">
        <v>1765301855.6</v>
      </c>
      <c r="FP39" t="s">
        <v>506</v>
      </c>
      <c r="FQ39">
        <v>1765301851.6</v>
      </c>
      <c r="FR39">
        <v>1765301855.6</v>
      </c>
      <c r="FS39">
        <v>22</v>
      </c>
      <c r="FT39">
        <v>0.162</v>
      </c>
      <c r="FU39">
        <v>0.004</v>
      </c>
      <c r="FV39">
        <v>0.513</v>
      </c>
      <c r="FW39">
        <v>0.079</v>
      </c>
      <c r="FX39">
        <v>600</v>
      </c>
      <c r="FY39">
        <v>17</v>
      </c>
      <c r="FZ39">
        <v>0.34</v>
      </c>
      <c r="GA39">
        <v>0.23</v>
      </c>
      <c r="GB39">
        <v>-0.3073238780487805</v>
      </c>
      <c r="GC39">
        <v>0.3808784111498252</v>
      </c>
      <c r="GD39">
        <v>0.0591008618810478</v>
      </c>
      <c r="GE39">
        <v>1</v>
      </c>
      <c r="GF39">
        <v>1321.731176470588</v>
      </c>
      <c r="GG39">
        <v>0.1127578281989782</v>
      </c>
      <c r="GH39">
        <v>0.423811589005982</v>
      </c>
      <c r="GI39">
        <v>1</v>
      </c>
      <c r="GJ39">
        <v>0.07912510487804877</v>
      </c>
      <c r="GK39">
        <v>-0.000303560278745712</v>
      </c>
      <c r="GL39">
        <v>0.0007327867816038148</v>
      </c>
      <c r="GM39">
        <v>1</v>
      </c>
      <c r="GN39">
        <v>3</v>
      </c>
      <c r="GO39">
        <v>3</v>
      </c>
      <c r="GP39" t="s">
        <v>440</v>
      </c>
      <c r="GQ39">
        <v>3.10818</v>
      </c>
      <c r="GR39">
        <v>2.79172</v>
      </c>
      <c r="GS39">
        <v>0.113738</v>
      </c>
      <c r="GT39">
        <v>0.113878</v>
      </c>
      <c r="GU39">
        <v>0.0866842</v>
      </c>
      <c r="GV39">
        <v>0.0871871</v>
      </c>
      <c r="GW39">
        <v>23250.2</v>
      </c>
      <c r="GX39">
        <v>21112.9</v>
      </c>
      <c r="GY39">
        <v>26793.2</v>
      </c>
      <c r="GZ39">
        <v>24034.7</v>
      </c>
      <c r="HA39">
        <v>39113.3</v>
      </c>
      <c r="HB39">
        <v>32385.6</v>
      </c>
      <c r="HC39">
        <v>46763.9</v>
      </c>
      <c r="HD39">
        <v>38011.8</v>
      </c>
      <c r="HE39">
        <v>1.83718</v>
      </c>
      <c r="HF39">
        <v>1.82832</v>
      </c>
      <c r="HG39">
        <v>0.0588745</v>
      </c>
      <c r="HH39">
        <v>0</v>
      </c>
      <c r="HI39">
        <v>24.0147</v>
      </c>
      <c r="HJ39">
        <v>999.9</v>
      </c>
      <c r="HK39">
        <v>35.8</v>
      </c>
      <c r="HL39">
        <v>33.8</v>
      </c>
      <c r="HM39">
        <v>20.9858</v>
      </c>
      <c r="HN39">
        <v>61.1837</v>
      </c>
      <c r="HO39">
        <v>28.2933</v>
      </c>
      <c r="HP39">
        <v>1</v>
      </c>
      <c r="HQ39">
        <v>0.062815</v>
      </c>
      <c r="HR39">
        <v>1.02373</v>
      </c>
      <c r="HS39">
        <v>20.2896</v>
      </c>
      <c r="HT39">
        <v>5.22163</v>
      </c>
      <c r="HU39">
        <v>11.9794</v>
      </c>
      <c r="HV39">
        <v>4.9654</v>
      </c>
      <c r="HW39">
        <v>3.27585</v>
      </c>
      <c r="HX39">
        <v>9999</v>
      </c>
      <c r="HY39">
        <v>9999</v>
      </c>
      <c r="HZ39">
        <v>9999</v>
      </c>
      <c r="IA39">
        <v>999.9</v>
      </c>
      <c r="IB39">
        <v>1.86425</v>
      </c>
      <c r="IC39">
        <v>1.86047</v>
      </c>
      <c r="ID39">
        <v>1.85879</v>
      </c>
      <c r="IE39">
        <v>1.86006</v>
      </c>
      <c r="IF39">
        <v>1.8602</v>
      </c>
      <c r="IG39">
        <v>1.85873</v>
      </c>
      <c r="IH39">
        <v>1.8578</v>
      </c>
      <c r="II39">
        <v>1.85272</v>
      </c>
      <c r="IJ39">
        <v>0</v>
      </c>
      <c r="IK39">
        <v>0</v>
      </c>
      <c r="IL39">
        <v>0</v>
      </c>
      <c r="IM39">
        <v>0</v>
      </c>
      <c r="IN39" t="s">
        <v>441</v>
      </c>
      <c r="IO39" t="s">
        <v>442</v>
      </c>
      <c r="IP39" t="s">
        <v>443</v>
      </c>
      <c r="IQ39" t="s">
        <v>443</v>
      </c>
      <c r="IR39" t="s">
        <v>443</v>
      </c>
      <c r="IS39" t="s">
        <v>443</v>
      </c>
      <c r="IT39">
        <v>0</v>
      </c>
      <c r="IU39">
        <v>100</v>
      </c>
      <c r="IV39">
        <v>100</v>
      </c>
      <c r="IW39">
        <v>0.513</v>
      </c>
      <c r="IX39">
        <v>0.079</v>
      </c>
      <c r="IY39">
        <v>-0.197067018586857</v>
      </c>
      <c r="IZ39">
        <v>0.0001583678016168383</v>
      </c>
      <c r="JA39">
        <v>1.526473431467286E-06</v>
      </c>
      <c r="JB39">
        <v>-4.446382740029455E-10</v>
      </c>
      <c r="JC39">
        <v>-0.04424463657917957</v>
      </c>
      <c r="JD39">
        <v>-0.009941991807247691</v>
      </c>
      <c r="JE39">
        <v>0.001256427533001032</v>
      </c>
      <c r="JF39">
        <v>-1.689728105039484E-05</v>
      </c>
      <c r="JG39">
        <v>2</v>
      </c>
      <c r="JH39">
        <v>1984</v>
      </c>
      <c r="JI39">
        <v>0</v>
      </c>
      <c r="JJ39">
        <v>25</v>
      </c>
      <c r="JK39">
        <v>1.3</v>
      </c>
      <c r="JL39">
        <v>1.5</v>
      </c>
      <c r="JM39">
        <v>1.51001</v>
      </c>
      <c r="JN39">
        <v>2.64893</v>
      </c>
      <c r="JO39">
        <v>1.49658</v>
      </c>
      <c r="JP39">
        <v>2.34619</v>
      </c>
      <c r="JQ39">
        <v>1.54907</v>
      </c>
      <c r="JR39">
        <v>2.37061</v>
      </c>
      <c r="JS39">
        <v>38.994</v>
      </c>
      <c r="JT39">
        <v>23.6847</v>
      </c>
      <c r="JU39">
        <v>18</v>
      </c>
      <c r="JV39">
        <v>453.817</v>
      </c>
      <c r="JW39">
        <v>473.316</v>
      </c>
      <c r="JX39">
        <v>23.241</v>
      </c>
      <c r="JY39">
        <v>27.9845</v>
      </c>
      <c r="JZ39">
        <v>29.9999</v>
      </c>
      <c r="KA39">
        <v>28.241</v>
      </c>
      <c r="KB39">
        <v>28.2448</v>
      </c>
      <c r="KC39">
        <v>30.3437</v>
      </c>
      <c r="KD39">
        <v>16.3339</v>
      </c>
      <c r="KE39">
        <v>7.61961</v>
      </c>
      <c r="KF39">
        <v>23.2539</v>
      </c>
      <c r="KG39">
        <v>600</v>
      </c>
      <c r="KH39">
        <v>17.5001</v>
      </c>
      <c r="KI39">
        <v>102.264</v>
      </c>
      <c r="KJ39">
        <v>91.6831</v>
      </c>
    </row>
    <row r="40" spans="1:296">
      <c r="A40">
        <v>22</v>
      </c>
      <c r="B40">
        <v>1765301934.1</v>
      </c>
      <c r="C40">
        <v>4501.099999904633</v>
      </c>
      <c r="D40" t="s">
        <v>507</v>
      </c>
      <c r="E40" t="s">
        <v>508</v>
      </c>
      <c r="F40">
        <v>5</v>
      </c>
      <c r="G40" t="s">
        <v>481</v>
      </c>
      <c r="H40">
        <v>1765301926.349999</v>
      </c>
      <c r="I40">
        <f>(J40)/1000</f>
        <v>0</v>
      </c>
      <c r="J40">
        <f>IF(DO40, AM40, AG40)</f>
        <v>0</v>
      </c>
      <c r="K40">
        <f>IF(DO40, AH40, AF40)</f>
        <v>0</v>
      </c>
      <c r="L40">
        <f>DQ40 - IF(AT40&gt;1, K40*DK40*100.0/(AV40), 0)</f>
        <v>0</v>
      </c>
      <c r="M40">
        <f>((S40-I40/2)*L40-K40)/(S40+I40/2)</f>
        <v>0</v>
      </c>
      <c r="N40">
        <f>M40*(DX40+DY40)/1000.0</f>
        <v>0</v>
      </c>
      <c r="O40">
        <f>(DQ40 - IF(AT40&gt;1, K40*DK40*100.0/(AV40), 0))*(DX40+DY40)/1000.0</f>
        <v>0</v>
      </c>
      <c r="P40">
        <f>2.0/((1/R40-1/Q40)+SIGN(R40)*SQRT((1/R40-1/Q40)*(1/R40-1/Q40) + 4*DL40/((DL40+1)*(DL40+1))*(2*1/R40*1/Q40-1/Q40*1/Q40)))</f>
        <v>0</v>
      </c>
      <c r="Q40">
        <f>IF(LEFT(DM40,1)&lt;&gt;"0",IF(LEFT(DM40,1)="1",3.0,DN40),$D$5+$E$5*(EE40*DX40/($K$5*1000))+$F$5*(EE40*DX40/($K$5*1000))*MAX(MIN(DK40,$J$5),$I$5)*MAX(MIN(DK40,$J$5),$I$5)+$G$5*MAX(MIN(DK40,$J$5),$I$5)*(EE40*DX40/($K$5*1000))+$H$5*(EE40*DX40/($K$5*1000))*(EE40*DX40/($K$5*1000)))</f>
        <v>0</v>
      </c>
      <c r="R40">
        <f>I40*(1000-(1000*0.61365*exp(17.502*V40/(240.97+V40))/(DX40+DY40)+DS40)/2)/(1000*0.61365*exp(17.502*V40/(240.97+V40))/(DX40+DY40)-DS40)</f>
        <v>0</v>
      </c>
      <c r="S40">
        <f>1/((DL40+1)/(P40/1.6)+1/(Q40/1.37)) + DL40/((DL40+1)/(P40/1.6) + DL40/(Q40/1.37))</f>
        <v>0</v>
      </c>
      <c r="T40">
        <f>(DG40*DJ40)</f>
        <v>0</v>
      </c>
      <c r="U40">
        <f>(DZ40+(T40+2*0.95*5.67E-8*(((DZ40+$B$9)+273)^4-(DZ40+273)^4)-44100*I40)/(1.84*29.3*Q40+8*0.95*5.67E-8*(DZ40+273)^3))</f>
        <v>0</v>
      </c>
      <c r="V40">
        <f>($C$9*EA40+$D$9*EB40+$E$9*U40)</f>
        <v>0</v>
      </c>
      <c r="W40">
        <f>0.61365*exp(17.502*V40/(240.97+V40))</f>
        <v>0</v>
      </c>
      <c r="X40">
        <f>(Y40/Z40*100)</f>
        <v>0</v>
      </c>
      <c r="Y40">
        <f>DS40*(DX40+DY40)/1000</f>
        <v>0</v>
      </c>
      <c r="Z40">
        <f>0.61365*exp(17.502*DZ40/(240.97+DZ40))</f>
        <v>0</v>
      </c>
      <c r="AA40">
        <f>(W40-DS40*(DX40+DY40)/1000)</f>
        <v>0</v>
      </c>
      <c r="AB40">
        <f>(-I40*44100)</f>
        <v>0</v>
      </c>
      <c r="AC40">
        <f>2*29.3*Q40*0.92*(DZ40-V40)</f>
        <v>0</v>
      </c>
      <c r="AD40">
        <f>2*0.95*5.67E-8*(((DZ40+$B$9)+273)^4-(V40+273)^4)</f>
        <v>0</v>
      </c>
      <c r="AE40">
        <f>T40+AD40+AB40+AC40</f>
        <v>0</v>
      </c>
      <c r="AF40">
        <f>DW40*AT40*(DR40-DQ40*(1000-AT40*DT40)/(1000-AT40*DS40))/(100*DK40)</f>
        <v>0</v>
      </c>
      <c r="AG40">
        <f>1000*DW40*AT40*(DS40-DT40)/(100*DK40*(1000-AT40*DS40))</f>
        <v>0</v>
      </c>
      <c r="AH40">
        <f>(AI40 - AJ40 - DX40*1E3/(8.314*(DZ40+273.15)) * AL40/DW40 * AK40) * DW40/(100*DK40) * (1000 - DT40)/1000</f>
        <v>0</v>
      </c>
      <c r="AI40">
        <v>814.2375818181821</v>
      </c>
      <c r="AJ40">
        <v>813.9372484848483</v>
      </c>
      <c r="AK40">
        <v>0.02889604379775789</v>
      </c>
      <c r="AL40">
        <v>64.1483819510847</v>
      </c>
      <c r="AM40">
        <f>(AO40 - AN40 + DX40*1E3/(8.314*(DZ40+273.15)) * AQ40/DW40 * AP40) * DW40/(100*DK40) * 1000/(1000 - AO40)</f>
        <v>0</v>
      </c>
      <c r="AN40">
        <v>17.49107757575757</v>
      </c>
      <c r="AO40">
        <v>17.57836787878788</v>
      </c>
      <c r="AP40">
        <v>-1.198316834683715E-05</v>
      </c>
      <c r="AQ40">
        <v>102.1119164947712</v>
      </c>
      <c r="AR40">
        <v>23</v>
      </c>
      <c r="AS40">
        <v>5</v>
      </c>
      <c r="AT40">
        <f>IF(AR40*$H$15&gt;=AV40,1.0,(AV40/(AV40-AR40*$H$15)))</f>
        <v>0</v>
      </c>
      <c r="AU40">
        <f>(AT40-1)*100</f>
        <v>0</v>
      </c>
      <c r="AV40">
        <f>MAX(0,($B$15+$C$15*EE40)/(1+$D$15*EE40)*DX40/(DZ40+273)*$E$15)</f>
        <v>0</v>
      </c>
      <c r="AW40" t="s">
        <v>437</v>
      </c>
      <c r="AX40" t="s">
        <v>437</v>
      </c>
      <c r="AY40">
        <v>0</v>
      </c>
      <c r="AZ40">
        <v>0</v>
      </c>
      <c r="BA40">
        <f>1-AY40/AZ40</f>
        <v>0</v>
      </c>
      <c r="BB40">
        <v>0</v>
      </c>
      <c r="BC40" t="s">
        <v>437</v>
      </c>
      <c r="BD40" t="s">
        <v>437</v>
      </c>
      <c r="BE40">
        <v>0</v>
      </c>
      <c r="BF40">
        <v>0</v>
      </c>
      <c r="BG40">
        <f>1-BE40/BF40</f>
        <v>0</v>
      </c>
      <c r="BH40">
        <v>0.5</v>
      </c>
      <c r="BI40">
        <f>DH40</f>
        <v>0</v>
      </c>
      <c r="BJ40">
        <f>K40</f>
        <v>0</v>
      </c>
      <c r="BK40">
        <f>BG40*BH40*BI40</f>
        <v>0</v>
      </c>
      <c r="BL40">
        <f>(BJ40-BB40)/BI40</f>
        <v>0</v>
      </c>
      <c r="BM40">
        <f>(AZ40-BF40)/BF40</f>
        <v>0</v>
      </c>
      <c r="BN40">
        <f>AY40/(BA40+AY40/BF40)</f>
        <v>0</v>
      </c>
      <c r="BO40" t="s">
        <v>437</v>
      </c>
      <c r="BP40">
        <v>0</v>
      </c>
      <c r="BQ40">
        <f>IF(BP40&lt;&gt;0, BP40, BN40)</f>
        <v>0</v>
      </c>
      <c r="BR40">
        <f>1-BQ40/BF40</f>
        <v>0</v>
      </c>
      <c r="BS40">
        <f>(BF40-BE40)/(BF40-BQ40)</f>
        <v>0</v>
      </c>
      <c r="BT40">
        <f>(AZ40-BF40)/(AZ40-BQ40)</f>
        <v>0</v>
      </c>
      <c r="BU40">
        <f>(BF40-BE40)/(BF40-AY40)</f>
        <v>0</v>
      </c>
      <c r="BV40">
        <f>(AZ40-BF40)/(AZ40-AY40)</f>
        <v>0</v>
      </c>
      <c r="BW40">
        <f>(BS40*BQ40/BE40)</f>
        <v>0</v>
      </c>
      <c r="BX40">
        <f>(1-BW40)</f>
        <v>0</v>
      </c>
      <c r="DG40">
        <f>$B$13*EF40+$C$13*EG40+$F$13*ER40*(1-EU40)</f>
        <v>0</v>
      </c>
      <c r="DH40">
        <f>DG40*DI40</f>
        <v>0</v>
      </c>
      <c r="DI40">
        <f>($B$13*$D$11+$C$13*$D$11+$F$13*((FE40+EW40)/MAX(FE40+EW40+FF40, 0.1)*$I$11+FF40/MAX(FE40+EW40+FF40, 0.1)*$J$11))/($B$13+$C$13+$F$13)</f>
        <v>0</v>
      </c>
      <c r="DJ40">
        <f>($B$13*$K$11+$C$13*$K$11+$F$13*((FE40+EW40)/MAX(FE40+EW40+FF40, 0.1)*$P$11+FF40/MAX(FE40+EW40+FF40, 0.1)*$Q$11))/($B$13+$C$13+$F$13)</f>
        <v>0</v>
      </c>
      <c r="DK40">
        <v>5.66</v>
      </c>
      <c r="DL40">
        <v>0.5</v>
      </c>
      <c r="DM40" t="s">
        <v>438</v>
      </c>
      <c r="DN40">
        <v>2</v>
      </c>
      <c r="DO40" t="b">
        <v>1</v>
      </c>
      <c r="DP40">
        <v>1765301926.349999</v>
      </c>
      <c r="DQ40">
        <v>799.7062333333332</v>
      </c>
      <c r="DR40">
        <v>799.9951666666667</v>
      </c>
      <c r="DS40">
        <v>17.57990333333333</v>
      </c>
      <c r="DT40">
        <v>17.49075</v>
      </c>
      <c r="DU40">
        <v>798.7442333333332</v>
      </c>
      <c r="DV40">
        <v>17.49990333333334</v>
      </c>
      <c r="DW40">
        <v>499.9951000000001</v>
      </c>
      <c r="DX40">
        <v>90.12979999999999</v>
      </c>
      <c r="DY40">
        <v>0.100011</v>
      </c>
      <c r="DZ40">
        <v>24.94802666666667</v>
      </c>
      <c r="EA40">
        <v>25.00269666666667</v>
      </c>
      <c r="EB40">
        <v>999.9000000000002</v>
      </c>
      <c r="EC40">
        <v>0</v>
      </c>
      <c r="ED40">
        <v>0</v>
      </c>
      <c r="EE40">
        <v>9995.749333333335</v>
      </c>
      <c r="EF40">
        <v>0</v>
      </c>
      <c r="EG40">
        <v>9.471399999999999</v>
      </c>
      <c r="EH40">
        <v>-0.4121093666666668</v>
      </c>
      <c r="EI40">
        <v>813.8914666666666</v>
      </c>
      <c r="EJ40">
        <v>814.2367333333333</v>
      </c>
      <c r="EK40">
        <v>0.08946806</v>
      </c>
      <c r="EL40">
        <v>799.9951666666667</v>
      </c>
      <c r="EM40">
        <v>17.49075</v>
      </c>
      <c r="EN40">
        <v>1.584502666666666</v>
      </c>
      <c r="EO40">
        <v>1.576437333333333</v>
      </c>
      <c r="EP40">
        <v>13.8089</v>
      </c>
      <c r="EQ40">
        <v>13.7304</v>
      </c>
      <c r="ER40">
        <v>800.0128000000001</v>
      </c>
      <c r="ES40">
        <v>0.9499916333333336</v>
      </c>
      <c r="ET40">
        <v>0.05000846000000001</v>
      </c>
      <c r="EU40">
        <v>0</v>
      </c>
      <c r="EV40">
        <v>1320.968666666667</v>
      </c>
      <c r="EW40">
        <v>5.00078</v>
      </c>
      <c r="EX40">
        <v>9888.990666666667</v>
      </c>
      <c r="EY40">
        <v>6463.503</v>
      </c>
      <c r="EZ40">
        <v>36.27466666666667</v>
      </c>
      <c r="FA40">
        <v>38.61239999999999</v>
      </c>
      <c r="FB40">
        <v>37.94553333333332</v>
      </c>
      <c r="FC40">
        <v>38.3456</v>
      </c>
      <c r="FD40">
        <v>37.8372</v>
      </c>
      <c r="FE40">
        <v>755.2553333333333</v>
      </c>
      <c r="FF40">
        <v>39.76</v>
      </c>
      <c r="FG40">
        <v>0</v>
      </c>
      <c r="FH40">
        <v>1765301933.3</v>
      </c>
      <c r="FI40">
        <v>0</v>
      </c>
      <c r="FJ40">
        <v>1320.978461538462</v>
      </c>
      <c r="FK40">
        <v>-0.9805128247393067</v>
      </c>
      <c r="FL40">
        <v>-14.40307694948772</v>
      </c>
      <c r="FM40">
        <v>9888.941923076924</v>
      </c>
      <c r="FN40">
        <v>15</v>
      </c>
      <c r="FO40">
        <v>1765301953.6</v>
      </c>
      <c r="FP40" t="s">
        <v>509</v>
      </c>
      <c r="FQ40">
        <v>1765301953.6</v>
      </c>
      <c r="FR40">
        <v>1765301950.1</v>
      </c>
      <c r="FS40">
        <v>23</v>
      </c>
      <c r="FT40">
        <v>0.123</v>
      </c>
      <c r="FU40">
        <v>0.001</v>
      </c>
      <c r="FV40">
        <v>0.962</v>
      </c>
      <c r="FW40">
        <v>0.08</v>
      </c>
      <c r="FX40">
        <v>800</v>
      </c>
      <c r="FY40">
        <v>17</v>
      </c>
      <c r="FZ40">
        <v>0.76</v>
      </c>
      <c r="GA40">
        <v>0.21</v>
      </c>
      <c r="GB40">
        <v>-0.4348007000000001</v>
      </c>
      <c r="GC40">
        <v>0.4032654709193259</v>
      </c>
      <c r="GD40">
        <v>0.06688436579919106</v>
      </c>
      <c r="GE40">
        <v>1</v>
      </c>
      <c r="GF40">
        <v>1321.018235294118</v>
      </c>
      <c r="GG40">
        <v>-0.7734148234166679</v>
      </c>
      <c r="GH40">
        <v>0.2493694470204098</v>
      </c>
      <c r="GI40">
        <v>1</v>
      </c>
      <c r="GJ40">
        <v>0.08976463999999999</v>
      </c>
      <c r="GK40">
        <v>-0.007344378236397967</v>
      </c>
      <c r="GL40">
        <v>0.0009106270528597308</v>
      </c>
      <c r="GM40">
        <v>1</v>
      </c>
      <c r="GN40">
        <v>3</v>
      </c>
      <c r="GO40">
        <v>3</v>
      </c>
      <c r="GP40" t="s">
        <v>440</v>
      </c>
      <c r="GQ40">
        <v>3.10817</v>
      </c>
      <c r="GR40">
        <v>2.79166</v>
      </c>
      <c r="GS40">
        <v>0.138402</v>
      </c>
      <c r="GT40">
        <v>0.138612</v>
      </c>
      <c r="GU40">
        <v>0.0866852</v>
      </c>
      <c r="GV40">
        <v>0.08718099999999999</v>
      </c>
      <c r="GW40">
        <v>22604.2</v>
      </c>
      <c r="GX40">
        <v>20524.1</v>
      </c>
      <c r="GY40">
        <v>26794.2</v>
      </c>
      <c r="GZ40">
        <v>24035.2</v>
      </c>
      <c r="HA40">
        <v>39117</v>
      </c>
      <c r="HB40">
        <v>32389</v>
      </c>
      <c r="HC40">
        <v>46764.7</v>
      </c>
      <c r="HD40">
        <v>38012.6</v>
      </c>
      <c r="HE40">
        <v>1.83563</v>
      </c>
      <c r="HF40">
        <v>1.82885</v>
      </c>
      <c r="HG40">
        <v>0.0615753</v>
      </c>
      <c r="HH40">
        <v>0</v>
      </c>
      <c r="HI40">
        <v>23.9954</v>
      </c>
      <c r="HJ40">
        <v>999.9</v>
      </c>
      <c r="HK40">
        <v>35.7</v>
      </c>
      <c r="HL40">
        <v>33.8</v>
      </c>
      <c r="HM40">
        <v>20.9302</v>
      </c>
      <c r="HN40">
        <v>61.5237</v>
      </c>
      <c r="HO40">
        <v>28.5337</v>
      </c>
      <c r="HP40">
        <v>1</v>
      </c>
      <c r="HQ40">
        <v>0.0623882</v>
      </c>
      <c r="HR40">
        <v>1.13968</v>
      </c>
      <c r="HS40">
        <v>20.2887</v>
      </c>
      <c r="HT40">
        <v>5.22208</v>
      </c>
      <c r="HU40">
        <v>11.9784</v>
      </c>
      <c r="HV40">
        <v>4.9655</v>
      </c>
      <c r="HW40">
        <v>3.27585</v>
      </c>
      <c r="HX40">
        <v>9999</v>
      </c>
      <c r="HY40">
        <v>9999</v>
      </c>
      <c r="HZ40">
        <v>9999</v>
      </c>
      <c r="IA40">
        <v>999.9</v>
      </c>
      <c r="IB40">
        <v>1.8642</v>
      </c>
      <c r="IC40">
        <v>1.86045</v>
      </c>
      <c r="ID40">
        <v>1.85875</v>
      </c>
      <c r="IE40">
        <v>1.86005</v>
      </c>
      <c r="IF40">
        <v>1.8602</v>
      </c>
      <c r="IG40">
        <v>1.85869</v>
      </c>
      <c r="IH40">
        <v>1.85779</v>
      </c>
      <c r="II40">
        <v>1.85272</v>
      </c>
      <c r="IJ40">
        <v>0</v>
      </c>
      <c r="IK40">
        <v>0</v>
      </c>
      <c r="IL40">
        <v>0</v>
      </c>
      <c r="IM40">
        <v>0</v>
      </c>
      <c r="IN40" t="s">
        <v>441</v>
      </c>
      <c r="IO40" t="s">
        <v>442</v>
      </c>
      <c r="IP40" t="s">
        <v>443</v>
      </c>
      <c r="IQ40" t="s">
        <v>443</v>
      </c>
      <c r="IR40" t="s">
        <v>443</v>
      </c>
      <c r="IS40" t="s">
        <v>443</v>
      </c>
      <c r="IT40">
        <v>0</v>
      </c>
      <c r="IU40">
        <v>100</v>
      </c>
      <c r="IV40">
        <v>100</v>
      </c>
      <c r="IW40">
        <v>0.962</v>
      </c>
      <c r="IX40">
        <v>0.08</v>
      </c>
      <c r="IY40">
        <v>-0.03511815694824139</v>
      </c>
      <c r="IZ40">
        <v>0.0001583678016168383</v>
      </c>
      <c r="JA40">
        <v>1.526473431467286E-06</v>
      </c>
      <c r="JB40">
        <v>-4.446382740029455E-10</v>
      </c>
      <c r="JC40">
        <v>-0.0399254949635152</v>
      </c>
      <c r="JD40">
        <v>-0.009941991807247691</v>
      </c>
      <c r="JE40">
        <v>0.001256427533001032</v>
      </c>
      <c r="JF40">
        <v>-1.689728105039484E-05</v>
      </c>
      <c r="JG40">
        <v>2</v>
      </c>
      <c r="JH40">
        <v>1984</v>
      </c>
      <c r="JI40">
        <v>0</v>
      </c>
      <c r="JJ40">
        <v>25</v>
      </c>
      <c r="JK40">
        <v>1.4</v>
      </c>
      <c r="JL40">
        <v>1.3</v>
      </c>
      <c r="JM40">
        <v>1.90674</v>
      </c>
      <c r="JN40">
        <v>2.63306</v>
      </c>
      <c r="JO40">
        <v>1.49658</v>
      </c>
      <c r="JP40">
        <v>2.34741</v>
      </c>
      <c r="JQ40">
        <v>1.54907</v>
      </c>
      <c r="JR40">
        <v>2.47314</v>
      </c>
      <c r="JS40">
        <v>39.0188</v>
      </c>
      <c r="JT40">
        <v>23.6935</v>
      </c>
      <c r="JU40">
        <v>18</v>
      </c>
      <c r="JV40">
        <v>452.927</v>
      </c>
      <c r="JW40">
        <v>473.617</v>
      </c>
      <c r="JX40">
        <v>23.2946</v>
      </c>
      <c r="JY40">
        <v>27.9797</v>
      </c>
      <c r="JZ40">
        <v>30</v>
      </c>
      <c r="KA40">
        <v>28.2362</v>
      </c>
      <c r="KB40">
        <v>28.2406</v>
      </c>
      <c r="KC40">
        <v>38.2752</v>
      </c>
      <c r="KD40">
        <v>16.3339</v>
      </c>
      <c r="KE40">
        <v>7.61961</v>
      </c>
      <c r="KF40">
        <v>23.2935</v>
      </c>
      <c r="KG40">
        <v>800</v>
      </c>
      <c r="KH40">
        <v>17.5051</v>
      </c>
      <c r="KI40">
        <v>102.266</v>
      </c>
      <c r="KJ40">
        <v>91.6848</v>
      </c>
    </row>
    <row r="41" spans="1:296">
      <c r="A41">
        <v>23</v>
      </c>
      <c r="B41">
        <v>1765302027.6</v>
      </c>
      <c r="C41">
        <v>4594.599999904633</v>
      </c>
      <c r="D41" t="s">
        <v>510</v>
      </c>
      <c r="E41" t="s">
        <v>511</v>
      </c>
      <c r="F41">
        <v>5</v>
      </c>
      <c r="G41" t="s">
        <v>481</v>
      </c>
      <c r="H41">
        <v>1765302019.599999</v>
      </c>
      <c r="I41">
        <f>(J41)/1000</f>
        <v>0</v>
      </c>
      <c r="J41">
        <f>IF(DO41, AM41, AG41)</f>
        <v>0</v>
      </c>
      <c r="K41">
        <f>IF(DO41, AH41, AF41)</f>
        <v>0</v>
      </c>
      <c r="L41">
        <f>DQ41 - IF(AT41&gt;1, K41*DK41*100.0/(AV41), 0)</f>
        <v>0</v>
      </c>
      <c r="M41">
        <f>((S41-I41/2)*L41-K41)/(S41+I41/2)</f>
        <v>0</v>
      </c>
      <c r="N41">
        <f>M41*(DX41+DY41)/1000.0</f>
        <v>0</v>
      </c>
      <c r="O41">
        <f>(DQ41 - IF(AT41&gt;1, K41*DK41*100.0/(AV41), 0))*(DX41+DY41)/1000.0</f>
        <v>0</v>
      </c>
      <c r="P41">
        <f>2.0/((1/R41-1/Q41)+SIGN(R41)*SQRT((1/R41-1/Q41)*(1/R41-1/Q41) + 4*DL41/((DL41+1)*(DL41+1))*(2*1/R41*1/Q41-1/Q41*1/Q41)))</f>
        <v>0</v>
      </c>
      <c r="Q41">
        <f>IF(LEFT(DM41,1)&lt;&gt;"0",IF(LEFT(DM41,1)="1",3.0,DN41),$D$5+$E$5*(EE41*DX41/($K$5*1000))+$F$5*(EE41*DX41/($K$5*1000))*MAX(MIN(DK41,$J$5),$I$5)*MAX(MIN(DK41,$J$5),$I$5)+$G$5*MAX(MIN(DK41,$J$5),$I$5)*(EE41*DX41/($K$5*1000))+$H$5*(EE41*DX41/($K$5*1000))*(EE41*DX41/($K$5*1000)))</f>
        <v>0</v>
      </c>
      <c r="R41">
        <f>I41*(1000-(1000*0.61365*exp(17.502*V41/(240.97+V41))/(DX41+DY41)+DS41)/2)/(1000*0.61365*exp(17.502*V41/(240.97+V41))/(DX41+DY41)-DS41)</f>
        <v>0</v>
      </c>
      <c r="S41">
        <f>1/((DL41+1)/(P41/1.6)+1/(Q41/1.37)) + DL41/((DL41+1)/(P41/1.6) + DL41/(Q41/1.37))</f>
        <v>0</v>
      </c>
      <c r="T41">
        <f>(DG41*DJ41)</f>
        <v>0</v>
      </c>
      <c r="U41">
        <f>(DZ41+(T41+2*0.95*5.67E-8*(((DZ41+$B$9)+273)^4-(DZ41+273)^4)-44100*I41)/(1.84*29.3*Q41+8*0.95*5.67E-8*(DZ41+273)^3))</f>
        <v>0</v>
      </c>
      <c r="V41">
        <f>($C$9*EA41+$D$9*EB41+$E$9*U41)</f>
        <v>0</v>
      </c>
      <c r="W41">
        <f>0.61365*exp(17.502*V41/(240.97+V41))</f>
        <v>0</v>
      </c>
      <c r="X41">
        <f>(Y41/Z41*100)</f>
        <v>0</v>
      </c>
      <c r="Y41">
        <f>DS41*(DX41+DY41)/1000</f>
        <v>0</v>
      </c>
      <c r="Z41">
        <f>0.61365*exp(17.502*DZ41/(240.97+DZ41))</f>
        <v>0</v>
      </c>
      <c r="AA41">
        <f>(W41-DS41*(DX41+DY41)/1000)</f>
        <v>0</v>
      </c>
      <c r="AB41">
        <f>(-I41*44100)</f>
        <v>0</v>
      </c>
      <c r="AC41">
        <f>2*29.3*Q41*0.92*(DZ41-V41)</f>
        <v>0</v>
      </c>
      <c r="AD41">
        <f>2*0.95*5.67E-8*(((DZ41+$B$9)+273)^4-(V41+273)^4)</f>
        <v>0</v>
      </c>
      <c r="AE41">
        <f>T41+AD41+AB41+AC41</f>
        <v>0</v>
      </c>
      <c r="AF41">
        <f>DW41*AT41*(DR41-DQ41*(1000-AT41*DT41)/(1000-AT41*DS41))/(100*DK41)</f>
        <v>0</v>
      </c>
      <c r="AG41">
        <f>1000*DW41*AT41*(DS41-DT41)/(100*DK41*(1000-AT41*DS41))</f>
        <v>0</v>
      </c>
      <c r="AH41">
        <f>(AI41 - AJ41 - DX41*1E3/(8.314*(DZ41+273.15)) * AL41/DW41 * AK41) * DW41/(100*DK41) * (1000 - DT41)/1000</f>
        <v>0</v>
      </c>
      <c r="AI41">
        <v>1017.875180267608</v>
      </c>
      <c r="AJ41">
        <v>1017.792181818181</v>
      </c>
      <c r="AK41">
        <v>0.02835546000845583</v>
      </c>
      <c r="AL41">
        <v>65.8058252727502</v>
      </c>
      <c r="AM41">
        <f>(AO41 - AN41 + DX41*1E3/(8.314*(DZ41+273.15)) * AQ41/DW41 * AP41) * DW41/(100*DK41) * 1000/(1000 - AO41)</f>
        <v>0</v>
      </c>
      <c r="AN41">
        <v>17.49743827498235</v>
      </c>
      <c r="AO41">
        <v>17.58554242424242</v>
      </c>
      <c r="AP41">
        <v>-5.9697470031488E-06</v>
      </c>
      <c r="AQ41">
        <v>107.821969452188</v>
      </c>
      <c r="AR41">
        <v>24</v>
      </c>
      <c r="AS41">
        <v>5</v>
      </c>
      <c r="AT41">
        <f>IF(AR41*$H$15&gt;=AV41,1.0,(AV41/(AV41-AR41*$H$15)))</f>
        <v>0</v>
      </c>
      <c r="AU41">
        <f>(AT41-1)*100</f>
        <v>0</v>
      </c>
      <c r="AV41">
        <f>MAX(0,($B$15+$C$15*EE41)/(1+$D$15*EE41)*DX41/(DZ41+273)*$E$15)</f>
        <v>0</v>
      </c>
      <c r="AW41" t="s">
        <v>437</v>
      </c>
      <c r="AX41" t="s">
        <v>437</v>
      </c>
      <c r="AY41">
        <v>0</v>
      </c>
      <c r="AZ41">
        <v>0</v>
      </c>
      <c r="BA41">
        <f>1-AY41/AZ41</f>
        <v>0</v>
      </c>
      <c r="BB41">
        <v>0</v>
      </c>
      <c r="BC41" t="s">
        <v>437</v>
      </c>
      <c r="BD41" t="s">
        <v>437</v>
      </c>
      <c r="BE41">
        <v>0</v>
      </c>
      <c r="BF41">
        <v>0</v>
      </c>
      <c r="BG41">
        <f>1-BE41/BF41</f>
        <v>0</v>
      </c>
      <c r="BH41">
        <v>0.5</v>
      </c>
      <c r="BI41">
        <f>DH41</f>
        <v>0</v>
      </c>
      <c r="BJ41">
        <f>K41</f>
        <v>0</v>
      </c>
      <c r="BK41">
        <f>BG41*BH41*BI41</f>
        <v>0</v>
      </c>
      <c r="BL41">
        <f>(BJ41-BB41)/BI41</f>
        <v>0</v>
      </c>
      <c r="BM41">
        <f>(AZ41-BF41)/BF41</f>
        <v>0</v>
      </c>
      <c r="BN41">
        <f>AY41/(BA41+AY41/BF41)</f>
        <v>0</v>
      </c>
      <c r="BO41" t="s">
        <v>437</v>
      </c>
      <c r="BP41">
        <v>0</v>
      </c>
      <c r="BQ41">
        <f>IF(BP41&lt;&gt;0, BP41, BN41)</f>
        <v>0</v>
      </c>
      <c r="BR41">
        <f>1-BQ41/BF41</f>
        <v>0</v>
      </c>
      <c r="BS41">
        <f>(BF41-BE41)/(BF41-BQ41)</f>
        <v>0</v>
      </c>
      <c r="BT41">
        <f>(AZ41-BF41)/(AZ41-BQ41)</f>
        <v>0</v>
      </c>
      <c r="BU41">
        <f>(BF41-BE41)/(BF41-AY41)</f>
        <v>0</v>
      </c>
      <c r="BV41">
        <f>(AZ41-BF41)/(AZ41-AY41)</f>
        <v>0</v>
      </c>
      <c r="BW41">
        <f>(BS41*BQ41/BE41)</f>
        <v>0</v>
      </c>
      <c r="BX41">
        <f>(1-BW41)</f>
        <v>0</v>
      </c>
      <c r="DG41">
        <f>$B$13*EF41+$C$13*EG41+$F$13*ER41*(1-EU41)</f>
        <v>0</v>
      </c>
      <c r="DH41">
        <f>DG41*DI41</f>
        <v>0</v>
      </c>
      <c r="DI41">
        <f>($B$13*$D$11+$C$13*$D$11+$F$13*((FE41+EW41)/MAX(FE41+EW41+FF41, 0.1)*$I$11+FF41/MAX(FE41+EW41+FF41, 0.1)*$J$11))/($B$13+$C$13+$F$13)</f>
        <v>0</v>
      </c>
      <c r="DJ41">
        <f>($B$13*$K$11+$C$13*$K$11+$F$13*((FE41+EW41)/MAX(FE41+EW41+FF41, 0.1)*$P$11+FF41/MAX(FE41+EW41+FF41, 0.1)*$Q$11))/($B$13+$C$13+$F$13)</f>
        <v>0</v>
      </c>
      <c r="DK41">
        <v>5.66</v>
      </c>
      <c r="DL41">
        <v>0.5</v>
      </c>
      <c r="DM41" t="s">
        <v>438</v>
      </c>
      <c r="DN41">
        <v>2</v>
      </c>
      <c r="DO41" t="b">
        <v>1</v>
      </c>
      <c r="DP41">
        <v>1765302019.599999</v>
      </c>
      <c r="DQ41">
        <v>999.6393225806452</v>
      </c>
      <c r="DR41">
        <v>999.9959032258064</v>
      </c>
      <c r="DS41">
        <v>17.58414516129032</v>
      </c>
      <c r="DT41">
        <v>17.49878709677419</v>
      </c>
      <c r="DU41">
        <v>998.4863225806452</v>
      </c>
      <c r="DV41">
        <v>17.50514516129032</v>
      </c>
      <c r="DW41">
        <v>500.0110322580645</v>
      </c>
      <c r="DX41">
        <v>90.12240322580645</v>
      </c>
      <c r="DY41">
        <v>0.09999548709677421</v>
      </c>
      <c r="DZ41">
        <v>24.92202258064516</v>
      </c>
      <c r="EA41">
        <v>24.99522580645162</v>
      </c>
      <c r="EB41">
        <v>999.9000000000003</v>
      </c>
      <c r="EC41">
        <v>0</v>
      </c>
      <c r="ED41">
        <v>0</v>
      </c>
      <c r="EE41">
        <v>9998.746129032259</v>
      </c>
      <c r="EF41">
        <v>0</v>
      </c>
      <c r="EG41">
        <v>9.471400000000001</v>
      </c>
      <c r="EH41">
        <v>-0.1846431548387097</v>
      </c>
      <c r="EI41">
        <v>1017.710322580645</v>
      </c>
      <c r="EJ41">
        <v>1017.806129032258</v>
      </c>
      <c r="EK41">
        <v>0.08823167096774193</v>
      </c>
      <c r="EL41">
        <v>999.9959032258064</v>
      </c>
      <c r="EM41">
        <v>17.49878709677419</v>
      </c>
      <c r="EN41">
        <v>1.584984193548387</v>
      </c>
      <c r="EO41">
        <v>1.577032580645161</v>
      </c>
      <c r="EP41">
        <v>13.81358064516129</v>
      </c>
      <c r="EQ41">
        <v>13.73619032258065</v>
      </c>
      <c r="ER41">
        <v>800.0095806451612</v>
      </c>
      <c r="ES41">
        <v>0.9499890000000001</v>
      </c>
      <c r="ET41">
        <v>0.05001109032258064</v>
      </c>
      <c r="EU41">
        <v>0</v>
      </c>
      <c r="EV41">
        <v>1321.084193548387</v>
      </c>
      <c r="EW41">
        <v>5.000779999999999</v>
      </c>
      <c r="EX41">
        <v>9876.994838709677</v>
      </c>
      <c r="EY41">
        <v>6463.470967741935</v>
      </c>
      <c r="EZ41">
        <v>35.87664516129032</v>
      </c>
      <c r="FA41">
        <v>38.26600000000001</v>
      </c>
      <c r="FB41">
        <v>37.48570967741935</v>
      </c>
      <c r="FC41">
        <v>37.96351612903225</v>
      </c>
      <c r="FD41">
        <v>37.52396774193548</v>
      </c>
      <c r="FE41">
        <v>755.2490322580644</v>
      </c>
      <c r="FF41">
        <v>39.76</v>
      </c>
      <c r="FG41">
        <v>0</v>
      </c>
      <c r="FH41">
        <v>1765302026.9</v>
      </c>
      <c r="FI41">
        <v>0</v>
      </c>
      <c r="FJ41">
        <v>1321.104230769231</v>
      </c>
      <c r="FK41">
        <v>0.4509401764890637</v>
      </c>
      <c r="FL41">
        <v>-5.384273509354624</v>
      </c>
      <c r="FM41">
        <v>9876.87346153846</v>
      </c>
      <c r="FN41">
        <v>15</v>
      </c>
      <c r="FO41">
        <v>1765302052.1</v>
      </c>
      <c r="FP41" t="s">
        <v>512</v>
      </c>
      <c r="FQ41">
        <v>1765302052.1</v>
      </c>
      <c r="FR41">
        <v>1765302044.1</v>
      </c>
      <c r="FS41">
        <v>24</v>
      </c>
      <c r="FT41">
        <v>-0.172</v>
      </c>
      <c r="FU41">
        <v>-0.001</v>
      </c>
      <c r="FV41">
        <v>1.153</v>
      </c>
      <c r="FW41">
        <v>0.079</v>
      </c>
      <c r="FX41">
        <v>1000</v>
      </c>
      <c r="FY41">
        <v>17</v>
      </c>
      <c r="FZ41">
        <v>0.8100000000000001</v>
      </c>
      <c r="GA41">
        <v>0.1</v>
      </c>
      <c r="GB41">
        <v>-0.2131898243902439</v>
      </c>
      <c r="GC41">
        <v>0.3747987637630658</v>
      </c>
      <c r="GD41">
        <v>0.08425180458773361</v>
      </c>
      <c r="GE41">
        <v>1</v>
      </c>
      <c r="GF41">
        <v>1321.103529411765</v>
      </c>
      <c r="GG41">
        <v>0.3086325493492201</v>
      </c>
      <c r="GH41">
        <v>0.2588763315123553</v>
      </c>
      <c r="GI41">
        <v>1</v>
      </c>
      <c r="GJ41">
        <v>0.08840593170731707</v>
      </c>
      <c r="GK41">
        <v>-0.004211050871079967</v>
      </c>
      <c r="GL41">
        <v>0.001274321477500493</v>
      </c>
      <c r="GM41">
        <v>1</v>
      </c>
      <c r="GN41">
        <v>3</v>
      </c>
      <c r="GO41">
        <v>3</v>
      </c>
      <c r="GP41" t="s">
        <v>440</v>
      </c>
      <c r="GQ41">
        <v>3.1082</v>
      </c>
      <c r="GR41">
        <v>2.79151</v>
      </c>
      <c r="GS41">
        <v>0.160075</v>
      </c>
      <c r="GT41">
        <v>0.160309</v>
      </c>
      <c r="GU41">
        <v>0.0866995</v>
      </c>
      <c r="GV41">
        <v>0.0871971</v>
      </c>
      <c r="GW41">
        <v>22035.8</v>
      </c>
      <c r="GX41">
        <v>20007.3</v>
      </c>
      <c r="GY41">
        <v>26794.2</v>
      </c>
      <c r="GZ41">
        <v>24035.1</v>
      </c>
      <c r="HA41">
        <v>39118.9</v>
      </c>
      <c r="HB41">
        <v>32390.8</v>
      </c>
      <c r="HC41">
        <v>46764.5</v>
      </c>
      <c r="HD41">
        <v>38012.7</v>
      </c>
      <c r="HE41">
        <v>1.83355</v>
      </c>
      <c r="HF41">
        <v>1.829</v>
      </c>
      <c r="HG41">
        <v>0.059139</v>
      </c>
      <c r="HH41">
        <v>0</v>
      </c>
      <c r="HI41">
        <v>24.0206</v>
      </c>
      <c r="HJ41">
        <v>999.9</v>
      </c>
      <c r="HK41">
        <v>35.6</v>
      </c>
      <c r="HL41">
        <v>33.8</v>
      </c>
      <c r="HM41">
        <v>20.8729</v>
      </c>
      <c r="HN41">
        <v>62.3337</v>
      </c>
      <c r="HO41">
        <v>28.4655</v>
      </c>
      <c r="HP41">
        <v>1</v>
      </c>
      <c r="HQ41">
        <v>0.0624238</v>
      </c>
      <c r="HR41">
        <v>1.11126</v>
      </c>
      <c r="HS41">
        <v>20.2888</v>
      </c>
      <c r="HT41">
        <v>5.22058</v>
      </c>
      <c r="HU41">
        <v>11.9781</v>
      </c>
      <c r="HV41">
        <v>4.9649</v>
      </c>
      <c r="HW41">
        <v>3.276</v>
      </c>
      <c r="HX41">
        <v>9999</v>
      </c>
      <c r="HY41">
        <v>9999</v>
      </c>
      <c r="HZ41">
        <v>9999</v>
      </c>
      <c r="IA41">
        <v>999.9</v>
      </c>
      <c r="IB41">
        <v>1.86421</v>
      </c>
      <c r="IC41">
        <v>1.86045</v>
      </c>
      <c r="ID41">
        <v>1.85879</v>
      </c>
      <c r="IE41">
        <v>1.86006</v>
      </c>
      <c r="IF41">
        <v>1.8602</v>
      </c>
      <c r="IG41">
        <v>1.85871</v>
      </c>
      <c r="IH41">
        <v>1.85781</v>
      </c>
      <c r="II41">
        <v>1.85271</v>
      </c>
      <c r="IJ41">
        <v>0</v>
      </c>
      <c r="IK41">
        <v>0</v>
      </c>
      <c r="IL41">
        <v>0</v>
      </c>
      <c r="IM41">
        <v>0</v>
      </c>
      <c r="IN41" t="s">
        <v>441</v>
      </c>
      <c r="IO41" t="s">
        <v>442</v>
      </c>
      <c r="IP41" t="s">
        <v>443</v>
      </c>
      <c r="IQ41" t="s">
        <v>443</v>
      </c>
      <c r="IR41" t="s">
        <v>443</v>
      </c>
      <c r="IS41" t="s">
        <v>443</v>
      </c>
      <c r="IT41">
        <v>0</v>
      </c>
      <c r="IU41">
        <v>100</v>
      </c>
      <c r="IV41">
        <v>100</v>
      </c>
      <c r="IW41">
        <v>1.153</v>
      </c>
      <c r="IX41">
        <v>0.079</v>
      </c>
      <c r="IY41">
        <v>0.08771010367436605</v>
      </c>
      <c r="IZ41">
        <v>0.0001583678016168383</v>
      </c>
      <c r="JA41">
        <v>1.526473431467286E-06</v>
      </c>
      <c r="JB41">
        <v>-4.446382740029455E-10</v>
      </c>
      <c r="JC41">
        <v>-0.03845925555279901</v>
      </c>
      <c r="JD41">
        <v>-0.009941991807247691</v>
      </c>
      <c r="JE41">
        <v>0.001256427533001032</v>
      </c>
      <c r="JF41">
        <v>-1.689728105039484E-05</v>
      </c>
      <c r="JG41">
        <v>2</v>
      </c>
      <c r="JH41">
        <v>1984</v>
      </c>
      <c r="JI41">
        <v>0</v>
      </c>
      <c r="JJ41">
        <v>25</v>
      </c>
      <c r="JK41">
        <v>1.2</v>
      </c>
      <c r="JL41">
        <v>1.3</v>
      </c>
      <c r="JM41">
        <v>2.28394</v>
      </c>
      <c r="JN41">
        <v>2.62939</v>
      </c>
      <c r="JO41">
        <v>1.49658</v>
      </c>
      <c r="JP41">
        <v>2.34619</v>
      </c>
      <c r="JQ41">
        <v>1.54907</v>
      </c>
      <c r="JR41">
        <v>2.45483</v>
      </c>
      <c r="JS41">
        <v>39.0188</v>
      </c>
      <c r="JT41">
        <v>23.6935</v>
      </c>
      <c r="JU41">
        <v>18</v>
      </c>
      <c r="JV41">
        <v>451.765</v>
      </c>
      <c r="JW41">
        <v>473.688</v>
      </c>
      <c r="JX41">
        <v>23.3266</v>
      </c>
      <c r="JY41">
        <v>27.9774</v>
      </c>
      <c r="JZ41">
        <v>30.0001</v>
      </c>
      <c r="KA41">
        <v>28.2338</v>
      </c>
      <c r="KB41">
        <v>28.2377</v>
      </c>
      <c r="KC41">
        <v>45.8372</v>
      </c>
      <c r="KD41">
        <v>16.3339</v>
      </c>
      <c r="KE41">
        <v>7.61961</v>
      </c>
      <c r="KF41">
        <v>23.3264</v>
      </c>
      <c r="KG41">
        <v>1000</v>
      </c>
      <c r="KH41">
        <v>17.5081</v>
      </c>
      <c r="KI41">
        <v>102.266</v>
      </c>
      <c r="KJ41">
        <v>91.685</v>
      </c>
    </row>
    <row r="42" spans="1:296">
      <c r="A42">
        <v>24</v>
      </c>
      <c r="B42">
        <v>1765302143.1</v>
      </c>
      <c r="C42">
        <v>4710.099999904633</v>
      </c>
      <c r="D42" t="s">
        <v>513</v>
      </c>
      <c r="E42" t="s">
        <v>514</v>
      </c>
      <c r="F42">
        <v>5</v>
      </c>
      <c r="G42" t="s">
        <v>481</v>
      </c>
      <c r="H42">
        <v>1765302135.099999</v>
      </c>
      <c r="I42">
        <f>(J42)/1000</f>
        <v>0</v>
      </c>
      <c r="J42">
        <f>IF(DO42, AM42, AG42)</f>
        <v>0</v>
      </c>
      <c r="K42">
        <f>IF(DO42, AH42, AF42)</f>
        <v>0</v>
      </c>
      <c r="L42">
        <f>DQ42 - IF(AT42&gt;1, K42*DK42*100.0/(AV42), 0)</f>
        <v>0</v>
      </c>
      <c r="M42">
        <f>((S42-I42/2)*L42-K42)/(S42+I42/2)</f>
        <v>0</v>
      </c>
      <c r="N42">
        <f>M42*(DX42+DY42)/1000.0</f>
        <v>0</v>
      </c>
      <c r="O42">
        <f>(DQ42 - IF(AT42&gt;1, K42*DK42*100.0/(AV42), 0))*(DX42+DY42)/1000.0</f>
        <v>0</v>
      </c>
      <c r="P42">
        <f>2.0/((1/R42-1/Q42)+SIGN(R42)*SQRT((1/R42-1/Q42)*(1/R42-1/Q42) + 4*DL42/((DL42+1)*(DL42+1))*(2*1/R42*1/Q42-1/Q42*1/Q42)))</f>
        <v>0</v>
      </c>
      <c r="Q42">
        <f>IF(LEFT(DM42,1)&lt;&gt;"0",IF(LEFT(DM42,1)="1",3.0,DN42),$D$5+$E$5*(EE42*DX42/($K$5*1000))+$F$5*(EE42*DX42/($K$5*1000))*MAX(MIN(DK42,$J$5),$I$5)*MAX(MIN(DK42,$J$5),$I$5)+$G$5*MAX(MIN(DK42,$J$5),$I$5)*(EE42*DX42/($K$5*1000))+$H$5*(EE42*DX42/($K$5*1000))*(EE42*DX42/($K$5*1000)))</f>
        <v>0</v>
      </c>
      <c r="R42">
        <f>I42*(1000-(1000*0.61365*exp(17.502*V42/(240.97+V42))/(DX42+DY42)+DS42)/2)/(1000*0.61365*exp(17.502*V42/(240.97+V42))/(DX42+DY42)-DS42)</f>
        <v>0</v>
      </c>
      <c r="S42">
        <f>1/((DL42+1)/(P42/1.6)+1/(Q42/1.37)) + DL42/((DL42+1)/(P42/1.6) + DL42/(Q42/1.37))</f>
        <v>0</v>
      </c>
      <c r="T42">
        <f>(DG42*DJ42)</f>
        <v>0</v>
      </c>
      <c r="U42">
        <f>(DZ42+(T42+2*0.95*5.67E-8*(((DZ42+$B$9)+273)^4-(DZ42+273)^4)-44100*I42)/(1.84*29.3*Q42+8*0.95*5.67E-8*(DZ42+273)^3))</f>
        <v>0</v>
      </c>
      <c r="V42">
        <f>($C$9*EA42+$D$9*EB42+$E$9*U42)</f>
        <v>0</v>
      </c>
      <c r="W42">
        <f>0.61365*exp(17.502*V42/(240.97+V42))</f>
        <v>0</v>
      </c>
      <c r="X42">
        <f>(Y42/Z42*100)</f>
        <v>0</v>
      </c>
      <c r="Y42">
        <f>DS42*(DX42+DY42)/1000</f>
        <v>0</v>
      </c>
      <c r="Z42">
        <f>0.61365*exp(17.502*DZ42/(240.97+DZ42))</f>
        <v>0</v>
      </c>
      <c r="AA42">
        <f>(W42-DS42*(DX42+DY42)/1000)</f>
        <v>0</v>
      </c>
      <c r="AB42">
        <f>(-I42*44100)</f>
        <v>0</v>
      </c>
      <c r="AC42">
        <f>2*29.3*Q42*0.92*(DZ42-V42)</f>
        <v>0</v>
      </c>
      <c r="AD42">
        <f>2*0.95*5.67E-8*(((DZ42+$B$9)+273)^4-(V42+273)^4)</f>
        <v>0</v>
      </c>
      <c r="AE42">
        <f>T42+AD42+AB42+AC42</f>
        <v>0</v>
      </c>
      <c r="AF42">
        <f>DW42*AT42*(DR42-DQ42*(1000-AT42*DT42)/(1000-AT42*DS42))/(100*DK42)</f>
        <v>0</v>
      </c>
      <c r="AG42">
        <f>1000*DW42*AT42*(DS42-DT42)/(100*DK42*(1000-AT42*DS42))</f>
        <v>0</v>
      </c>
      <c r="AH42">
        <f>(AI42 - AJ42 - DX42*1E3/(8.314*(DZ42+273.15)) * AL42/DW42 * AK42) * DW42/(100*DK42) * (1000 - DT42)/1000</f>
        <v>0</v>
      </c>
      <c r="AI42">
        <v>1221.381987275808</v>
      </c>
      <c r="AJ42">
        <v>1221.005333333333</v>
      </c>
      <c r="AK42">
        <v>-0.001939953761363536</v>
      </c>
      <c r="AL42">
        <v>65.79980715529695</v>
      </c>
      <c r="AM42">
        <f>(AO42 - AN42 + DX42*1E3/(8.314*(DZ42+273.15)) * AQ42/DW42 * AP42) * DW42/(100*DK42) * 1000/(1000 - AO42)</f>
        <v>0</v>
      </c>
      <c r="AN42">
        <v>17.43550795294481</v>
      </c>
      <c r="AO42">
        <v>17.55623393939395</v>
      </c>
      <c r="AP42">
        <v>-8.962979651299478E-05</v>
      </c>
      <c r="AQ42">
        <v>107.7373270456916</v>
      </c>
      <c r="AR42">
        <v>22</v>
      </c>
      <c r="AS42">
        <v>4</v>
      </c>
      <c r="AT42">
        <f>IF(AR42*$H$15&gt;=AV42,1.0,(AV42/(AV42-AR42*$H$15)))</f>
        <v>0</v>
      </c>
      <c r="AU42">
        <f>(AT42-1)*100</f>
        <v>0</v>
      </c>
      <c r="AV42">
        <f>MAX(0,($B$15+$C$15*EE42)/(1+$D$15*EE42)*DX42/(DZ42+273)*$E$15)</f>
        <v>0</v>
      </c>
      <c r="AW42" t="s">
        <v>437</v>
      </c>
      <c r="AX42" t="s">
        <v>437</v>
      </c>
      <c r="AY42">
        <v>0</v>
      </c>
      <c r="AZ42">
        <v>0</v>
      </c>
      <c r="BA42">
        <f>1-AY42/AZ42</f>
        <v>0</v>
      </c>
      <c r="BB42">
        <v>0</v>
      </c>
      <c r="BC42" t="s">
        <v>437</v>
      </c>
      <c r="BD42" t="s">
        <v>437</v>
      </c>
      <c r="BE42">
        <v>0</v>
      </c>
      <c r="BF42">
        <v>0</v>
      </c>
      <c r="BG42">
        <f>1-BE42/BF42</f>
        <v>0</v>
      </c>
      <c r="BH42">
        <v>0.5</v>
      </c>
      <c r="BI42">
        <f>DH42</f>
        <v>0</v>
      </c>
      <c r="BJ42">
        <f>K42</f>
        <v>0</v>
      </c>
      <c r="BK42">
        <f>BG42*BH42*BI42</f>
        <v>0</v>
      </c>
      <c r="BL42">
        <f>(BJ42-BB42)/BI42</f>
        <v>0</v>
      </c>
      <c r="BM42">
        <f>(AZ42-BF42)/BF42</f>
        <v>0</v>
      </c>
      <c r="BN42">
        <f>AY42/(BA42+AY42/BF42)</f>
        <v>0</v>
      </c>
      <c r="BO42" t="s">
        <v>437</v>
      </c>
      <c r="BP42">
        <v>0</v>
      </c>
      <c r="BQ42">
        <f>IF(BP42&lt;&gt;0, BP42, BN42)</f>
        <v>0</v>
      </c>
      <c r="BR42">
        <f>1-BQ42/BF42</f>
        <v>0</v>
      </c>
      <c r="BS42">
        <f>(BF42-BE42)/(BF42-BQ42)</f>
        <v>0</v>
      </c>
      <c r="BT42">
        <f>(AZ42-BF42)/(AZ42-BQ42)</f>
        <v>0</v>
      </c>
      <c r="BU42">
        <f>(BF42-BE42)/(BF42-AY42)</f>
        <v>0</v>
      </c>
      <c r="BV42">
        <f>(AZ42-BF42)/(AZ42-AY42)</f>
        <v>0</v>
      </c>
      <c r="BW42">
        <f>(BS42*BQ42/BE42)</f>
        <v>0</v>
      </c>
      <c r="BX42">
        <f>(1-BW42)</f>
        <v>0</v>
      </c>
      <c r="DG42">
        <f>$B$13*EF42+$C$13*EG42+$F$13*ER42*(1-EU42)</f>
        <v>0</v>
      </c>
      <c r="DH42">
        <f>DG42*DI42</f>
        <v>0</v>
      </c>
      <c r="DI42">
        <f>($B$13*$D$11+$C$13*$D$11+$F$13*((FE42+EW42)/MAX(FE42+EW42+FF42, 0.1)*$I$11+FF42/MAX(FE42+EW42+FF42, 0.1)*$J$11))/($B$13+$C$13+$F$13)</f>
        <v>0</v>
      </c>
      <c r="DJ42">
        <f>($B$13*$K$11+$C$13*$K$11+$F$13*((FE42+EW42)/MAX(FE42+EW42+FF42, 0.1)*$P$11+FF42/MAX(FE42+EW42+FF42, 0.1)*$Q$11))/($B$13+$C$13+$F$13)</f>
        <v>0</v>
      </c>
      <c r="DK42">
        <v>5.66</v>
      </c>
      <c r="DL42">
        <v>0.5</v>
      </c>
      <c r="DM42" t="s">
        <v>438</v>
      </c>
      <c r="DN42">
        <v>2</v>
      </c>
      <c r="DO42" t="b">
        <v>1</v>
      </c>
      <c r="DP42">
        <v>1765302135.099999</v>
      </c>
      <c r="DQ42">
        <v>1199.518935483871</v>
      </c>
      <c r="DR42">
        <v>1200.028064516129</v>
      </c>
      <c r="DS42">
        <v>17.57142903225807</v>
      </c>
      <c r="DT42">
        <v>17.47104516129032</v>
      </c>
      <c r="DU42">
        <v>1198.001935483871</v>
      </c>
      <c r="DV42">
        <v>17.49142903225807</v>
      </c>
      <c r="DW42">
        <v>500.002935483871</v>
      </c>
      <c r="DX42">
        <v>90.12520322580646</v>
      </c>
      <c r="DY42">
        <v>0.09999544193548386</v>
      </c>
      <c r="DZ42">
        <v>24.90663548387097</v>
      </c>
      <c r="EA42">
        <v>25.00602580645161</v>
      </c>
      <c r="EB42">
        <v>999.9000000000003</v>
      </c>
      <c r="EC42">
        <v>0</v>
      </c>
      <c r="ED42">
        <v>0</v>
      </c>
      <c r="EE42">
        <v>9991.149032258065</v>
      </c>
      <c r="EF42">
        <v>0</v>
      </c>
      <c r="EG42">
        <v>9.475314516129034</v>
      </c>
      <c r="EH42">
        <v>-0.4957039032258064</v>
      </c>
      <c r="EI42">
        <v>1220.987419354839</v>
      </c>
      <c r="EJ42">
        <v>1221.366451612903</v>
      </c>
      <c r="EK42">
        <v>0.1006531580645161</v>
      </c>
      <c r="EL42">
        <v>1200.028064516129</v>
      </c>
      <c r="EM42">
        <v>17.47104516129032</v>
      </c>
      <c r="EN42">
        <v>1.583653225806452</v>
      </c>
      <c r="EO42">
        <v>1.574581935483871</v>
      </c>
      <c r="EP42">
        <v>13.80065483870968</v>
      </c>
      <c r="EQ42">
        <v>13.71226774193548</v>
      </c>
      <c r="ER42">
        <v>799.981</v>
      </c>
      <c r="ES42">
        <v>0.95000464516129</v>
      </c>
      <c r="ET42">
        <v>0.04999534193548386</v>
      </c>
      <c r="EU42">
        <v>0</v>
      </c>
      <c r="EV42">
        <v>1319.657096774193</v>
      </c>
      <c r="EW42">
        <v>5.000779999999999</v>
      </c>
      <c r="EX42">
        <v>9867.550000000001</v>
      </c>
      <c r="EY42">
        <v>6463.273225806451</v>
      </c>
      <c r="EZ42">
        <v>35.79616129032257</v>
      </c>
      <c r="FA42">
        <v>38.62474193548386</v>
      </c>
      <c r="FB42">
        <v>37.57432258064515</v>
      </c>
      <c r="FC42">
        <v>38.34851612903226</v>
      </c>
      <c r="FD42">
        <v>37.81016129032258</v>
      </c>
      <c r="FE42">
        <v>755.2351612903224</v>
      </c>
      <c r="FF42">
        <v>39.74548387096774</v>
      </c>
      <c r="FG42">
        <v>0</v>
      </c>
      <c r="FH42">
        <v>1765302142.1</v>
      </c>
      <c r="FI42">
        <v>0</v>
      </c>
      <c r="FJ42">
        <v>1319.633846153846</v>
      </c>
      <c r="FK42">
        <v>-0.9052991456396233</v>
      </c>
      <c r="FL42">
        <v>32.25777788600659</v>
      </c>
      <c r="FM42">
        <v>9867.780769230771</v>
      </c>
      <c r="FN42">
        <v>15</v>
      </c>
      <c r="FO42">
        <v>1765302172.1</v>
      </c>
      <c r="FP42" t="s">
        <v>515</v>
      </c>
      <c r="FQ42">
        <v>1765302172.1</v>
      </c>
      <c r="FR42">
        <v>1765302160.1</v>
      </c>
      <c r="FS42">
        <v>25</v>
      </c>
      <c r="FT42">
        <v>-0.015</v>
      </c>
      <c r="FU42">
        <v>0.002</v>
      </c>
      <c r="FV42">
        <v>1.517</v>
      </c>
      <c r="FW42">
        <v>0.08</v>
      </c>
      <c r="FX42">
        <v>1200</v>
      </c>
      <c r="FY42">
        <v>17</v>
      </c>
      <c r="FZ42">
        <v>0.57</v>
      </c>
      <c r="GA42">
        <v>0.14</v>
      </c>
      <c r="GB42">
        <v>-0.4764910243902439</v>
      </c>
      <c r="GC42">
        <v>-0.2681738885017408</v>
      </c>
      <c r="GD42">
        <v>0.074874784528372</v>
      </c>
      <c r="GE42">
        <v>1</v>
      </c>
      <c r="GF42">
        <v>1319.863529411765</v>
      </c>
      <c r="GG42">
        <v>-2.63407181371404</v>
      </c>
      <c r="GH42">
        <v>0.3866437968020748</v>
      </c>
      <c r="GI42">
        <v>0</v>
      </c>
      <c r="GJ42">
        <v>0.0967151536585366</v>
      </c>
      <c r="GK42">
        <v>0.09434834634146363</v>
      </c>
      <c r="GL42">
        <v>0.01338847580457924</v>
      </c>
      <c r="GM42">
        <v>1</v>
      </c>
      <c r="GN42">
        <v>2</v>
      </c>
      <c r="GO42">
        <v>3</v>
      </c>
      <c r="GP42" t="s">
        <v>453</v>
      </c>
      <c r="GQ42">
        <v>3.10818</v>
      </c>
      <c r="GR42">
        <v>2.79154</v>
      </c>
      <c r="GS42">
        <v>0.179475</v>
      </c>
      <c r="GT42">
        <v>0.179766</v>
      </c>
      <c r="GU42">
        <v>0.0865915</v>
      </c>
      <c r="GV42">
        <v>0.0869674</v>
      </c>
      <c r="GW42">
        <v>21525.4</v>
      </c>
      <c r="GX42">
        <v>19543.1</v>
      </c>
      <c r="GY42">
        <v>26792.2</v>
      </c>
      <c r="GZ42">
        <v>24034.2</v>
      </c>
      <c r="HA42">
        <v>39123.4</v>
      </c>
      <c r="HB42">
        <v>32399.8</v>
      </c>
      <c r="HC42">
        <v>46761.4</v>
      </c>
      <c r="HD42">
        <v>38011.3</v>
      </c>
      <c r="HE42">
        <v>1.83635</v>
      </c>
      <c r="HF42">
        <v>1.8291</v>
      </c>
      <c r="HG42">
        <v>0.0561401</v>
      </c>
      <c r="HH42">
        <v>0</v>
      </c>
      <c r="HI42">
        <v>24.0904</v>
      </c>
      <c r="HJ42">
        <v>999.9</v>
      </c>
      <c r="HK42">
        <v>35.6</v>
      </c>
      <c r="HL42">
        <v>33.9</v>
      </c>
      <c r="HM42">
        <v>20.9896</v>
      </c>
      <c r="HN42">
        <v>61.9538</v>
      </c>
      <c r="HO42">
        <v>28.3734</v>
      </c>
      <c r="HP42">
        <v>1</v>
      </c>
      <c r="HQ42">
        <v>0.0637678</v>
      </c>
      <c r="HR42">
        <v>1.20876</v>
      </c>
      <c r="HS42">
        <v>20.2902</v>
      </c>
      <c r="HT42">
        <v>5.22178</v>
      </c>
      <c r="HU42">
        <v>11.979</v>
      </c>
      <c r="HV42">
        <v>4.96565</v>
      </c>
      <c r="HW42">
        <v>3.2759</v>
      </c>
      <c r="HX42">
        <v>9999</v>
      </c>
      <c r="HY42">
        <v>9999</v>
      </c>
      <c r="HZ42">
        <v>9999</v>
      </c>
      <c r="IA42">
        <v>999.9</v>
      </c>
      <c r="IB42">
        <v>1.86423</v>
      </c>
      <c r="IC42">
        <v>1.86046</v>
      </c>
      <c r="ID42">
        <v>1.85879</v>
      </c>
      <c r="IE42">
        <v>1.86006</v>
      </c>
      <c r="IF42">
        <v>1.8602</v>
      </c>
      <c r="IG42">
        <v>1.8587</v>
      </c>
      <c r="IH42">
        <v>1.85781</v>
      </c>
      <c r="II42">
        <v>1.85271</v>
      </c>
      <c r="IJ42">
        <v>0</v>
      </c>
      <c r="IK42">
        <v>0</v>
      </c>
      <c r="IL42">
        <v>0</v>
      </c>
      <c r="IM42">
        <v>0</v>
      </c>
      <c r="IN42" t="s">
        <v>441</v>
      </c>
      <c r="IO42" t="s">
        <v>442</v>
      </c>
      <c r="IP42" t="s">
        <v>443</v>
      </c>
      <c r="IQ42" t="s">
        <v>443</v>
      </c>
      <c r="IR42" t="s">
        <v>443</v>
      </c>
      <c r="IS42" t="s">
        <v>443</v>
      </c>
      <c r="IT42">
        <v>0</v>
      </c>
      <c r="IU42">
        <v>100</v>
      </c>
      <c r="IV42">
        <v>100</v>
      </c>
      <c r="IW42">
        <v>1.517</v>
      </c>
      <c r="IX42">
        <v>0.08</v>
      </c>
      <c r="IY42">
        <v>-0.08490662080615463</v>
      </c>
      <c r="IZ42">
        <v>0.0001583678016168383</v>
      </c>
      <c r="JA42">
        <v>1.526473431467286E-06</v>
      </c>
      <c r="JB42">
        <v>-4.446382740029455E-10</v>
      </c>
      <c r="JC42">
        <v>-0.03981309249956047</v>
      </c>
      <c r="JD42">
        <v>-0.009941991807247691</v>
      </c>
      <c r="JE42">
        <v>0.001256427533001032</v>
      </c>
      <c r="JF42">
        <v>-1.689728105039484E-05</v>
      </c>
      <c r="JG42">
        <v>2</v>
      </c>
      <c r="JH42">
        <v>1984</v>
      </c>
      <c r="JI42">
        <v>0</v>
      </c>
      <c r="JJ42">
        <v>25</v>
      </c>
      <c r="JK42">
        <v>1.5</v>
      </c>
      <c r="JL42">
        <v>1.6</v>
      </c>
      <c r="JM42">
        <v>2.64526</v>
      </c>
      <c r="JN42">
        <v>2.62451</v>
      </c>
      <c r="JO42">
        <v>1.49658</v>
      </c>
      <c r="JP42">
        <v>2.34741</v>
      </c>
      <c r="JQ42">
        <v>1.54907</v>
      </c>
      <c r="JR42">
        <v>2.44141</v>
      </c>
      <c r="JS42">
        <v>39.0188</v>
      </c>
      <c r="JT42">
        <v>23.6935</v>
      </c>
      <c r="JU42">
        <v>18</v>
      </c>
      <c r="JV42">
        <v>453.344</v>
      </c>
      <c r="JW42">
        <v>473.772</v>
      </c>
      <c r="JX42">
        <v>23.264</v>
      </c>
      <c r="JY42">
        <v>27.9845</v>
      </c>
      <c r="JZ42">
        <v>30.0003</v>
      </c>
      <c r="KA42">
        <v>28.2386</v>
      </c>
      <c r="KB42">
        <v>28.2401</v>
      </c>
      <c r="KC42">
        <v>53.0775</v>
      </c>
      <c r="KD42">
        <v>16.9048</v>
      </c>
      <c r="KE42">
        <v>7.61961</v>
      </c>
      <c r="KF42">
        <v>23.2618</v>
      </c>
      <c r="KG42">
        <v>1200</v>
      </c>
      <c r="KH42">
        <v>17.4259</v>
      </c>
      <c r="KI42">
        <v>102.259</v>
      </c>
      <c r="KJ42">
        <v>91.68170000000001</v>
      </c>
    </row>
    <row r="43" spans="1:296">
      <c r="A43">
        <v>25</v>
      </c>
      <c r="B43">
        <v>1765302263.1</v>
      </c>
      <c r="C43">
        <v>4830.099999904633</v>
      </c>
      <c r="D43" t="s">
        <v>516</v>
      </c>
      <c r="E43" t="s">
        <v>517</v>
      </c>
      <c r="F43">
        <v>5</v>
      </c>
      <c r="G43" t="s">
        <v>481</v>
      </c>
      <c r="H43">
        <v>1765302255.099999</v>
      </c>
      <c r="I43">
        <f>(J43)/1000</f>
        <v>0</v>
      </c>
      <c r="J43">
        <f>IF(DO43, AM43, AG43)</f>
        <v>0</v>
      </c>
      <c r="K43">
        <f>IF(DO43, AH43, AF43)</f>
        <v>0</v>
      </c>
      <c r="L43">
        <f>DQ43 - IF(AT43&gt;1, K43*DK43*100.0/(AV43), 0)</f>
        <v>0</v>
      </c>
      <c r="M43">
        <f>((S43-I43/2)*L43-K43)/(S43+I43/2)</f>
        <v>0</v>
      </c>
      <c r="N43">
        <f>M43*(DX43+DY43)/1000.0</f>
        <v>0</v>
      </c>
      <c r="O43">
        <f>(DQ43 - IF(AT43&gt;1, K43*DK43*100.0/(AV43), 0))*(DX43+DY43)/1000.0</f>
        <v>0</v>
      </c>
      <c r="P43">
        <f>2.0/((1/R43-1/Q43)+SIGN(R43)*SQRT((1/R43-1/Q43)*(1/R43-1/Q43) + 4*DL43/((DL43+1)*(DL43+1))*(2*1/R43*1/Q43-1/Q43*1/Q43)))</f>
        <v>0</v>
      </c>
      <c r="Q43">
        <f>IF(LEFT(DM43,1)&lt;&gt;"0",IF(LEFT(DM43,1)="1",3.0,DN43),$D$5+$E$5*(EE43*DX43/($K$5*1000))+$F$5*(EE43*DX43/($K$5*1000))*MAX(MIN(DK43,$J$5),$I$5)*MAX(MIN(DK43,$J$5),$I$5)+$G$5*MAX(MIN(DK43,$J$5),$I$5)*(EE43*DX43/($K$5*1000))+$H$5*(EE43*DX43/($K$5*1000))*(EE43*DX43/($K$5*1000)))</f>
        <v>0</v>
      </c>
      <c r="R43">
        <f>I43*(1000-(1000*0.61365*exp(17.502*V43/(240.97+V43))/(DX43+DY43)+DS43)/2)/(1000*0.61365*exp(17.502*V43/(240.97+V43))/(DX43+DY43)-DS43)</f>
        <v>0</v>
      </c>
      <c r="S43">
        <f>1/((DL43+1)/(P43/1.6)+1/(Q43/1.37)) + DL43/((DL43+1)/(P43/1.6) + DL43/(Q43/1.37))</f>
        <v>0</v>
      </c>
      <c r="T43">
        <f>(DG43*DJ43)</f>
        <v>0</v>
      </c>
      <c r="U43">
        <f>(DZ43+(T43+2*0.95*5.67E-8*(((DZ43+$B$9)+273)^4-(DZ43+273)^4)-44100*I43)/(1.84*29.3*Q43+8*0.95*5.67E-8*(DZ43+273)^3))</f>
        <v>0</v>
      </c>
      <c r="V43">
        <f>($C$9*EA43+$D$9*EB43+$E$9*U43)</f>
        <v>0</v>
      </c>
      <c r="W43">
        <f>0.61365*exp(17.502*V43/(240.97+V43))</f>
        <v>0</v>
      </c>
      <c r="X43">
        <f>(Y43/Z43*100)</f>
        <v>0</v>
      </c>
      <c r="Y43">
        <f>DS43*(DX43+DY43)/1000</f>
        <v>0</v>
      </c>
      <c r="Z43">
        <f>0.61365*exp(17.502*DZ43/(240.97+DZ43))</f>
        <v>0</v>
      </c>
      <c r="AA43">
        <f>(W43-DS43*(DX43+DY43)/1000)</f>
        <v>0</v>
      </c>
      <c r="AB43">
        <f>(-I43*44100)</f>
        <v>0</v>
      </c>
      <c r="AC43">
        <f>2*29.3*Q43*0.92*(DZ43-V43)</f>
        <v>0</v>
      </c>
      <c r="AD43">
        <f>2*0.95*5.67E-8*(((DZ43+$B$9)+273)^4-(V43+273)^4)</f>
        <v>0</v>
      </c>
      <c r="AE43">
        <f>T43+AD43+AB43+AC43</f>
        <v>0</v>
      </c>
      <c r="AF43">
        <f>DW43*AT43*(DR43-DQ43*(1000-AT43*DT43)/(1000-AT43*DS43))/(100*DK43)</f>
        <v>0</v>
      </c>
      <c r="AG43">
        <f>1000*DW43*AT43*(DS43-DT43)/(100*DK43*(1000-AT43*DS43))</f>
        <v>0</v>
      </c>
      <c r="AH43">
        <f>(AI43 - AJ43 - DX43*1E3/(8.314*(DZ43+273.15)) * AL43/DW43 * AK43) * DW43/(100*DK43) * (1000 - DT43)/1000</f>
        <v>0</v>
      </c>
      <c r="AI43">
        <v>1526.680392675879</v>
      </c>
      <c r="AJ43">
        <v>1526.141454545455</v>
      </c>
      <c r="AK43">
        <v>0.00254182641575757</v>
      </c>
      <c r="AL43">
        <v>65.80156863895748</v>
      </c>
      <c r="AM43">
        <f>(AO43 - AN43 + DX43*1E3/(8.314*(DZ43+273.15)) * AQ43/DW43 * AP43) * DW43/(100*DK43) * 1000/(1000 - AO43)</f>
        <v>0</v>
      </c>
      <c r="AN43">
        <v>17.45581009476036</v>
      </c>
      <c r="AO43">
        <v>17.54243333333333</v>
      </c>
      <c r="AP43">
        <v>-9.03685767302236E-07</v>
      </c>
      <c r="AQ43">
        <v>107.762206025153</v>
      </c>
      <c r="AR43">
        <v>24</v>
      </c>
      <c r="AS43">
        <v>5</v>
      </c>
      <c r="AT43">
        <f>IF(AR43*$H$15&gt;=AV43,1.0,(AV43/(AV43-AR43*$H$15)))</f>
        <v>0</v>
      </c>
      <c r="AU43">
        <f>(AT43-1)*100</f>
        <v>0</v>
      </c>
      <c r="AV43">
        <f>MAX(0,($B$15+$C$15*EE43)/(1+$D$15*EE43)*DX43/(DZ43+273)*$E$15)</f>
        <v>0</v>
      </c>
      <c r="AW43" t="s">
        <v>437</v>
      </c>
      <c r="AX43" t="s">
        <v>437</v>
      </c>
      <c r="AY43">
        <v>0</v>
      </c>
      <c r="AZ43">
        <v>0</v>
      </c>
      <c r="BA43">
        <f>1-AY43/AZ43</f>
        <v>0</v>
      </c>
      <c r="BB43">
        <v>0</v>
      </c>
      <c r="BC43" t="s">
        <v>437</v>
      </c>
      <c r="BD43" t="s">
        <v>437</v>
      </c>
      <c r="BE43">
        <v>0</v>
      </c>
      <c r="BF43">
        <v>0</v>
      </c>
      <c r="BG43">
        <f>1-BE43/BF43</f>
        <v>0</v>
      </c>
      <c r="BH43">
        <v>0.5</v>
      </c>
      <c r="BI43">
        <f>DH43</f>
        <v>0</v>
      </c>
      <c r="BJ43">
        <f>K43</f>
        <v>0</v>
      </c>
      <c r="BK43">
        <f>BG43*BH43*BI43</f>
        <v>0</v>
      </c>
      <c r="BL43">
        <f>(BJ43-BB43)/BI43</f>
        <v>0</v>
      </c>
      <c r="BM43">
        <f>(AZ43-BF43)/BF43</f>
        <v>0</v>
      </c>
      <c r="BN43">
        <f>AY43/(BA43+AY43/BF43)</f>
        <v>0</v>
      </c>
      <c r="BO43" t="s">
        <v>437</v>
      </c>
      <c r="BP43">
        <v>0</v>
      </c>
      <c r="BQ43">
        <f>IF(BP43&lt;&gt;0, BP43, BN43)</f>
        <v>0</v>
      </c>
      <c r="BR43">
        <f>1-BQ43/BF43</f>
        <v>0</v>
      </c>
      <c r="BS43">
        <f>(BF43-BE43)/(BF43-BQ43)</f>
        <v>0</v>
      </c>
      <c r="BT43">
        <f>(AZ43-BF43)/(AZ43-BQ43)</f>
        <v>0</v>
      </c>
      <c r="BU43">
        <f>(BF43-BE43)/(BF43-AY43)</f>
        <v>0</v>
      </c>
      <c r="BV43">
        <f>(AZ43-BF43)/(AZ43-AY43)</f>
        <v>0</v>
      </c>
      <c r="BW43">
        <f>(BS43*BQ43/BE43)</f>
        <v>0</v>
      </c>
      <c r="BX43">
        <f>(1-BW43)</f>
        <v>0</v>
      </c>
      <c r="DG43">
        <f>$B$13*EF43+$C$13*EG43+$F$13*ER43*(1-EU43)</f>
        <v>0</v>
      </c>
      <c r="DH43">
        <f>DG43*DI43</f>
        <v>0</v>
      </c>
      <c r="DI43">
        <f>($B$13*$D$11+$C$13*$D$11+$F$13*((FE43+EW43)/MAX(FE43+EW43+FF43, 0.1)*$I$11+FF43/MAX(FE43+EW43+FF43, 0.1)*$J$11))/($B$13+$C$13+$F$13)</f>
        <v>0</v>
      </c>
      <c r="DJ43">
        <f>($B$13*$K$11+$C$13*$K$11+$F$13*((FE43+EW43)/MAX(FE43+EW43+FF43, 0.1)*$P$11+FF43/MAX(FE43+EW43+FF43, 0.1)*$Q$11))/($B$13+$C$13+$F$13)</f>
        <v>0</v>
      </c>
      <c r="DK43">
        <v>5.66</v>
      </c>
      <c r="DL43">
        <v>0.5</v>
      </c>
      <c r="DM43" t="s">
        <v>438</v>
      </c>
      <c r="DN43">
        <v>2</v>
      </c>
      <c r="DO43" t="b">
        <v>1</v>
      </c>
      <c r="DP43">
        <v>1765302255.099999</v>
      </c>
      <c r="DQ43">
        <v>1499.438580645161</v>
      </c>
      <c r="DR43">
        <v>1500.033548387097</v>
      </c>
      <c r="DS43">
        <v>17.54005161290323</v>
      </c>
      <c r="DT43">
        <v>17.45523225806451</v>
      </c>
      <c r="DU43">
        <v>1497.222580645161</v>
      </c>
      <c r="DV43">
        <v>17.46105161290323</v>
      </c>
      <c r="DW43">
        <v>500.0055161290323</v>
      </c>
      <c r="DX43">
        <v>90.11416129032257</v>
      </c>
      <c r="DY43">
        <v>0.100015664516129</v>
      </c>
      <c r="DZ43">
        <v>24.9360870967742</v>
      </c>
      <c r="EA43">
        <v>25.01395161290323</v>
      </c>
      <c r="EB43">
        <v>999.9000000000003</v>
      </c>
      <c r="EC43">
        <v>0</v>
      </c>
      <c r="ED43">
        <v>0</v>
      </c>
      <c r="EE43">
        <v>9996.892580645161</v>
      </c>
      <c r="EF43">
        <v>0</v>
      </c>
      <c r="EG43">
        <v>9.479425483870967</v>
      </c>
      <c r="EH43">
        <v>-0.743939806451613</v>
      </c>
      <c r="EI43">
        <v>1526.060322580645</v>
      </c>
      <c r="EJ43">
        <v>1526.682580645161</v>
      </c>
      <c r="EK43">
        <v>0.08734032580645162</v>
      </c>
      <c r="EL43">
        <v>1500.033548387097</v>
      </c>
      <c r="EM43">
        <v>17.45523225806451</v>
      </c>
      <c r="EN43">
        <v>1.580834516129032</v>
      </c>
      <c r="EO43">
        <v>1.572964516129032</v>
      </c>
      <c r="EP43">
        <v>13.77324838709677</v>
      </c>
      <c r="EQ43">
        <v>13.69646129032258</v>
      </c>
      <c r="ER43">
        <v>799.989870967742</v>
      </c>
      <c r="ES43">
        <v>0.9499896129032254</v>
      </c>
      <c r="ET43">
        <v>0.05001078387096775</v>
      </c>
      <c r="EU43">
        <v>0</v>
      </c>
      <c r="EV43">
        <v>1313.702258064516</v>
      </c>
      <c r="EW43">
        <v>5.000779999999999</v>
      </c>
      <c r="EX43">
        <v>9866.725806451612</v>
      </c>
      <c r="EY43">
        <v>6463.311935483872</v>
      </c>
      <c r="EZ43">
        <v>37.09651612903225</v>
      </c>
      <c r="FA43">
        <v>40.97551612903224</v>
      </c>
      <c r="FB43">
        <v>39.19535483870967</v>
      </c>
      <c r="FC43">
        <v>41.29009677419353</v>
      </c>
      <c r="FD43">
        <v>39.35467741935484</v>
      </c>
      <c r="FE43">
        <v>755.2316129032258</v>
      </c>
      <c r="FF43">
        <v>39.76</v>
      </c>
      <c r="FG43">
        <v>0</v>
      </c>
      <c r="FH43">
        <v>1765302262.1</v>
      </c>
      <c r="FI43">
        <v>0</v>
      </c>
      <c r="FJ43">
        <v>1313.688461538462</v>
      </c>
      <c r="FK43">
        <v>-3.262905979825784</v>
      </c>
      <c r="FL43">
        <v>-5.824957271914782</v>
      </c>
      <c r="FM43">
        <v>9866.689230769231</v>
      </c>
      <c r="FN43">
        <v>15</v>
      </c>
      <c r="FO43">
        <v>1765302282.1</v>
      </c>
      <c r="FP43" t="s">
        <v>518</v>
      </c>
      <c r="FQ43">
        <v>1765302282.1</v>
      </c>
      <c r="FR43">
        <v>1765302280.1</v>
      </c>
      <c r="FS43">
        <v>26</v>
      </c>
      <c r="FT43">
        <v>0.147</v>
      </c>
      <c r="FU43">
        <v>-0.001</v>
      </c>
      <c r="FV43">
        <v>2.216</v>
      </c>
      <c r="FW43">
        <v>0.079</v>
      </c>
      <c r="FX43">
        <v>1500</v>
      </c>
      <c r="FY43">
        <v>17</v>
      </c>
      <c r="FZ43">
        <v>1.24</v>
      </c>
      <c r="GA43">
        <v>0.16</v>
      </c>
      <c r="GB43">
        <v>-0.7346161707317074</v>
      </c>
      <c r="GC43">
        <v>0.3515399790940761</v>
      </c>
      <c r="GD43">
        <v>0.1138066710462501</v>
      </c>
      <c r="GE43">
        <v>1</v>
      </c>
      <c r="GF43">
        <v>1313.819705882353</v>
      </c>
      <c r="GG43">
        <v>-3.271046598677072</v>
      </c>
      <c r="GH43">
        <v>0.4031747927323986</v>
      </c>
      <c r="GI43">
        <v>0</v>
      </c>
      <c r="GJ43">
        <v>0.08738318292682927</v>
      </c>
      <c r="GK43">
        <v>-0.005177669686411268</v>
      </c>
      <c r="GL43">
        <v>0.001172295460322982</v>
      </c>
      <c r="GM43">
        <v>1</v>
      </c>
      <c r="GN43">
        <v>2</v>
      </c>
      <c r="GO43">
        <v>3</v>
      </c>
      <c r="GP43" t="s">
        <v>453</v>
      </c>
      <c r="GQ43">
        <v>3.10824</v>
      </c>
      <c r="GR43">
        <v>2.79161</v>
      </c>
      <c r="GS43">
        <v>0.205385</v>
      </c>
      <c r="GT43">
        <v>0.205739</v>
      </c>
      <c r="GU43">
        <v>0.08653660000000001</v>
      </c>
      <c r="GV43">
        <v>0.0870365</v>
      </c>
      <c r="GW43">
        <v>20844.1</v>
      </c>
      <c r="GX43">
        <v>18923</v>
      </c>
      <c r="GY43">
        <v>26789.8</v>
      </c>
      <c r="GZ43">
        <v>24032.3</v>
      </c>
      <c r="HA43">
        <v>39126.1</v>
      </c>
      <c r="HB43">
        <v>32397.9</v>
      </c>
      <c r="HC43">
        <v>46757.9</v>
      </c>
      <c r="HD43">
        <v>38008.8</v>
      </c>
      <c r="HE43">
        <v>1.83347</v>
      </c>
      <c r="HF43">
        <v>1.8292</v>
      </c>
      <c r="HG43">
        <v>0.0537112</v>
      </c>
      <c r="HH43">
        <v>0</v>
      </c>
      <c r="HI43">
        <v>24.13</v>
      </c>
      <c r="HJ43">
        <v>999.9</v>
      </c>
      <c r="HK43">
        <v>35.6</v>
      </c>
      <c r="HL43">
        <v>33.9</v>
      </c>
      <c r="HM43">
        <v>20.9902</v>
      </c>
      <c r="HN43">
        <v>61.3838</v>
      </c>
      <c r="HO43">
        <v>28.4696</v>
      </c>
      <c r="HP43">
        <v>1</v>
      </c>
      <c r="HQ43">
        <v>0.0667073</v>
      </c>
      <c r="HR43">
        <v>1.31267</v>
      </c>
      <c r="HS43">
        <v>20.2893</v>
      </c>
      <c r="HT43">
        <v>5.22133</v>
      </c>
      <c r="HU43">
        <v>11.9781</v>
      </c>
      <c r="HV43">
        <v>4.96535</v>
      </c>
      <c r="HW43">
        <v>3.27595</v>
      </c>
      <c r="HX43">
        <v>9999</v>
      </c>
      <c r="HY43">
        <v>9999</v>
      </c>
      <c r="HZ43">
        <v>9999</v>
      </c>
      <c r="IA43">
        <v>999.9</v>
      </c>
      <c r="IB43">
        <v>1.86423</v>
      </c>
      <c r="IC43">
        <v>1.86042</v>
      </c>
      <c r="ID43">
        <v>1.8588</v>
      </c>
      <c r="IE43">
        <v>1.86005</v>
      </c>
      <c r="IF43">
        <v>1.8602</v>
      </c>
      <c r="IG43">
        <v>1.85874</v>
      </c>
      <c r="IH43">
        <v>1.85781</v>
      </c>
      <c r="II43">
        <v>1.85272</v>
      </c>
      <c r="IJ43">
        <v>0</v>
      </c>
      <c r="IK43">
        <v>0</v>
      </c>
      <c r="IL43">
        <v>0</v>
      </c>
      <c r="IM43">
        <v>0</v>
      </c>
      <c r="IN43" t="s">
        <v>441</v>
      </c>
      <c r="IO43" t="s">
        <v>442</v>
      </c>
      <c r="IP43" t="s">
        <v>443</v>
      </c>
      <c r="IQ43" t="s">
        <v>443</v>
      </c>
      <c r="IR43" t="s">
        <v>443</v>
      </c>
      <c r="IS43" t="s">
        <v>443</v>
      </c>
      <c r="IT43">
        <v>0</v>
      </c>
      <c r="IU43">
        <v>100</v>
      </c>
      <c r="IV43">
        <v>100</v>
      </c>
      <c r="IW43">
        <v>2.216</v>
      </c>
      <c r="IX43">
        <v>0.079</v>
      </c>
      <c r="IY43">
        <v>-0.1002929254251116</v>
      </c>
      <c r="IZ43">
        <v>0.0001583678016168383</v>
      </c>
      <c r="JA43">
        <v>1.526473431467286E-06</v>
      </c>
      <c r="JB43">
        <v>-4.446382740029455E-10</v>
      </c>
      <c r="JC43">
        <v>-0.03799392397782367</v>
      </c>
      <c r="JD43">
        <v>-0.009941991807247691</v>
      </c>
      <c r="JE43">
        <v>0.001256427533001032</v>
      </c>
      <c r="JF43">
        <v>-1.689728105039484E-05</v>
      </c>
      <c r="JG43">
        <v>2</v>
      </c>
      <c r="JH43">
        <v>1984</v>
      </c>
      <c r="JI43">
        <v>0</v>
      </c>
      <c r="JJ43">
        <v>25</v>
      </c>
      <c r="JK43">
        <v>1.5</v>
      </c>
      <c r="JL43">
        <v>1.7</v>
      </c>
      <c r="JM43">
        <v>3.15918</v>
      </c>
      <c r="JN43">
        <v>2.61108</v>
      </c>
      <c r="JO43">
        <v>1.49658</v>
      </c>
      <c r="JP43">
        <v>2.34619</v>
      </c>
      <c r="JQ43">
        <v>1.54907</v>
      </c>
      <c r="JR43">
        <v>2.46582</v>
      </c>
      <c r="JS43">
        <v>39.0188</v>
      </c>
      <c r="JT43">
        <v>23.6847</v>
      </c>
      <c r="JU43">
        <v>18</v>
      </c>
      <c r="JV43">
        <v>451.859</v>
      </c>
      <c r="JW43">
        <v>473.951</v>
      </c>
      <c r="JX43">
        <v>23.181</v>
      </c>
      <c r="JY43">
        <v>28.0078</v>
      </c>
      <c r="JZ43">
        <v>30.0002</v>
      </c>
      <c r="KA43">
        <v>28.2529</v>
      </c>
      <c r="KB43">
        <v>28.2544</v>
      </c>
      <c r="KC43">
        <v>63.3952</v>
      </c>
      <c r="KD43">
        <v>16.9048</v>
      </c>
      <c r="KE43">
        <v>7.61961</v>
      </c>
      <c r="KF43">
        <v>23.1802</v>
      </c>
      <c r="KG43">
        <v>1500</v>
      </c>
      <c r="KH43">
        <v>17.4318</v>
      </c>
      <c r="KI43">
        <v>102.251</v>
      </c>
      <c r="KJ43">
        <v>91.675</v>
      </c>
    </row>
    <row r="44" spans="1:296">
      <c r="A44">
        <v>26</v>
      </c>
      <c r="B44">
        <v>1765302373.1</v>
      </c>
      <c r="C44">
        <v>4940.099999904633</v>
      </c>
      <c r="D44" t="s">
        <v>519</v>
      </c>
      <c r="E44" t="s">
        <v>520</v>
      </c>
      <c r="F44">
        <v>5</v>
      </c>
      <c r="G44" t="s">
        <v>481</v>
      </c>
      <c r="H44">
        <v>1765302365.099999</v>
      </c>
      <c r="I44">
        <f>(J44)/1000</f>
        <v>0</v>
      </c>
      <c r="J44">
        <f>IF(DO44, AM44, AG44)</f>
        <v>0</v>
      </c>
      <c r="K44">
        <f>IF(DO44, AH44, AF44)</f>
        <v>0</v>
      </c>
      <c r="L44">
        <f>DQ44 - IF(AT44&gt;1, K44*DK44*100.0/(AV44), 0)</f>
        <v>0</v>
      </c>
      <c r="M44">
        <f>((S44-I44/2)*L44-K44)/(S44+I44/2)</f>
        <v>0</v>
      </c>
      <c r="N44">
        <f>M44*(DX44+DY44)/1000.0</f>
        <v>0</v>
      </c>
      <c r="O44">
        <f>(DQ44 - IF(AT44&gt;1, K44*DK44*100.0/(AV44), 0))*(DX44+DY44)/1000.0</f>
        <v>0</v>
      </c>
      <c r="P44">
        <f>2.0/((1/R44-1/Q44)+SIGN(R44)*SQRT((1/R44-1/Q44)*(1/R44-1/Q44) + 4*DL44/((DL44+1)*(DL44+1))*(2*1/R44*1/Q44-1/Q44*1/Q44)))</f>
        <v>0</v>
      </c>
      <c r="Q44">
        <f>IF(LEFT(DM44,1)&lt;&gt;"0",IF(LEFT(DM44,1)="1",3.0,DN44),$D$5+$E$5*(EE44*DX44/($K$5*1000))+$F$5*(EE44*DX44/($K$5*1000))*MAX(MIN(DK44,$J$5),$I$5)*MAX(MIN(DK44,$J$5),$I$5)+$G$5*MAX(MIN(DK44,$J$5),$I$5)*(EE44*DX44/($K$5*1000))+$H$5*(EE44*DX44/($K$5*1000))*(EE44*DX44/($K$5*1000)))</f>
        <v>0</v>
      </c>
      <c r="R44">
        <f>I44*(1000-(1000*0.61365*exp(17.502*V44/(240.97+V44))/(DX44+DY44)+DS44)/2)/(1000*0.61365*exp(17.502*V44/(240.97+V44))/(DX44+DY44)-DS44)</f>
        <v>0</v>
      </c>
      <c r="S44">
        <f>1/((DL44+1)/(P44/1.6)+1/(Q44/1.37)) + DL44/((DL44+1)/(P44/1.6) + DL44/(Q44/1.37))</f>
        <v>0</v>
      </c>
      <c r="T44">
        <f>(DG44*DJ44)</f>
        <v>0</v>
      </c>
      <c r="U44">
        <f>(DZ44+(T44+2*0.95*5.67E-8*(((DZ44+$B$9)+273)^4-(DZ44+273)^4)-44100*I44)/(1.84*29.3*Q44+8*0.95*5.67E-8*(DZ44+273)^3))</f>
        <v>0</v>
      </c>
      <c r="V44">
        <f>($C$9*EA44+$D$9*EB44+$E$9*U44)</f>
        <v>0</v>
      </c>
      <c r="W44">
        <f>0.61365*exp(17.502*V44/(240.97+V44))</f>
        <v>0</v>
      </c>
      <c r="X44">
        <f>(Y44/Z44*100)</f>
        <v>0</v>
      </c>
      <c r="Y44">
        <f>DS44*(DX44+DY44)/1000</f>
        <v>0</v>
      </c>
      <c r="Z44">
        <f>0.61365*exp(17.502*DZ44/(240.97+DZ44))</f>
        <v>0</v>
      </c>
      <c r="AA44">
        <f>(W44-DS44*(DX44+DY44)/1000)</f>
        <v>0</v>
      </c>
      <c r="AB44">
        <f>(-I44*44100)</f>
        <v>0</v>
      </c>
      <c r="AC44">
        <f>2*29.3*Q44*0.92*(DZ44-V44)</f>
        <v>0</v>
      </c>
      <c r="AD44">
        <f>2*0.95*5.67E-8*(((DZ44+$B$9)+273)^4-(V44+273)^4)</f>
        <v>0</v>
      </c>
      <c r="AE44">
        <f>T44+AD44+AB44+AC44</f>
        <v>0</v>
      </c>
      <c r="AF44">
        <f>DW44*AT44*(DR44-DQ44*(1000-AT44*DT44)/(1000-AT44*DS44))/(100*DK44)</f>
        <v>0</v>
      </c>
      <c r="AG44">
        <f>1000*DW44*AT44*(DS44-DT44)/(100*DK44*(1000-AT44*DS44))</f>
        <v>0</v>
      </c>
      <c r="AH44">
        <f>(AI44 - AJ44 - DX44*1E3/(8.314*(DZ44+273.15)) * AL44/DW44 * AK44) * DW44/(100*DK44) * (1000 - DT44)/1000</f>
        <v>0</v>
      </c>
      <c r="AI44">
        <v>407.0892181239485</v>
      </c>
      <c r="AJ44">
        <v>408.0939696969696</v>
      </c>
      <c r="AK44">
        <v>-0.001947650587666286</v>
      </c>
      <c r="AL44">
        <v>65.78716543262685</v>
      </c>
      <c r="AM44">
        <f>(AO44 - AN44 + DX44*1E3/(8.314*(DZ44+273.15)) * AQ44/DW44 * AP44) * DW44/(100*DK44) * 1000/(1000 - AO44)</f>
        <v>0</v>
      </c>
      <c r="AN44">
        <v>17.52994614377783</v>
      </c>
      <c r="AO44">
        <v>17.61074727272726</v>
      </c>
      <c r="AP44">
        <v>7.246323644620995E-06</v>
      </c>
      <c r="AQ44">
        <v>107.5711949528707</v>
      </c>
      <c r="AR44">
        <v>24</v>
      </c>
      <c r="AS44">
        <v>5</v>
      </c>
      <c r="AT44">
        <f>IF(AR44*$H$15&gt;=AV44,1.0,(AV44/(AV44-AR44*$H$15)))</f>
        <v>0</v>
      </c>
      <c r="AU44">
        <f>(AT44-1)*100</f>
        <v>0</v>
      </c>
      <c r="AV44">
        <f>MAX(0,($B$15+$C$15*EE44)/(1+$D$15*EE44)*DX44/(DZ44+273)*$E$15)</f>
        <v>0</v>
      </c>
      <c r="AW44" t="s">
        <v>437</v>
      </c>
      <c r="AX44" t="s">
        <v>437</v>
      </c>
      <c r="AY44">
        <v>0</v>
      </c>
      <c r="AZ44">
        <v>0</v>
      </c>
      <c r="BA44">
        <f>1-AY44/AZ44</f>
        <v>0</v>
      </c>
      <c r="BB44">
        <v>0</v>
      </c>
      <c r="BC44" t="s">
        <v>437</v>
      </c>
      <c r="BD44" t="s">
        <v>437</v>
      </c>
      <c r="BE44">
        <v>0</v>
      </c>
      <c r="BF44">
        <v>0</v>
      </c>
      <c r="BG44">
        <f>1-BE44/BF44</f>
        <v>0</v>
      </c>
      <c r="BH44">
        <v>0.5</v>
      </c>
      <c r="BI44">
        <f>DH44</f>
        <v>0</v>
      </c>
      <c r="BJ44">
        <f>K44</f>
        <v>0</v>
      </c>
      <c r="BK44">
        <f>BG44*BH44*BI44</f>
        <v>0</v>
      </c>
      <c r="BL44">
        <f>(BJ44-BB44)/BI44</f>
        <v>0</v>
      </c>
      <c r="BM44">
        <f>(AZ44-BF44)/BF44</f>
        <v>0</v>
      </c>
      <c r="BN44">
        <f>AY44/(BA44+AY44/BF44)</f>
        <v>0</v>
      </c>
      <c r="BO44" t="s">
        <v>437</v>
      </c>
      <c r="BP44">
        <v>0</v>
      </c>
      <c r="BQ44">
        <f>IF(BP44&lt;&gt;0, BP44, BN44)</f>
        <v>0</v>
      </c>
      <c r="BR44">
        <f>1-BQ44/BF44</f>
        <v>0</v>
      </c>
      <c r="BS44">
        <f>(BF44-BE44)/(BF44-BQ44)</f>
        <v>0</v>
      </c>
      <c r="BT44">
        <f>(AZ44-BF44)/(AZ44-BQ44)</f>
        <v>0</v>
      </c>
      <c r="BU44">
        <f>(BF44-BE44)/(BF44-AY44)</f>
        <v>0</v>
      </c>
      <c r="BV44">
        <f>(AZ44-BF44)/(AZ44-AY44)</f>
        <v>0</v>
      </c>
      <c r="BW44">
        <f>(BS44*BQ44/BE44)</f>
        <v>0</v>
      </c>
      <c r="BX44">
        <f>(1-BW44)</f>
        <v>0</v>
      </c>
      <c r="DG44">
        <f>$B$13*EF44+$C$13*EG44+$F$13*ER44*(1-EU44)</f>
        <v>0</v>
      </c>
      <c r="DH44">
        <f>DG44*DI44</f>
        <v>0</v>
      </c>
      <c r="DI44">
        <f>($B$13*$D$11+$C$13*$D$11+$F$13*((FE44+EW44)/MAX(FE44+EW44+FF44, 0.1)*$I$11+FF44/MAX(FE44+EW44+FF44, 0.1)*$J$11))/($B$13+$C$13+$F$13)</f>
        <v>0</v>
      </c>
      <c r="DJ44">
        <f>($B$13*$K$11+$C$13*$K$11+$F$13*((FE44+EW44)/MAX(FE44+EW44+FF44, 0.1)*$P$11+FF44/MAX(FE44+EW44+FF44, 0.1)*$Q$11))/($B$13+$C$13+$F$13)</f>
        <v>0</v>
      </c>
      <c r="DK44">
        <v>5.66</v>
      </c>
      <c r="DL44">
        <v>0.5</v>
      </c>
      <c r="DM44" t="s">
        <v>438</v>
      </c>
      <c r="DN44">
        <v>2</v>
      </c>
      <c r="DO44" t="b">
        <v>1</v>
      </c>
      <c r="DP44">
        <v>1765302365.099999</v>
      </c>
      <c r="DQ44">
        <v>400.6742580645162</v>
      </c>
      <c r="DR44">
        <v>399.9568064516129</v>
      </c>
      <c r="DS44">
        <v>17.60442903225806</v>
      </c>
      <c r="DT44">
        <v>17.52973225806452</v>
      </c>
      <c r="DU44">
        <v>400.6352580645162</v>
      </c>
      <c r="DV44">
        <v>17.52842903225806</v>
      </c>
      <c r="DW44">
        <v>500.0075806451613</v>
      </c>
      <c r="DX44">
        <v>90.11078709677419</v>
      </c>
      <c r="DY44">
        <v>0.09988229032258064</v>
      </c>
      <c r="DZ44">
        <v>24.95022903225807</v>
      </c>
      <c r="EA44">
        <v>25.0075</v>
      </c>
      <c r="EB44">
        <v>999.9000000000003</v>
      </c>
      <c r="EC44">
        <v>0</v>
      </c>
      <c r="ED44">
        <v>0</v>
      </c>
      <c r="EE44">
        <v>10019.45387096774</v>
      </c>
      <c r="EF44">
        <v>0</v>
      </c>
      <c r="EG44">
        <v>9.494798709677418</v>
      </c>
      <c r="EH44">
        <v>1.00598835483871</v>
      </c>
      <c r="EI44">
        <v>408.1503225806451</v>
      </c>
      <c r="EJ44">
        <v>407.0930322580646</v>
      </c>
      <c r="EK44">
        <v>0.08057533225806453</v>
      </c>
      <c r="EL44">
        <v>399.9568064516129</v>
      </c>
      <c r="EM44">
        <v>17.52973225806452</v>
      </c>
      <c r="EN44">
        <v>1.586877419354839</v>
      </c>
      <c r="EO44">
        <v>1.579617419354839</v>
      </c>
      <c r="EP44">
        <v>13.83196129032258</v>
      </c>
      <c r="EQ44">
        <v>13.76138387096774</v>
      </c>
      <c r="ER44">
        <v>799.9844516129031</v>
      </c>
      <c r="ES44">
        <v>0.9499923548387099</v>
      </c>
      <c r="ET44">
        <v>0.05000773225806453</v>
      </c>
      <c r="EU44">
        <v>0</v>
      </c>
      <c r="EV44">
        <v>1309.791612903226</v>
      </c>
      <c r="EW44">
        <v>5.000779999999999</v>
      </c>
      <c r="EX44">
        <v>9829.30741935484</v>
      </c>
      <c r="EY44">
        <v>6463.272903225808</v>
      </c>
      <c r="EZ44">
        <v>37.01396774193548</v>
      </c>
      <c r="FA44">
        <v>39.72754838709677</v>
      </c>
      <c r="FB44">
        <v>38.55619354838709</v>
      </c>
      <c r="FC44">
        <v>39.74374193548386</v>
      </c>
      <c r="FD44">
        <v>38.55825806451612</v>
      </c>
      <c r="FE44">
        <v>755.2277419354838</v>
      </c>
      <c r="FF44">
        <v>39.75806451612903</v>
      </c>
      <c r="FG44">
        <v>0</v>
      </c>
      <c r="FH44">
        <v>1765302372.5</v>
      </c>
      <c r="FI44">
        <v>0</v>
      </c>
      <c r="FJ44">
        <v>1309.756538461539</v>
      </c>
      <c r="FK44">
        <v>-3.752820511481212</v>
      </c>
      <c r="FL44">
        <v>-43.08512817613697</v>
      </c>
      <c r="FM44">
        <v>9828.906923076924</v>
      </c>
      <c r="FN44">
        <v>15</v>
      </c>
      <c r="FO44">
        <v>1765302389.1</v>
      </c>
      <c r="FP44" t="s">
        <v>521</v>
      </c>
      <c r="FQ44">
        <v>1765302389.1</v>
      </c>
      <c r="FR44">
        <v>1765302389.1</v>
      </c>
      <c r="FS44">
        <v>27</v>
      </c>
      <c r="FT44">
        <v>-0.288</v>
      </c>
      <c r="FU44">
        <v>-0.005</v>
      </c>
      <c r="FV44">
        <v>0.039</v>
      </c>
      <c r="FW44">
        <v>0.076</v>
      </c>
      <c r="FX44">
        <v>400</v>
      </c>
      <c r="FY44">
        <v>18</v>
      </c>
      <c r="FZ44">
        <v>0.36</v>
      </c>
      <c r="GA44">
        <v>0.12</v>
      </c>
      <c r="GB44">
        <v>1.0340754</v>
      </c>
      <c r="GC44">
        <v>-0.6699367204502862</v>
      </c>
      <c r="GD44">
        <v>0.08667559568292565</v>
      </c>
      <c r="GE44">
        <v>0</v>
      </c>
      <c r="GF44">
        <v>1309.895882352941</v>
      </c>
      <c r="GG44">
        <v>-2.59862490282856</v>
      </c>
      <c r="GH44">
        <v>0.3383534320539681</v>
      </c>
      <c r="GI44">
        <v>0</v>
      </c>
      <c r="GJ44">
        <v>0.0802047775</v>
      </c>
      <c r="GK44">
        <v>0.00738348630393965</v>
      </c>
      <c r="GL44">
        <v>0.001077138637893819</v>
      </c>
      <c r="GM44">
        <v>1</v>
      </c>
      <c r="GN44">
        <v>1</v>
      </c>
      <c r="GO44">
        <v>3</v>
      </c>
      <c r="GP44" t="s">
        <v>469</v>
      </c>
      <c r="GQ44">
        <v>3.10818</v>
      </c>
      <c r="GR44">
        <v>2.79194</v>
      </c>
      <c r="GS44">
        <v>0.0846643</v>
      </c>
      <c r="GT44">
        <v>0.08461689999999999</v>
      </c>
      <c r="GU44">
        <v>0.0867734</v>
      </c>
      <c r="GV44">
        <v>0.0872927</v>
      </c>
      <c r="GW44">
        <v>24007.7</v>
      </c>
      <c r="GX44">
        <v>21806.4</v>
      </c>
      <c r="GY44">
        <v>26787.7</v>
      </c>
      <c r="GZ44">
        <v>24030.9</v>
      </c>
      <c r="HA44">
        <v>39098.2</v>
      </c>
      <c r="HB44">
        <v>32374.2</v>
      </c>
      <c r="HC44">
        <v>46754.6</v>
      </c>
      <c r="HD44">
        <v>38006.3</v>
      </c>
      <c r="HE44">
        <v>1.83237</v>
      </c>
      <c r="HF44">
        <v>1.82617</v>
      </c>
      <c r="HG44">
        <v>0.0534393</v>
      </c>
      <c r="HH44">
        <v>0</v>
      </c>
      <c r="HI44">
        <v>24.1361</v>
      </c>
      <c r="HJ44">
        <v>999.9</v>
      </c>
      <c r="HK44">
        <v>35.5</v>
      </c>
      <c r="HL44">
        <v>33.9</v>
      </c>
      <c r="HM44">
        <v>20.9315</v>
      </c>
      <c r="HN44">
        <v>61.4238</v>
      </c>
      <c r="HO44">
        <v>28.5657</v>
      </c>
      <c r="HP44">
        <v>1</v>
      </c>
      <c r="HQ44">
        <v>0.0686966</v>
      </c>
      <c r="HR44">
        <v>1.29288</v>
      </c>
      <c r="HS44">
        <v>20.2876</v>
      </c>
      <c r="HT44">
        <v>5.21924</v>
      </c>
      <c r="HU44">
        <v>11.9791</v>
      </c>
      <c r="HV44">
        <v>4.9653</v>
      </c>
      <c r="HW44">
        <v>3.2759</v>
      </c>
      <c r="HX44">
        <v>9999</v>
      </c>
      <c r="HY44">
        <v>9999</v>
      </c>
      <c r="HZ44">
        <v>9999</v>
      </c>
      <c r="IA44">
        <v>999.9</v>
      </c>
      <c r="IB44">
        <v>1.86418</v>
      </c>
      <c r="IC44">
        <v>1.86044</v>
      </c>
      <c r="ID44">
        <v>1.85874</v>
      </c>
      <c r="IE44">
        <v>1.86005</v>
      </c>
      <c r="IF44">
        <v>1.8602</v>
      </c>
      <c r="IG44">
        <v>1.85873</v>
      </c>
      <c r="IH44">
        <v>1.8578</v>
      </c>
      <c r="II44">
        <v>1.85271</v>
      </c>
      <c r="IJ44">
        <v>0</v>
      </c>
      <c r="IK44">
        <v>0</v>
      </c>
      <c r="IL44">
        <v>0</v>
      </c>
      <c r="IM44">
        <v>0</v>
      </c>
      <c r="IN44" t="s">
        <v>441</v>
      </c>
      <c r="IO44" t="s">
        <v>442</v>
      </c>
      <c r="IP44" t="s">
        <v>443</v>
      </c>
      <c r="IQ44" t="s">
        <v>443</v>
      </c>
      <c r="IR44" t="s">
        <v>443</v>
      </c>
      <c r="IS44" t="s">
        <v>443</v>
      </c>
      <c r="IT44">
        <v>0</v>
      </c>
      <c r="IU44">
        <v>100</v>
      </c>
      <c r="IV44">
        <v>100</v>
      </c>
      <c r="IW44">
        <v>0.039</v>
      </c>
      <c r="IX44">
        <v>0.076</v>
      </c>
      <c r="IY44">
        <v>0.0475207969362309</v>
      </c>
      <c r="IZ44">
        <v>0.0001583678016168383</v>
      </c>
      <c r="JA44">
        <v>1.526473431467286E-06</v>
      </c>
      <c r="JB44">
        <v>-4.446382740029455E-10</v>
      </c>
      <c r="JC44">
        <v>-0.03888498308215949</v>
      </c>
      <c r="JD44">
        <v>-0.009941991807247691</v>
      </c>
      <c r="JE44">
        <v>0.001256427533001032</v>
      </c>
      <c r="JF44">
        <v>-1.689728105039484E-05</v>
      </c>
      <c r="JG44">
        <v>2</v>
      </c>
      <c r="JH44">
        <v>1984</v>
      </c>
      <c r="JI44">
        <v>0</v>
      </c>
      <c r="JJ44">
        <v>25</v>
      </c>
      <c r="JK44">
        <v>1.5</v>
      </c>
      <c r="JL44">
        <v>1.6</v>
      </c>
      <c r="JM44">
        <v>1.08887</v>
      </c>
      <c r="JN44">
        <v>2.6123</v>
      </c>
      <c r="JO44">
        <v>1.49658</v>
      </c>
      <c r="JP44">
        <v>2.34741</v>
      </c>
      <c r="JQ44">
        <v>1.54907</v>
      </c>
      <c r="JR44">
        <v>2.47437</v>
      </c>
      <c r="JS44">
        <v>39.0188</v>
      </c>
      <c r="JT44">
        <v>23.6847</v>
      </c>
      <c r="JU44">
        <v>18</v>
      </c>
      <c r="JV44">
        <v>451.409</v>
      </c>
      <c r="JW44">
        <v>472.181</v>
      </c>
      <c r="JX44">
        <v>23.1836</v>
      </c>
      <c r="JY44">
        <v>28.0388</v>
      </c>
      <c r="JZ44">
        <v>30.0002</v>
      </c>
      <c r="KA44">
        <v>28.2752</v>
      </c>
      <c r="KB44">
        <v>28.2735</v>
      </c>
      <c r="KC44">
        <v>21.892</v>
      </c>
      <c r="KD44">
        <v>15.7635</v>
      </c>
      <c r="KE44">
        <v>7.61961</v>
      </c>
      <c r="KF44">
        <v>23.1778</v>
      </c>
      <c r="KG44">
        <v>400</v>
      </c>
      <c r="KH44">
        <v>17.4683</v>
      </c>
      <c r="KI44">
        <v>102.243</v>
      </c>
      <c r="KJ44">
        <v>91.6694</v>
      </c>
    </row>
    <row r="45" spans="1:296">
      <c r="A45">
        <v>27</v>
      </c>
      <c r="B45">
        <v>1765303244.5</v>
      </c>
      <c r="C45">
        <v>5811.5</v>
      </c>
      <c r="D45" t="s">
        <v>522</v>
      </c>
      <c r="E45" t="s">
        <v>523</v>
      </c>
      <c r="F45">
        <v>5</v>
      </c>
      <c r="G45" t="s">
        <v>524</v>
      </c>
      <c r="H45">
        <v>1765303236.5</v>
      </c>
      <c r="I45">
        <f>(J45)/1000</f>
        <v>0</v>
      </c>
      <c r="J45">
        <f>IF(DO45, AM45, AG45)</f>
        <v>0</v>
      </c>
      <c r="K45">
        <f>IF(DO45, AH45, AF45)</f>
        <v>0</v>
      </c>
      <c r="L45">
        <f>DQ45 - IF(AT45&gt;1, K45*DK45*100.0/(AV45), 0)</f>
        <v>0</v>
      </c>
      <c r="M45">
        <f>((S45-I45/2)*L45-K45)/(S45+I45/2)</f>
        <v>0</v>
      </c>
      <c r="N45">
        <f>M45*(DX45+DY45)/1000.0</f>
        <v>0</v>
      </c>
      <c r="O45">
        <f>(DQ45 - IF(AT45&gt;1, K45*DK45*100.0/(AV45), 0))*(DX45+DY45)/1000.0</f>
        <v>0</v>
      </c>
      <c r="P45">
        <f>2.0/((1/R45-1/Q45)+SIGN(R45)*SQRT((1/R45-1/Q45)*(1/R45-1/Q45) + 4*DL45/((DL45+1)*(DL45+1))*(2*1/R45*1/Q45-1/Q45*1/Q45)))</f>
        <v>0</v>
      </c>
      <c r="Q45">
        <f>IF(LEFT(DM45,1)&lt;&gt;"0",IF(LEFT(DM45,1)="1",3.0,DN45),$D$5+$E$5*(EE45*DX45/($K$5*1000))+$F$5*(EE45*DX45/($K$5*1000))*MAX(MIN(DK45,$J$5),$I$5)*MAX(MIN(DK45,$J$5),$I$5)+$G$5*MAX(MIN(DK45,$J$5),$I$5)*(EE45*DX45/($K$5*1000))+$H$5*(EE45*DX45/($K$5*1000))*(EE45*DX45/($K$5*1000)))</f>
        <v>0</v>
      </c>
      <c r="R45">
        <f>I45*(1000-(1000*0.61365*exp(17.502*V45/(240.97+V45))/(DX45+DY45)+DS45)/2)/(1000*0.61365*exp(17.502*V45/(240.97+V45))/(DX45+DY45)-DS45)</f>
        <v>0</v>
      </c>
      <c r="S45">
        <f>1/((DL45+1)/(P45/1.6)+1/(Q45/1.37)) + DL45/((DL45+1)/(P45/1.6) + DL45/(Q45/1.37))</f>
        <v>0</v>
      </c>
      <c r="T45">
        <f>(DG45*DJ45)</f>
        <v>0</v>
      </c>
      <c r="U45">
        <f>(DZ45+(T45+2*0.95*5.67E-8*(((DZ45+$B$9)+273)^4-(DZ45+273)^4)-44100*I45)/(1.84*29.3*Q45+8*0.95*5.67E-8*(DZ45+273)^3))</f>
        <v>0</v>
      </c>
      <c r="V45">
        <f>($C$9*EA45+$D$9*EB45+$E$9*U45)</f>
        <v>0</v>
      </c>
      <c r="W45">
        <f>0.61365*exp(17.502*V45/(240.97+V45))</f>
        <v>0</v>
      </c>
      <c r="X45">
        <f>(Y45/Z45*100)</f>
        <v>0</v>
      </c>
      <c r="Y45">
        <f>DS45*(DX45+DY45)/1000</f>
        <v>0</v>
      </c>
      <c r="Z45">
        <f>0.61365*exp(17.502*DZ45/(240.97+DZ45))</f>
        <v>0</v>
      </c>
      <c r="AA45">
        <f>(W45-DS45*(DX45+DY45)/1000)</f>
        <v>0</v>
      </c>
      <c r="AB45">
        <f>(-I45*44100)</f>
        <v>0</v>
      </c>
      <c r="AC45">
        <f>2*29.3*Q45*0.92*(DZ45-V45)</f>
        <v>0</v>
      </c>
      <c r="AD45">
        <f>2*0.95*5.67E-8*(((DZ45+$B$9)+273)^4-(V45+273)^4)</f>
        <v>0</v>
      </c>
      <c r="AE45">
        <f>T45+AD45+AB45+AC45</f>
        <v>0</v>
      </c>
      <c r="AF45">
        <f>DW45*AT45*(DR45-DQ45*(1000-AT45*DT45)/(1000-AT45*DS45))/(100*DK45)</f>
        <v>0</v>
      </c>
      <c r="AG45">
        <f>1000*DW45*AT45*(DS45-DT45)/(100*DK45*(1000-AT45*DS45))</f>
        <v>0</v>
      </c>
      <c r="AH45">
        <f>(AI45 - AJ45 - DX45*1E3/(8.314*(DZ45+273.15)) * AL45/DW45 * AK45) * DW45/(100*DK45) * (1000 - DT45)/1000</f>
        <v>0</v>
      </c>
      <c r="AI45">
        <v>407.1771891812431</v>
      </c>
      <c r="AJ45">
        <v>407.1370969696969</v>
      </c>
      <c r="AK45">
        <v>-0.005128766051609556</v>
      </c>
      <c r="AL45">
        <v>65.79427894926889</v>
      </c>
      <c r="AM45">
        <f>(AO45 - AN45 + DX45*1E3/(8.314*(DZ45+273.15)) * AQ45/DW45 * AP45) * DW45/(100*DK45) * 1000/(1000 - AO45)</f>
        <v>0</v>
      </c>
      <c r="AN45">
        <v>17.51027300546904</v>
      </c>
      <c r="AO45">
        <v>17.57339515151515</v>
      </c>
      <c r="AP45">
        <v>-2.47890917046978E-06</v>
      </c>
      <c r="AQ45">
        <v>107.6307049893166</v>
      </c>
      <c r="AR45">
        <v>0</v>
      </c>
      <c r="AS45">
        <v>0</v>
      </c>
      <c r="AT45">
        <f>IF(AR45*$H$15&gt;=AV45,1.0,(AV45/(AV45-AR45*$H$15)))</f>
        <v>0</v>
      </c>
      <c r="AU45">
        <f>(AT45-1)*100</f>
        <v>0</v>
      </c>
      <c r="AV45">
        <f>MAX(0,($B$15+$C$15*EE45)/(1+$D$15*EE45)*DX45/(DZ45+273)*$E$15)</f>
        <v>0</v>
      </c>
      <c r="AW45" t="s">
        <v>437</v>
      </c>
      <c r="AX45" t="s">
        <v>437</v>
      </c>
      <c r="AY45">
        <v>0</v>
      </c>
      <c r="AZ45">
        <v>0</v>
      </c>
      <c r="BA45">
        <f>1-AY45/AZ45</f>
        <v>0</v>
      </c>
      <c r="BB45">
        <v>0</v>
      </c>
      <c r="BC45" t="s">
        <v>437</v>
      </c>
      <c r="BD45" t="s">
        <v>437</v>
      </c>
      <c r="BE45">
        <v>0</v>
      </c>
      <c r="BF45">
        <v>0</v>
      </c>
      <c r="BG45">
        <f>1-BE45/BF45</f>
        <v>0</v>
      </c>
      <c r="BH45">
        <v>0.5</v>
      </c>
      <c r="BI45">
        <f>DH45</f>
        <v>0</v>
      </c>
      <c r="BJ45">
        <f>K45</f>
        <v>0</v>
      </c>
      <c r="BK45">
        <f>BG45*BH45*BI45</f>
        <v>0</v>
      </c>
      <c r="BL45">
        <f>(BJ45-BB45)/BI45</f>
        <v>0</v>
      </c>
      <c r="BM45">
        <f>(AZ45-BF45)/BF45</f>
        <v>0</v>
      </c>
      <c r="BN45">
        <f>AY45/(BA45+AY45/BF45)</f>
        <v>0</v>
      </c>
      <c r="BO45" t="s">
        <v>437</v>
      </c>
      <c r="BP45">
        <v>0</v>
      </c>
      <c r="BQ45">
        <f>IF(BP45&lt;&gt;0, BP45, BN45)</f>
        <v>0</v>
      </c>
      <c r="BR45">
        <f>1-BQ45/BF45</f>
        <v>0</v>
      </c>
      <c r="BS45">
        <f>(BF45-BE45)/(BF45-BQ45)</f>
        <v>0</v>
      </c>
      <c r="BT45">
        <f>(AZ45-BF45)/(AZ45-BQ45)</f>
        <v>0</v>
      </c>
      <c r="BU45">
        <f>(BF45-BE45)/(BF45-AY45)</f>
        <v>0</v>
      </c>
      <c r="BV45">
        <f>(AZ45-BF45)/(AZ45-AY45)</f>
        <v>0</v>
      </c>
      <c r="BW45">
        <f>(BS45*BQ45/BE45)</f>
        <v>0</v>
      </c>
      <c r="BX45">
        <f>(1-BW45)</f>
        <v>0</v>
      </c>
      <c r="DG45">
        <f>$B$13*EF45+$C$13*EG45+$F$13*ER45*(1-EU45)</f>
        <v>0</v>
      </c>
      <c r="DH45">
        <f>DG45*DI45</f>
        <v>0</v>
      </c>
      <c r="DI45">
        <f>($B$13*$D$11+$C$13*$D$11+$F$13*((FE45+EW45)/MAX(FE45+EW45+FF45, 0.1)*$I$11+FF45/MAX(FE45+EW45+FF45, 0.1)*$J$11))/($B$13+$C$13+$F$13)</f>
        <v>0</v>
      </c>
      <c r="DJ45">
        <f>($B$13*$K$11+$C$13*$K$11+$F$13*((FE45+EW45)/MAX(FE45+EW45+FF45, 0.1)*$P$11+FF45/MAX(FE45+EW45+FF45, 0.1)*$Q$11))/($B$13+$C$13+$F$13)</f>
        <v>0</v>
      </c>
      <c r="DK45">
        <v>5.66</v>
      </c>
      <c r="DL45">
        <v>0.5</v>
      </c>
      <c r="DM45" t="s">
        <v>438</v>
      </c>
      <c r="DN45">
        <v>2</v>
      </c>
      <c r="DO45" t="b">
        <v>1</v>
      </c>
      <c r="DP45">
        <v>1765303236.5</v>
      </c>
      <c r="DQ45">
        <v>400.037870967742</v>
      </c>
      <c r="DR45">
        <v>400.0044838709677</v>
      </c>
      <c r="DS45">
        <v>17.5749935483871</v>
      </c>
      <c r="DT45">
        <v>17.51182580645161</v>
      </c>
      <c r="DU45">
        <v>399.930870967742</v>
      </c>
      <c r="DV45">
        <v>17.4999935483871</v>
      </c>
      <c r="DW45">
        <v>499.9990645161291</v>
      </c>
      <c r="DX45">
        <v>90.0695322580645</v>
      </c>
      <c r="DY45">
        <v>0.09992953870967741</v>
      </c>
      <c r="DZ45">
        <v>24.99984516129032</v>
      </c>
      <c r="EA45">
        <v>24.98245806451613</v>
      </c>
      <c r="EB45">
        <v>999.9000000000003</v>
      </c>
      <c r="EC45">
        <v>0</v>
      </c>
      <c r="ED45">
        <v>0</v>
      </c>
      <c r="EE45">
        <v>10007.29709677419</v>
      </c>
      <c r="EF45">
        <v>0</v>
      </c>
      <c r="EG45">
        <v>9.468261935483874</v>
      </c>
      <c r="EH45">
        <v>-0.03489045232258065</v>
      </c>
      <c r="EI45">
        <v>407.1254838709677</v>
      </c>
      <c r="EJ45">
        <v>407.1343225806452</v>
      </c>
      <c r="EK45">
        <v>0.06451384838709677</v>
      </c>
      <c r="EL45">
        <v>400.0044838709677</v>
      </c>
      <c r="EM45">
        <v>17.51182580645161</v>
      </c>
      <c r="EN45">
        <v>1.583092903225807</v>
      </c>
      <c r="EO45">
        <v>1.577282258064516</v>
      </c>
      <c r="EP45">
        <v>13.79521612903226</v>
      </c>
      <c r="EQ45">
        <v>13.73863225806452</v>
      </c>
      <c r="ER45">
        <v>799.9753870967742</v>
      </c>
      <c r="ES45">
        <v>0.950000451612903</v>
      </c>
      <c r="ET45">
        <v>0.04999966129032259</v>
      </c>
      <c r="EU45">
        <v>0</v>
      </c>
      <c r="EV45">
        <v>866.9982258064515</v>
      </c>
      <c r="EW45">
        <v>5.000779999999999</v>
      </c>
      <c r="EX45">
        <v>6538.405806451611</v>
      </c>
      <c r="EY45">
        <v>6463.218709677421</v>
      </c>
      <c r="EZ45">
        <v>35.74370967741934</v>
      </c>
      <c r="FA45">
        <v>38.28599999999999</v>
      </c>
      <c r="FB45">
        <v>37.64693548387096</v>
      </c>
      <c r="FC45">
        <v>37.99580645161289</v>
      </c>
      <c r="FD45">
        <v>37.67116129032257</v>
      </c>
      <c r="FE45">
        <v>755.2261290322581</v>
      </c>
      <c r="FF45">
        <v>39.74838709677419</v>
      </c>
      <c r="FG45">
        <v>0</v>
      </c>
      <c r="FH45">
        <v>1765303243.7</v>
      </c>
      <c r="FI45">
        <v>0</v>
      </c>
      <c r="FJ45">
        <v>867.0179230769231</v>
      </c>
      <c r="FK45">
        <v>-1.366632468360792</v>
      </c>
      <c r="FL45">
        <v>30.34974362048266</v>
      </c>
      <c r="FM45">
        <v>6538.431923076922</v>
      </c>
      <c r="FN45">
        <v>15</v>
      </c>
      <c r="FO45">
        <v>1765303265.5</v>
      </c>
      <c r="FP45" t="s">
        <v>525</v>
      </c>
      <c r="FQ45">
        <v>1765303265.5</v>
      </c>
      <c r="FR45">
        <v>1765303260.5</v>
      </c>
      <c r="FS45">
        <v>28</v>
      </c>
      <c r="FT45">
        <v>0.068</v>
      </c>
      <c r="FU45">
        <v>-0</v>
      </c>
      <c r="FV45">
        <v>0.107</v>
      </c>
      <c r="FW45">
        <v>0.075</v>
      </c>
      <c r="FX45">
        <v>400</v>
      </c>
      <c r="FY45">
        <v>18</v>
      </c>
      <c r="FZ45">
        <v>0.39</v>
      </c>
      <c r="GA45">
        <v>0.17</v>
      </c>
      <c r="GB45">
        <v>-0.03578818590243903</v>
      </c>
      <c r="GC45">
        <v>-0.01776760852264807</v>
      </c>
      <c r="GD45">
        <v>0.02616509088075462</v>
      </c>
      <c r="GE45">
        <v>1</v>
      </c>
      <c r="GF45">
        <v>867.081588235294</v>
      </c>
      <c r="GG45">
        <v>-1.19544690367005</v>
      </c>
      <c r="GH45">
        <v>0.2246378939337785</v>
      </c>
      <c r="GI45">
        <v>0</v>
      </c>
      <c r="GJ45">
        <v>0.06406941951219512</v>
      </c>
      <c r="GK45">
        <v>0.002618458536585518</v>
      </c>
      <c r="GL45">
        <v>0.001200502047868453</v>
      </c>
      <c r="GM45">
        <v>1</v>
      </c>
      <c r="GN45">
        <v>2</v>
      </c>
      <c r="GO45">
        <v>3</v>
      </c>
      <c r="GP45" t="s">
        <v>453</v>
      </c>
      <c r="GQ45">
        <v>3.10822</v>
      </c>
      <c r="GR45">
        <v>2.79169</v>
      </c>
      <c r="GS45">
        <v>0.08454540000000001</v>
      </c>
      <c r="GT45">
        <v>0.08459079999999999</v>
      </c>
      <c r="GU45">
        <v>0.0866331</v>
      </c>
      <c r="GV45">
        <v>0.08718869999999999</v>
      </c>
      <c r="GW45">
        <v>24016.9</v>
      </c>
      <c r="GX45">
        <v>21812</v>
      </c>
      <c r="GY45">
        <v>26794.1</v>
      </c>
      <c r="GZ45">
        <v>24035.9</v>
      </c>
      <c r="HA45">
        <v>39113.4</v>
      </c>
      <c r="HB45">
        <v>32383.9</v>
      </c>
      <c r="HC45">
        <v>46765.9</v>
      </c>
      <c r="HD45">
        <v>38013.4</v>
      </c>
      <c r="HE45">
        <v>1.8864</v>
      </c>
      <c r="HF45">
        <v>1.8268</v>
      </c>
      <c r="HG45">
        <v>0.0607371</v>
      </c>
      <c r="HH45">
        <v>0</v>
      </c>
      <c r="HI45">
        <v>23.9863</v>
      </c>
      <c r="HJ45">
        <v>999.9</v>
      </c>
      <c r="HK45">
        <v>35.1</v>
      </c>
      <c r="HL45">
        <v>34</v>
      </c>
      <c r="HM45">
        <v>20.8225</v>
      </c>
      <c r="HN45">
        <v>61.3238</v>
      </c>
      <c r="HO45">
        <v>28.4135</v>
      </c>
      <c r="HP45">
        <v>1</v>
      </c>
      <c r="HQ45">
        <v>0.0546697</v>
      </c>
      <c r="HR45">
        <v>0.678271</v>
      </c>
      <c r="HS45">
        <v>20.2934</v>
      </c>
      <c r="HT45">
        <v>5.22133</v>
      </c>
      <c r="HU45">
        <v>11.98</v>
      </c>
      <c r="HV45">
        <v>4.9652</v>
      </c>
      <c r="HW45">
        <v>3.27595</v>
      </c>
      <c r="HX45">
        <v>9999</v>
      </c>
      <c r="HY45">
        <v>9999</v>
      </c>
      <c r="HZ45">
        <v>9999</v>
      </c>
      <c r="IA45">
        <v>999.9</v>
      </c>
      <c r="IB45">
        <v>1.86417</v>
      </c>
      <c r="IC45">
        <v>1.86042</v>
      </c>
      <c r="ID45">
        <v>1.85873</v>
      </c>
      <c r="IE45">
        <v>1.86005</v>
      </c>
      <c r="IF45">
        <v>1.86018</v>
      </c>
      <c r="IG45">
        <v>1.85867</v>
      </c>
      <c r="IH45">
        <v>1.85777</v>
      </c>
      <c r="II45">
        <v>1.85272</v>
      </c>
      <c r="IJ45">
        <v>0</v>
      </c>
      <c r="IK45">
        <v>0</v>
      </c>
      <c r="IL45">
        <v>0</v>
      </c>
      <c r="IM45">
        <v>0</v>
      </c>
      <c r="IN45" t="s">
        <v>441</v>
      </c>
      <c r="IO45" t="s">
        <v>442</v>
      </c>
      <c r="IP45" t="s">
        <v>443</v>
      </c>
      <c r="IQ45" t="s">
        <v>443</v>
      </c>
      <c r="IR45" t="s">
        <v>443</v>
      </c>
      <c r="IS45" t="s">
        <v>443</v>
      </c>
      <c r="IT45">
        <v>0</v>
      </c>
      <c r="IU45">
        <v>100</v>
      </c>
      <c r="IV45">
        <v>100</v>
      </c>
      <c r="IW45">
        <v>0.107</v>
      </c>
      <c r="IX45">
        <v>0.075</v>
      </c>
      <c r="IY45">
        <v>-0.240334803143796</v>
      </c>
      <c r="IZ45">
        <v>0.0001583678016168383</v>
      </c>
      <c r="JA45">
        <v>1.526473431467286E-06</v>
      </c>
      <c r="JB45">
        <v>-4.446382740029455E-10</v>
      </c>
      <c r="JC45">
        <v>-0.04389451811160687</v>
      </c>
      <c r="JD45">
        <v>-0.009941991807247691</v>
      </c>
      <c r="JE45">
        <v>0.001256427533001032</v>
      </c>
      <c r="JF45">
        <v>-1.689728105039484E-05</v>
      </c>
      <c r="JG45">
        <v>2</v>
      </c>
      <c r="JH45">
        <v>1984</v>
      </c>
      <c r="JI45">
        <v>0</v>
      </c>
      <c r="JJ45">
        <v>25</v>
      </c>
      <c r="JK45">
        <v>14.3</v>
      </c>
      <c r="JL45">
        <v>14.3</v>
      </c>
      <c r="JM45">
        <v>1.09009</v>
      </c>
      <c r="JN45">
        <v>2.61841</v>
      </c>
      <c r="JO45">
        <v>1.49658</v>
      </c>
      <c r="JP45">
        <v>2.34619</v>
      </c>
      <c r="JQ45">
        <v>1.54907</v>
      </c>
      <c r="JR45">
        <v>2.43896</v>
      </c>
      <c r="JS45">
        <v>38.9198</v>
      </c>
      <c r="JT45">
        <v>23.7635</v>
      </c>
      <c r="JU45">
        <v>18</v>
      </c>
      <c r="JV45">
        <v>481.379</v>
      </c>
      <c r="JW45">
        <v>472.139</v>
      </c>
      <c r="JX45">
        <v>23.626</v>
      </c>
      <c r="JY45">
        <v>27.8917</v>
      </c>
      <c r="JZ45">
        <v>29.9997</v>
      </c>
      <c r="KA45">
        <v>28.2035</v>
      </c>
      <c r="KB45">
        <v>28.219</v>
      </c>
      <c r="KC45">
        <v>21.9085</v>
      </c>
      <c r="KD45">
        <v>15.3277</v>
      </c>
      <c r="KE45">
        <v>8.72425</v>
      </c>
      <c r="KF45">
        <v>23.6376</v>
      </c>
      <c r="KG45">
        <v>400</v>
      </c>
      <c r="KH45">
        <v>17.5684</v>
      </c>
      <c r="KI45">
        <v>102.268</v>
      </c>
      <c r="KJ45">
        <v>91.6872</v>
      </c>
    </row>
    <row r="46" spans="1:296">
      <c r="A46">
        <v>28</v>
      </c>
      <c r="B46">
        <v>1765303356.5</v>
      </c>
      <c r="C46">
        <v>5923.5</v>
      </c>
      <c r="D46" t="s">
        <v>526</v>
      </c>
      <c r="E46" t="s">
        <v>527</v>
      </c>
      <c r="F46">
        <v>5</v>
      </c>
      <c r="G46" t="s">
        <v>524</v>
      </c>
      <c r="H46">
        <v>1765303348.5</v>
      </c>
      <c r="I46">
        <f>(J46)/1000</f>
        <v>0</v>
      </c>
      <c r="J46">
        <f>IF(DO46, AM46, AG46)</f>
        <v>0</v>
      </c>
      <c r="K46">
        <f>IF(DO46, AH46, AF46)</f>
        <v>0</v>
      </c>
      <c r="L46">
        <f>DQ46 - IF(AT46&gt;1, K46*DK46*100.0/(AV46), 0)</f>
        <v>0</v>
      </c>
      <c r="M46">
        <f>((S46-I46/2)*L46-K46)/(S46+I46/2)</f>
        <v>0</v>
      </c>
      <c r="N46">
        <f>M46*(DX46+DY46)/1000.0</f>
        <v>0</v>
      </c>
      <c r="O46">
        <f>(DQ46 - IF(AT46&gt;1, K46*DK46*100.0/(AV46), 0))*(DX46+DY46)/1000.0</f>
        <v>0</v>
      </c>
      <c r="P46">
        <f>2.0/((1/R46-1/Q46)+SIGN(R46)*SQRT((1/R46-1/Q46)*(1/R46-1/Q46) + 4*DL46/((DL46+1)*(DL46+1))*(2*1/R46*1/Q46-1/Q46*1/Q46)))</f>
        <v>0</v>
      </c>
      <c r="Q46">
        <f>IF(LEFT(DM46,1)&lt;&gt;"0",IF(LEFT(DM46,1)="1",3.0,DN46),$D$5+$E$5*(EE46*DX46/($K$5*1000))+$F$5*(EE46*DX46/($K$5*1000))*MAX(MIN(DK46,$J$5),$I$5)*MAX(MIN(DK46,$J$5),$I$5)+$G$5*MAX(MIN(DK46,$J$5),$I$5)*(EE46*DX46/($K$5*1000))+$H$5*(EE46*DX46/($K$5*1000))*(EE46*DX46/($K$5*1000)))</f>
        <v>0</v>
      </c>
      <c r="R46">
        <f>I46*(1000-(1000*0.61365*exp(17.502*V46/(240.97+V46))/(DX46+DY46)+DS46)/2)/(1000*0.61365*exp(17.502*V46/(240.97+V46))/(DX46+DY46)-DS46)</f>
        <v>0</v>
      </c>
      <c r="S46">
        <f>1/((DL46+1)/(P46/1.6)+1/(Q46/1.37)) + DL46/((DL46+1)/(P46/1.6) + DL46/(Q46/1.37))</f>
        <v>0</v>
      </c>
      <c r="T46">
        <f>(DG46*DJ46)</f>
        <v>0</v>
      </c>
      <c r="U46">
        <f>(DZ46+(T46+2*0.95*5.67E-8*(((DZ46+$B$9)+273)^4-(DZ46+273)^4)-44100*I46)/(1.84*29.3*Q46+8*0.95*5.67E-8*(DZ46+273)^3))</f>
        <v>0</v>
      </c>
      <c r="V46">
        <f>($C$9*EA46+$D$9*EB46+$E$9*U46)</f>
        <v>0</v>
      </c>
      <c r="W46">
        <f>0.61365*exp(17.502*V46/(240.97+V46))</f>
        <v>0</v>
      </c>
      <c r="X46">
        <f>(Y46/Z46*100)</f>
        <v>0</v>
      </c>
      <c r="Y46">
        <f>DS46*(DX46+DY46)/1000</f>
        <v>0</v>
      </c>
      <c r="Z46">
        <f>0.61365*exp(17.502*DZ46/(240.97+DZ46))</f>
        <v>0</v>
      </c>
      <c r="AA46">
        <f>(W46-DS46*(DX46+DY46)/1000)</f>
        <v>0</v>
      </c>
      <c r="AB46">
        <f>(-I46*44100)</f>
        <v>0</v>
      </c>
      <c r="AC46">
        <f>2*29.3*Q46*0.92*(DZ46-V46)</f>
        <v>0</v>
      </c>
      <c r="AD46">
        <f>2*0.95*5.67E-8*(((DZ46+$B$9)+273)^4-(V46+273)^4)</f>
        <v>0</v>
      </c>
      <c r="AE46">
        <f>T46+AD46+AB46+AC46</f>
        <v>0</v>
      </c>
      <c r="AF46">
        <f>DW46*AT46*(DR46-DQ46*(1000-AT46*DT46)/(1000-AT46*DS46))/(100*DK46)</f>
        <v>0</v>
      </c>
      <c r="AG46">
        <f>1000*DW46*AT46*(DS46-DT46)/(100*DK46*(1000-AT46*DS46))</f>
        <v>0</v>
      </c>
      <c r="AH46">
        <f>(AI46 - AJ46 - DX46*1E3/(8.314*(DZ46+273.15)) * AL46/DW46 * AK46) * DW46/(100*DK46) * (1000 - DT46)/1000</f>
        <v>0</v>
      </c>
      <c r="AI46">
        <v>305.3778147772208</v>
      </c>
      <c r="AJ46">
        <v>305.5133757575758</v>
      </c>
      <c r="AK46">
        <v>-0.000176464449036311</v>
      </c>
      <c r="AL46">
        <v>65.7830942929491</v>
      </c>
      <c r="AM46">
        <f>(AO46 - AN46 + DX46*1E3/(8.314*(DZ46+273.15)) * AQ46/DW46 * AP46) * DW46/(100*DK46) * 1000/(1000 - AO46)</f>
        <v>0</v>
      </c>
      <c r="AN46">
        <v>17.59173926316591</v>
      </c>
      <c r="AO46">
        <v>17.65244787878787</v>
      </c>
      <c r="AP46">
        <v>3.665023102276566E-06</v>
      </c>
      <c r="AQ46">
        <v>107.2684190496733</v>
      </c>
      <c r="AR46">
        <v>0</v>
      </c>
      <c r="AS46">
        <v>0</v>
      </c>
      <c r="AT46">
        <f>IF(AR46*$H$15&gt;=AV46,1.0,(AV46/(AV46-AR46*$H$15)))</f>
        <v>0</v>
      </c>
      <c r="AU46">
        <f>(AT46-1)*100</f>
        <v>0</v>
      </c>
      <c r="AV46">
        <f>MAX(0,($B$15+$C$15*EE46)/(1+$D$15*EE46)*DX46/(DZ46+273)*$E$15)</f>
        <v>0</v>
      </c>
      <c r="AW46" t="s">
        <v>437</v>
      </c>
      <c r="AX46" t="s">
        <v>437</v>
      </c>
      <c r="AY46">
        <v>0</v>
      </c>
      <c r="AZ46">
        <v>0</v>
      </c>
      <c r="BA46">
        <f>1-AY46/AZ46</f>
        <v>0</v>
      </c>
      <c r="BB46">
        <v>0</v>
      </c>
      <c r="BC46" t="s">
        <v>437</v>
      </c>
      <c r="BD46" t="s">
        <v>437</v>
      </c>
      <c r="BE46">
        <v>0</v>
      </c>
      <c r="BF46">
        <v>0</v>
      </c>
      <c r="BG46">
        <f>1-BE46/BF46</f>
        <v>0</v>
      </c>
      <c r="BH46">
        <v>0.5</v>
      </c>
      <c r="BI46">
        <f>DH46</f>
        <v>0</v>
      </c>
      <c r="BJ46">
        <f>K46</f>
        <v>0</v>
      </c>
      <c r="BK46">
        <f>BG46*BH46*BI46</f>
        <v>0</v>
      </c>
      <c r="BL46">
        <f>(BJ46-BB46)/BI46</f>
        <v>0</v>
      </c>
      <c r="BM46">
        <f>(AZ46-BF46)/BF46</f>
        <v>0</v>
      </c>
      <c r="BN46">
        <f>AY46/(BA46+AY46/BF46)</f>
        <v>0</v>
      </c>
      <c r="BO46" t="s">
        <v>437</v>
      </c>
      <c r="BP46">
        <v>0</v>
      </c>
      <c r="BQ46">
        <f>IF(BP46&lt;&gt;0, BP46, BN46)</f>
        <v>0</v>
      </c>
      <c r="BR46">
        <f>1-BQ46/BF46</f>
        <v>0</v>
      </c>
      <c r="BS46">
        <f>(BF46-BE46)/(BF46-BQ46)</f>
        <v>0</v>
      </c>
      <c r="BT46">
        <f>(AZ46-BF46)/(AZ46-BQ46)</f>
        <v>0</v>
      </c>
      <c r="BU46">
        <f>(BF46-BE46)/(BF46-AY46)</f>
        <v>0</v>
      </c>
      <c r="BV46">
        <f>(AZ46-BF46)/(AZ46-AY46)</f>
        <v>0</v>
      </c>
      <c r="BW46">
        <f>(BS46*BQ46/BE46)</f>
        <v>0</v>
      </c>
      <c r="BX46">
        <f>(1-BW46)</f>
        <v>0</v>
      </c>
      <c r="DG46">
        <f>$B$13*EF46+$C$13*EG46+$F$13*ER46*(1-EU46)</f>
        <v>0</v>
      </c>
      <c r="DH46">
        <f>DG46*DI46</f>
        <v>0</v>
      </c>
      <c r="DI46">
        <f>($B$13*$D$11+$C$13*$D$11+$F$13*((FE46+EW46)/MAX(FE46+EW46+FF46, 0.1)*$I$11+FF46/MAX(FE46+EW46+FF46, 0.1)*$J$11))/($B$13+$C$13+$F$13)</f>
        <v>0</v>
      </c>
      <c r="DJ46">
        <f>($B$13*$K$11+$C$13*$K$11+$F$13*((FE46+EW46)/MAX(FE46+EW46+FF46, 0.1)*$P$11+FF46/MAX(FE46+EW46+FF46, 0.1)*$Q$11))/($B$13+$C$13+$F$13)</f>
        <v>0</v>
      </c>
      <c r="DK46">
        <v>5.66</v>
      </c>
      <c r="DL46">
        <v>0.5</v>
      </c>
      <c r="DM46" t="s">
        <v>438</v>
      </c>
      <c r="DN46">
        <v>2</v>
      </c>
      <c r="DO46" t="b">
        <v>1</v>
      </c>
      <c r="DP46">
        <v>1765303348.5</v>
      </c>
      <c r="DQ46">
        <v>300.1143225806452</v>
      </c>
      <c r="DR46">
        <v>299.9958064516129</v>
      </c>
      <c r="DS46">
        <v>17.65049354838709</v>
      </c>
      <c r="DT46">
        <v>17.59381290322581</v>
      </c>
      <c r="DU46">
        <v>300.1283225806452</v>
      </c>
      <c r="DV46">
        <v>17.57549354838709</v>
      </c>
      <c r="DW46">
        <v>500.0037096774194</v>
      </c>
      <c r="DX46">
        <v>90.06164193548386</v>
      </c>
      <c r="DY46">
        <v>0.09996559999999999</v>
      </c>
      <c r="DZ46">
        <v>25.06220645161291</v>
      </c>
      <c r="EA46">
        <v>25.00854516129032</v>
      </c>
      <c r="EB46">
        <v>999.9000000000003</v>
      </c>
      <c r="EC46">
        <v>0</v>
      </c>
      <c r="ED46">
        <v>0</v>
      </c>
      <c r="EE46">
        <v>9991.583225806451</v>
      </c>
      <c r="EF46">
        <v>0</v>
      </c>
      <c r="EG46">
        <v>9.448676451612906</v>
      </c>
      <c r="EH46">
        <v>0.1334523903225806</v>
      </c>
      <c r="EI46">
        <v>305.5225161290322</v>
      </c>
      <c r="EJ46">
        <v>305.3683548387097</v>
      </c>
      <c r="EK46">
        <v>0.0589560129032258</v>
      </c>
      <c r="EL46">
        <v>299.9958064516129</v>
      </c>
      <c r="EM46">
        <v>17.59381290322581</v>
      </c>
      <c r="EN46">
        <v>1.589837419354838</v>
      </c>
      <c r="EO46">
        <v>1.584528064516129</v>
      </c>
      <c r="EP46">
        <v>13.86064516129032</v>
      </c>
      <c r="EQ46">
        <v>13.80915161290323</v>
      </c>
      <c r="ER46">
        <v>799.9967419354838</v>
      </c>
      <c r="ES46">
        <v>0.9500092258064516</v>
      </c>
      <c r="ET46">
        <v>0.04999106129032258</v>
      </c>
      <c r="EU46">
        <v>0</v>
      </c>
      <c r="EV46">
        <v>864.0225806451613</v>
      </c>
      <c r="EW46">
        <v>5.000779999999999</v>
      </c>
      <c r="EX46">
        <v>6548.766129032259</v>
      </c>
      <c r="EY46">
        <v>6463.409032258065</v>
      </c>
      <c r="EZ46">
        <v>36.95945161290322</v>
      </c>
      <c r="FA46">
        <v>40.61061290322579</v>
      </c>
      <c r="FB46">
        <v>38.93525806451612</v>
      </c>
      <c r="FC46">
        <v>40.85058064516128</v>
      </c>
      <c r="FD46">
        <v>39.22558064516128</v>
      </c>
      <c r="FE46">
        <v>755.2535483870968</v>
      </c>
      <c r="FF46">
        <v>39.74</v>
      </c>
      <c r="FG46">
        <v>0</v>
      </c>
      <c r="FH46">
        <v>1765303355.9</v>
      </c>
      <c r="FI46">
        <v>0</v>
      </c>
      <c r="FJ46">
        <v>864.00432</v>
      </c>
      <c r="FK46">
        <v>-1.505076918993968</v>
      </c>
      <c r="FL46">
        <v>1.907692272170158</v>
      </c>
      <c r="FM46">
        <v>6548.7256</v>
      </c>
      <c r="FN46">
        <v>15</v>
      </c>
      <c r="FO46">
        <v>1765303379.5</v>
      </c>
      <c r="FP46" t="s">
        <v>528</v>
      </c>
      <c r="FQ46">
        <v>1765303379.5</v>
      </c>
      <c r="FR46">
        <v>1765303373.5</v>
      </c>
      <c r="FS46">
        <v>29</v>
      </c>
      <c r="FT46">
        <v>-0.015</v>
      </c>
      <c r="FU46">
        <v>-0.002</v>
      </c>
      <c r="FV46">
        <v>-0.014</v>
      </c>
      <c r="FW46">
        <v>0.075</v>
      </c>
      <c r="FX46">
        <v>300</v>
      </c>
      <c r="FY46">
        <v>18</v>
      </c>
      <c r="FZ46">
        <v>0.34</v>
      </c>
      <c r="GA46">
        <v>0.22</v>
      </c>
      <c r="GB46">
        <v>0.1422089268292683</v>
      </c>
      <c r="GC46">
        <v>-0.08588736376306634</v>
      </c>
      <c r="GD46">
        <v>0.02679586558755573</v>
      </c>
      <c r="GE46">
        <v>1</v>
      </c>
      <c r="GF46">
        <v>864.2023529411764</v>
      </c>
      <c r="GG46">
        <v>-2.535126052984287</v>
      </c>
      <c r="GH46">
        <v>0.3120228953093597</v>
      </c>
      <c r="GI46">
        <v>0</v>
      </c>
      <c r="GJ46">
        <v>0.05964217804878048</v>
      </c>
      <c r="GK46">
        <v>-0.009402934494773398</v>
      </c>
      <c r="GL46">
        <v>0.001748044170552069</v>
      </c>
      <c r="GM46">
        <v>1</v>
      </c>
      <c r="GN46">
        <v>2</v>
      </c>
      <c r="GO46">
        <v>3</v>
      </c>
      <c r="GP46" t="s">
        <v>453</v>
      </c>
      <c r="GQ46">
        <v>3.10825</v>
      </c>
      <c r="GR46">
        <v>2.79182</v>
      </c>
      <c r="GS46">
        <v>0.0674882</v>
      </c>
      <c r="GT46">
        <v>0.0674946</v>
      </c>
      <c r="GU46">
        <v>0.0869206</v>
      </c>
      <c r="GV46">
        <v>0.0874964</v>
      </c>
      <c r="GW46">
        <v>24468.4</v>
      </c>
      <c r="GX46">
        <v>22222.2</v>
      </c>
      <c r="GY46">
        <v>26798.1</v>
      </c>
      <c r="GZ46">
        <v>24038.6</v>
      </c>
      <c r="HA46">
        <v>39104.3</v>
      </c>
      <c r="HB46">
        <v>32374.4</v>
      </c>
      <c r="HC46">
        <v>46772.6</v>
      </c>
      <c r="HD46">
        <v>38017.3</v>
      </c>
      <c r="HE46">
        <v>1.88733</v>
      </c>
      <c r="HF46">
        <v>1.82838</v>
      </c>
      <c r="HG46">
        <v>0.0632629</v>
      </c>
      <c r="HH46">
        <v>0</v>
      </c>
      <c r="HI46">
        <v>23.9681</v>
      </c>
      <c r="HJ46">
        <v>999.9</v>
      </c>
      <c r="HK46">
        <v>35</v>
      </c>
      <c r="HL46">
        <v>34</v>
      </c>
      <c r="HM46">
        <v>20.7663</v>
      </c>
      <c r="HN46">
        <v>60.2938</v>
      </c>
      <c r="HO46">
        <v>28.5056</v>
      </c>
      <c r="HP46">
        <v>1</v>
      </c>
      <c r="HQ46">
        <v>0.0472917</v>
      </c>
      <c r="HR46">
        <v>0.741411</v>
      </c>
      <c r="HS46">
        <v>20.2929</v>
      </c>
      <c r="HT46">
        <v>5.22088</v>
      </c>
      <c r="HU46">
        <v>11.9784</v>
      </c>
      <c r="HV46">
        <v>4.9651</v>
      </c>
      <c r="HW46">
        <v>3.27585</v>
      </c>
      <c r="HX46">
        <v>9999</v>
      </c>
      <c r="HY46">
        <v>9999</v>
      </c>
      <c r="HZ46">
        <v>9999</v>
      </c>
      <c r="IA46">
        <v>999.9</v>
      </c>
      <c r="IB46">
        <v>1.86417</v>
      </c>
      <c r="IC46">
        <v>1.86036</v>
      </c>
      <c r="ID46">
        <v>1.85867</v>
      </c>
      <c r="IE46">
        <v>1.86003</v>
      </c>
      <c r="IF46">
        <v>1.86014</v>
      </c>
      <c r="IG46">
        <v>1.85867</v>
      </c>
      <c r="IH46">
        <v>1.85776</v>
      </c>
      <c r="II46">
        <v>1.85267</v>
      </c>
      <c r="IJ46">
        <v>0</v>
      </c>
      <c r="IK46">
        <v>0</v>
      </c>
      <c r="IL46">
        <v>0</v>
      </c>
      <c r="IM46">
        <v>0</v>
      </c>
      <c r="IN46" t="s">
        <v>441</v>
      </c>
      <c r="IO46" t="s">
        <v>442</v>
      </c>
      <c r="IP46" t="s">
        <v>443</v>
      </c>
      <c r="IQ46" t="s">
        <v>443</v>
      </c>
      <c r="IR46" t="s">
        <v>443</v>
      </c>
      <c r="IS46" t="s">
        <v>443</v>
      </c>
      <c r="IT46">
        <v>0</v>
      </c>
      <c r="IU46">
        <v>100</v>
      </c>
      <c r="IV46">
        <v>100</v>
      </c>
      <c r="IW46">
        <v>-0.014</v>
      </c>
      <c r="IX46">
        <v>0.075</v>
      </c>
      <c r="IY46">
        <v>-0.1721847592601288</v>
      </c>
      <c r="IZ46">
        <v>0.0001583678016168383</v>
      </c>
      <c r="JA46">
        <v>1.526473431467286E-06</v>
      </c>
      <c r="JB46">
        <v>-4.446382740029455E-10</v>
      </c>
      <c r="JC46">
        <v>-0.04435835149223709</v>
      </c>
      <c r="JD46">
        <v>-0.009941991807247691</v>
      </c>
      <c r="JE46">
        <v>0.001256427533001032</v>
      </c>
      <c r="JF46">
        <v>-1.689728105039484E-05</v>
      </c>
      <c r="JG46">
        <v>2</v>
      </c>
      <c r="JH46">
        <v>1984</v>
      </c>
      <c r="JI46">
        <v>0</v>
      </c>
      <c r="JJ46">
        <v>25</v>
      </c>
      <c r="JK46">
        <v>1.5</v>
      </c>
      <c r="JL46">
        <v>1.6</v>
      </c>
      <c r="JM46">
        <v>0.86792</v>
      </c>
      <c r="JN46">
        <v>2.61475</v>
      </c>
      <c r="JO46">
        <v>1.49658</v>
      </c>
      <c r="JP46">
        <v>2.34619</v>
      </c>
      <c r="JQ46">
        <v>1.54907</v>
      </c>
      <c r="JR46">
        <v>2.45483</v>
      </c>
      <c r="JS46">
        <v>38.8457</v>
      </c>
      <c r="JT46">
        <v>23.8161</v>
      </c>
      <c r="JU46">
        <v>18</v>
      </c>
      <c r="JV46">
        <v>481.245</v>
      </c>
      <c r="JW46">
        <v>472.456</v>
      </c>
      <c r="JX46">
        <v>23.6314</v>
      </c>
      <c r="JY46">
        <v>27.7891</v>
      </c>
      <c r="JZ46">
        <v>29.9997</v>
      </c>
      <c r="KA46">
        <v>28.1158</v>
      </c>
      <c r="KB46">
        <v>28.1345</v>
      </c>
      <c r="KC46">
        <v>17.4604</v>
      </c>
      <c r="KD46">
        <v>14.6803</v>
      </c>
      <c r="KE46">
        <v>9.10604</v>
      </c>
      <c r="KF46">
        <v>23.6319</v>
      </c>
      <c r="KG46">
        <v>300</v>
      </c>
      <c r="KH46">
        <v>17.599</v>
      </c>
      <c r="KI46">
        <v>102.283</v>
      </c>
      <c r="KJ46">
        <v>91.6969</v>
      </c>
    </row>
    <row r="47" spans="1:296">
      <c r="A47">
        <v>29</v>
      </c>
      <c r="B47">
        <v>1765303456.5</v>
      </c>
      <c r="C47">
        <v>6023.5</v>
      </c>
      <c r="D47" t="s">
        <v>529</v>
      </c>
      <c r="E47" t="s">
        <v>530</v>
      </c>
      <c r="F47">
        <v>5</v>
      </c>
      <c r="G47" t="s">
        <v>524</v>
      </c>
      <c r="H47">
        <v>1765303448.5</v>
      </c>
      <c r="I47">
        <f>(J47)/1000</f>
        <v>0</v>
      </c>
      <c r="J47">
        <f>IF(DO47, AM47, AG47)</f>
        <v>0</v>
      </c>
      <c r="K47">
        <f>IF(DO47, AH47, AF47)</f>
        <v>0</v>
      </c>
      <c r="L47">
        <f>DQ47 - IF(AT47&gt;1, K47*DK47*100.0/(AV47), 0)</f>
        <v>0</v>
      </c>
      <c r="M47">
        <f>((S47-I47/2)*L47-K47)/(S47+I47/2)</f>
        <v>0</v>
      </c>
      <c r="N47">
        <f>M47*(DX47+DY47)/1000.0</f>
        <v>0</v>
      </c>
      <c r="O47">
        <f>(DQ47 - IF(AT47&gt;1, K47*DK47*100.0/(AV47), 0))*(DX47+DY47)/1000.0</f>
        <v>0</v>
      </c>
      <c r="P47">
        <f>2.0/((1/R47-1/Q47)+SIGN(R47)*SQRT((1/R47-1/Q47)*(1/R47-1/Q47) + 4*DL47/((DL47+1)*(DL47+1))*(2*1/R47*1/Q47-1/Q47*1/Q47)))</f>
        <v>0</v>
      </c>
      <c r="Q47">
        <f>IF(LEFT(DM47,1)&lt;&gt;"0",IF(LEFT(DM47,1)="1",3.0,DN47),$D$5+$E$5*(EE47*DX47/($K$5*1000))+$F$5*(EE47*DX47/($K$5*1000))*MAX(MIN(DK47,$J$5),$I$5)*MAX(MIN(DK47,$J$5),$I$5)+$G$5*MAX(MIN(DK47,$J$5),$I$5)*(EE47*DX47/($K$5*1000))+$H$5*(EE47*DX47/($K$5*1000))*(EE47*DX47/($K$5*1000)))</f>
        <v>0</v>
      </c>
      <c r="R47">
        <f>I47*(1000-(1000*0.61365*exp(17.502*V47/(240.97+V47))/(DX47+DY47)+DS47)/2)/(1000*0.61365*exp(17.502*V47/(240.97+V47))/(DX47+DY47)-DS47)</f>
        <v>0</v>
      </c>
      <c r="S47">
        <f>1/((DL47+1)/(P47/1.6)+1/(Q47/1.37)) + DL47/((DL47+1)/(P47/1.6) + DL47/(Q47/1.37))</f>
        <v>0</v>
      </c>
      <c r="T47">
        <f>(DG47*DJ47)</f>
        <v>0</v>
      </c>
      <c r="U47">
        <f>(DZ47+(T47+2*0.95*5.67E-8*(((DZ47+$B$9)+273)^4-(DZ47+273)^4)-44100*I47)/(1.84*29.3*Q47+8*0.95*5.67E-8*(DZ47+273)^3))</f>
        <v>0</v>
      </c>
      <c r="V47">
        <f>($C$9*EA47+$D$9*EB47+$E$9*U47)</f>
        <v>0</v>
      </c>
      <c r="W47">
        <f>0.61365*exp(17.502*V47/(240.97+V47))</f>
        <v>0</v>
      </c>
      <c r="X47">
        <f>(Y47/Z47*100)</f>
        <v>0</v>
      </c>
      <c r="Y47">
        <f>DS47*(DX47+DY47)/1000</f>
        <v>0</v>
      </c>
      <c r="Z47">
        <f>0.61365*exp(17.502*DZ47/(240.97+DZ47))</f>
        <v>0</v>
      </c>
      <c r="AA47">
        <f>(W47-DS47*(DX47+DY47)/1000)</f>
        <v>0</v>
      </c>
      <c r="AB47">
        <f>(-I47*44100)</f>
        <v>0</v>
      </c>
      <c r="AC47">
        <f>2*29.3*Q47*0.92*(DZ47-V47)</f>
        <v>0</v>
      </c>
      <c r="AD47">
        <f>2*0.95*5.67E-8*(((DZ47+$B$9)+273)^4-(V47+273)^4)</f>
        <v>0</v>
      </c>
      <c r="AE47">
        <f>T47+AD47+AB47+AC47</f>
        <v>0</v>
      </c>
      <c r="AF47">
        <f>DW47*AT47*(DR47-DQ47*(1000-AT47*DT47)/(1000-AT47*DS47))/(100*DK47)</f>
        <v>0</v>
      </c>
      <c r="AG47">
        <f>1000*DW47*AT47*(DS47-DT47)/(100*DK47*(1000-AT47*DS47))</f>
        <v>0</v>
      </c>
      <c r="AH47">
        <f>(AI47 - AJ47 - DX47*1E3/(8.314*(DZ47+273.15)) * AL47/DW47 * AK47) * DW47/(100*DK47) * (1000 - DT47)/1000</f>
        <v>0</v>
      </c>
      <c r="AI47">
        <v>203.5541030303031</v>
      </c>
      <c r="AJ47">
        <v>203.7209333333334</v>
      </c>
      <c r="AK47">
        <v>0.004187188431352133</v>
      </c>
      <c r="AL47">
        <v>64.17074105131525</v>
      </c>
      <c r="AM47">
        <f>(AO47 - AN47 + DX47*1E3/(8.314*(DZ47+273.15)) * AQ47/DW47 * AP47) * DW47/(100*DK47) * 1000/(1000 - AO47)</f>
        <v>0</v>
      </c>
      <c r="AN47">
        <v>17.63910909090909</v>
      </c>
      <c r="AO47">
        <v>17.69476787878788</v>
      </c>
      <c r="AP47">
        <v>-1.591341991338315E-05</v>
      </c>
      <c r="AQ47">
        <v>102.1291159304572</v>
      </c>
      <c r="AR47">
        <v>0</v>
      </c>
      <c r="AS47">
        <v>0</v>
      </c>
      <c r="AT47">
        <f>IF(AR47*$H$15&gt;=AV47,1.0,(AV47/(AV47-AR47*$H$15)))</f>
        <v>0</v>
      </c>
      <c r="AU47">
        <f>(AT47-1)*100</f>
        <v>0</v>
      </c>
      <c r="AV47">
        <f>MAX(0,($B$15+$C$15*EE47)/(1+$D$15*EE47)*DX47/(DZ47+273)*$E$15)</f>
        <v>0</v>
      </c>
      <c r="AW47" t="s">
        <v>437</v>
      </c>
      <c r="AX47" t="s">
        <v>437</v>
      </c>
      <c r="AY47">
        <v>0</v>
      </c>
      <c r="AZ47">
        <v>0</v>
      </c>
      <c r="BA47">
        <f>1-AY47/AZ47</f>
        <v>0</v>
      </c>
      <c r="BB47">
        <v>0</v>
      </c>
      <c r="BC47" t="s">
        <v>437</v>
      </c>
      <c r="BD47" t="s">
        <v>437</v>
      </c>
      <c r="BE47">
        <v>0</v>
      </c>
      <c r="BF47">
        <v>0</v>
      </c>
      <c r="BG47">
        <f>1-BE47/BF47</f>
        <v>0</v>
      </c>
      <c r="BH47">
        <v>0.5</v>
      </c>
      <c r="BI47">
        <f>DH47</f>
        <v>0</v>
      </c>
      <c r="BJ47">
        <f>K47</f>
        <v>0</v>
      </c>
      <c r="BK47">
        <f>BG47*BH47*BI47</f>
        <v>0</v>
      </c>
      <c r="BL47">
        <f>(BJ47-BB47)/BI47</f>
        <v>0</v>
      </c>
      <c r="BM47">
        <f>(AZ47-BF47)/BF47</f>
        <v>0</v>
      </c>
      <c r="BN47">
        <f>AY47/(BA47+AY47/BF47)</f>
        <v>0</v>
      </c>
      <c r="BO47" t="s">
        <v>437</v>
      </c>
      <c r="BP47">
        <v>0</v>
      </c>
      <c r="BQ47">
        <f>IF(BP47&lt;&gt;0, BP47, BN47)</f>
        <v>0</v>
      </c>
      <c r="BR47">
        <f>1-BQ47/BF47</f>
        <v>0</v>
      </c>
      <c r="BS47">
        <f>(BF47-BE47)/(BF47-BQ47)</f>
        <v>0</v>
      </c>
      <c r="BT47">
        <f>(AZ47-BF47)/(AZ47-BQ47)</f>
        <v>0</v>
      </c>
      <c r="BU47">
        <f>(BF47-BE47)/(BF47-AY47)</f>
        <v>0</v>
      </c>
      <c r="BV47">
        <f>(AZ47-BF47)/(AZ47-AY47)</f>
        <v>0</v>
      </c>
      <c r="BW47">
        <f>(BS47*BQ47/BE47)</f>
        <v>0</v>
      </c>
      <c r="BX47">
        <f>(1-BW47)</f>
        <v>0</v>
      </c>
      <c r="DG47">
        <f>$B$13*EF47+$C$13*EG47+$F$13*ER47*(1-EU47)</f>
        <v>0</v>
      </c>
      <c r="DH47">
        <f>DG47*DI47</f>
        <v>0</v>
      </c>
      <c r="DI47">
        <f>($B$13*$D$11+$C$13*$D$11+$F$13*((FE47+EW47)/MAX(FE47+EW47+FF47, 0.1)*$I$11+FF47/MAX(FE47+EW47+FF47, 0.1)*$J$11))/($B$13+$C$13+$F$13)</f>
        <v>0</v>
      </c>
      <c r="DJ47">
        <f>($B$13*$K$11+$C$13*$K$11+$F$13*((FE47+EW47)/MAX(FE47+EW47+FF47, 0.1)*$P$11+FF47/MAX(FE47+EW47+FF47, 0.1)*$Q$11))/($B$13+$C$13+$F$13)</f>
        <v>0</v>
      </c>
      <c r="DK47">
        <v>5.66</v>
      </c>
      <c r="DL47">
        <v>0.5</v>
      </c>
      <c r="DM47" t="s">
        <v>438</v>
      </c>
      <c r="DN47">
        <v>2</v>
      </c>
      <c r="DO47" t="b">
        <v>1</v>
      </c>
      <c r="DP47">
        <v>1765303448.5</v>
      </c>
      <c r="DQ47">
        <v>200.1951935483871</v>
      </c>
      <c r="DR47">
        <v>200.0138064516129</v>
      </c>
      <c r="DS47">
        <v>17.6951129032258</v>
      </c>
      <c r="DT47">
        <v>17.64097741935484</v>
      </c>
      <c r="DU47">
        <v>200.2081935483871</v>
      </c>
      <c r="DV47">
        <v>17.6191129032258</v>
      </c>
      <c r="DW47">
        <v>499.9773548387096</v>
      </c>
      <c r="DX47">
        <v>90.05828387096774</v>
      </c>
      <c r="DY47">
        <v>0.09992280000000002</v>
      </c>
      <c r="DZ47">
        <v>25.10011612903225</v>
      </c>
      <c r="EA47">
        <v>25.01283225806452</v>
      </c>
      <c r="EB47">
        <v>999.9000000000003</v>
      </c>
      <c r="EC47">
        <v>0</v>
      </c>
      <c r="ED47">
        <v>0</v>
      </c>
      <c r="EE47">
        <v>10003.90741935484</v>
      </c>
      <c r="EF47">
        <v>0</v>
      </c>
      <c r="EG47">
        <v>9.442802580645161</v>
      </c>
      <c r="EH47">
        <v>0.09660536677419354</v>
      </c>
      <c r="EI47">
        <v>203.7152580645161</v>
      </c>
      <c r="EJ47">
        <v>203.6055483870968</v>
      </c>
      <c r="EK47">
        <v>0.05471604838709678</v>
      </c>
      <c r="EL47">
        <v>200.0138064516129</v>
      </c>
      <c r="EM47">
        <v>17.64097741935484</v>
      </c>
      <c r="EN47">
        <v>1.593642903225807</v>
      </c>
      <c r="EO47">
        <v>1.588715483870968</v>
      </c>
      <c r="EP47">
        <v>13.89747096774193</v>
      </c>
      <c r="EQ47">
        <v>13.84978064516129</v>
      </c>
      <c r="ER47">
        <v>800.0195806451612</v>
      </c>
      <c r="ES47">
        <v>0.9500064516129031</v>
      </c>
      <c r="ET47">
        <v>0.04999349677419353</v>
      </c>
      <c r="EU47">
        <v>0</v>
      </c>
      <c r="EV47">
        <v>861.9131612903224</v>
      </c>
      <c r="EW47">
        <v>5.000779999999999</v>
      </c>
      <c r="EX47">
        <v>6538.836451612903</v>
      </c>
      <c r="EY47">
        <v>6463.590645161291</v>
      </c>
      <c r="EZ47">
        <v>37.26593548387096</v>
      </c>
      <c r="FA47">
        <v>40.3062258064516</v>
      </c>
      <c r="FB47">
        <v>38.94925806451612</v>
      </c>
      <c r="FC47">
        <v>40.56219354838709</v>
      </c>
      <c r="FD47">
        <v>38.94738709677419</v>
      </c>
      <c r="FE47">
        <v>755.2722580645161</v>
      </c>
      <c r="FF47">
        <v>39.74741935483871</v>
      </c>
      <c r="FG47">
        <v>0</v>
      </c>
      <c r="FH47">
        <v>1765303456.1</v>
      </c>
      <c r="FI47">
        <v>0</v>
      </c>
      <c r="FJ47">
        <v>861.9238461538462</v>
      </c>
      <c r="FK47">
        <v>-0.4185983054787541</v>
      </c>
      <c r="FL47">
        <v>-17.30974363103913</v>
      </c>
      <c r="FM47">
        <v>6538.651153846154</v>
      </c>
      <c r="FN47">
        <v>15</v>
      </c>
      <c r="FO47">
        <v>1765303475</v>
      </c>
      <c r="FP47" t="s">
        <v>531</v>
      </c>
      <c r="FQ47">
        <v>1765303475</v>
      </c>
      <c r="FR47">
        <v>1765303472.5</v>
      </c>
      <c r="FS47">
        <v>30</v>
      </c>
      <c r="FT47">
        <v>0.08500000000000001</v>
      </c>
      <c r="FU47">
        <v>0.001</v>
      </c>
      <c r="FV47">
        <v>-0.013</v>
      </c>
      <c r="FW47">
        <v>0.076</v>
      </c>
      <c r="FX47">
        <v>200</v>
      </c>
      <c r="FY47">
        <v>18</v>
      </c>
      <c r="FZ47">
        <v>0.5</v>
      </c>
      <c r="GA47">
        <v>0.09</v>
      </c>
      <c r="GB47">
        <v>0.11269265925</v>
      </c>
      <c r="GC47">
        <v>-0.4269579279174486</v>
      </c>
      <c r="GD47">
        <v>0.05145439600515793</v>
      </c>
      <c r="GE47">
        <v>1</v>
      </c>
      <c r="GF47">
        <v>861.9255000000001</v>
      </c>
      <c r="GG47">
        <v>-0.7133231524398024</v>
      </c>
      <c r="GH47">
        <v>0.2423934878274942</v>
      </c>
      <c r="GI47">
        <v>1</v>
      </c>
      <c r="GJ47">
        <v>0.05409778999999999</v>
      </c>
      <c r="GK47">
        <v>0.01802579437148203</v>
      </c>
      <c r="GL47">
        <v>0.001968394405829279</v>
      </c>
      <c r="GM47">
        <v>1</v>
      </c>
      <c r="GN47">
        <v>3</v>
      </c>
      <c r="GO47">
        <v>3</v>
      </c>
      <c r="GP47" t="s">
        <v>440</v>
      </c>
      <c r="GQ47">
        <v>3.10846</v>
      </c>
      <c r="GR47">
        <v>2.79181</v>
      </c>
      <c r="GS47">
        <v>0.0480627</v>
      </c>
      <c r="GT47">
        <v>0.0480104</v>
      </c>
      <c r="GU47">
        <v>0.0870972</v>
      </c>
      <c r="GV47">
        <v>0.0876859</v>
      </c>
      <c r="GW47">
        <v>24982.8</v>
      </c>
      <c r="GX47">
        <v>22689.4</v>
      </c>
      <c r="GY47">
        <v>26802.8</v>
      </c>
      <c r="GZ47">
        <v>24041.3</v>
      </c>
      <c r="HA47">
        <v>39100.9</v>
      </c>
      <c r="HB47">
        <v>32369</v>
      </c>
      <c r="HC47">
        <v>46780.7</v>
      </c>
      <c r="HD47">
        <v>38021.4</v>
      </c>
      <c r="HE47">
        <v>1.88873</v>
      </c>
      <c r="HF47">
        <v>1.82952</v>
      </c>
      <c r="HG47">
        <v>0.0652075</v>
      </c>
      <c r="HH47">
        <v>0</v>
      </c>
      <c r="HI47">
        <v>23.9319</v>
      </c>
      <c r="HJ47">
        <v>999.9</v>
      </c>
      <c r="HK47">
        <v>35.1</v>
      </c>
      <c r="HL47">
        <v>34</v>
      </c>
      <c r="HM47">
        <v>20.8247</v>
      </c>
      <c r="HN47">
        <v>61.3938</v>
      </c>
      <c r="HO47">
        <v>28.3534</v>
      </c>
      <c r="HP47">
        <v>1</v>
      </c>
      <c r="HQ47">
        <v>0.0389101</v>
      </c>
      <c r="HR47">
        <v>0.755466</v>
      </c>
      <c r="HS47">
        <v>20.291</v>
      </c>
      <c r="HT47">
        <v>5.22178</v>
      </c>
      <c r="HU47">
        <v>11.979</v>
      </c>
      <c r="HV47">
        <v>4.96535</v>
      </c>
      <c r="HW47">
        <v>3.2759</v>
      </c>
      <c r="HX47">
        <v>9999</v>
      </c>
      <c r="HY47">
        <v>9999</v>
      </c>
      <c r="HZ47">
        <v>9999</v>
      </c>
      <c r="IA47">
        <v>999.9</v>
      </c>
      <c r="IB47">
        <v>1.86417</v>
      </c>
      <c r="IC47">
        <v>1.86036</v>
      </c>
      <c r="ID47">
        <v>1.85869</v>
      </c>
      <c r="IE47">
        <v>1.86001</v>
      </c>
      <c r="IF47">
        <v>1.8601</v>
      </c>
      <c r="IG47">
        <v>1.85867</v>
      </c>
      <c r="IH47">
        <v>1.85776</v>
      </c>
      <c r="II47">
        <v>1.85267</v>
      </c>
      <c r="IJ47">
        <v>0</v>
      </c>
      <c r="IK47">
        <v>0</v>
      </c>
      <c r="IL47">
        <v>0</v>
      </c>
      <c r="IM47">
        <v>0</v>
      </c>
      <c r="IN47" t="s">
        <v>441</v>
      </c>
      <c r="IO47" t="s">
        <v>442</v>
      </c>
      <c r="IP47" t="s">
        <v>443</v>
      </c>
      <c r="IQ47" t="s">
        <v>443</v>
      </c>
      <c r="IR47" t="s">
        <v>443</v>
      </c>
      <c r="IS47" t="s">
        <v>443</v>
      </c>
      <c r="IT47">
        <v>0</v>
      </c>
      <c r="IU47">
        <v>100</v>
      </c>
      <c r="IV47">
        <v>100</v>
      </c>
      <c r="IW47">
        <v>-0.013</v>
      </c>
      <c r="IX47">
        <v>0.076</v>
      </c>
      <c r="IY47">
        <v>-0.1871562285611998</v>
      </c>
      <c r="IZ47">
        <v>0.0001583678016168383</v>
      </c>
      <c r="JA47">
        <v>1.526473431467286E-06</v>
      </c>
      <c r="JB47">
        <v>-4.446382740029455E-10</v>
      </c>
      <c r="JC47">
        <v>-0.04588491463981552</v>
      </c>
      <c r="JD47">
        <v>-0.009941991807247691</v>
      </c>
      <c r="JE47">
        <v>0.001256427533001032</v>
      </c>
      <c r="JF47">
        <v>-1.689728105039484E-05</v>
      </c>
      <c r="JG47">
        <v>2</v>
      </c>
      <c r="JH47">
        <v>1984</v>
      </c>
      <c r="JI47">
        <v>0</v>
      </c>
      <c r="JJ47">
        <v>25</v>
      </c>
      <c r="JK47">
        <v>1.3</v>
      </c>
      <c r="JL47">
        <v>1.4</v>
      </c>
      <c r="JM47">
        <v>0.6359860000000001</v>
      </c>
      <c r="JN47">
        <v>2.63062</v>
      </c>
      <c r="JO47">
        <v>1.49658</v>
      </c>
      <c r="JP47">
        <v>2.34619</v>
      </c>
      <c r="JQ47">
        <v>1.54907</v>
      </c>
      <c r="JR47">
        <v>2.40356</v>
      </c>
      <c r="JS47">
        <v>38.7717</v>
      </c>
      <c r="JT47">
        <v>23.8073</v>
      </c>
      <c r="JU47">
        <v>18</v>
      </c>
      <c r="JV47">
        <v>481.36</v>
      </c>
      <c r="JW47">
        <v>472.471</v>
      </c>
      <c r="JX47">
        <v>23.6316</v>
      </c>
      <c r="JY47">
        <v>27.6891</v>
      </c>
      <c r="JZ47">
        <v>29.9998</v>
      </c>
      <c r="KA47">
        <v>28.0248</v>
      </c>
      <c r="KB47">
        <v>28.0463</v>
      </c>
      <c r="KC47">
        <v>12.8216</v>
      </c>
      <c r="KD47">
        <v>14.391</v>
      </c>
      <c r="KE47">
        <v>9.47739</v>
      </c>
      <c r="KF47">
        <v>23.6291</v>
      </c>
      <c r="KG47">
        <v>200</v>
      </c>
      <c r="KH47">
        <v>17.6595</v>
      </c>
      <c r="KI47">
        <v>102.3</v>
      </c>
      <c r="KJ47">
        <v>91.7069</v>
      </c>
    </row>
    <row r="48" spans="1:296">
      <c r="A48">
        <v>30</v>
      </c>
      <c r="B48">
        <v>1765303548.5</v>
      </c>
      <c r="C48">
        <v>6115.5</v>
      </c>
      <c r="D48" t="s">
        <v>532</v>
      </c>
      <c r="E48" t="s">
        <v>533</v>
      </c>
      <c r="F48">
        <v>5</v>
      </c>
      <c r="G48" t="s">
        <v>524</v>
      </c>
      <c r="H48">
        <v>1765303540.75</v>
      </c>
      <c r="I48">
        <f>(J48)/1000</f>
        <v>0</v>
      </c>
      <c r="J48">
        <f>IF(DO48, AM48, AG48)</f>
        <v>0</v>
      </c>
      <c r="K48">
        <f>IF(DO48, AH48, AF48)</f>
        <v>0</v>
      </c>
      <c r="L48">
        <f>DQ48 - IF(AT48&gt;1, K48*DK48*100.0/(AV48), 0)</f>
        <v>0</v>
      </c>
      <c r="M48">
        <f>((S48-I48/2)*L48-K48)/(S48+I48/2)</f>
        <v>0</v>
      </c>
      <c r="N48">
        <f>M48*(DX48+DY48)/1000.0</f>
        <v>0</v>
      </c>
      <c r="O48">
        <f>(DQ48 - IF(AT48&gt;1, K48*DK48*100.0/(AV48), 0))*(DX48+DY48)/1000.0</f>
        <v>0</v>
      </c>
      <c r="P48">
        <f>2.0/((1/R48-1/Q48)+SIGN(R48)*SQRT((1/R48-1/Q48)*(1/R48-1/Q48) + 4*DL48/((DL48+1)*(DL48+1))*(2*1/R48*1/Q48-1/Q48*1/Q48)))</f>
        <v>0</v>
      </c>
      <c r="Q48">
        <f>IF(LEFT(DM48,1)&lt;&gt;"0",IF(LEFT(DM48,1)="1",3.0,DN48),$D$5+$E$5*(EE48*DX48/($K$5*1000))+$F$5*(EE48*DX48/($K$5*1000))*MAX(MIN(DK48,$J$5),$I$5)*MAX(MIN(DK48,$J$5),$I$5)+$G$5*MAX(MIN(DK48,$J$5),$I$5)*(EE48*DX48/($K$5*1000))+$H$5*(EE48*DX48/($K$5*1000))*(EE48*DX48/($K$5*1000)))</f>
        <v>0</v>
      </c>
      <c r="R48">
        <f>I48*(1000-(1000*0.61365*exp(17.502*V48/(240.97+V48))/(DX48+DY48)+DS48)/2)/(1000*0.61365*exp(17.502*V48/(240.97+V48))/(DX48+DY48)-DS48)</f>
        <v>0</v>
      </c>
      <c r="S48">
        <f>1/((DL48+1)/(P48/1.6)+1/(Q48/1.37)) + DL48/((DL48+1)/(P48/1.6) + DL48/(Q48/1.37))</f>
        <v>0</v>
      </c>
      <c r="T48">
        <f>(DG48*DJ48)</f>
        <v>0</v>
      </c>
      <c r="U48">
        <f>(DZ48+(T48+2*0.95*5.67E-8*(((DZ48+$B$9)+273)^4-(DZ48+273)^4)-44100*I48)/(1.84*29.3*Q48+8*0.95*5.67E-8*(DZ48+273)^3))</f>
        <v>0</v>
      </c>
      <c r="V48">
        <f>($C$9*EA48+$D$9*EB48+$E$9*U48)</f>
        <v>0</v>
      </c>
      <c r="W48">
        <f>0.61365*exp(17.502*V48/(240.97+V48))</f>
        <v>0</v>
      </c>
      <c r="X48">
        <f>(Y48/Z48*100)</f>
        <v>0</v>
      </c>
      <c r="Y48">
        <f>DS48*(DX48+DY48)/1000</f>
        <v>0</v>
      </c>
      <c r="Z48">
        <f>0.61365*exp(17.502*DZ48/(240.97+DZ48))</f>
        <v>0</v>
      </c>
      <c r="AA48">
        <f>(W48-DS48*(DX48+DY48)/1000)</f>
        <v>0</v>
      </c>
      <c r="AB48">
        <f>(-I48*44100)</f>
        <v>0</v>
      </c>
      <c r="AC48">
        <f>2*29.3*Q48*0.92*(DZ48-V48)</f>
        <v>0</v>
      </c>
      <c r="AD48">
        <f>2*0.95*5.67E-8*(((DZ48+$B$9)+273)^4-(V48+273)^4)</f>
        <v>0</v>
      </c>
      <c r="AE48">
        <f>T48+AD48+AB48+AC48</f>
        <v>0</v>
      </c>
      <c r="AF48">
        <f>DW48*AT48*(DR48-DQ48*(1000-AT48*DT48)/(1000-AT48*DS48))/(100*DK48)</f>
        <v>0</v>
      </c>
      <c r="AG48">
        <f>1000*DW48*AT48*(DS48-DT48)/(100*DK48*(1000-AT48*DS48))</f>
        <v>0</v>
      </c>
      <c r="AH48">
        <f>(AI48 - AJ48 - DX48*1E3/(8.314*(DZ48+273.15)) * AL48/DW48 * AK48) * DW48/(100*DK48) * (1000 - DT48)/1000</f>
        <v>0</v>
      </c>
      <c r="AI48">
        <v>101.813637067603</v>
      </c>
      <c r="AJ48">
        <v>102.0153333333333</v>
      </c>
      <c r="AK48">
        <v>0.0001743636988513952</v>
      </c>
      <c r="AL48">
        <v>65.78581096343868</v>
      </c>
      <c r="AM48">
        <f>(AO48 - AN48 + DX48*1E3/(8.314*(DZ48+273.15)) * AQ48/DW48 * AP48) * DW48/(100*DK48) * 1000/(1000 - AO48)</f>
        <v>0</v>
      </c>
      <c r="AN48">
        <v>17.73209246819596</v>
      </c>
      <c r="AO48">
        <v>17.77632909090909</v>
      </c>
      <c r="AP48">
        <v>1.509201432334438E-05</v>
      </c>
      <c r="AQ48">
        <v>107.3058777764655</v>
      </c>
      <c r="AR48">
        <v>0</v>
      </c>
      <c r="AS48">
        <v>0</v>
      </c>
      <c r="AT48">
        <f>IF(AR48*$H$15&gt;=AV48,1.0,(AV48/(AV48-AR48*$H$15)))</f>
        <v>0</v>
      </c>
      <c r="AU48">
        <f>(AT48-1)*100</f>
        <v>0</v>
      </c>
      <c r="AV48">
        <f>MAX(0,($B$15+$C$15*EE48)/(1+$D$15*EE48)*DX48/(DZ48+273)*$E$15)</f>
        <v>0</v>
      </c>
      <c r="AW48" t="s">
        <v>437</v>
      </c>
      <c r="AX48" t="s">
        <v>437</v>
      </c>
      <c r="AY48">
        <v>0</v>
      </c>
      <c r="AZ48">
        <v>0</v>
      </c>
      <c r="BA48">
        <f>1-AY48/AZ48</f>
        <v>0</v>
      </c>
      <c r="BB48">
        <v>0</v>
      </c>
      <c r="BC48" t="s">
        <v>437</v>
      </c>
      <c r="BD48" t="s">
        <v>437</v>
      </c>
      <c r="BE48">
        <v>0</v>
      </c>
      <c r="BF48">
        <v>0</v>
      </c>
      <c r="BG48">
        <f>1-BE48/BF48</f>
        <v>0</v>
      </c>
      <c r="BH48">
        <v>0.5</v>
      </c>
      <c r="BI48">
        <f>DH48</f>
        <v>0</v>
      </c>
      <c r="BJ48">
        <f>K48</f>
        <v>0</v>
      </c>
      <c r="BK48">
        <f>BG48*BH48*BI48</f>
        <v>0</v>
      </c>
      <c r="BL48">
        <f>(BJ48-BB48)/BI48</f>
        <v>0</v>
      </c>
      <c r="BM48">
        <f>(AZ48-BF48)/BF48</f>
        <v>0</v>
      </c>
      <c r="BN48">
        <f>AY48/(BA48+AY48/BF48)</f>
        <v>0</v>
      </c>
      <c r="BO48" t="s">
        <v>437</v>
      </c>
      <c r="BP48">
        <v>0</v>
      </c>
      <c r="BQ48">
        <f>IF(BP48&lt;&gt;0, BP48, BN48)</f>
        <v>0</v>
      </c>
      <c r="BR48">
        <f>1-BQ48/BF48</f>
        <v>0</v>
      </c>
      <c r="BS48">
        <f>(BF48-BE48)/(BF48-BQ48)</f>
        <v>0</v>
      </c>
      <c r="BT48">
        <f>(AZ48-BF48)/(AZ48-BQ48)</f>
        <v>0</v>
      </c>
      <c r="BU48">
        <f>(BF48-BE48)/(BF48-AY48)</f>
        <v>0</v>
      </c>
      <c r="BV48">
        <f>(AZ48-BF48)/(AZ48-AY48)</f>
        <v>0</v>
      </c>
      <c r="BW48">
        <f>(BS48*BQ48/BE48)</f>
        <v>0</v>
      </c>
      <c r="BX48">
        <f>(1-BW48)</f>
        <v>0</v>
      </c>
      <c r="DG48">
        <f>$B$13*EF48+$C$13*EG48+$F$13*ER48*(1-EU48)</f>
        <v>0</v>
      </c>
      <c r="DH48">
        <f>DG48*DI48</f>
        <v>0</v>
      </c>
      <c r="DI48">
        <f>($B$13*$D$11+$C$13*$D$11+$F$13*((FE48+EW48)/MAX(FE48+EW48+FF48, 0.1)*$I$11+FF48/MAX(FE48+EW48+FF48, 0.1)*$J$11))/($B$13+$C$13+$F$13)</f>
        <v>0</v>
      </c>
      <c r="DJ48">
        <f>($B$13*$K$11+$C$13*$K$11+$F$13*((FE48+EW48)/MAX(FE48+EW48+FF48, 0.1)*$P$11+FF48/MAX(FE48+EW48+FF48, 0.1)*$Q$11))/($B$13+$C$13+$F$13)</f>
        <v>0</v>
      </c>
      <c r="DK48">
        <v>5.66</v>
      </c>
      <c r="DL48">
        <v>0.5</v>
      </c>
      <c r="DM48" t="s">
        <v>438</v>
      </c>
      <c r="DN48">
        <v>2</v>
      </c>
      <c r="DO48" t="b">
        <v>1</v>
      </c>
      <c r="DP48">
        <v>1765303540.75</v>
      </c>
      <c r="DQ48">
        <v>100.236</v>
      </c>
      <c r="DR48">
        <v>99.99441999999996</v>
      </c>
      <c r="DS48">
        <v>17.76651333333334</v>
      </c>
      <c r="DT48">
        <v>17.72760666666666</v>
      </c>
      <c r="DU48">
        <v>100.288</v>
      </c>
      <c r="DV48">
        <v>17.68951333333333</v>
      </c>
      <c r="DW48">
        <v>500.0174333333333</v>
      </c>
      <c r="DX48">
        <v>90.05843666666665</v>
      </c>
      <c r="DY48">
        <v>0.09997005000000002</v>
      </c>
      <c r="DZ48">
        <v>25.08675666666666</v>
      </c>
      <c r="EA48">
        <v>25.00058</v>
      </c>
      <c r="EB48">
        <v>999.9000000000002</v>
      </c>
      <c r="EC48">
        <v>0</v>
      </c>
      <c r="ED48">
        <v>0</v>
      </c>
      <c r="EE48">
        <v>10004.50266666667</v>
      </c>
      <c r="EF48">
        <v>0</v>
      </c>
      <c r="EG48">
        <v>9.471399999999999</v>
      </c>
      <c r="EH48">
        <v>0.2224134</v>
      </c>
      <c r="EI48">
        <v>102.0297666666667</v>
      </c>
      <c r="EJ48">
        <v>101.7991333333333</v>
      </c>
      <c r="EK48">
        <v>0.04079907666666667</v>
      </c>
      <c r="EL48">
        <v>99.99441999999996</v>
      </c>
      <c r="EM48">
        <v>17.72760666666666</v>
      </c>
      <c r="EN48">
        <v>1.600193333333333</v>
      </c>
      <c r="EO48">
        <v>1.596519666666666</v>
      </c>
      <c r="EP48">
        <v>13.96066333333333</v>
      </c>
      <c r="EQ48">
        <v>13.92525</v>
      </c>
      <c r="ER48">
        <v>799.9905666666668</v>
      </c>
      <c r="ES48">
        <v>0.9500018000000001</v>
      </c>
      <c r="ET48">
        <v>0.04999820333333333</v>
      </c>
      <c r="EU48">
        <v>0</v>
      </c>
      <c r="EV48">
        <v>862.5751000000001</v>
      </c>
      <c r="EW48">
        <v>5.00078</v>
      </c>
      <c r="EX48">
        <v>6521.592666666666</v>
      </c>
      <c r="EY48">
        <v>6463.344333333333</v>
      </c>
      <c r="EZ48">
        <v>36.39753333333333</v>
      </c>
      <c r="FA48">
        <v>38.80603333333333</v>
      </c>
      <c r="FB48">
        <v>37.90386666666667</v>
      </c>
      <c r="FC48">
        <v>38.5331</v>
      </c>
      <c r="FD48">
        <v>37.956</v>
      </c>
      <c r="FE48">
        <v>755.2426666666668</v>
      </c>
      <c r="FF48">
        <v>39.75</v>
      </c>
      <c r="FG48">
        <v>0</v>
      </c>
      <c r="FH48">
        <v>1765303547.9</v>
      </c>
      <c r="FI48">
        <v>0</v>
      </c>
      <c r="FJ48">
        <v>862.57848</v>
      </c>
      <c r="FK48">
        <v>-0.001461536773141479</v>
      </c>
      <c r="FL48">
        <v>-10.68538460287702</v>
      </c>
      <c r="FM48">
        <v>6521.5152</v>
      </c>
      <c r="FN48">
        <v>15</v>
      </c>
      <c r="FO48">
        <v>1765303564.5</v>
      </c>
      <c r="FP48" t="s">
        <v>534</v>
      </c>
      <c r="FQ48">
        <v>1765303563.5</v>
      </c>
      <c r="FR48">
        <v>1765303564.5</v>
      </c>
      <c r="FS48">
        <v>31</v>
      </c>
      <c r="FT48">
        <v>0.019</v>
      </c>
      <c r="FU48">
        <v>-0.001</v>
      </c>
      <c r="FV48">
        <v>-0.052</v>
      </c>
      <c r="FW48">
        <v>0.077</v>
      </c>
      <c r="FX48">
        <v>100</v>
      </c>
      <c r="FY48">
        <v>18</v>
      </c>
      <c r="FZ48">
        <v>0.26</v>
      </c>
      <c r="GA48">
        <v>0.11</v>
      </c>
      <c r="GB48">
        <v>0.247389075</v>
      </c>
      <c r="GC48">
        <v>-0.4647109756097564</v>
      </c>
      <c r="GD48">
        <v>0.04925749737775331</v>
      </c>
      <c r="GE48">
        <v>1</v>
      </c>
      <c r="GF48">
        <v>862.5176176470588</v>
      </c>
      <c r="GG48">
        <v>0.2302368201215961</v>
      </c>
      <c r="GH48">
        <v>0.2596650574134369</v>
      </c>
      <c r="GI48">
        <v>1</v>
      </c>
      <c r="GJ48">
        <v>0.04478974249999999</v>
      </c>
      <c r="GK48">
        <v>-0.05532165590994385</v>
      </c>
      <c r="GL48">
        <v>0.008228956508205871</v>
      </c>
      <c r="GM48">
        <v>1</v>
      </c>
      <c r="GN48">
        <v>3</v>
      </c>
      <c r="GO48">
        <v>3</v>
      </c>
      <c r="GP48" t="s">
        <v>440</v>
      </c>
      <c r="GQ48">
        <v>3.10828</v>
      </c>
      <c r="GR48">
        <v>2.7917</v>
      </c>
      <c r="GS48">
        <v>0.0256245</v>
      </c>
      <c r="GT48">
        <v>0.0255477</v>
      </c>
      <c r="GU48">
        <v>0.0874017</v>
      </c>
      <c r="GV48">
        <v>0.08803420000000001</v>
      </c>
      <c r="GW48">
        <v>25576.6</v>
      </c>
      <c r="GX48">
        <v>23227.5</v>
      </c>
      <c r="GY48">
        <v>26807.5</v>
      </c>
      <c r="GZ48">
        <v>24043.6</v>
      </c>
      <c r="HA48">
        <v>39091.3</v>
      </c>
      <c r="HB48">
        <v>32356.7</v>
      </c>
      <c r="HC48">
        <v>46788.6</v>
      </c>
      <c r="HD48">
        <v>38024.3</v>
      </c>
      <c r="HE48">
        <v>1.88923</v>
      </c>
      <c r="HF48">
        <v>1.83085</v>
      </c>
      <c r="HG48">
        <v>0.064835</v>
      </c>
      <c r="HH48">
        <v>0</v>
      </c>
      <c r="HI48">
        <v>23.9341</v>
      </c>
      <c r="HJ48">
        <v>999.9</v>
      </c>
      <c r="HK48">
        <v>35.1</v>
      </c>
      <c r="HL48">
        <v>34</v>
      </c>
      <c r="HM48">
        <v>20.8239</v>
      </c>
      <c r="HN48">
        <v>61.5238</v>
      </c>
      <c r="HO48">
        <v>28.5377</v>
      </c>
      <c r="HP48">
        <v>1</v>
      </c>
      <c r="HQ48">
        <v>0.0307469</v>
      </c>
      <c r="HR48">
        <v>0.67341</v>
      </c>
      <c r="HS48">
        <v>20.2913</v>
      </c>
      <c r="HT48">
        <v>5.22163</v>
      </c>
      <c r="HU48">
        <v>11.9781</v>
      </c>
      <c r="HV48">
        <v>4.9656</v>
      </c>
      <c r="HW48">
        <v>3.27595</v>
      </c>
      <c r="HX48">
        <v>9999</v>
      </c>
      <c r="HY48">
        <v>9999</v>
      </c>
      <c r="HZ48">
        <v>9999</v>
      </c>
      <c r="IA48">
        <v>999.9</v>
      </c>
      <c r="IB48">
        <v>1.86417</v>
      </c>
      <c r="IC48">
        <v>1.86036</v>
      </c>
      <c r="ID48">
        <v>1.85867</v>
      </c>
      <c r="IE48">
        <v>1.85997</v>
      </c>
      <c r="IF48">
        <v>1.86008</v>
      </c>
      <c r="IG48">
        <v>1.85867</v>
      </c>
      <c r="IH48">
        <v>1.85774</v>
      </c>
      <c r="II48">
        <v>1.85264</v>
      </c>
      <c r="IJ48">
        <v>0</v>
      </c>
      <c r="IK48">
        <v>0</v>
      </c>
      <c r="IL48">
        <v>0</v>
      </c>
      <c r="IM48">
        <v>0</v>
      </c>
      <c r="IN48" t="s">
        <v>441</v>
      </c>
      <c r="IO48" t="s">
        <v>442</v>
      </c>
      <c r="IP48" t="s">
        <v>443</v>
      </c>
      <c r="IQ48" t="s">
        <v>443</v>
      </c>
      <c r="IR48" t="s">
        <v>443</v>
      </c>
      <c r="IS48" t="s">
        <v>443</v>
      </c>
      <c r="IT48">
        <v>0</v>
      </c>
      <c r="IU48">
        <v>100</v>
      </c>
      <c r="IV48">
        <v>100</v>
      </c>
      <c r="IW48">
        <v>-0.052</v>
      </c>
      <c r="IX48">
        <v>0.077</v>
      </c>
      <c r="IY48">
        <v>-0.1019412831085639</v>
      </c>
      <c r="IZ48">
        <v>0.0001583678016168383</v>
      </c>
      <c r="JA48">
        <v>1.526473431467286E-06</v>
      </c>
      <c r="JB48">
        <v>-4.446382740029455E-10</v>
      </c>
      <c r="JC48">
        <v>-0.04487455253619706</v>
      </c>
      <c r="JD48">
        <v>-0.009941991807247691</v>
      </c>
      <c r="JE48">
        <v>0.001256427533001032</v>
      </c>
      <c r="JF48">
        <v>-1.689728105039484E-05</v>
      </c>
      <c r="JG48">
        <v>2</v>
      </c>
      <c r="JH48">
        <v>1984</v>
      </c>
      <c r="JI48">
        <v>0</v>
      </c>
      <c r="JJ48">
        <v>25</v>
      </c>
      <c r="JK48">
        <v>1.2</v>
      </c>
      <c r="JL48">
        <v>1.3</v>
      </c>
      <c r="JM48">
        <v>0.395508</v>
      </c>
      <c r="JN48">
        <v>2.64648</v>
      </c>
      <c r="JO48">
        <v>1.49658</v>
      </c>
      <c r="JP48">
        <v>2.34619</v>
      </c>
      <c r="JQ48">
        <v>1.54907</v>
      </c>
      <c r="JR48">
        <v>2.46582</v>
      </c>
      <c r="JS48">
        <v>38.6979</v>
      </c>
      <c r="JT48">
        <v>23.8423</v>
      </c>
      <c r="JU48">
        <v>18</v>
      </c>
      <c r="JV48">
        <v>480.971</v>
      </c>
      <c r="JW48">
        <v>472.616</v>
      </c>
      <c r="JX48">
        <v>23.6621</v>
      </c>
      <c r="JY48">
        <v>27.5946</v>
      </c>
      <c r="JZ48">
        <v>29.9996</v>
      </c>
      <c r="KA48">
        <v>27.9361</v>
      </c>
      <c r="KB48">
        <v>27.9604</v>
      </c>
      <c r="KC48">
        <v>7.99265</v>
      </c>
      <c r="KD48">
        <v>14.1013</v>
      </c>
      <c r="KE48">
        <v>10.223</v>
      </c>
      <c r="KF48">
        <v>23.6614</v>
      </c>
      <c r="KG48">
        <v>100</v>
      </c>
      <c r="KH48">
        <v>17.6811</v>
      </c>
      <c r="KI48">
        <v>102.318</v>
      </c>
      <c r="KJ48">
        <v>91.71469999999999</v>
      </c>
    </row>
    <row r="49" spans="1:296">
      <c r="A49">
        <v>31</v>
      </c>
      <c r="B49">
        <v>1765303634</v>
      </c>
      <c r="C49">
        <v>6201</v>
      </c>
      <c r="D49" t="s">
        <v>535</v>
      </c>
      <c r="E49" t="s">
        <v>536</v>
      </c>
      <c r="F49">
        <v>5</v>
      </c>
      <c r="G49" t="s">
        <v>524</v>
      </c>
      <c r="H49">
        <v>1765303626.25</v>
      </c>
      <c r="I49">
        <f>(J49)/1000</f>
        <v>0</v>
      </c>
      <c r="J49">
        <f>IF(DO49, AM49, AG49)</f>
        <v>0</v>
      </c>
      <c r="K49">
        <f>IF(DO49, AH49, AF49)</f>
        <v>0</v>
      </c>
      <c r="L49">
        <f>DQ49 - IF(AT49&gt;1, K49*DK49*100.0/(AV49), 0)</f>
        <v>0</v>
      </c>
      <c r="M49">
        <f>((S49-I49/2)*L49-K49)/(S49+I49/2)</f>
        <v>0</v>
      </c>
      <c r="N49">
        <f>M49*(DX49+DY49)/1000.0</f>
        <v>0</v>
      </c>
      <c r="O49">
        <f>(DQ49 - IF(AT49&gt;1, K49*DK49*100.0/(AV49), 0))*(DX49+DY49)/1000.0</f>
        <v>0</v>
      </c>
      <c r="P49">
        <f>2.0/((1/R49-1/Q49)+SIGN(R49)*SQRT((1/R49-1/Q49)*(1/R49-1/Q49) + 4*DL49/((DL49+1)*(DL49+1))*(2*1/R49*1/Q49-1/Q49*1/Q49)))</f>
        <v>0</v>
      </c>
      <c r="Q49">
        <f>IF(LEFT(DM49,1)&lt;&gt;"0",IF(LEFT(DM49,1)="1",3.0,DN49),$D$5+$E$5*(EE49*DX49/($K$5*1000))+$F$5*(EE49*DX49/($K$5*1000))*MAX(MIN(DK49,$J$5),$I$5)*MAX(MIN(DK49,$J$5),$I$5)+$G$5*MAX(MIN(DK49,$J$5),$I$5)*(EE49*DX49/($K$5*1000))+$H$5*(EE49*DX49/($K$5*1000))*(EE49*DX49/($K$5*1000)))</f>
        <v>0</v>
      </c>
      <c r="R49">
        <f>I49*(1000-(1000*0.61365*exp(17.502*V49/(240.97+V49))/(DX49+DY49)+DS49)/2)/(1000*0.61365*exp(17.502*V49/(240.97+V49))/(DX49+DY49)-DS49)</f>
        <v>0</v>
      </c>
      <c r="S49">
        <f>1/((DL49+1)/(P49/1.6)+1/(Q49/1.37)) + DL49/((DL49+1)/(P49/1.6) + DL49/(Q49/1.37))</f>
        <v>0</v>
      </c>
      <c r="T49">
        <f>(DG49*DJ49)</f>
        <v>0</v>
      </c>
      <c r="U49">
        <f>(DZ49+(T49+2*0.95*5.67E-8*(((DZ49+$B$9)+273)^4-(DZ49+273)^4)-44100*I49)/(1.84*29.3*Q49+8*0.95*5.67E-8*(DZ49+273)^3))</f>
        <v>0</v>
      </c>
      <c r="V49">
        <f>($C$9*EA49+$D$9*EB49+$E$9*U49)</f>
        <v>0</v>
      </c>
      <c r="W49">
        <f>0.61365*exp(17.502*V49/(240.97+V49))</f>
        <v>0</v>
      </c>
      <c r="X49">
        <f>(Y49/Z49*100)</f>
        <v>0</v>
      </c>
      <c r="Y49">
        <f>DS49*(DX49+DY49)/1000</f>
        <v>0</v>
      </c>
      <c r="Z49">
        <f>0.61365*exp(17.502*DZ49/(240.97+DZ49))</f>
        <v>0</v>
      </c>
      <c r="AA49">
        <f>(W49-DS49*(DX49+DY49)/1000)</f>
        <v>0</v>
      </c>
      <c r="AB49">
        <f>(-I49*44100)</f>
        <v>0</v>
      </c>
      <c r="AC49">
        <f>2*29.3*Q49*0.92*(DZ49-V49)</f>
        <v>0</v>
      </c>
      <c r="AD49">
        <f>2*0.95*5.67E-8*(((DZ49+$B$9)+273)^4-(V49+273)^4)</f>
        <v>0</v>
      </c>
      <c r="AE49">
        <f>T49+AD49+AB49+AC49</f>
        <v>0</v>
      </c>
      <c r="AF49">
        <f>DW49*AT49*(DR49-DQ49*(1000-AT49*DT49)/(1000-AT49*DS49))/(100*DK49)</f>
        <v>0</v>
      </c>
      <c r="AG49">
        <f>1000*DW49*AT49*(DS49-DT49)/(100*DK49*(1000-AT49*DS49))</f>
        <v>0</v>
      </c>
      <c r="AH49">
        <f>(AI49 - AJ49 - DX49*1E3/(8.314*(DZ49+273.15)) * AL49/DW49 * AK49) * DW49/(100*DK49) * (1000 - DT49)/1000</f>
        <v>0</v>
      </c>
      <c r="AI49">
        <v>50.91052666666667</v>
      </c>
      <c r="AJ49">
        <v>51.10055090909091</v>
      </c>
      <c r="AK49">
        <v>-0.003552642214837991</v>
      </c>
      <c r="AL49">
        <v>64.45035776935396</v>
      </c>
      <c r="AM49">
        <f>(AO49 - AN49 + DX49*1E3/(8.314*(DZ49+273.15)) * AQ49/DW49 * AP49) * DW49/(100*DK49) * 1000/(1000 - AO49)</f>
        <v>0</v>
      </c>
      <c r="AN49">
        <v>17.68574969696969</v>
      </c>
      <c r="AO49">
        <v>17.74213636363635</v>
      </c>
      <c r="AP49">
        <v>1.621980170359292E-05</v>
      </c>
      <c r="AQ49">
        <v>102.3862419932691</v>
      </c>
      <c r="AR49">
        <v>0</v>
      </c>
      <c r="AS49">
        <v>0</v>
      </c>
      <c r="AT49">
        <f>IF(AR49*$H$15&gt;=AV49,1.0,(AV49/(AV49-AR49*$H$15)))</f>
        <v>0</v>
      </c>
      <c r="AU49">
        <f>(AT49-1)*100</f>
        <v>0</v>
      </c>
      <c r="AV49">
        <f>MAX(0,($B$15+$C$15*EE49)/(1+$D$15*EE49)*DX49/(DZ49+273)*$E$15)</f>
        <v>0</v>
      </c>
      <c r="AW49" t="s">
        <v>437</v>
      </c>
      <c r="AX49" t="s">
        <v>437</v>
      </c>
      <c r="AY49">
        <v>0</v>
      </c>
      <c r="AZ49">
        <v>0</v>
      </c>
      <c r="BA49">
        <f>1-AY49/AZ49</f>
        <v>0</v>
      </c>
      <c r="BB49">
        <v>0</v>
      </c>
      <c r="BC49" t="s">
        <v>437</v>
      </c>
      <c r="BD49" t="s">
        <v>437</v>
      </c>
      <c r="BE49">
        <v>0</v>
      </c>
      <c r="BF49">
        <v>0</v>
      </c>
      <c r="BG49">
        <f>1-BE49/BF49</f>
        <v>0</v>
      </c>
      <c r="BH49">
        <v>0.5</v>
      </c>
      <c r="BI49">
        <f>DH49</f>
        <v>0</v>
      </c>
      <c r="BJ49">
        <f>K49</f>
        <v>0</v>
      </c>
      <c r="BK49">
        <f>BG49*BH49*BI49</f>
        <v>0</v>
      </c>
      <c r="BL49">
        <f>(BJ49-BB49)/BI49</f>
        <v>0</v>
      </c>
      <c r="BM49">
        <f>(AZ49-BF49)/BF49</f>
        <v>0</v>
      </c>
      <c r="BN49">
        <f>AY49/(BA49+AY49/BF49)</f>
        <v>0</v>
      </c>
      <c r="BO49" t="s">
        <v>437</v>
      </c>
      <c r="BP49">
        <v>0</v>
      </c>
      <c r="BQ49">
        <f>IF(BP49&lt;&gt;0, BP49, BN49)</f>
        <v>0</v>
      </c>
      <c r="BR49">
        <f>1-BQ49/BF49</f>
        <v>0</v>
      </c>
      <c r="BS49">
        <f>(BF49-BE49)/(BF49-BQ49)</f>
        <v>0</v>
      </c>
      <c r="BT49">
        <f>(AZ49-BF49)/(AZ49-BQ49)</f>
        <v>0</v>
      </c>
      <c r="BU49">
        <f>(BF49-BE49)/(BF49-AY49)</f>
        <v>0</v>
      </c>
      <c r="BV49">
        <f>(AZ49-BF49)/(AZ49-AY49)</f>
        <v>0</v>
      </c>
      <c r="BW49">
        <f>(BS49*BQ49/BE49)</f>
        <v>0</v>
      </c>
      <c r="BX49">
        <f>(1-BW49)</f>
        <v>0</v>
      </c>
      <c r="DG49">
        <f>$B$13*EF49+$C$13*EG49+$F$13*ER49*(1-EU49)</f>
        <v>0</v>
      </c>
      <c r="DH49">
        <f>DG49*DI49</f>
        <v>0</v>
      </c>
      <c r="DI49">
        <f>($B$13*$D$11+$C$13*$D$11+$F$13*((FE49+EW49)/MAX(FE49+EW49+FF49, 0.1)*$I$11+FF49/MAX(FE49+EW49+FF49, 0.1)*$J$11))/($B$13+$C$13+$F$13)</f>
        <v>0</v>
      </c>
      <c r="DJ49">
        <f>($B$13*$K$11+$C$13*$K$11+$F$13*((FE49+EW49)/MAX(FE49+EW49+FF49, 0.1)*$P$11+FF49/MAX(FE49+EW49+FF49, 0.1)*$Q$11))/($B$13+$C$13+$F$13)</f>
        <v>0</v>
      </c>
      <c r="DK49">
        <v>5.66</v>
      </c>
      <c r="DL49">
        <v>0.5</v>
      </c>
      <c r="DM49" t="s">
        <v>438</v>
      </c>
      <c r="DN49">
        <v>2</v>
      </c>
      <c r="DO49" t="b">
        <v>1</v>
      </c>
      <c r="DP49">
        <v>1765303626.25</v>
      </c>
      <c r="DQ49">
        <v>50.23474666666667</v>
      </c>
      <c r="DR49">
        <v>49.99569666666667</v>
      </c>
      <c r="DS49">
        <v>17.7381</v>
      </c>
      <c r="DT49">
        <v>17.687</v>
      </c>
      <c r="DU49">
        <v>50.31074666666667</v>
      </c>
      <c r="DV49">
        <v>17.6601</v>
      </c>
      <c r="DW49">
        <v>500.0141333333333</v>
      </c>
      <c r="DX49">
        <v>90.06215333333331</v>
      </c>
      <c r="DY49">
        <v>0.09996099999999999</v>
      </c>
      <c r="DZ49">
        <v>25.05678666666667</v>
      </c>
      <c r="EA49">
        <v>24.98719</v>
      </c>
      <c r="EB49">
        <v>999.9000000000002</v>
      </c>
      <c r="EC49">
        <v>0</v>
      </c>
      <c r="ED49">
        <v>0</v>
      </c>
      <c r="EE49">
        <v>10004.141</v>
      </c>
      <c r="EF49">
        <v>0</v>
      </c>
      <c r="EG49">
        <v>9.479998666666665</v>
      </c>
      <c r="EH49">
        <v>0.2439266</v>
      </c>
      <c r="EI49">
        <v>51.14684</v>
      </c>
      <c r="EJ49">
        <v>50.8959</v>
      </c>
      <c r="EK49">
        <v>0.05054282666666667</v>
      </c>
      <c r="EL49">
        <v>49.99569666666667</v>
      </c>
      <c r="EM49">
        <v>17.687</v>
      </c>
      <c r="EN49">
        <v>1.597481666666666</v>
      </c>
      <c r="EO49">
        <v>1.592929666666667</v>
      </c>
      <c r="EP49">
        <v>13.93453</v>
      </c>
      <c r="EQ49">
        <v>13.89056666666667</v>
      </c>
      <c r="ER49">
        <v>800.0027666666666</v>
      </c>
      <c r="ES49">
        <v>0.9499986333333333</v>
      </c>
      <c r="ET49">
        <v>0.05000143666666667</v>
      </c>
      <c r="EU49">
        <v>0</v>
      </c>
      <c r="EV49">
        <v>863.4589666666667</v>
      </c>
      <c r="EW49">
        <v>5.00078</v>
      </c>
      <c r="EX49">
        <v>6512.607333333332</v>
      </c>
      <c r="EY49">
        <v>6463.436333333334</v>
      </c>
      <c r="EZ49">
        <v>35.7456</v>
      </c>
      <c r="FA49">
        <v>38.1332</v>
      </c>
      <c r="FB49">
        <v>37.21633333333333</v>
      </c>
      <c r="FC49">
        <v>37.7498</v>
      </c>
      <c r="FD49">
        <v>37.37473333333332</v>
      </c>
      <c r="FE49">
        <v>755.2506666666667</v>
      </c>
      <c r="FF49">
        <v>39.75</v>
      </c>
      <c r="FG49">
        <v>0</v>
      </c>
      <c r="FH49">
        <v>1765303633.1</v>
      </c>
      <c r="FI49">
        <v>0</v>
      </c>
      <c r="FJ49">
        <v>863.43808</v>
      </c>
      <c r="FK49">
        <v>-0.7445384689378383</v>
      </c>
      <c r="FL49">
        <v>-6.647692325235537</v>
      </c>
      <c r="FM49">
        <v>6512.673200000001</v>
      </c>
      <c r="FN49">
        <v>15</v>
      </c>
      <c r="FO49">
        <v>1765303651</v>
      </c>
      <c r="FP49" t="s">
        <v>537</v>
      </c>
      <c r="FQ49">
        <v>1765303648</v>
      </c>
      <c r="FR49">
        <v>1765303651</v>
      </c>
      <c r="FS49">
        <v>32</v>
      </c>
      <c r="FT49">
        <v>-0.005</v>
      </c>
      <c r="FU49">
        <v>0.001</v>
      </c>
      <c r="FV49">
        <v>-0.076</v>
      </c>
      <c r="FW49">
        <v>0.078</v>
      </c>
      <c r="FX49">
        <v>50</v>
      </c>
      <c r="FY49">
        <v>18</v>
      </c>
      <c r="FZ49">
        <v>0.51</v>
      </c>
      <c r="GA49">
        <v>0.13</v>
      </c>
      <c r="GB49">
        <v>0.2721503414634146</v>
      </c>
      <c r="GC49">
        <v>-0.4511788013937277</v>
      </c>
      <c r="GD49">
        <v>0.05000459473552296</v>
      </c>
      <c r="GE49">
        <v>1</v>
      </c>
      <c r="GF49">
        <v>863.4110588235294</v>
      </c>
      <c r="GG49">
        <v>0.218915203048198</v>
      </c>
      <c r="GH49">
        <v>0.2249078165639281</v>
      </c>
      <c r="GI49">
        <v>1</v>
      </c>
      <c r="GJ49">
        <v>0.05059186097560976</v>
      </c>
      <c r="GK49">
        <v>0.01037189477351927</v>
      </c>
      <c r="GL49">
        <v>0.005022349221176551</v>
      </c>
      <c r="GM49">
        <v>1</v>
      </c>
      <c r="GN49">
        <v>3</v>
      </c>
      <c r="GO49">
        <v>3</v>
      </c>
      <c r="GP49" t="s">
        <v>440</v>
      </c>
      <c r="GQ49">
        <v>3.10838</v>
      </c>
      <c r="GR49">
        <v>2.79171</v>
      </c>
      <c r="GS49">
        <v>0.0131757</v>
      </c>
      <c r="GT49">
        <v>0.0130924</v>
      </c>
      <c r="GU49">
        <v>0.087301</v>
      </c>
      <c r="GV49">
        <v>0.0878876</v>
      </c>
      <c r="GW49">
        <v>25908</v>
      </c>
      <c r="GX49">
        <v>23527.7</v>
      </c>
      <c r="GY49">
        <v>26811.9</v>
      </c>
      <c r="GZ49">
        <v>24046.6</v>
      </c>
      <c r="HA49">
        <v>39100.1</v>
      </c>
      <c r="HB49">
        <v>32363.9</v>
      </c>
      <c r="HC49">
        <v>46795.9</v>
      </c>
      <c r="HD49">
        <v>38028.2</v>
      </c>
      <c r="HE49">
        <v>1.88993</v>
      </c>
      <c r="HF49">
        <v>1.8321</v>
      </c>
      <c r="HG49">
        <v>0.0659749</v>
      </c>
      <c r="HH49">
        <v>0</v>
      </c>
      <c r="HI49">
        <v>23.9157</v>
      </c>
      <c r="HJ49">
        <v>999.9</v>
      </c>
      <c r="HK49">
        <v>35.1</v>
      </c>
      <c r="HL49">
        <v>34</v>
      </c>
      <c r="HM49">
        <v>20.8256</v>
      </c>
      <c r="HN49">
        <v>61.1438</v>
      </c>
      <c r="HO49">
        <v>28.3173</v>
      </c>
      <c r="HP49">
        <v>1</v>
      </c>
      <c r="HQ49">
        <v>0.02406</v>
      </c>
      <c r="HR49">
        <v>0.499365</v>
      </c>
      <c r="HS49">
        <v>20.2925</v>
      </c>
      <c r="HT49">
        <v>5.22193</v>
      </c>
      <c r="HU49">
        <v>11.9793</v>
      </c>
      <c r="HV49">
        <v>4.96555</v>
      </c>
      <c r="HW49">
        <v>3.27598</v>
      </c>
      <c r="HX49">
        <v>9999</v>
      </c>
      <c r="HY49">
        <v>9999</v>
      </c>
      <c r="HZ49">
        <v>9999</v>
      </c>
      <c r="IA49">
        <v>999.9</v>
      </c>
      <c r="IB49">
        <v>1.86414</v>
      </c>
      <c r="IC49">
        <v>1.86035</v>
      </c>
      <c r="ID49">
        <v>1.85867</v>
      </c>
      <c r="IE49">
        <v>1.85996</v>
      </c>
      <c r="IF49">
        <v>1.8601</v>
      </c>
      <c r="IG49">
        <v>1.85867</v>
      </c>
      <c r="IH49">
        <v>1.85774</v>
      </c>
      <c r="II49">
        <v>1.85262</v>
      </c>
      <c r="IJ49">
        <v>0</v>
      </c>
      <c r="IK49">
        <v>0</v>
      </c>
      <c r="IL49">
        <v>0</v>
      </c>
      <c r="IM49">
        <v>0</v>
      </c>
      <c r="IN49" t="s">
        <v>441</v>
      </c>
      <c r="IO49" t="s">
        <v>442</v>
      </c>
      <c r="IP49" t="s">
        <v>443</v>
      </c>
      <c r="IQ49" t="s">
        <v>443</v>
      </c>
      <c r="IR49" t="s">
        <v>443</v>
      </c>
      <c r="IS49" t="s">
        <v>443</v>
      </c>
      <c r="IT49">
        <v>0</v>
      </c>
      <c r="IU49">
        <v>100</v>
      </c>
      <c r="IV49">
        <v>100</v>
      </c>
      <c r="IW49">
        <v>-0.076</v>
      </c>
      <c r="IX49">
        <v>0.078</v>
      </c>
      <c r="IY49">
        <v>-0.0828886384495687</v>
      </c>
      <c r="IZ49">
        <v>0.0001583678016168383</v>
      </c>
      <c r="JA49">
        <v>1.526473431467286E-06</v>
      </c>
      <c r="JB49">
        <v>-4.446382740029455E-10</v>
      </c>
      <c r="JC49">
        <v>-0.0457763828326343</v>
      </c>
      <c r="JD49">
        <v>-0.009941991807247691</v>
      </c>
      <c r="JE49">
        <v>0.001256427533001032</v>
      </c>
      <c r="JF49">
        <v>-1.689728105039484E-05</v>
      </c>
      <c r="JG49">
        <v>2</v>
      </c>
      <c r="JH49">
        <v>1984</v>
      </c>
      <c r="JI49">
        <v>0</v>
      </c>
      <c r="JJ49">
        <v>25</v>
      </c>
      <c r="JK49">
        <v>1.2</v>
      </c>
      <c r="JL49">
        <v>1.2</v>
      </c>
      <c r="JM49">
        <v>0.272217</v>
      </c>
      <c r="JN49">
        <v>2.67944</v>
      </c>
      <c r="JO49">
        <v>1.49658</v>
      </c>
      <c r="JP49">
        <v>2.34619</v>
      </c>
      <c r="JQ49">
        <v>1.54907</v>
      </c>
      <c r="JR49">
        <v>2.36816</v>
      </c>
      <c r="JS49">
        <v>38.6487</v>
      </c>
      <c r="JT49">
        <v>23.8423</v>
      </c>
      <c r="JU49">
        <v>18</v>
      </c>
      <c r="JV49">
        <v>480.765</v>
      </c>
      <c r="JW49">
        <v>472.773</v>
      </c>
      <c r="JX49">
        <v>23.7513</v>
      </c>
      <c r="JY49">
        <v>27.5104</v>
      </c>
      <c r="JZ49">
        <v>29.9997</v>
      </c>
      <c r="KA49">
        <v>27.8564</v>
      </c>
      <c r="KB49">
        <v>27.8822</v>
      </c>
      <c r="KC49">
        <v>5.55217</v>
      </c>
      <c r="KD49">
        <v>14.3756</v>
      </c>
      <c r="KE49">
        <v>10.5938</v>
      </c>
      <c r="KF49">
        <v>23.7597</v>
      </c>
      <c r="KG49">
        <v>50</v>
      </c>
      <c r="KH49">
        <v>17.6433</v>
      </c>
      <c r="KI49">
        <v>102.334</v>
      </c>
      <c r="KJ49">
        <v>91.72490000000001</v>
      </c>
    </row>
    <row r="50" spans="1:296">
      <c r="A50">
        <v>32</v>
      </c>
      <c r="B50">
        <v>1765303722</v>
      </c>
      <c r="C50">
        <v>6289</v>
      </c>
      <c r="D50" t="s">
        <v>538</v>
      </c>
      <c r="E50" t="s">
        <v>539</v>
      </c>
      <c r="F50">
        <v>5</v>
      </c>
      <c r="G50" t="s">
        <v>524</v>
      </c>
      <c r="H50">
        <v>1765303714</v>
      </c>
      <c r="I50">
        <f>(J50)/1000</f>
        <v>0</v>
      </c>
      <c r="J50">
        <f>IF(DO50, AM50, AG50)</f>
        <v>0</v>
      </c>
      <c r="K50">
        <f>IF(DO50, AH50, AF50)</f>
        <v>0</v>
      </c>
      <c r="L50">
        <f>DQ50 - IF(AT50&gt;1, K50*DK50*100.0/(AV50), 0)</f>
        <v>0</v>
      </c>
      <c r="M50">
        <f>((S50-I50/2)*L50-K50)/(S50+I50/2)</f>
        <v>0</v>
      </c>
      <c r="N50">
        <f>M50*(DX50+DY50)/1000.0</f>
        <v>0</v>
      </c>
      <c r="O50">
        <f>(DQ50 - IF(AT50&gt;1, K50*DK50*100.0/(AV50), 0))*(DX50+DY50)/1000.0</f>
        <v>0</v>
      </c>
      <c r="P50">
        <f>2.0/((1/R50-1/Q50)+SIGN(R50)*SQRT((1/R50-1/Q50)*(1/R50-1/Q50) + 4*DL50/((DL50+1)*(DL50+1))*(2*1/R50*1/Q50-1/Q50*1/Q50)))</f>
        <v>0</v>
      </c>
      <c r="Q50">
        <f>IF(LEFT(DM50,1)&lt;&gt;"0",IF(LEFT(DM50,1)="1",3.0,DN50),$D$5+$E$5*(EE50*DX50/($K$5*1000))+$F$5*(EE50*DX50/($K$5*1000))*MAX(MIN(DK50,$J$5),$I$5)*MAX(MIN(DK50,$J$5),$I$5)+$G$5*MAX(MIN(DK50,$J$5),$I$5)*(EE50*DX50/($K$5*1000))+$H$5*(EE50*DX50/($K$5*1000))*(EE50*DX50/($K$5*1000)))</f>
        <v>0</v>
      </c>
      <c r="R50">
        <f>I50*(1000-(1000*0.61365*exp(17.502*V50/(240.97+V50))/(DX50+DY50)+DS50)/2)/(1000*0.61365*exp(17.502*V50/(240.97+V50))/(DX50+DY50)-DS50)</f>
        <v>0</v>
      </c>
      <c r="S50">
        <f>1/((DL50+1)/(P50/1.6)+1/(Q50/1.37)) + DL50/((DL50+1)/(P50/1.6) + DL50/(Q50/1.37))</f>
        <v>0</v>
      </c>
      <c r="T50">
        <f>(DG50*DJ50)</f>
        <v>0</v>
      </c>
      <c r="U50">
        <f>(DZ50+(T50+2*0.95*5.67E-8*(((DZ50+$B$9)+273)^4-(DZ50+273)^4)-44100*I50)/(1.84*29.3*Q50+8*0.95*5.67E-8*(DZ50+273)^3))</f>
        <v>0</v>
      </c>
      <c r="V50">
        <f>($C$9*EA50+$D$9*EB50+$E$9*U50)</f>
        <v>0</v>
      </c>
      <c r="W50">
        <f>0.61365*exp(17.502*V50/(240.97+V50))</f>
        <v>0</v>
      </c>
      <c r="X50">
        <f>(Y50/Z50*100)</f>
        <v>0</v>
      </c>
      <c r="Y50">
        <f>DS50*(DX50+DY50)/1000</f>
        <v>0</v>
      </c>
      <c r="Z50">
        <f>0.61365*exp(17.502*DZ50/(240.97+DZ50))</f>
        <v>0</v>
      </c>
      <c r="AA50">
        <f>(W50-DS50*(DX50+DY50)/1000)</f>
        <v>0</v>
      </c>
      <c r="AB50">
        <f>(-I50*44100)</f>
        <v>0</v>
      </c>
      <c r="AC50">
        <f>2*29.3*Q50*0.92*(DZ50-V50)</f>
        <v>0</v>
      </c>
      <c r="AD50">
        <f>2*0.95*5.67E-8*(((DZ50+$B$9)+273)^4-(V50+273)^4)</f>
        <v>0</v>
      </c>
      <c r="AE50">
        <f>T50+AD50+AB50+AC50</f>
        <v>0</v>
      </c>
      <c r="AF50">
        <f>DW50*AT50*(DR50-DQ50*(1000-AT50*DT50)/(1000-AT50*DS50))/(100*DK50)</f>
        <v>0</v>
      </c>
      <c r="AG50">
        <f>1000*DW50*AT50*(DS50-DT50)/(100*DK50*(1000-AT50*DS50))</f>
        <v>0</v>
      </c>
      <c r="AH50">
        <f>(AI50 - AJ50 - DX50*1E3/(8.314*(DZ50+273.15)) * AL50/DW50 * AK50) * DW50/(100*DK50) * (1000 - DT50)/1000</f>
        <v>0</v>
      </c>
      <c r="AI50">
        <v>0.1441669435081748</v>
      </c>
      <c r="AJ50">
        <v>0.4036603090909093</v>
      </c>
      <c r="AK50">
        <v>-0.0006136767672635816</v>
      </c>
      <c r="AL50">
        <v>65.79134338290905</v>
      </c>
      <c r="AM50">
        <f>(AO50 - AN50 + DX50*1E3/(8.314*(DZ50+273.15)) * AQ50/DW50 * AP50) * DW50/(100*DK50) * 1000/(1000 - AO50)</f>
        <v>0</v>
      </c>
      <c r="AN50">
        <v>17.67402903967675</v>
      </c>
      <c r="AO50">
        <v>17.72716363636363</v>
      </c>
      <c r="AP50">
        <v>1.270038666179884E-05</v>
      </c>
      <c r="AQ50">
        <v>107.6251680821052</v>
      </c>
      <c r="AR50">
        <v>0</v>
      </c>
      <c r="AS50">
        <v>0</v>
      </c>
      <c r="AT50">
        <f>IF(AR50*$H$15&gt;=AV50,1.0,(AV50/(AV50-AR50*$H$15)))</f>
        <v>0</v>
      </c>
      <c r="AU50">
        <f>(AT50-1)*100</f>
        <v>0</v>
      </c>
      <c r="AV50">
        <f>MAX(0,($B$15+$C$15*EE50)/(1+$D$15*EE50)*DX50/(DZ50+273)*$E$15)</f>
        <v>0</v>
      </c>
      <c r="AW50" t="s">
        <v>437</v>
      </c>
      <c r="AX50" t="s">
        <v>437</v>
      </c>
      <c r="AY50">
        <v>0</v>
      </c>
      <c r="AZ50">
        <v>0</v>
      </c>
      <c r="BA50">
        <f>1-AY50/AZ50</f>
        <v>0</v>
      </c>
      <c r="BB50">
        <v>0</v>
      </c>
      <c r="BC50" t="s">
        <v>437</v>
      </c>
      <c r="BD50" t="s">
        <v>437</v>
      </c>
      <c r="BE50">
        <v>0</v>
      </c>
      <c r="BF50">
        <v>0</v>
      </c>
      <c r="BG50">
        <f>1-BE50/BF50</f>
        <v>0</v>
      </c>
      <c r="BH50">
        <v>0.5</v>
      </c>
      <c r="BI50">
        <f>DH50</f>
        <v>0</v>
      </c>
      <c r="BJ50">
        <f>K50</f>
        <v>0</v>
      </c>
      <c r="BK50">
        <f>BG50*BH50*BI50</f>
        <v>0</v>
      </c>
      <c r="BL50">
        <f>(BJ50-BB50)/BI50</f>
        <v>0</v>
      </c>
      <c r="BM50">
        <f>(AZ50-BF50)/BF50</f>
        <v>0</v>
      </c>
      <c r="BN50">
        <f>AY50/(BA50+AY50/BF50)</f>
        <v>0</v>
      </c>
      <c r="BO50" t="s">
        <v>437</v>
      </c>
      <c r="BP50">
        <v>0</v>
      </c>
      <c r="BQ50">
        <f>IF(BP50&lt;&gt;0, BP50, BN50)</f>
        <v>0</v>
      </c>
      <c r="BR50">
        <f>1-BQ50/BF50</f>
        <v>0</v>
      </c>
      <c r="BS50">
        <f>(BF50-BE50)/(BF50-BQ50)</f>
        <v>0</v>
      </c>
      <c r="BT50">
        <f>(AZ50-BF50)/(AZ50-BQ50)</f>
        <v>0</v>
      </c>
      <c r="BU50">
        <f>(BF50-BE50)/(BF50-AY50)</f>
        <v>0</v>
      </c>
      <c r="BV50">
        <f>(AZ50-BF50)/(AZ50-AY50)</f>
        <v>0</v>
      </c>
      <c r="BW50">
        <f>(BS50*BQ50/BE50)</f>
        <v>0</v>
      </c>
      <c r="BX50">
        <f>(1-BW50)</f>
        <v>0</v>
      </c>
      <c r="DG50">
        <f>$B$13*EF50+$C$13*EG50+$F$13*ER50*(1-EU50)</f>
        <v>0</v>
      </c>
      <c r="DH50">
        <f>DG50*DI50</f>
        <v>0</v>
      </c>
      <c r="DI50">
        <f>($B$13*$D$11+$C$13*$D$11+$F$13*((FE50+EW50)/MAX(FE50+EW50+FF50, 0.1)*$I$11+FF50/MAX(FE50+EW50+FF50, 0.1)*$J$11))/($B$13+$C$13+$F$13)</f>
        <v>0</v>
      </c>
      <c r="DJ50">
        <f>($B$13*$K$11+$C$13*$K$11+$F$13*((FE50+EW50)/MAX(FE50+EW50+FF50, 0.1)*$P$11+FF50/MAX(FE50+EW50+FF50, 0.1)*$Q$11))/($B$13+$C$13+$F$13)</f>
        <v>0</v>
      </c>
      <c r="DK50">
        <v>5.66</v>
      </c>
      <c r="DL50">
        <v>0.5</v>
      </c>
      <c r="DM50" t="s">
        <v>438</v>
      </c>
      <c r="DN50">
        <v>2</v>
      </c>
      <c r="DO50" t="b">
        <v>1</v>
      </c>
      <c r="DP50">
        <v>1765303714</v>
      </c>
      <c r="DQ50">
        <v>0.4288180322580645</v>
      </c>
      <c r="DR50">
        <v>0.1648621935483871</v>
      </c>
      <c r="DS50">
        <v>17.72297419354839</v>
      </c>
      <c r="DT50">
        <v>17.67634193548387</v>
      </c>
      <c r="DU50">
        <v>0.5058180322580645</v>
      </c>
      <c r="DV50">
        <v>17.64497419354839</v>
      </c>
      <c r="DW50">
        <v>500.0044193548388</v>
      </c>
      <c r="DX50">
        <v>90.05859677419355</v>
      </c>
      <c r="DY50">
        <v>0.09999898064516129</v>
      </c>
      <c r="DZ50">
        <v>25.0447064516129</v>
      </c>
      <c r="EA50">
        <v>24.98997096774194</v>
      </c>
      <c r="EB50">
        <v>999.9000000000003</v>
      </c>
      <c r="EC50">
        <v>0</v>
      </c>
      <c r="ED50">
        <v>0</v>
      </c>
      <c r="EE50">
        <v>10000.38032258065</v>
      </c>
      <c r="EF50">
        <v>0</v>
      </c>
      <c r="EG50">
        <v>9.517812903225808</v>
      </c>
      <c r="EH50">
        <v>0.2530341935483871</v>
      </c>
      <c r="EI50">
        <v>0.4254366451612904</v>
      </c>
      <c r="EJ50">
        <v>0.1678288387096774</v>
      </c>
      <c r="EK50">
        <v>0.04706425806451611</v>
      </c>
      <c r="EL50">
        <v>0.1648621935483871</v>
      </c>
      <c r="EM50">
        <v>17.67634193548387</v>
      </c>
      <c r="EN50">
        <v>1.596145483870968</v>
      </c>
      <c r="EO50">
        <v>1.591905806451613</v>
      </c>
      <c r="EP50">
        <v>13.92163548387096</v>
      </c>
      <c r="EQ50">
        <v>13.88068064516129</v>
      </c>
      <c r="ER50">
        <v>799.9853548387097</v>
      </c>
      <c r="ES50">
        <v>0.9499987096774192</v>
      </c>
      <c r="ET50">
        <v>0.05000152903225807</v>
      </c>
      <c r="EU50">
        <v>0</v>
      </c>
      <c r="EV50">
        <v>862.4216451612904</v>
      </c>
      <c r="EW50">
        <v>5.000779999999999</v>
      </c>
      <c r="EX50">
        <v>6521.725161290323</v>
      </c>
      <c r="EY50">
        <v>6463.295483870967</v>
      </c>
      <c r="EZ50">
        <v>36.44332258064516</v>
      </c>
      <c r="FA50">
        <v>39.66509677419354</v>
      </c>
      <c r="FB50">
        <v>38.73958064516128</v>
      </c>
      <c r="FC50">
        <v>39.54816129032256</v>
      </c>
      <c r="FD50">
        <v>38.69535483870968</v>
      </c>
      <c r="FE50">
        <v>755.2345161290324</v>
      </c>
      <c r="FF50">
        <v>39.75</v>
      </c>
      <c r="FG50">
        <v>0</v>
      </c>
      <c r="FH50">
        <v>1765303721.3</v>
      </c>
      <c r="FI50">
        <v>0</v>
      </c>
      <c r="FJ50">
        <v>862.4187692307692</v>
      </c>
      <c r="FK50">
        <v>-1.17299144363254</v>
      </c>
      <c r="FL50">
        <v>6.290940133253049</v>
      </c>
      <c r="FM50">
        <v>6521.925769230769</v>
      </c>
      <c r="FN50">
        <v>15</v>
      </c>
      <c r="FO50">
        <v>1765303738</v>
      </c>
      <c r="FP50" t="s">
        <v>540</v>
      </c>
      <c r="FQ50">
        <v>1765303738</v>
      </c>
      <c r="FR50">
        <v>1765303738</v>
      </c>
      <c r="FS50">
        <v>33</v>
      </c>
      <c r="FT50">
        <v>0.011</v>
      </c>
      <c r="FU50">
        <v>0.001</v>
      </c>
      <c r="FV50">
        <v>-0.077</v>
      </c>
      <c r="FW50">
        <v>0.078</v>
      </c>
      <c r="FX50">
        <v>0</v>
      </c>
      <c r="FY50">
        <v>18</v>
      </c>
      <c r="FZ50">
        <v>0.25</v>
      </c>
      <c r="GA50">
        <v>0.06</v>
      </c>
      <c r="GB50">
        <v>0.2621699512195123</v>
      </c>
      <c r="GC50">
        <v>-0.04314441114982544</v>
      </c>
      <c r="GD50">
        <v>0.02342380025920189</v>
      </c>
      <c r="GE50">
        <v>1</v>
      </c>
      <c r="GF50">
        <v>862.469294117647</v>
      </c>
      <c r="GG50">
        <v>-0.9298090105056587</v>
      </c>
      <c r="GH50">
        <v>0.2217228701371817</v>
      </c>
      <c r="GI50">
        <v>1</v>
      </c>
      <c r="GJ50">
        <v>0.04961228048780487</v>
      </c>
      <c r="GK50">
        <v>-0.01805867665505245</v>
      </c>
      <c r="GL50">
        <v>0.00573692236763774</v>
      </c>
      <c r="GM50">
        <v>1</v>
      </c>
      <c r="GN50">
        <v>3</v>
      </c>
      <c r="GO50">
        <v>3</v>
      </c>
      <c r="GP50" t="s">
        <v>440</v>
      </c>
      <c r="GQ50">
        <v>3.10826</v>
      </c>
      <c r="GR50">
        <v>2.79177</v>
      </c>
      <c r="GS50">
        <v>0.00012984</v>
      </c>
      <c r="GT50">
        <v>3.71982E-05</v>
      </c>
      <c r="GU50">
        <v>0.08725960000000001</v>
      </c>
      <c r="GV50">
        <v>0.0878635</v>
      </c>
      <c r="GW50">
        <v>26254.3</v>
      </c>
      <c r="GX50">
        <v>23841.7</v>
      </c>
      <c r="GY50">
        <v>26815.3</v>
      </c>
      <c r="GZ50">
        <v>24048.8</v>
      </c>
      <c r="HA50">
        <v>39105.2</v>
      </c>
      <c r="HB50">
        <v>32365.7</v>
      </c>
      <c r="HC50">
        <v>46802</v>
      </c>
      <c r="HD50">
        <v>38031</v>
      </c>
      <c r="HE50">
        <v>1.89118</v>
      </c>
      <c r="HF50">
        <v>1.8331</v>
      </c>
      <c r="HG50">
        <v>0.0652298</v>
      </c>
      <c r="HH50">
        <v>0</v>
      </c>
      <c r="HI50">
        <v>23.9133</v>
      </c>
      <c r="HJ50">
        <v>999.9</v>
      </c>
      <c r="HK50">
        <v>35.2</v>
      </c>
      <c r="HL50">
        <v>34</v>
      </c>
      <c r="HM50">
        <v>20.8835</v>
      </c>
      <c r="HN50">
        <v>61.6738</v>
      </c>
      <c r="HO50">
        <v>28.6739</v>
      </c>
      <c r="HP50">
        <v>1</v>
      </c>
      <c r="HQ50">
        <v>0.0176067</v>
      </c>
      <c r="HR50">
        <v>0.51085</v>
      </c>
      <c r="HS50">
        <v>20.2943</v>
      </c>
      <c r="HT50">
        <v>5.22253</v>
      </c>
      <c r="HU50">
        <v>11.9764</v>
      </c>
      <c r="HV50">
        <v>4.9654</v>
      </c>
      <c r="HW50">
        <v>3.27598</v>
      </c>
      <c r="HX50">
        <v>9999</v>
      </c>
      <c r="HY50">
        <v>9999</v>
      </c>
      <c r="HZ50">
        <v>9999</v>
      </c>
      <c r="IA50">
        <v>999.9</v>
      </c>
      <c r="IB50">
        <v>1.86416</v>
      </c>
      <c r="IC50">
        <v>1.86036</v>
      </c>
      <c r="ID50">
        <v>1.85869</v>
      </c>
      <c r="IE50">
        <v>1.86003</v>
      </c>
      <c r="IF50">
        <v>1.86011</v>
      </c>
      <c r="IG50">
        <v>1.85867</v>
      </c>
      <c r="IH50">
        <v>1.85775</v>
      </c>
      <c r="II50">
        <v>1.85267</v>
      </c>
      <c r="IJ50">
        <v>0</v>
      </c>
      <c r="IK50">
        <v>0</v>
      </c>
      <c r="IL50">
        <v>0</v>
      </c>
      <c r="IM50">
        <v>0</v>
      </c>
      <c r="IN50" t="s">
        <v>441</v>
      </c>
      <c r="IO50" t="s">
        <v>442</v>
      </c>
      <c r="IP50" t="s">
        <v>443</v>
      </c>
      <c r="IQ50" t="s">
        <v>443</v>
      </c>
      <c r="IR50" t="s">
        <v>443</v>
      </c>
      <c r="IS50" t="s">
        <v>443</v>
      </c>
      <c r="IT50">
        <v>0</v>
      </c>
      <c r="IU50">
        <v>100</v>
      </c>
      <c r="IV50">
        <v>100</v>
      </c>
      <c r="IW50">
        <v>-0.077</v>
      </c>
      <c r="IX50">
        <v>0.078</v>
      </c>
      <c r="IY50">
        <v>-0.08800204840874712</v>
      </c>
      <c r="IZ50">
        <v>0.0001583678016168383</v>
      </c>
      <c r="JA50">
        <v>1.526473431467286E-06</v>
      </c>
      <c r="JB50">
        <v>-4.446382740029455E-10</v>
      </c>
      <c r="JC50">
        <v>-0.04448760191042921</v>
      </c>
      <c r="JD50">
        <v>-0.009941991807247691</v>
      </c>
      <c r="JE50">
        <v>0.001256427533001032</v>
      </c>
      <c r="JF50">
        <v>-1.689728105039484E-05</v>
      </c>
      <c r="JG50">
        <v>2</v>
      </c>
      <c r="JH50">
        <v>1984</v>
      </c>
      <c r="JI50">
        <v>0</v>
      </c>
      <c r="JJ50">
        <v>25</v>
      </c>
      <c r="JK50">
        <v>1.2</v>
      </c>
      <c r="JL50">
        <v>1.2</v>
      </c>
      <c r="JM50">
        <v>0.0305176</v>
      </c>
      <c r="JN50">
        <v>4.99634</v>
      </c>
      <c r="JO50">
        <v>1.49658</v>
      </c>
      <c r="JP50">
        <v>2.34619</v>
      </c>
      <c r="JQ50">
        <v>1.54907</v>
      </c>
      <c r="JR50">
        <v>2.46704</v>
      </c>
      <c r="JS50">
        <v>38.5995</v>
      </c>
      <c r="JT50">
        <v>23.8774</v>
      </c>
      <c r="JU50">
        <v>18</v>
      </c>
      <c r="JV50">
        <v>480.86</v>
      </c>
      <c r="JW50">
        <v>472.747</v>
      </c>
      <c r="JX50">
        <v>23.7338</v>
      </c>
      <c r="JY50">
        <v>27.4253</v>
      </c>
      <c r="JZ50">
        <v>29.9998</v>
      </c>
      <c r="KA50">
        <v>27.7747</v>
      </c>
      <c r="KB50">
        <v>27.8012</v>
      </c>
      <c r="KC50">
        <v>0</v>
      </c>
      <c r="KD50">
        <v>14.3756</v>
      </c>
      <c r="KE50">
        <v>10.9654</v>
      </c>
      <c r="KF50">
        <v>23.7474</v>
      </c>
      <c r="KG50">
        <v>0</v>
      </c>
      <c r="KH50">
        <v>17.6169</v>
      </c>
      <c r="KI50">
        <v>102.347</v>
      </c>
      <c r="KJ50">
        <v>91.7323</v>
      </c>
    </row>
    <row r="51" spans="1:296">
      <c r="A51">
        <v>33</v>
      </c>
      <c r="B51">
        <v>1765303829</v>
      </c>
      <c r="C51">
        <v>6396</v>
      </c>
      <c r="D51" t="s">
        <v>541</v>
      </c>
      <c r="E51" t="s">
        <v>542</v>
      </c>
      <c r="F51">
        <v>5</v>
      </c>
      <c r="G51" t="s">
        <v>524</v>
      </c>
      <c r="H51">
        <v>1765303821</v>
      </c>
      <c r="I51">
        <f>(J51)/1000</f>
        <v>0</v>
      </c>
      <c r="J51">
        <f>IF(DO51, AM51, AG51)</f>
        <v>0</v>
      </c>
      <c r="K51">
        <f>IF(DO51, AH51, AF51)</f>
        <v>0</v>
      </c>
      <c r="L51">
        <f>DQ51 - IF(AT51&gt;1, K51*DK51*100.0/(AV51), 0)</f>
        <v>0</v>
      </c>
      <c r="M51">
        <f>((S51-I51/2)*L51-K51)/(S51+I51/2)</f>
        <v>0</v>
      </c>
      <c r="N51">
        <f>M51*(DX51+DY51)/1000.0</f>
        <v>0</v>
      </c>
      <c r="O51">
        <f>(DQ51 - IF(AT51&gt;1, K51*DK51*100.0/(AV51), 0))*(DX51+DY51)/1000.0</f>
        <v>0</v>
      </c>
      <c r="P51">
        <f>2.0/((1/R51-1/Q51)+SIGN(R51)*SQRT((1/R51-1/Q51)*(1/R51-1/Q51) + 4*DL51/((DL51+1)*(DL51+1))*(2*1/R51*1/Q51-1/Q51*1/Q51)))</f>
        <v>0</v>
      </c>
      <c r="Q51">
        <f>IF(LEFT(DM51,1)&lt;&gt;"0",IF(LEFT(DM51,1)="1",3.0,DN51),$D$5+$E$5*(EE51*DX51/($K$5*1000))+$F$5*(EE51*DX51/($K$5*1000))*MAX(MIN(DK51,$J$5),$I$5)*MAX(MIN(DK51,$J$5),$I$5)+$G$5*MAX(MIN(DK51,$J$5),$I$5)*(EE51*DX51/($K$5*1000))+$H$5*(EE51*DX51/($K$5*1000))*(EE51*DX51/($K$5*1000)))</f>
        <v>0</v>
      </c>
      <c r="R51">
        <f>I51*(1000-(1000*0.61365*exp(17.502*V51/(240.97+V51))/(DX51+DY51)+DS51)/2)/(1000*0.61365*exp(17.502*V51/(240.97+V51))/(DX51+DY51)-DS51)</f>
        <v>0</v>
      </c>
      <c r="S51">
        <f>1/((DL51+1)/(P51/1.6)+1/(Q51/1.37)) + DL51/((DL51+1)/(P51/1.6) + DL51/(Q51/1.37))</f>
        <v>0</v>
      </c>
      <c r="T51">
        <f>(DG51*DJ51)</f>
        <v>0</v>
      </c>
      <c r="U51">
        <f>(DZ51+(T51+2*0.95*5.67E-8*(((DZ51+$B$9)+273)^4-(DZ51+273)^4)-44100*I51)/(1.84*29.3*Q51+8*0.95*5.67E-8*(DZ51+273)^3))</f>
        <v>0</v>
      </c>
      <c r="V51">
        <f>($C$9*EA51+$D$9*EB51+$E$9*U51)</f>
        <v>0</v>
      </c>
      <c r="W51">
        <f>0.61365*exp(17.502*V51/(240.97+V51))</f>
        <v>0</v>
      </c>
      <c r="X51">
        <f>(Y51/Z51*100)</f>
        <v>0</v>
      </c>
      <c r="Y51">
        <f>DS51*(DX51+DY51)/1000</f>
        <v>0</v>
      </c>
      <c r="Z51">
        <f>0.61365*exp(17.502*DZ51/(240.97+DZ51))</f>
        <v>0</v>
      </c>
      <c r="AA51">
        <f>(W51-DS51*(DX51+DY51)/1000)</f>
        <v>0</v>
      </c>
      <c r="AB51">
        <f>(-I51*44100)</f>
        <v>0</v>
      </c>
      <c r="AC51">
        <f>2*29.3*Q51*0.92*(DZ51-V51)</f>
        <v>0</v>
      </c>
      <c r="AD51">
        <f>2*0.95*5.67E-8*(((DZ51+$B$9)+273)^4-(V51+273)^4)</f>
        <v>0</v>
      </c>
      <c r="AE51">
        <f>T51+AD51+AB51+AC51</f>
        <v>0</v>
      </c>
      <c r="AF51">
        <f>DW51*AT51*(DR51-DQ51*(1000-AT51*DT51)/(1000-AT51*DS51))/(100*DK51)</f>
        <v>0</v>
      </c>
      <c r="AG51">
        <f>1000*DW51*AT51*(DS51-DT51)/(100*DK51*(1000-AT51*DS51))</f>
        <v>0</v>
      </c>
      <c r="AH51">
        <f>(AI51 - AJ51 - DX51*1E3/(8.314*(DZ51+273.15)) * AL51/DW51 * AK51) * DW51/(100*DK51) * (1000 - DT51)/1000</f>
        <v>0</v>
      </c>
      <c r="AI51">
        <v>407.3166484848483</v>
      </c>
      <c r="AJ51">
        <v>407.3156909090908</v>
      </c>
      <c r="AK51">
        <v>-0.001373521370369611</v>
      </c>
      <c r="AL51">
        <v>64.11912930153842</v>
      </c>
      <c r="AM51">
        <f>(AO51 - AN51 + DX51*1E3/(8.314*(DZ51+273.15)) * AQ51/DW51 * AP51) * DW51/(100*DK51) * 1000/(1000 - AO51)</f>
        <v>0</v>
      </c>
      <c r="AN51">
        <v>17.55058545454544</v>
      </c>
      <c r="AO51">
        <v>17.63054060606061</v>
      </c>
      <c r="AP51">
        <v>-3.034369670748722E-05</v>
      </c>
      <c r="AQ51">
        <v>102.0923541786511</v>
      </c>
      <c r="AR51">
        <v>0</v>
      </c>
      <c r="AS51">
        <v>0</v>
      </c>
      <c r="AT51">
        <f>IF(AR51*$H$15&gt;=AV51,1.0,(AV51/(AV51-AR51*$H$15)))</f>
        <v>0</v>
      </c>
      <c r="AU51">
        <f>(AT51-1)*100</f>
        <v>0</v>
      </c>
      <c r="AV51">
        <f>MAX(0,($B$15+$C$15*EE51)/(1+$D$15*EE51)*DX51/(DZ51+273)*$E$15)</f>
        <v>0</v>
      </c>
      <c r="AW51" t="s">
        <v>437</v>
      </c>
      <c r="AX51" t="s">
        <v>437</v>
      </c>
      <c r="AY51">
        <v>0</v>
      </c>
      <c r="AZ51">
        <v>0</v>
      </c>
      <c r="BA51">
        <f>1-AY51/AZ51</f>
        <v>0</v>
      </c>
      <c r="BB51">
        <v>0</v>
      </c>
      <c r="BC51" t="s">
        <v>437</v>
      </c>
      <c r="BD51" t="s">
        <v>437</v>
      </c>
      <c r="BE51">
        <v>0</v>
      </c>
      <c r="BF51">
        <v>0</v>
      </c>
      <c r="BG51">
        <f>1-BE51/BF51</f>
        <v>0</v>
      </c>
      <c r="BH51">
        <v>0.5</v>
      </c>
      <c r="BI51">
        <f>DH51</f>
        <v>0</v>
      </c>
      <c r="BJ51">
        <f>K51</f>
        <v>0</v>
      </c>
      <c r="BK51">
        <f>BG51*BH51*BI51</f>
        <v>0</v>
      </c>
      <c r="BL51">
        <f>(BJ51-BB51)/BI51</f>
        <v>0</v>
      </c>
      <c r="BM51">
        <f>(AZ51-BF51)/BF51</f>
        <v>0</v>
      </c>
      <c r="BN51">
        <f>AY51/(BA51+AY51/BF51)</f>
        <v>0</v>
      </c>
      <c r="BO51" t="s">
        <v>437</v>
      </c>
      <c r="BP51">
        <v>0</v>
      </c>
      <c r="BQ51">
        <f>IF(BP51&lt;&gt;0, BP51, BN51)</f>
        <v>0</v>
      </c>
      <c r="BR51">
        <f>1-BQ51/BF51</f>
        <v>0</v>
      </c>
      <c r="BS51">
        <f>(BF51-BE51)/(BF51-BQ51)</f>
        <v>0</v>
      </c>
      <c r="BT51">
        <f>(AZ51-BF51)/(AZ51-BQ51)</f>
        <v>0</v>
      </c>
      <c r="BU51">
        <f>(BF51-BE51)/(BF51-AY51)</f>
        <v>0</v>
      </c>
      <c r="BV51">
        <f>(AZ51-BF51)/(AZ51-AY51)</f>
        <v>0</v>
      </c>
      <c r="BW51">
        <f>(BS51*BQ51/BE51)</f>
        <v>0</v>
      </c>
      <c r="BX51">
        <f>(1-BW51)</f>
        <v>0</v>
      </c>
      <c r="DG51">
        <f>$B$13*EF51+$C$13*EG51+$F$13*ER51*(1-EU51)</f>
        <v>0</v>
      </c>
      <c r="DH51">
        <f>DG51*DI51</f>
        <v>0</v>
      </c>
      <c r="DI51">
        <f>($B$13*$D$11+$C$13*$D$11+$F$13*((FE51+EW51)/MAX(FE51+EW51+FF51, 0.1)*$I$11+FF51/MAX(FE51+EW51+FF51, 0.1)*$J$11))/($B$13+$C$13+$F$13)</f>
        <v>0</v>
      </c>
      <c r="DJ51">
        <f>($B$13*$K$11+$C$13*$K$11+$F$13*((FE51+EW51)/MAX(FE51+EW51+FF51, 0.1)*$P$11+FF51/MAX(FE51+EW51+FF51, 0.1)*$Q$11))/($B$13+$C$13+$F$13)</f>
        <v>0</v>
      </c>
      <c r="DK51">
        <v>5.66</v>
      </c>
      <c r="DL51">
        <v>0.5</v>
      </c>
      <c r="DM51" t="s">
        <v>438</v>
      </c>
      <c r="DN51">
        <v>2</v>
      </c>
      <c r="DO51" t="b">
        <v>1</v>
      </c>
      <c r="DP51">
        <v>1765303821</v>
      </c>
      <c r="DQ51">
        <v>400.0950967741936</v>
      </c>
      <c r="DR51">
        <v>400.1615806451613</v>
      </c>
      <c r="DS51">
        <v>17.63552580645161</v>
      </c>
      <c r="DT51">
        <v>17.56024516129033</v>
      </c>
      <c r="DU51">
        <v>399.9960967741936</v>
      </c>
      <c r="DV51">
        <v>17.55952580645161</v>
      </c>
      <c r="DW51">
        <v>500.0186774193548</v>
      </c>
      <c r="DX51">
        <v>90.05035483870968</v>
      </c>
      <c r="DY51">
        <v>0.1000109580645161</v>
      </c>
      <c r="DZ51">
        <v>25.10597096774194</v>
      </c>
      <c r="EA51">
        <v>24.99527419354839</v>
      </c>
      <c r="EB51">
        <v>999.9000000000003</v>
      </c>
      <c r="EC51">
        <v>0</v>
      </c>
      <c r="ED51">
        <v>0</v>
      </c>
      <c r="EE51">
        <v>9999.497096774194</v>
      </c>
      <c r="EF51">
        <v>0</v>
      </c>
      <c r="EG51">
        <v>9.532109999999998</v>
      </c>
      <c r="EH51">
        <v>0.03669689967741935</v>
      </c>
      <c r="EI51">
        <v>407.3833548387097</v>
      </c>
      <c r="EJ51">
        <v>407.314064516129</v>
      </c>
      <c r="EK51">
        <v>0.07713145483870967</v>
      </c>
      <c r="EL51">
        <v>400.1615806451613</v>
      </c>
      <c r="EM51">
        <v>17.56024516129033</v>
      </c>
      <c r="EN51">
        <v>1.588251290322581</v>
      </c>
      <c r="EO51">
        <v>1.581306774193548</v>
      </c>
      <c r="EP51">
        <v>13.8453</v>
      </c>
      <c r="EQ51">
        <v>13.77781935483871</v>
      </c>
      <c r="ER51">
        <v>799.9773548387095</v>
      </c>
      <c r="ES51">
        <v>0.9500098387096776</v>
      </c>
      <c r="ET51">
        <v>0.04999036774193549</v>
      </c>
      <c r="EU51">
        <v>0</v>
      </c>
      <c r="EV51">
        <v>859.2412258064517</v>
      </c>
      <c r="EW51">
        <v>5.000779999999999</v>
      </c>
      <c r="EX51">
        <v>6523.946129032258</v>
      </c>
      <c r="EY51">
        <v>6463.253225806452</v>
      </c>
      <c r="EZ51">
        <v>37.53796774193548</v>
      </c>
      <c r="FA51">
        <v>41.19338709677419</v>
      </c>
      <c r="FB51">
        <v>39.73770967741935</v>
      </c>
      <c r="FC51">
        <v>41.75383870967742</v>
      </c>
      <c r="FD51">
        <v>39.8646451612903</v>
      </c>
      <c r="FE51">
        <v>755.2361290322582</v>
      </c>
      <c r="FF51">
        <v>39.74</v>
      </c>
      <c r="FG51">
        <v>0</v>
      </c>
      <c r="FH51">
        <v>1765303828.1</v>
      </c>
      <c r="FI51">
        <v>0</v>
      </c>
      <c r="FJ51">
        <v>859.2466923076923</v>
      </c>
      <c r="FK51">
        <v>-1.450393157206533</v>
      </c>
      <c r="FL51">
        <v>-0.5018803072049474</v>
      </c>
      <c r="FM51">
        <v>6523.969999999999</v>
      </c>
      <c r="FN51">
        <v>15</v>
      </c>
      <c r="FO51">
        <v>1765303845</v>
      </c>
      <c r="FP51" t="s">
        <v>543</v>
      </c>
      <c r="FQ51">
        <v>1765303842</v>
      </c>
      <c r="FR51">
        <v>1765303845</v>
      </c>
      <c r="FS51">
        <v>34</v>
      </c>
      <c r="FT51">
        <v>-0.103</v>
      </c>
      <c r="FU51">
        <v>-0</v>
      </c>
      <c r="FV51">
        <v>0.099</v>
      </c>
      <c r="FW51">
        <v>0.076</v>
      </c>
      <c r="FX51">
        <v>400</v>
      </c>
      <c r="FY51">
        <v>18</v>
      </c>
      <c r="FZ51">
        <v>0.51</v>
      </c>
      <c r="GA51">
        <v>0.19</v>
      </c>
      <c r="GB51">
        <v>0.05336633268292684</v>
      </c>
      <c r="GC51">
        <v>-0.2078982986759584</v>
      </c>
      <c r="GD51">
        <v>0.06347657049776094</v>
      </c>
      <c r="GE51">
        <v>1</v>
      </c>
      <c r="GF51">
        <v>859.3213529411765</v>
      </c>
      <c r="GG51">
        <v>-1.457570659302685</v>
      </c>
      <c r="GH51">
        <v>0.2423035143772849</v>
      </c>
      <c r="GI51">
        <v>0</v>
      </c>
      <c r="GJ51">
        <v>0.0767608268292683</v>
      </c>
      <c r="GK51">
        <v>0.00953560557491296</v>
      </c>
      <c r="GL51">
        <v>0.00172621536570394</v>
      </c>
      <c r="GM51">
        <v>1</v>
      </c>
      <c r="GN51">
        <v>2</v>
      </c>
      <c r="GO51">
        <v>3</v>
      </c>
      <c r="GP51" t="s">
        <v>453</v>
      </c>
      <c r="GQ51">
        <v>3.10822</v>
      </c>
      <c r="GR51">
        <v>2.7915</v>
      </c>
      <c r="GS51">
        <v>0.0846365</v>
      </c>
      <c r="GT51">
        <v>0.0847135</v>
      </c>
      <c r="GU51">
        <v>0.0869249</v>
      </c>
      <c r="GV51">
        <v>0.0874332</v>
      </c>
      <c r="GW51">
        <v>24037.9</v>
      </c>
      <c r="GX51">
        <v>21824.2</v>
      </c>
      <c r="GY51">
        <v>26818.2</v>
      </c>
      <c r="GZ51">
        <v>24050.3</v>
      </c>
      <c r="HA51">
        <v>39134.3</v>
      </c>
      <c r="HB51">
        <v>32390.6</v>
      </c>
      <c r="HC51">
        <v>46807</v>
      </c>
      <c r="HD51">
        <v>38032.1</v>
      </c>
      <c r="HE51">
        <v>1.89223</v>
      </c>
      <c r="HF51">
        <v>1.8356</v>
      </c>
      <c r="HG51">
        <v>0.0706054</v>
      </c>
      <c r="HH51">
        <v>0</v>
      </c>
      <c r="HI51">
        <v>23.837</v>
      </c>
      <c r="HJ51">
        <v>999.9</v>
      </c>
      <c r="HK51">
        <v>35.1</v>
      </c>
      <c r="HL51">
        <v>34</v>
      </c>
      <c r="HM51">
        <v>20.8259</v>
      </c>
      <c r="HN51">
        <v>61.3538</v>
      </c>
      <c r="HO51">
        <v>28.5697</v>
      </c>
      <c r="HP51">
        <v>1</v>
      </c>
      <c r="HQ51">
        <v>0.0112779</v>
      </c>
      <c r="HR51">
        <v>0.386356</v>
      </c>
      <c r="HS51">
        <v>20.2949</v>
      </c>
      <c r="HT51">
        <v>5.21804</v>
      </c>
      <c r="HU51">
        <v>11.9791</v>
      </c>
      <c r="HV51">
        <v>4.96555</v>
      </c>
      <c r="HW51">
        <v>3.27598</v>
      </c>
      <c r="HX51">
        <v>9999</v>
      </c>
      <c r="HY51">
        <v>9999</v>
      </c>
      <c r="HZ51">
        <v>9999</v>
      </c>
      <c r="IA51">
        <v>999.9</v>
      </c>
      <c r="IB51">
        <v>1.86415</v>
      </c>
      <c r="IC51">
        <v>1.86035</v>
      </c>
      <c r="ID51">
        <v>1.85867</v>
      </c>
      <c r="IE51">
        <v>1.85997</v>
      </c>
      <c r="IF51">
        <v>1.86006</v>
      </c>
      <c r="IG51">
        <v>1.85865</v>
      </c>
      <c r="IH51">
        <v>1.85772</v>
      </c>
      <c r="II51">
        <v>1.8526</v>
      </c>
      <c r="IJ51">
        <v>0</v>
      </c>
      <c r="IK51">
        <v>0</v>
      </c>
      <c r="IL51">
        <v>0</v>
      </c>
      <c r="IM51">
        <v>0</v>
      </c>
      <c r="IN51" t="s">
        <v>441</v>
      </c>
      <c r="IO51" t="s">
        <v>442</v>
      </c>
      <c r="IP51" t="s">
        <v>443</v>
      </c>
      <c r="IQ51" t="s">
        <v>443</v>
      </c>
      <c r="IR51" t="s">
        <v>443</v>
      </c>
      <c r="IS51" t="s">
        <v>443</v>
      </c>
      <c r="IT51">
        <v>0</v>
      </c>
      <c r="IU51">
        <v>100</v>
      </c>
      <c r="IV51">
        <v>100</v>
      </c>
      <c r="IW51">
        <v>0.099</v>
      </c>
      <c r="IX51">
        <v>0.076</v>
      </c>
      <c r="IY51">
        <v>-0.07705835057792484</v>
      </c>
      <c r="IZ51">
        <v>0.0001583678016168383</v>
      </c>
      <c r="JA51">
        <v>1.526473431467286E-06</v>
      </c>
      <c r="JB51">
        <v>-4.446382740029455E-10</v>
      </c>
      <c r="JC51">
        <v>-0.04349133298810882</v>
      </c>
      <c r="JD51">
        <v>-0.009941991807247691</v>
      </c>
      <c r="JE51">
        <v>0.001256427533001032</v>
      </c>
      <c r="JF51">
        <v>-1.689728105039484E-05</v>
      </c>
      <c r="JG51">
        <v>2</v>
      </c>
      <c r="JH51">
        <v>1984</v>
      </c>
      <c r="JI51">
        <v>0</v>
      </c>
      <c r="JJ51">
        <v>25</v>
      </c>
      <c r="JK51">
        <v>1.5</v>
      </c>
      <c r="JL51">
        <v>1.5</v>
      </c>
      <c r="JM51">
        <v>1.09497</v>
      </c>
      <c r="JN51">
        <v>2.63306</v>
      </c>
      <c r="JO51">
        <v>1.49658</v>
      </c>
      <c r="JP51">
        <v>2.34619</v>
      </c>
      <c r="JQ51">
        <v>1.54907</v>
      </c>
      <c r="JR51">
        <v>2.42676</v>
      </c>
      <c r="JS51">
        <v>38.5504</v>
      </c>
      <c r="JT51">
        <v>23.8949</v>
      </c>
      <c r="JU51">
        <v>18</v>
      </c>
      <c r="JV51">
        <v>480.708</v>
      </c>
      <c r="JW51">
        <v>473.528</v>
      </c>
      <c r="JX51">
        <v>23.8567</v>
      </c>
      <c r="JY51">
        <v>27.3262</v>
      </c>
      <c r="JZ51">
        <v>29.9998</v>
      </c>
      <c r="KA51">
        <v>27.6762</v>
      </c>
      <c r="KB51">
        <v>27.7025</v>
      </c>
      <c r="KC51">
        <v>22.0284</v>
      </c>
      <c r="KD51">
        <v>14.9408</v>
      </c>
      <c r="KE51">
        <v>11.3541</v>
      </c>
      <c r="KF51">
        <v>23.8568</v>
      </c>
      <c r="KG51">
        <v>400</v>
      </c>
      <c r="KH51">
        <v>17.606</v>
      </c>
      <c r="KI51">
        <v>102.358</v>
      </c>
      <c r="KJ51">
        <v>91.73609999999999</v>
      </c>
    </row>
    <row r="52" spans="1:296">
      <c r="A52">
        <v>34</v>
      </c>
      <c r="B52">
        <v>1765303906</v>
      </c>
      <c r="C52">
        <v>6473</v>
      </c>
      <c r="D52" t="s">
        <v>544</v>
      </c>
      <c r="E52" t="s">
        <v>545</v>
      </c>
      <c r="F52">
        <v>5</v>
      </c>
      <c r="G52" t="s">
        <v>524</v>
      </c>
      <c r="H52">
        <v>1765303898</v>
      </c>
      <c r="I52">
        <f>(J52)/1000</f>
        <v>0</v>
      </c>
      <c r="J52">
        <f>IF(DO52, AM52, AG52)</f>
        <v>0</v>
      </c>
      <c r="K52">
        <f>IF(DO52, AH52, AF52)</f>
        <v>0</v>
      </c>
      <c r="L52">
        <f>DQ52 - IF(AT52&gt;1, K52*DK52*100.0/(AV52), 0)</f>
        <v>0</v>
      </c>
      <c r="M52">
        <f>((S52-I52/2)*L52-K52)/(S52+I52/2)</f>
        <v>0</v>
      </c>
      <c r="N52">
        <f>M52*(DX52+DY52)/1000.0</f>
        <v>0</v>
      </c>
      <c r="O52">
        <f>(DQ52 - IF(AT52&gt;1, K52*DK52*100.0/(AV52), 0))*(DX52+DY52)/1000.0</f>
        <v>0</v>
      </c>
      <c r="P52">
        <f>2.0/((1/R52-1/Q52)+SIGN(R52)*SQRT((1/R52-1/Q52)*(1/R52-1/Q52) + 4*DL52/((DL52+1)*(DL52+1))*(2*1/R52*1/Q52-1/Q52*1/Q52)))</f>
        <v>0</v>
      </c>
      <c r="Q52">
        <f>IF(LEFT(DM52,1)&lt;&gt;"0",IF(LEFT(DM52,1)="1",3.0,DN52),$D$5+$E$5*(EE52*DX52/($K$5*1000))+$F$5*(EE52*DX52/($K$5*1000))*MAX(MIN(DK52,$J$5),$I$5)*MAX(MIN(DK52,$J$5),$I$5)+$G$5*MAX(MIN(DK52,$J$5),$I$5)*(EE52*DX52/($K$5*1000))+$H$5*(EE52*DX52/($K$5*1000))*(EE52*DX52/($K$5*1000)))</f>
        <v>0</v>
      </c>
      <c r="R52">
        <f>I52*(1000-(1000*0.61365*exp(17.502*V52/(240.97+V52))/(DX52+DY52)+DS52)/2)/(1000*0.61365*exp(17.502*V52/(240.97+V52))/(DX52+DY52)-DS52)</f>
        <v>0</v>
      </c>
      <c r="S52">
        <f>1/((DL52+1)/(P52/1.6)+1/(Q52/1.37)) + DL52/((DL52+1)/(P52/1.6) + DL52/(Q52/1.37))</f>
        <v>0</v>
      </c>
      <c r="T52">
        <f>(DG52*DJ52)</f>
        <v>0</v>
      </c>
      <c r="U52">
        <f>(DZ52+(T52+2*0.95*5.67E-8*(((DZ52+$B$9)+273)^4-(DZ52+273)^4)-44100*I52)/(1.84*29.3*Q52+8*0.95*5.67E-8*(DZ52+273)^3))</f>
        <v>0</v>
      </c>
      <c r="V52">
        <f>($C$9*EA52+$D$9*EB52+$E$9*U52)</f>
        <v>0</v>
      </c>
      <c r="W52">
        <f>0.61365*exp(17.502*V52/(240.97+V52))</f>
        <v>0</v>
      </c>
      <c r="X52">
        <f>(Y52/Z52*100)</f>
        <v>0</v>
      </c>
      <c r="Y52">
        <f>DS52*(DX52+DY52)/1000</f>
        <v>0</v>
      </c>
      <c r="Z52">
        <f>0.61365*exp(17.502*DZ52/(240.97+DZ52))</f>
        <v>0</v>
      </c>
      <c r="AA52">
        <f>(W52-DS52*(DX52+DY52)/1000)</f>
        <v>0</v>
      </c>
      <c r="AB52">
        <f>(-I52*44100)</f>
        <v>0</v>
      </c>
      <c r="AC52">
        <f>2*29.3*Q52*0.92*(DZ52-V52)</f>
        <v>0</v>
      </c>
      <c r="AD52">
        <f>2*0.95*5.67E-8*(((DZ52+$B$9)+273)^4-(V52+273)^4)</f>
        <v>0</v>
      </c>
      <c r="AE52">
        <f>T52+AD52+AB52+AC52</f>
        <v>0</v>
      </c>
      <c r="AF52">
        <f>DW52*AT52*(DR52-DQ52*(1000-AT52*DT52)/(1000-AT52*DS52))/(100*DK52)</f>
        <v>0</v>
      </c>
      <c r="AG52">
        <f>1000*DW52*AT52*(DS52-DT52)/(100*DK52*(1000-AT52*DS52))</f>
        <v>0</v>
      </c>
      <c r="AH52">
        <f>(AI52 - AJ52 - DX52*1E3/(8.314*(DZ52+273.15)) * AL52/DW52 * AK52) * DW52/(100*DK52) * (1000 - DT52)/1000</f>
        <v>0</v>
      </c>
      <c r="AI52">
        <v>407.2793967894341</v>
      </c>
      <c r="AJ52">
        <v>407.2927818181818</v>
      </c>
      <c r="AK52">
        <v>9.97531928708037E-05</v>
      </c>
      <c r="AL52">
        <v>65.80262718306069</v>
      </c>
      <c r="AM52">
        <f>(AO52 - AN52 + DX52*1E3/(8.314*(DZ52+273.15)) * AQ52/DW52 * AP52) * DW52/(100*DK52) * 1000/(1000 - AO52)</f>
        <v>0</v>
      </c>
      <c r="AN52">
        <v>17.69584017239005</v>
      </c>
      <c r="AO52">
        <v>17.74537939393939</v>
      </c>
      <c r="AP52">
        <v>-8.733867800121865E-06</v>
      </c>
      <c r="AQ52">
        <v>107.5509743763453</v>
      </c>
      <c r="AR52">
        <v>0</v>
      </c>
      <c r="AS52">
        <v>0</v>
      </c>
      <c r="AT52">
        <f>IF(AR52*$H$15&gt;=AV52,1.0,(AV52/(AV52-AR52*$H$15)))</f>
        <v>0</v>
      </c>
      <c r="AU52">
        <f>(AT52-1)*100</f>
        <v>0</v>
      </c>
      <c r="AV52">
        <f>MAX(0,($B$15+$C$15*EE52)/(1+$D$15*EE52)*DX52/(DZ52+273)*$E$15)</f>
        <v>0</v>
      </c>
      <c r="AW52" t="s">
        <v>437</v>
      </c>
      <c r="AX52" t="s">
        <v>437</v>
      </c>
      <c r="AY52">
        <v>0</v>
      </c>
      <c r="AZ52">
        <v>0</v>
      </c>
      <c r="BA52">
        <f>1-AY52/AZ52</f>
        <v>0</v>
      </c>
      <c r="BB52">
        <v>0</v>
      </c>
      <c r="BC52" t="s">
        <v>437</v>
      </c>
      <c r="BD52" t="s">
        <v>437</v>
      </c>
      <c r="BE52">
        <v>0</v>
      </c>
      <c r="BF52">
        <v>0</v>
      </c>
      <c r="BG52">
        <f>1-BE52/BF52</f>
        <v>0</v>
      </c>
      <c r="BH52">
        <v>0.5</v>
      </c>
      <c r="BI52">
        <f>DH52</f>
        <v>0</v>
      </c>
      <c r="BJ52">
        <f>K52</f>
        <v>0</v>
      </c>
      <c r="BK52">
        <f>BG52*BH52*BI52</f>
        <v>0</v>
      </c>
      <c r="BL52">
        <f>(BJ52-BB52)/BI52</f>
        <v>0</v>
      </c>
      <c r="BM52">
        <f>(AZ52-BF52)/BF52</f>
        <v>0</v>
      </c>
      <c r="BN52">
        <f>AY52/(BA52+AY52/BF52)</f>
        <v>0</v>
      </c>
      <c r="BO52" t="s">
        <v>437</v>
      </c>
      <c r="BP52">
        <v>0</v>
      </c>
      <c r="BQ52">
        <f>IF(BP52&lt;&gt;0, BP52, BN52)</f>
        <v>0</v>
      </c>
      <c r="BR52">
        <f>1-BQ52/BF52</f>
        <v>0</v>
      </c>
      <c r="BS52">
        <f>(BF52-BE52)/(BF52-BQ52)</f>
        <v>0</v>
      </c>
      <c r="BT52">
        <f>(AZ52-BF52)/(AZ52-BQ52)</f>
        <v>0</v>
      </c>
      <c r="BU52">
        <f>(BF52-BE52)/(BF52-AY52)</f>
        <v>0</v>
      </c>
      <c r="BV52">
        <f>(AZ52-BF52)/(AZ52-AY52)</f>
        <v>0</v>
      </c>
      <c r="BW52">
        <f>(BS52*BQ52/BE52)</f>
        <v>0</v>
      </c>
      <c r="BX52">
        <f>(1-BW52)</f>
        <v>0</v>
      </c>
      <c r="DG52">
        <f>$B$13*EF52+$C$13*EG52+$F$13*ER52*(1-EU52)</f>
        <v>0</v>
      </c>
      <c r="DH52">
        <f>DG52*DI52</f>
        <v>0</v>
      </c>
      <c r="DI52">
        <f>($B$13*$D$11+$C$13*$D$11+$F$13*((FE52+EW52)/MAX(FE52+EW52+FF52, 0.1)*$I$11+FF52/MAX(FE52+EW52+FF52, 0.1)*$J$11))/($B$13+$C$13+$F$13)</f>
        <v>0</v>
      </c>
      <c r="DJ52">
        <f>($B$13*$K$11+$C$13*$K$11+$F$13*((FE52+EW52)/MAX(FE52+EW52+FF52, 0.1)*$P$11+FF52/MAX(FE52+EW52+FF52, 0.1)*$Q$11))/($B$13+$C$13+$F$13)</f>
        <v>0</v>
      </c>
      <c r="DK52">
        <v>5.66</v>
      </c>
      <c r="DL52">
        <v>0.5</v>
      </c>
      <c r="DM52" t="s">
        <v>438</v>
      </c>
      <c r="DN52">
        <v>2</v>
      </c>
      <c r="DO52" t="b">
        <v>1</v>
      </c>
      <c r="DP52">
        <v>1765303898</v>
      </c>
      <c r="DQ52">
        <v>399.9697419354839</v>
      </c>
      <c r="DR52">
        <v>400.041129032258</v>
      </c>
      <c r="DS52">
        <v>17.74721612903226</v>
      </c>
      <c r="DT52">
        <v>17.69328387096775</v>
      </c>
      <c r="DU52">
        <v>399.9357419354839</v>
      </c>
      <c r="DV52">
        <v>17.66921612903226</v>
      </c>
      <c r="DW52">
        <v>499.9915483870968</v>
      </c>
      <c r="DX52">
        <v>90.05254516129034</v>
      </c>
      <c r="DY52">
        <v>0.09996989032258065</v>
      </c>
      <c r="DZ52">
        <v>25.14532580645161</v>
      </c>
      <c r="EA52">
        <v>25.00821612903226</v>
      </c>
      <c r="EB52">
        <v>999.9000000000003</v>
      </c>
      <c r="EC52">
        <v>0</v>
      </c>
      <c r="ED52">
        <v>0</v>
      </c>
      <c r="EE52">
        <v>9998.709354838711</v>
      </c>
      <c r="EF52">
        <v>0</v>
      </c>
      <c r="EG52">
        <v>9.532109999999998</v>
      </c>
      <c r="EH52">
        <v>-0.006546510548387097</v>
      </c>
      <c r="EI52">
        <v>407.263</v>
      </c>
      <c r="EJ52">
        <v>407.2466451612904</v>
      </c>
      <c r="EK52">
        <v>0.05558512903225805</v>
      </c>
      <c r="EL52">
        <v>400.041129032258</v>
      </c>
      <c r="EM52">
        <v>17.69328387096775</v>
      </c>
      <c r="EN52">
        <v>1.598330645161291</v>
      </c>
      <c r="EO52">
        <v>1.593326129032258</v>
      </c>
      <c r="EP52">
        <v>13.94272258064516</v>
      </c>
      <c r="EQ52">
        <v>13.89441290322581</v>
      </c>
      <c r="ER52">
        <v>800.0046451612902</v>
      </c>
      <c r="ES52">
        <v>0.950003870967742</v>
      </c>
      <c r="ET52">
        <v>0.04999606774193548</v>
      </c>
      <c r="EU52">
        <v>0</v>
      </c>
      <c r="EV52">
        <v>858.8039354838709</v>
      </c>
      <c r="EW52">
        <v>5.000779999999999</v>
      </c>
      <c r="EX52">
        <v>6506.439032258064</v>
      </c>
      <c r="EY52">
        <v>6463.463225806452</v>
      </c>
      <c r="EZ52">
        <v>37.09248387096773</v>
      </c>
      <c r="FA52">
        <v>39.62883870967741</v>
      </c>
      <c r="FB52">
        <v>38.97358064516128</v>
      </c>
      <c r="FC52">
        <v>39.74577419354839</v>
      </c>
      <c r="FD52">
        <v>38.75590322580645</v>
      </c>
      <c r="FE52">
        <v>755.2564516129036</v>
      </c>
      <c r="FF52">
        <v>39.75</v>
      </c>
      <c r="FG52">
        <v>0</v>
      </c>
      <c r="FH52">
        <v>1765303905.5</v>
      </c>
      <c r="FI52">
        <v>0</v>
      </c>
      <c r="FJ52">
        <v>858.8196399999999</v>
      </c>
      <c r="FK52">
        <v>-0.06169229834824178</v>
      </c>
      <c r="FL52">
        <v>-14.15615382559481</v>
      </c>
      <c r="FM52">
        <v>6506.340800000001</v>
      </c>
      <c r="FN52">
        <v>15</v>
      </c>
      <c r="FO52">
        <v>1765303922</v>
      </c>
      <c r="FP52" t="s">
        <v>546</v>
      </c>
      <c r="FQ52">
        <v>1765303919</v>
      </c>
      <c r="FR52">
        <v>1765303922</v>
      </c>
      <c r="FS52">
        <v>35</v>
      </c>
      <c r="FT52">
        <v>-0.064</v>
      </c>
      <c r="FU52">
        <v>-0.001</v>
      </c>
      <c r="FV52">
        <v>0.034</v>
      </c>
      <c r="FW52">
        <v>0.078</v>
      </c>
      <c r="FX52">
        <v>400</v>
      </c>
      <c r="FY52">
        <v>18</v>
      </c>
      <c r="FZ52">
        <v>0.4</v>
      </c>
      <c r="GA52">
        <v>0.14</v>
      </c>
      <c r="GB52">
        <v>-0.0004653886750000003</v>
      </c>
      <c r="GC52">
        <v>0.01526954666791746</v>
      </c>
      <c r="GD52">
        <v>0.04072341667820181</v>
      </c>
      <c r="GE52">
        <v>1</v>
      </c>
      <c r="GF52">
        <v>858.8245882352941</v>
      </c>
      <c r="GG52">
        <v>-0.1077769227015345</v>
      </c>
      <c r="GH52">
        <v>0.216811943133035</v>
      </c>
      <c r="GI52">
        <v>1</v>
      </c>
      <c r="GJ52">
        <v>0.05542393</v>
      </c>
      <c r="GK52">
        <v>-0.01065409305816135</v>
      </c>
      <c r="GL52">
        <v>0.003905130824966047</v>
      </c>
      <c r="GM52">
        <v>1</v>
      </c>
      <c r="GN52">
        <v>3</v>
      </c>
      <c r="GO52">
        <v>3</v>
      </c>
      <c r="GP52" t="s">
        <v>440</v>
      </c>
      <c r="GQ52">
        <v>3.10833</v>
      </c>
      <c r="GR52">
        <v>2.79168</v>
      </c>
      <c r="GS52">
        <v>0.08465739999999999</v>
      </c>
      <c r="GT52">
        <v>0.08471239999999999</v>
      </c>
      <c r="GU52">
        <v>0.0873502</v>
      </c>
      <c r="GV52">
        <v>0.0880021</v>
      </c>
      <c r="GW52">
        <v>24039.6</v>
      </c>
      <c r="GX52">
        <v>21825.5</v>
      </c>
      <c r="GY52">
        <v>26820.4</v>
      </c>
      <c r="GZ52">
        <v>24051.6</v>
      </c>
      <c r="HA52">
        <v>39119</v>
      </c>
      <c r="HB52">
        <v>32371.7</v>
      </c>
      <c r="HC52">
        <v>46810.8</v>
      </c>
      <c r="HD52">
        <v>38033.8</v>
      </c>
      <c r="HE52">
        <v>1.89293</v>
      </c>
      <c r="HF52">
        <v>1.83665</v>
      </c>
      <c r="HG52">
        <v>0.0710636</v>
      </c>
      <c r="HH52">
        <v>0</v>
      </c>
      <c r="HI52">
        <v>23.8334</v>
      </c>
      <c r="HJ52">
        <v>999.9</v>
      </c>
      <c r="HK52">
        <v>35.1</v>
      </c>
      <c r="HL52">
        <v>34</v>
      </c>
      <c r="HM52">
        <v>20.8248</v>
      </c>
      <c r="HN52">
        <v>61.2438</v>
      </c>
      <c r="HO52">
        <v>28.6378</v>
      </c>
      <c r="HP52">
        <v>1</v>
      </c>
      <c r="HQ52">
        <v>0.00675813</v>
      </c>
      <c r="HR52">
        <v>0.537538</v>
      </c>
      <c r="HS52">
        <v>20.2923</v>
      </c>
      <c r="HT52">
        <v>5.22313</v>
      </c>
      <c r="HU52">
        <v>11.9782</v>
      </c>
      <c r="HV52">
        <v>4.96575</v>
      </c>
      <c r="HW52">
        <v>3.27598</v>
      </c>
      <c r="HX52">
        <v>9999</v>
      </c>
      <c r="HY52">
        <v>9999</v>
      </c>
      <c r="HZ52">
        <v>9999</v>
      </c>
      <c r="IA52">
        <v>999.9</v>
      </c>
      <c r="IB52">
        <v>1.86414</v>
      </c>
      <c r="IC52">
        <v>1.86035</v>
      </c>
      <c r="ID52">
        <v>1.85866</v>
      </c>
      <c r="IE52">
        <v>1.85993</v>
      </c>
      <c r="IF52">
        <v>1.86006</v>
      </c>
      <c r="IG52">
        <v>1.85863</v>
      </c>
      <c r="IH52">
        <v>1.85771</v>
      </c>
      <c r="II52">
        <v>1.85257</v>
      </c>
      <c r="IJ52">
        <v>0</v>
      </c>
      <c r="IK52">
        <v>0</v>
      </c>
      <c r="IL52">
        <v>0</v>
      </c>
      <c r="IM52">
        <v>0</v>
      </c>
      <c r="IN52" t="s">
        <v>441</v>
      </c>
      <c r="IO52" t="s">
        <v>442</v>
      </c>
      <c r="IP52" t="s">
        <v>443</v>
      </c>
      <c r="IQ52" t="s">
        <v>443</v>
      </c>
      <c r="IR52" t="s">
        <v>443</v>
      </c>
      <c r="IS52" t="s">
        <v>443</v>
      </c>
      <c r="IT52">
        <v>0</v>
      </c>
      <c r="IU52">
        <v>100</v>
      </c>
      <c r="IV52">
        <v>100</v>
      </c>
      <c r="IW52">
        <v>0.034</v>
      </c>
      <c r="IX52">
        <v>0.078</v>
      </c>
      <c r="IY52">
        <v>-0.1803614583530856</v>
      </c>
      <c r="IZ52">
        <v>0.0001583678016168383</v>
      </c>
      <c r="JA52">
        <v>1.526473431467286E-06</v>
      </c>
      <c r="JB52">
        <v>-4.446382740029455E-10</v>
      </c>
      <c r="JC52">
        <v>-0.04372055517484716</v>
      </c>
      <c r="JD52">
        <v>-0.009941991807247691</v>
      </c>
      <c r="JE52">
        <v>0.001256427533001032</v>
      </c>
      <c r="JF52">
        <v>-1.689728105039484E-05</v>
      </c>
      <c r="JG52">
        <v>2</v>
      </c>
      <c r="JH52">
        <v>1984</v>
      </c>
      <c r="JI52">
        <v>0</v>
      </c>
      <c r="JJ52">
        <v>25</v>
      </c>
      <c r="JK52">
        <v>1.1</v>
      </c>
      <c r="JL52">
        <v>1</v>
      </c>
      <c r="JM52">
        <v>1.09253</v>
      </c>
      <c r="JN52">
        <v>2.62817</v>
      </c>
      <c r="JO52">
        <v>1.49658</v>
      </c>
      <c r="JP52">
        <v>2.34619</v>
      </c>
      <c r="JQ52">
        <v>1.54907</v>
      </c>
      <c r="JR52">
        <v>2.47314</v>
      </c>
      <c r="JS52">
        <v>38.5014</v>
      </c>
      <c r="JT52">
        <v>23.9036</v>
      </c>
      <c r="JU52">
        <v>18</v>
      </c>
      <c r="JV52">
        <v>480.613</v>
      </c>
      <c r="JW52">
        <v>473.656</v>
      </c>
      <c r="JX52">
        <v>23.754</v>
      </c>
      <c r="JY52">
        <v>27.2637</v>
      </c>
      <c r="JZ52">
        <v>29.9998</v>
      </c>
      <c r="KA52">
        <v>27.6114</v>
      </c>
      <c r="KB52">
        <v>27.6368</v>
      </c>
      <c r="KC52">
        <v>21.9827</v>
      </c>
      <c r="KD52">
        <v>14.0592</v>
      </c>
      <c r="KE52">
        <v>12.1215</v>
      </c>
      <c r="KF52">
        <v>23.752</v>
      </c>
      <c r="KG52">
        <v>400</v>
      </c>
      <c r="KH52">
        <v>17.7283</v>
      </c>
      <c r="KI52">
        <v>102.367</v>
      </c>
      <c r="KJ52">
        <v>91.7405</v>
      </c>
    </row>
    <row r="53" spans="1:296">
      <c r="A53">
        <v>35</v>
      </c>
      <c r="B53">
        <v>1765303999</v>
      </c>
      <c r="C53">
        <v>6566</v>
      </c>
      <c r="D53" t="s">
        <v>547</v>
      </c>
      <c r="E53" t="s">
        <v>548</v>
      </c>
      <c r="F53">
        <v>5</v>
      </c>
      <c r="G53" t="s">
        <v>524</v>
      </c>
      <c r="H53">
        <v>1765303991</v>
      </c>
      <c r="I53">
        <f>(J53)/1000</f>
        <v>0</v>
      </c>
      <c r="J53">
        <f>IF(DO53, AM53, AG53)</f>
        <v>0</v>
      </c>
      <c r="K53">
        <f>IF(DO53, AH53, AF53)</f>
        <v>0</v>
      </c>
      <c r="L53">
        <f>DQ53 - IF(AT53&gt;1, K53*DK53*100.0/(AV53), 0)</f>
        <v>0</v>
      </c>
      <c r="M53">
        <f>((S53-I53/2)*L53-K53)/(S53+I53/2)</f>
        <v>0</v>
      </c>
      <c r="N53">
        <f>M53*(DX53+DY53)/1000.0</f>
        <v>0</v>
      </c>
      <c r="O53">
        <f>(DQ53 - IF(AT53&gt;1, K53*DK53*100.0/(AV53), 0))*(DX53+DY53)/1000.0</f>
        <v>0</v>
      </c>
      <c r="P53">
        <f>2.0/((1/R53-1/Q53)+SIGN(R53)*SQRT((1/R53-1/Q53)*(1/R53-1/Q53) + 4*DL53/((DL53+1)*(DL53+1))*(2*1/R53*1/Q53-1/Q53*1/Q53)))</f>
        <v>0</v>
      </c>
      <c r="Q53">
        <f>IF(LEFT(DM53,1)&lt;&gt;"0",IF(LEFT(DM53,1)="1",3.0,DN53),$D$5+$E$5*(EE53*DX53/($K$5*1000))+$F$5*(EE53*DX53/($K$5*1000))*MAX(MIN(DK53,$J$5),$I$5)*MAX(MIN(DK53,$J$5),$I$5)+$G$5*MAX(MIN(DK53,$J$5),$I$5)*(EE53*DX53/($K$5*1000))+$H$5*(EE53*DX53/($K$5*1000))*(EE53*DX53/($K$5*1000)))</f>
        <v>0</v>
      </c>
      <c r="R53">
        <f>I53*(1000-(1000*0.61365*exp(17.502*V53/(240.97+V53))/(DX53+DY53)+DS53)/2)/(1000*0.61365*exp(17.502*V53/(240.97+V53))/(DX53+DY53)-DS53)</f>
        <v>0</v>
      </c>
      <c r="S53">
        <f>1/((DL53+1)/(P53/1.6)+1/(Q53/1.37)) + DL53/((DL53+1)/(P53/1.6) + DL53/(Q53/1.37))</f>
        <v>0</v>
      </c>
      <c r="T53">
        <f>(DG53*DJ53)</f>
        <v>0</v>
      </c>
      <c r="U53">
        <f>(DZ53+(T53+2*0.95*5.67E-8*(((DZ53+$B$9)+273)^4-(DZ53+273)^4)-44100*I53)/(1.84*29.3*Q53+8*0.95*5.67E-8*(DZ53+273)^3))</f>
        <v>0</v>
      </c>
      <c r="V53">
        <f>($C$9*EA53+$D$9*EB53+$E$9*U53)</f>
        <v>0</v>
      </c>
      <c r="W53">
        <f>0.61365*exp(17.502*V53/(240.97+V53))</f>
        <v>0</v>
      </c>
      <c r="X53">
        <f>(Y53/Z53*100)</f>
        <v>0</v>
      </c>
      <c r="Y53">
        <f>DS53*(DX53+DY53)/1000</f>
        <v>0</v>
      </c>
      <c r="Z53">
        <f>0.61365*exp(17.502*DZ53/(240.97+DZ53))</f>
        <v>0</v>
      </c>
      <c r="AA53">
        <f>(W53-DS53*(DX53+DY53)/1000)</f>
        <v>0</v>
      </c>
      <c r="AB53">
        <f>(-I53*44100)</f>
        <v>0</v>
      </c>
      <c r="AC53">
        <f>2*29.3*Q53*0.92*(DZ53-V53)</f>
        <v>0</v>
      </c>
      <c r="AD53">
        <f>2*0.95*5.67E-8*(((DZ53+$B$9)+273)^4-(V53+273)^4)</f>
        <v>0</v>
      </c>
      <c r="AE53">
        <f>T53+AD53+AB53+AC53</f>
        <v>0</v>
      </c>
      <c r="AF53">
        <f>DW53*AT53*(DR53-DQ53*(1000-AT53*DT53)/(1000-AT53*DS53))/(100*DK53)</f>
        <v>0</v>
      </c>
      <c r="AG53">
        <f>1000*DW53*AT53*(DS53-DT53)/(100*DK53*(1000-AT53*DS53))</f>
        <v>0</v>
      </c>
      <c r="AH53">
        <f>(AI53 - AJ53 - DX53*1E3/(8.314*(DZ53+273.15)) * AL53/DW53 * AK53) * DW53/(100*DK53) * (1000 - DT53)/1000</f>
        <v>0</v>
      </c>
      <c r="AI53">
        <v>610.8919090909088</v>
      </c>
      <c r="AJ53">
        <v>610.4691575757575</v>
      </c>
      <c r="AK53">
        <v>0.02198780286008164</v>
      </c>
      <c r="AL53">
        <v>64.23591435298421</v>
      </c>
      <c r="AM53">
        <f>(AO53 - AN53 + DX53*1E3/(8.314*(DZ53+273.15)) * AQ53/DW53 * AP53) * DW53/(100*DK53) * 1000/(1000 - AO53)</f>
        <v>0</v>
      </c>
      <c r="AN53">
        <v>17.70354787878788</v>
      </c>
      <c r="AO53">
        <v>17.76382969696968</v>
      </c>
      <c r="AP53">
        <v>-1.190267204066118E-05</v>
      </c>
      <c r="AQ53">
        <v>102.1781435596821</v>
      </c>
      <c r="AR53">
        <v>0</v>
      </c>
      <c r="AS53">
        <v>0</v>
      </c>
      <c r="AT53">
        <f>IF(AR53*$H$15&gt;=AV53,1.0,(AV53/(AV53-AR53*$H$15)))</f>
        <v>0</v>
      </c>
      <c r="AU53">
        <f>(AT53-1)*100</f>
        <v>0</v>
      </c>
      <c r="AV53">
        <f>MAX(0,($B$15+$C$15*EE53)/(1+$D$15*EE53)*DX53/(DZ53+273)*$E$15)</f>
        <v>0</v>
      </c>
      <c r="AW53" t="s">
        <v>437</v>
      </c>
      <c r="AX53" t="s">
        <v>437</v>
      </c>
      <c r="AY53">
        <v>0</v>
      </c>
      <c r="AZ53">
        <v>0</v>
      </c>
      <c r="BA53">
        <f>1-AY53/AZ53</f>
        <v>0</v>
      </c>
      <c r="BB53">
        <v>0</v>
      </c>
      <c r="BC53" t="s">
        <v>437</v>
      </c>
      <c r="BD53" t="s">
        <v>437</v>
      </c>
      <c r="BE53">
        <v>0</v>
      </c>
      <c r="BF53">
        <v>0</v>
      </c>
      <c r="BG53">
        <f>1-BE53/BF53</f>
        <v>0</v>
      </c>
      <c r="BH53">
        <v>0.5</v>
      </c>
      <c r="BI53">
        <f>DH53</f>
        <v>0</v>
      </c>
      <c r="BJ53">
        <f>K53</f>
        <v>0</v>
      </c>
      <c r="BK53">
        <f>BG53*BH53*BI53</f>
        <v>0</v>
      </c>
      <c r="BL53">
        <f>(BJ53-BB53)/BI53</f>
        <v>0</v>
      </c>
      <c r="BM53">
        <f>(AZ53-BF53)/BF53</f>
        <v>0</v>
      </c>
      <c r="BN53">
        <f>AY53/(BA53+AY53/BF53)</f>
        <v>0</v>
      </c>
      <c r="BO53" t="s">
        <v>437</v>
      </c>
      <c r="BP53">
        <v>0</v>
      </c>
      <c r="BQ53">
        <f>IF(BP53&lt;&gt;0, BP53, BN53)</f>
        <v>0</v>
      </c>
      <c r="BR53">
        <f>1-BQ53/BF53</f>
        <v>0</v>
      </c>
      <c r="BS53">
        <f>(BF53-BE53)/(BF53-BQ53)</f>
        <v>0</v>
      </c>
      <c r="BT53">
        <f>(AZ53-BF53)/(AZ53-BQ53)</f>
        <v>0</v>
      </c>
      <c r="BU53">
        <f>(BF53-BE53)/(BF53-AY53)</f>
        <v>0</v>
      </c>
      <c r="BV53">
        <f>(AZ53-BF53)/(AZ53-AY53)</f>
        <v>0</v>
      </c>
      <c r="BW53">
        <f>(BS53*BQ53/BE53)</f>
        <v>0</v>
      </c>
      <c r="BX53">
        <f>(1-BW53)</f>
        <v>0</v>
      </c>
      <c r="DG53">
        <f>$B$13*EF53+$C$13*EG53+$F$13*ER53*(1-EU53)</f>
        <v>0</v>
      </c>
      <c r="DH53">
        <f>DG53*DI53</f>
        <v>0</v>
      </c>
      <c r="DI53">
        <f>($B$13*$D$11+$C$13*$D$11+$F$13*((FE53+EW53)/MAX(FE53+EW53+FF53, 0.1)*$I$11+FF53/MAX(FE53+EW53+FF53, 0.1)*$J$11))/($B$13+$C$13+$F$13)</f>
        <v>0</v>
      </c>
      <c r="DJ53">
        <f>($B$13*$K$11+$C$13*$K$11+$F$13*((FE53+EW53)/MAX(FE53+EW53+FF53, 0.1)*$P$11+FF53/MAX(FE53+EW53+FF53, 0.1)*$Q$11))/($B$13+$C$13+$F$13)</f>
        <v>0</v>
      </c>
      <c r="DK53">
        <v>5.66</v>
      </c>
      <c r="DL53">
        <v>0.5</v>
      </c>
      <c r="DM53" t="s">
        <v>438</v>
      </c>
      <c r="DN53">
        <v>2</v>
      </c>
      <c r="DO53" t="b">
        <v>1</v>
      </c>
      <c r="DP53">
        <v>1765303991</v>
      </c>
      <c r="DQ53">
        <v>599.7340967741935</v>
      </c>
      <c r="DR53">
        <v>600.0154516129032</v>
      </c>
      <c r="DS53">
        <v>17.7677064516129</v>
      </c>
      <c r="DT53">
        <v>17.70803870967742</v>
      </c>
      <c r="DU53">
        <v>599.2680967741935</v>
      </c>
      <c r="DV53">
        <v>17.6847064516129</v>
      </c>
      <c r="DW53">
        <v>500.0054838709678</v>
      </c>
      <c r="DX53">
        <v>90.03905483870967</v>
      </c>
      <c r="DY53">
        <v>0.100004064516129</v>
      </c>
      <c r="DZ53">
        <v>25.09945806451613</v>
      </c>
      <c r="EA53">
        <v>24.98400000000001</v>
      </c>
      <c r="EB53">
        <v>999.9000000000003</v>
      </c>
      <c r="EC53">
        <v>0</v>
      </c>
      <c r="ED53">
        <v>0</v>
      </c>
      <c r="EE53">
        <v>10001.87161290323</v>
      </c>
      <c r="EF53">
        <v>0</v>
      </c>
      <c r="EG53">
        <v>9.473699677419354</v>
      </c>
      <c r="EH53">
        <v>-0.4446687096774194</v>
      </c>
      <c r="EI53">
        <v>610.4142903225807</v>
      </c>
      <c r="EJ53">
        <v>610.8321612903226</v>
      </c>
      <c r="EK53">
        <v>0.05605495161290323</v>
      </c>
      <c r="EL53">
        <v>600.0154516129032</v>
      </c>
      <c r="EM53">
        <v>17.70803870967742</v>
      </c>
      <c r="EN53">
        <v>1.59946129032258</v>
      </c>
      <c r="EO53">
        <v>1.594414193548387</v>
      </c>
      <c r="EP53">
        <v>13.95360967741936</v>
      </c>
      <c r="EQ53">
        <v>13.90492580645162</v>
      </c>
      <c r="ER53">
        <v>800.0099999999999</v>
      </c>
      <c r="ES53">
        <v>0.9499922258064518</v>
      </c>
      <c r="ET53">
        <v>0.05000787741935485</v>
      </c>
      <c r="EU53">
        <v>0</v>
      </c>
      <c r="EV53">
        <v>859.276451612903</v>
      </c>
      <c r="EW53">
        <v>5.000779999999999</v>
      </c>
      <c r="EX53">
        <v>6489.62</v>
      </c>
      <c r="EY53">
        <v>6463.481935483872</v>
      </c>
      <c r="EZ53">
        <v>36.22964516129032</v>
      </c>
      <c r="FA53">
        <v>38.47761290322579</v>
      </c>
      <c r="FB53">
        <v>37.80022580645161</v>
      </c>
      <c r="FC53">
        <v>38.1630322580645</v>
      </c>
      <c r="FD53">
        <v>37.82232258064516</v>
      </c>
      <c r="FE53">
        <v>755.2525806451615</v>
      </c>
      <c r="FF53">
        <v>39.76</v>
      </c>
      <c r="FG53">
        <v>0</v>
      </c>
      <c r="FH53">
        <v>1765303998.5</v>
      </c>
      <c r="FI53">
        <v>0</v>
      </c>
      <c r="FJ53">
        <v>859.2854230769232</v>
      </c>
      <c r="FK53">
        <v>0.7633846204635663</v>
      </c>
      <c r="FL53">
        <v>-5.822905955022184</v>
      </c>
      <c r="FM53">
        <v>6489.623846153846</v>
      </c>
      <c r="FN53">
        <v>15</v>
      </c>
      <c r="FO53">
        <v>1765304019.5</v>
      </c>
      <c r="FP53" t="s">
        <v>549</v>
      </c>
      <c r="FQ53">
        <v>1765304019.5</v>
      </c>
      <c r="FR53">
        <v>1765304015</v>
      </c>
      <c r="FS53">
        <v>36</v>
      </c>
      <c r="FT53">
        <v>0.163</v>
      </c>
      <c r="FU53">
        <v>0.004</v>
      </c>
      <c r="FV53">
        <v>0.466</v>
      </c>
      <c r="FW53">
        <v>0.083</v>
      </c>
      <c r="FX53">
        <v>600</v>
      </c>
      <c r="FY53">
        <v>18</v>
      </c>
      <c r="FZ53">
        <v>0.84</v>
      </c>
      <c r="GA53">
        <v>0.18</v>
      </c>
      <c r="GB53">
        <v>-0.4655672926829267</v>
      </c>
      <c r="GC53">
        <v>0.2596476585365855</v>
      </c>
      <c r="GD53">
        <v>0.05211883696091308</v>
      </c>
      <c r="GE53">
        <v>1</v>
      </c>
      <c r="GF53">
        <v>859.2107352941175</v>
      </c>
      <c r="GG53">
        <v>0.8821543212719369</v>
      </c>
      <c r="GH53">
        <v>0.2436277667966505</v>
      </c>
      <c r="GI53">
        <v>1</v>
      </c>
      <c r="GJ53">
        <v>0.05495555365853658</v>
      </c>
      <c r="GK53">
        <v>0.03417442996515688</v>
      </c>
      <c r="GL53">
        <v>0.005205782285164776</v>
      </c>
      <c r="GM53">
        <v>1</v>
      </c>
      <c r="GN53">
        <v>3</v>
      </c>
      <c r="GO53">
        <v>3</v>
      </c>
      <c r="GP53" t="s">
        <v>440</v>
      </c>
      <c r="GQ53">
        <v>3.1085</v>
      </c>
      <c r="GR53">
        <v>2.7916</v>
      </c>
      <c r="GS53">
        <v>0.113809</v>
      </c>
      <c r="GT53">
        <v>0.113956</v>
      </c>
      <c r="GU53">
        <v>0.0874175</v>
      </c>
      <c r="GV53">
        <v>0.0880046</v>
      </c>
      <c r="GW53">
        <v>23276.7</v>
      </c>
      <c r="GX53">
        <v>21129.4</v>
      </c>
      <c r="GY53">
        <v>26823.2</v>
      </c>
      <c r="GZ53">
        <v>24052.6</v>
      </c>
      <c r="HA53">
        <v>39123.4</v>
      </c>
      <c r="HB53">
        <v>32375.2</v>
      </c>
      <c r="HC53">
        <v>46815.5</v>
      </c>
      <c r="HD53">
        <v>38034.6</v>
      </c>
      <c r="HE53">
        <v>1.89385</v>
      </c>
      <c r="HF53">
        <v>1.83792</v>
      </c>
      <c r="HG53">
        <v>0.0705533</v>
      </c>
      <c r="HH53">
        <v>0</v>
      </c>
      <c r="HI53">
        <v>23.8334</v>
      </c>
      <c r="HJ53">
        <v>999.9</v>
      </c>
      <c r="HK53">
        <v>35</v>
      </c>
      <c r="HL53">
        <v>33.9</v>
      </c>
      <c r="HM53">
        <v>20.6535</v>
      </c>
      <c r="HN53">
        <v>60.6438</v>
      </c>
      <c r="HO53">
        <v>28.3213</v>
      </c>
      <c r="HP53">
        <v>1</v>
      </c>
      <c r="HQ53">
        <v>0.00216209</v>
      </c>
      <c r="HR53">
        <v>0.363175</v>
      </c>
      <c r="HS53">
        <v>20.2929</v>
      </c>
      <c r="HT53">
        <v>5.22313</v>
      </c>
      <c r="HU53">
        <v>11.9776</v>
      </c>
      <c r="HV53">
        <v>4.96565</v>
      </c>
      <c r="HW53">
        <v>3.27595</v>
      </c>
      <c r="HX53">
        <v>9999</v>
      </c>
      <c r="HY53">
        <v>9999</v>
      </c>
      <c r="HZ53">
        <v>9999</v>
      </c>
      <c r="IA53">
        <v>999.9</v>
      </c>
      <c r="IB53">
        <v>1.86408</v>
      </c>
      <c r="IC53">
        <v>1.86033</v>
      </c>
      <c r="ID53">
        <v>1.85866</v>
      </c>
      <c r="IE53">
        <v>1.85992</v>
      </c>
      <c r="IF53">
        <v>1.86008</v>
      </c>
      <c r="IG53">
        <v>1.85856</v>
      </c>
      <c r="IH53">
        <v>1.85762</v>
      </c>
      <c r="II53">
        <v>1.85257</v>
      </c>
      <c r="IJ53">
        <v>0</v>
      </c>
      <c r="IK53">
        <v>0</v>
      </c>
      <c r="IL53">
        <v>0</v>
      </c>
      <c r="IM53">
        <v>0</v>
      </c>
      <c r="IN53" t="s">
        <v>441</v>
      </c>
      <c r="IO53" t="s">
        <v>442</v>
      </c>
      <c r="IP53" t="s">
        <v>443</v>
      </c>
      <c r="IQ53" t="s">
        <v>443</v>
      </c>
      <c r="IR53" t="s">
        <v>443</v>
      </c>
      <c r="IS53" t="s">
        <v>443</v>
      </c>
      <c r="IT53">
        <v>0</v>
      </c>
      <c r="IU53">
        <v>100</v>
      </c>
      <c r="IV53">
        <v>100</v>
      </c>
      <c r="IW53">
        <v>0.466</v>
      </c>
      <c r="IX53">
        <v>0.083</v>
      </c>
      <c r="IY53">
        <v>-0.2447616533507761</v>
      </c>
      <c r="IZ53">
        <v>0.0001583678016168383</v>
      </c>
      <c r="JA53">
        <v>1.526473431467286E-06</v>
      </c>
      <c r="JB53">
        <v>-4.446382740029455E-10</v>
      </c>
      <c r="JC53">
        <v>-0.04429445928759736</v>
      </c>
      <c r="JD53">
        <v>-0.009941991807247691</v>
      </c>
      <c r="JE53">
        <v>0.001256427533001032</v>
      </c>
      <c r="JF53">
        <v>-1.689728105039484E-05</v>
      </c>
      <c r="JG53">
        <v>2</v>
      </c>
      <c r="JH53">
        <v>1984</v>
      </c>
      <c r="JI53">
        <v>0</v>
      </c>
      <c r="JJ53">
        <v>25</v>
      </c>
      <c r="JK53">
        <v>1.3</v>
      </c>
      <c r="JL53">
        <v>1.3</v>
      </c>
      <c r="JM53">
        <v>1.51245</v>
      </c>
      <c r="JN53">
        <v>2.65259</v>
      </c>
      <c r="JO53">
        <v>1.49658</v>
      </c>
      <c r="JP53">
        <v>2.34619</v>
      </c>
      <c r="JQ53">
        <v>1.54907</v>
      </c>
      <c r="JR53">
        <v>2.34497</v>
      </c>
      <c r="JS53">
        <v>38.4279</v>
      </c>
      <c r="JT53">
        <v>23.9036</v>
      </c>
      <c r="JU53">
        <v>18</v>
      </c>
      <c r="JV53">
        <v>480.603</v>
      </c>
      <c r="JW53">
        <v>473.869</v>
      </c>
      <c r="JX53">
        <v>23.8109</v>
      </c>
      <c r="JY53">
        <v>27.1997</v>
      </c>
      <c r="JZ53">
        <v>29.9999</v>
      </c>
      <c r="KA53">
        <v>27.5409</v>
      </c>
      <c r="KB53">
        <v>27.5642</v>
      </c>
      <c r="KC53">
        <v>30.388</v>
      </c>
      <c r="KD53">
        <v>14.0592</v>
      </c>
      <c r="KE53">
        <v>13.2496</v>
      </c>
      <c r="KF53">
        <v>23.8191</v>
      </c>
      <c r="KG53">
        <v>600</v>
      </c>
      <c r="KH53">
        <v>17.7338</v>
      </c>
      <c r="KI53">
        <v>102.377</v>
      </c>
      <c r="KJ53">
        <v>91.7432</v>
      </c>
    </row>
    <row r="54" spans="1:296">
      <c r="A54">
        <v>36</v>
      </c>
      <c r="B54">
        <v>1765304093.5</v>
      </c>
      <c r="C54">
        <v>6660.5</v>
      </c>
      <c r="D54" t="s">
        <v>550</v>
      </c>
      <c r="E54" t="s">
        <v>551</v>
      </c>
      <c r="F54">
        <v>5</v>
      </c>
      <c r="G54" t="s">
        <v>524</v>
      </c>
      <c r="H54">
        <v>1765304085.5</v>
      </c>
      <c r="I54">
        <f>(J54)/1000</f>
        <v>0</v>
      </c>
      <c r="J54">
        <f>IF(DO54, AM54, AG54)</f>
        <v>0</v>
      </c>
      <c r="K54">
        <f>IF(DO54, AH54, AF54)</f>
        <v>0</v>
      </c>
      <c r="L54">
        <f>DQ54 - IF(AT54&gt;1, K54*DK54*100.0/(AV54), 0)</f>
        <v>0</v>
      </c>
      <c r="M54">
        <f>((S54-I54/2)*L54-K54)/(S54+I54/2)</f>
        <v>0</v>
      </c>
      <c r="N54">
        <f>M54*(DX54+DY54)/1000.0</f>
        <v>0</v>
      </c>
      <c r="O54">
        <f>(DQ54 - IF(AT54&gt;1, K54*DK54*100.0/(AV54), 0))*(DX54+DY54)/1000.0</f>
        <v>0</v>
      </c>
      <c r="P54">
        <f>2.0/((1/R54-1/Q54)+SIGN(R54)*SQRT((1/R54-1/Q54)*(1/R54-1/Q54) + 4*DL54/((DL54+1)*(DL54+1))*(2*1/R54*1/Q54-1/Q54*1/Q54)))</f>
        <v>0</v>
      </c>
      <c r="Q54">
        <f>IF(LEFT(DM54,1)&lt;&gt;"0",IF(LEFT(DM54,1)="1",3.0,DN54),$D$5+$E$5*(EE54*DX54/($K$5*1000))+$F$5*(EE54*DX54/($K$5*1000))*MAX(MIN(DK54,$J$5),$I$5)*MAX(MIN(DK54,$J$5),$I$5)+$G$5*MAX(MIN(DK54,$J$5),$I$5)*(EE54*DX54/($K$5*1000))+$H$5*(EE54*DX54/($K$5*1000))*(EE54*DX54/($K$5*1000)))</f>
        <v>0</v>
      </c>
      <c r="R54">
        <f>I54*(1000-(1000*0.61365*exp(17.502*V54/(240.97+V54))/(DX54+DY54)+DS54)/2)/(1000*0.61365*exp(17.502*V54/(240.97+V54))/(DX54+DY54)-DS54)</f>
        <v>0</v>
      </c>
      <c r="S54">
        <f>1/((DL54+1)/(P54/1.6)+1/(Q54/1.37)) + DL54/((DL54+1)/(P54/1.6) + DL54/(Q54/1.37))</f>
        <v>0</v>
      </c>
      <c r="T54">
        <f>(DG54*DJ54)</f>
        <v>0</v>
      </c>
      <c r="U54">
        <f>(DZ54+(T54+2*0.95*5.67E-8*(((DZ54+$B$9)+273)^4-(DZ54+273)^4)-44100*I54)/(1.84*29.3*Q54+8*0.95*5.67E-8*(DZ54+273)^3))</f>
        <v>0</v>
      </c>
      <c r="V54">
        <f>($C$9*EA54+$D$9*EB54+$E$9*U54)</f>
        <v>0</v>
      </c>
      <c r="W54">
        <f>0.61365*exp(17.502*V54/(240.97+V54))</f>
        <v>0</v>
      </c>
      <c r="X54">
        <f>(Y54/Z54*100)</f>
        <v>0</v>
      </c>
      <c r="Y54">
        <f>DS54*(DX54+DY54)/1000</f>
        <v>0</v>
      </c>
      <c r="Z54">
        <f>0.61365*exp(17.502*DZ54/(240.97+DZ54))</f>
        <v>0</v>
      </c>
      <c r="AA54">
        <f>(W54-DS54*(DX54+DY54)/1000)</f>
        <v>0</v>
      </c>
      <c r="AB54">
        <f>(-I54*44100)</f>
        <v>0</v>
      </c>
      <c r="AC54">
        <f>2*29.3*Q54*0.92*(DZ54-V54)</f>
        <v>0</v>
      </c>
      <c r="AD54">
        <f>2*0.95*5.67E-8*(((DZ54+$B$9)+273)^4-(V54+273)^4)</f>
        <v>0</v>
      </c>
      <c r="AE54">
        <f>T54+AD54+AB54+AC54</f>
        <v>0</v>
      </c>
      <c r="AF54">
        <f>DW54*AT54*(DR54-DQ54*(1000-AT54*DT54)/(1000-AT54*DS54))/(100*DK54)</f>
        <v>0</v>
      </c>
      <c r="AG54">
        <f>1000*DW54*AT54*(DS54-DT54)/(100*DK54*(1000-AT54*DS54))</f>
        <v>0</v>
      </c>
      <c r="AH54">
        <f>(AI54 - AJ54 - DX54*1E3/(8.314*(DZ54+273.15)) * AL54/DW54 * AK54) * DW54/(100*DK54) * (1000 - DT54)/1000</f>
        <v>0</v>
      </c>
      <c r="AI54">
        <v>814.4953030303027</v>
      </c>
      <c r="AJ54">
        <v>814.0687878787885</v>
      </c>
      <c r="AK54">
        <v>0.0005976557190910878</v>
      </c>
      <c r="AL54">
        <v>64.29520101194602</v>
      </c>
      <c r="AM54">
        <f>(AO54 - AN54 + DX54*1E3/(8.314*(DZ54+273.15)) * AQ54/DW54 * AP54) * DW54/(100*DK54) * 1000/(1000 - AO54)</f>
        <v>0</v>
      </c>
      <c r="AN54">
        <v>17.72216666666667</v>
      </c>
      <c r="AO54">
        <v>17.78733696969697</v>
      </c>
      <c r="AP54">
        <v>-3.125670349548292E-05</v>
      </c>
      <c r="AQ54">
        <v>102.2278660550584</v>
      </c>
      <c r="AR54">
        <v>0</v>
      </c>
      <c r="AS54">
        <v>0</v>
      </c>
      <c r="AT54">
        <f>IF(AR54*$H$15&gt;=AV54,1.0,(AV54/(AV54-AR54*$H$15)))</f>
        <v>0</v>
      </c>
      <c r="AU54">
        <f>(AT54-1)*100</f>
        <v>0</v>
      </c>
      <c r="AV54">
        <f>MAX(0,($B$15+$C$15*EE54)/(1+$D$15*EE54)*DX54/(DZ54+273)*$E$15)</f>
        <v>0</v>
      </c>
      <c r="AW54" t="s">
        <v>437</v>
      </c>
      <c r="AX54" t="s">
        <v>437</v>
      </c>
      <c r="AY54">
        <v>0</v>
      </c>
      <c r="AZ54">
        <v>0</v>
      </c>
      <c r="BA54">
        <f>1-AY54/AZ54</f>
        <v>0</v>
      </c>
      <c r="BB54">
        <v>0</v>
      </c>
      <c r="BC54" t="s">
        <v>437</v>
      </c>
      <c r="BD54" t="s">
        <v>437</v>
      </c>
      <c r="BE54">
        <v>0</v>
      </c>
      <c r="BF54">
        <v>0</v>
      </c>
      <c r="BG54">
        <f>1-BE54/BF54</f>
        <v>0</v>
      </c>
      <c r="BH54">
        <v>0.5</v>
      </c>
      <c r="BI54">
        <f>DH54</f>
        <v>0</v>
      </c>
      <c r="BJ54">
        <f>K54</f>
        <v>0</v>
      </c>
      <c r="BK54">
        <f>BG54*BH54*BI54</f>
        <v>0</v>
      </c>
      <c r="BL54">
        <f>(BJ54-BB54)/BI54</f>
        <v>0</v>
      </c>
      <c r="BM54">
        <f>(AZ54-BF54)/BF54</f>
        <v>0</v>
      </c>
      <c r="BN54">
        <f>AY54/(BA54+AY54/BF54)</f>
        <v>0</v>
      </c>
      <c r="BO54" t="s">
        <v>437</v>
      </c>
      <c r="BP54">
        <v>0</v>
      </c>
      <c r="BQ54">
        <f>IF(BP54&lt;&gt;0, BP54, BN54)</f>
        <v>0</v>
      </c>
      <c r="BR54">
        <f>1-BQ54/BF54</f>
        <v>0</v>
      </c>
      <c r="BS54">
        <f>(BF54-BE54)/(BF54-BQ54)</f>
        <v>0</v>
      </c>
      <c r="BT54">
        <f>(AZ54-BF54)/(AZ54-BQ54)</f>
        <v>0</v>
      </c>
      <c r="BU54">
        <f>(BF54-BE54)/(BF54-AY54)</f>
        <v>0</v>
      </c>
      <c r="BV54">
        <f>(AZ54-BF54)/(AZ54-AY54)</f>
        <v>0</v>
      </c>
      <c r="BW54">
        <f>(BS54*BQ54/BE54)</f>
        <v>0</v>
      </c>
      <c r="BX54">
        <f>(1-BW54)</f>
        <v>0</v>
      </c>
      <c r="DG54">
        <f>$B$13*EF54+$C$13*EG54+$F$13*ER54*(1-EU54)</f>
        <v>0</v>
      </c>
      <c r="DH54">
        <f>DG54*DI54</f>
        <v>0</v>
      </c>
      <c r="DI54">
        <f>($B$13*$D$11+$C$13*$D$11+$F$13*((FE54+EW54)/MAX(FE54+EW54+FF54, 0.1)*$I$11+FF54/MAX(FE54+EW54+FF54, 0.1)*$J$11))/($B$13+$C$13+$F$13)</f>
        <v>0</v>
      </c>
      <c r="DJ54">
        <f>($B$13*$K$11+$C$13*$K$11+$F$13*((FE54+EW54)/MAX(FE54+EW54+FF54, 0.1)*$P$11+FF54/MAX(FE54+EW54+FF54, 0.1)*$Q$11))/($B$13+$C$13+$F$13)</f>
        <v>0</v>
      </c>
      <c r="DK54">
        <v>5.66</v>
      </c>
      <c r="DL54">
        <v>0.5</v>
      </c>
      <c r="DM54" t="s">
        <v>438</v>
      </c>
      <c r="DN54">
        <v>2</v>
      </c>
      <c r="DO54" t="b">
        <v>1</v>
      </c>
      <c r="DP54">
        <v>1765304085.5</v>
      </c>
      <c r="DQ54">
        <v>799.7026129032259</v>
      </c>
      <c r="DR54">
        <v>799.9909032258064</v>
      </c>
      <c r="DS54">
        <v>17.78460967741936</v>
      </c>
      <c r="DT54">
        <v>17.7298129032258</v>
      </c>
      <c r="DU54">
        <v>798.8056129032259</v>
      </c>
      <c r="DV54">
        <v>17.70360967741936</v>
      </c>
      <c r="DW54">
        <v>500.0136774193548</v>
      </c>
      <c r="DX54">
        <v>90.0249935483871</v>
      </c>
      <c r="DY54">
        <v>0.09995000967741936</v>
      </c>
      <c r="DZ54">
        <v>25.063</v>
      </c>
      <c r="EA54">
        <v>24.98274838709678</v>
      </c>
      <c r="EB54">
        <v>999.9000000000003</v>
      </c>
      <c r="EC54">
        <v>0</v>
      </c>
      <c r="ED54">
        <v>0</v>
      </c>
      <c r="EE54">
        <v>10003.29935483871</v>
      </c>
      <c r="EF54">
        <v>0</v>
      </c>
      <c r="EG54">
        <v>9.515608064516128</v>
      </c>
      <c r="EH54">
        <v>-0.3929896451612904</v>
      </c>
      <c r="EI54">
        <v>814.0786129032259</v>
      </c>
      <c r="EJ54">
        <v>814.430806451613</v>
      </c>
      <c r="EK54">
        <v>0.05789000322580646</v>
      </c>
      <c r="EL54">
        <v>799.9909032258064</v>
      </c>
      <c r="EM54">
        <v>17.7298129032258</v>
      </c>
      <c r="EN54">
        <v>1.601338064516129</v>
      </c>
      <c r="EO54">
        <v>1.596126451612903</v>
      </c>
      <c r="EP54">
        <v>13.9717</v>
      </c>
      <c r="EQ54">
        <v>13.92146129032258</v>
      </c>
      <c r="ER54">
        <v>800.0161290322582</v>
      </c>
      <c r="ES54">
        <v>0.9499930645161286</v>
      </c>
      <c r="ET54">
        <v>0.05000719677419355</v>
      </c>
      <c r="EU54">
        <v>0</v>
      </c>
      <c r="EV54">
        <v>859.4484193548386</v>
      </c>
      <c r="EW54">
        <v>5.000779999999999</v>
      </c>
      <c r="EX54">
        <v>6488.673548387096</v>
      </c>
      <c r="EY54">
        <v>6463.53322580645</v>
      </c>
      <c r="EZ54">
        <v>36.05625806451613</v>
      </c>
      <c r="FA54">
        <v>38.72351612903226</v>
      </c>
      <c r="FB54">
        <v>37.87274193548387</v>
      </c>
      <c r="FC54">
        <v>38.39693548387095</v>
      </c>
      <c r="FD54">
        <v>38.06832258064516</v>
      </c>
      <c r="FE54">
        <v>755.2596774193548</v>
      </c>
      <c r="FF54">
        <v>39.75451612903225</v>
      </c>
      <c r="FG54">
        <v>0</v>
      </c>
      <c r="FH54">
        <v>1765304092.7</v>
      </c>
      <c r="FI54">
        <v>0</v>
      </c>
      <c r="FJ54">
        <v>859.41508</v>
      </c>
      <c r="FK54">
        <v>-1.438384615641518</v>
      </c>
      <c r="FL54">
        <v>6.616922981305043</v>
      </c>
      <c r="FM54">
        <v>6488.708</v>
      </c>
      <c r="FN54">
        <v>15</v>
      </c>
      <c r="FO54">
        <v>1765304113</v>
      </c>
      <c r="FP54" t="s">
        <v>552</v>
      </c>
      <c r="FQ54">
        <v>1765304113</v>
      </c>
      <c r="FR54">
        <v>1765304109.5</v>
      </c>
      <c r="FS54">
        <v>37</v>
      </c>
      <c r="FT54">
        <v>0.104</v>
      </c>
      <c r="FU54">
        <v>-0.001</v>
      </c>
      <c r="FV54">
        <v>0.897</v>
      </c>
      <c r="FW54">
        <v>0.081</v>
      </c>
      <c r="FX54">
        <v>800</v>
      </c>
      <c r="FY54">
        <v>18</v>
      </c>
      <c r="FZ54">
        <v>0.9399999999999999</v>
      </c>
      <c r="GA54">
        <v>0.1</v>
      </c>
      <c r="GB54">
        <v>-0.415631125</v>
      </c>
      <c r="GC54">
        <v>0.1230028030018767</v>
      </c>
      <c r="GD54">
        <v>0.08339515114027539</v>
      </c>
      <c r="GE54">
        <v>1</v>
      </c>
      <c r="GF54">
        <v>859.4631470588237</v>
      </c>
      <c r="GG54">
        <v>-0.9781054248281816</v>
      </c>
      <c r="GH54">
        <v>0.2177863405689284</v>
      </c>
      <c r="GI54">
        <v>1</v>
      </c>
      <c r="GJ54">
        <v>0.0542954475</v>
      </c>
      <c r="GK54">
        <v>0.07553451669793622</v>
      </c>
      <c r="GL54">
        <v>0.007433303284441833</v>
      </c>
      <c r="GM54">
        <v>1</v>
      </c>
      <c r="GN54">
        <v>3</v>
      </c>
      <c r="GO54">
        <v>3</v>
      </c>
      <c r="GP54" t="s">
        <v>440</v>
      </c>
      <c r="GQ54">
        <v>3.10834</v>
      </c>
      <c r="GR54">
        <v>2.79179</v>
      </c>
      <c r="GS54">
        <v>0.138489</v>
      </c>
      <c r="GT54">
        <v>0.138692</v>
      </c>
      <c r="GU54">
        <v>0.0874853</v>
      </c>
      <c r="GV54">
        <v>0.08806509999999999</v>
      </c>
      <c r="GW54">
        <v>22630.7</v>
      </c>
      <c r="GX54">
        <v>20540.2</v>
      </c>
      <c r="GY54">
        <v>26825.4</v>
      </c>
      <c r="GZ54">
        <v>24052.9</v>
      </c>
      <c r="HA54">
        <v>39125.8</v>
      </c>
      <c r="HB54">
        <v>32375.7</v>
      </c>
      <c r="HC54">
        <v>46818.2</v>
      </c>
      <c r="HD54">
        <v>38034.8</v>
      </c>
      <c r="HE54">
        <v>1.89412</v>
      </c>
      <c r="HF54">
        <v>1.83995</v>
      </c>
      <c r="HG54">
        <v>0.0698715</v>
      </c>
      <c r="HH54">
        <v>0</v>
      </c>
      <c r="HI54">
        <v>23.8354</v>
      </c>
      <c r="HJ54">
        <v>999.9</v>
      </c>
      <c r="HK54">
        <v>35.1</v>
      </c>
      <c r="HL54">
        <v>33.9</v>
      </c>
      <c r="HM54">
        <v>20.7152</v>
      </c>
      <c r="HN54">
        <v>60.5738</v>
      </c>
      <c r="HO54">
        <v>28.3333</v>
      </c>
      <c r="HP54">
        <v>1</v>
      </c>
      <c r="HQ54">
        <v>-0.00188516</v>
      </c>
      <c r="HR54">
        <v>0.319273</v>
      </c>
      <c r="HS54">
        <v>20.2947</v>
      </c>
      <c r="HT54">
        <v>5.22328</v>
      </c>
      <c r="HU54">
        <v>11.9758</v>
      </c>
      <c r="HV54">
        <v>4.96575</v>
      </c>
      <c r="HW54">
        <v>3.276</v>
      </c>
      <c r="HX54">
        <v>9999</v>
      </c>
      <c r="HY54">
        <v>9999</v>
      </c>
      <c r="HZ54">
        <v>9999</v>
      </c>
      <c r="IA54">
        <v>999.9</v>
      </c>
      <c r="IB54">
        <v>1.86407</v>
      </c>
      <c r="IC54">
        <v>1.86033</v>
      </c>
      <c r="ID54">
        <v>1.85863</v>
      </c>
      <c r="IE54">
        <v>1.85991</v>
      </c>
      <c r="IF54">
        <v>1.86005</v>
      </c>
      <c r="IG54">
        <v>1.85856</v>
      </c>
      <c r="IH54">
        <v>1.85764</v>
      </c>
      <c r="II54">
        <v>1.85257</v>
      </c>
      <c r="IJ54">
        <v>0</v>
      </c>
      <c r="IK54">
        <v>0</v>
      </c>
      <c r="IL54">
        <v>0</v>
      </c>
      <c r="IM54">
        <v>0</v>
      </c>
      <c r="IN54" t="s">
        <v>441</v>
      </c>
      <c r="IO54" t="s">
        <v>442</v>
      </c>
      <c r="IP54" t="s">
        <v>443</v>
      </c>
      <c r="IQ54" t="s">
        <v>443</v>
      </c>
      <c r="IR54" t="s">
        <v>443</v>
      </c>
      <c r="IS54" t="s">
        <v>443</v>
      </c>
      <c r="IT54">
        <v>0</v>
      </c>
      <c r="IU54">
        <v>100</v>
      </c>
      <c r="IV54">
        <v>100</v>
      </c>
      <c r="IW54">
        <v>0.897</v>
      </c>
      <c r="IX54">
        <v>0.081</v>
      </c>
      <c r="IY54">
        <v>-0.08154277018140199</v>
      </c>
      <c r="IZ54">
        <v>0.0001583678016168383</v>
      </c>
      <c r="JA54">
        <v>1.526473431467286E-06</v>
      </c>
      <c r="JB54">
        <v>-4.446382740029455E-10</v>
      </c>
      <c r="JC54">
        <v>-0.03991923742122709</v>
      </c>
      <c r="JD54">
        <v>-0.009941991807247691</v>
      </c>
      <c r="JE54">
        <v>0.001256427533001032</v>
      </c>
      <c r="JF54">
        <v>-1.689728105039484E-05</v>
      </c>
      <c r="JG54">
        <v>2</v>
      </c>
      <c r="JH54">
        <v>1984</v>
      </c>
      <c r="JI54">
        <v>0</v>
      </c>
      <c r="JJ54">
        <v>25</v>
      </c>
      <c r="JK54">
        <v>1.2</v>
      </c>
      <c r="JL54">
        <v>1.3</v>
      </c>
      <c r="JM54">
        <v>1.90918</v>
      </c>
      <c r="JN54">
        <v>2.64648</v>
      </c>
      <c r="JO54">
        <v>1.49658</v>
      </c>
      <c r="JP54">
        <v>2.34619</v>
      </c>
      <c r="JQ54">
        <v>1.54907</v>
      </c>
      <c r="JR54">
        <v>2.35474</v>
      </c>
      <c r="JS54">
        <v>38.3545</v>
      </c>
      <c r="JT54">
        <v>23.9299</v>
      </c>
      <c r="JU54">
        <v>18</v>
      </c>
      <c r="JV54">
        <v>480.285</v>
      </c>
      <c r="JW54">
        <v>474.634</v>
      </c>
      <c r="JX54">
        <v>23.8503</v>
      </c>
      <c r="JY54">
        <v>27.1464</v>
      </c>
      <c r="JZ54">
        <v>29.9998</v>
      </c>
      <c r="KA54">
        <v>27.4791</v>
      </c>
      <c r="KB54">
        <v>27.5008</v>
      </c>
      <c r="KC54">
        <v>38.331</v>
      </c>
      <c r="KD54">
        <v>14.0592</v>
      </c>
      <c r="KE54">
        <v>14.0301</v>
      </c>
      <c r="KF54">
        <v>23.8571</v>
      </c>
      <c r="KG54">
        <v>800</v>
      </c>
      <c r="KH54">
        <v>17.6978</v>
      </c>
      <c r="KI54">
        <v>102.384</v>
      </c>
      <c r="KJ54">
        <v>91.7439</v>
      </c>
    </row>
    <row r="55" spans="1:296">
      <c r="A55">
        <v>37</v>
      </c>
      <c r="B55">
        <v>1765304188.5</v>
      </c>
      <c r="C55">
        <v>6755.5</v>
      </c>
      <c r="D55" t="s">
        <v>553</v>
      </c>
      <c r="E55" t="s">
        <v>554</v>
      </c>
      <c r="F55">
        <v>5</v>
      </c>
      <c r="G55" t="s">
        <v>524</v>
      </c>
      <c r="H55">
        <v>1765304180.75</v>
      </c>
      <c r="I55">
        <f>(J55)/1000</f>
        <v>0</v>
      </c>
      <c r="J55">
        <f>IF(DO55, AM55, AG55)</f>
        <v>0</v>
      </c>
      <c r="K55">
        <f>IF(DO55, AH55, AF55)</f>
        <v>0</v>
      </c>
      <c r="L55">
        <f>DQ55 - IF(AT55&gt;1, K55*DK55*100.0/(AV55), 0)</f>
        <v>0</v>
      </c>
      <c r="M55">
        <f>((S55-I55/2)*L55-K55)/(S55+I55/2)</f>
        <v>0</v>
      </c>
      <c r="N55">
        <f>M55*(DX55+DY55)/1000.0</f>
        <v>0</v>
      </c>
      <c r="O55">
        <f>(DQ55 - IF(AT55&gt;1, K55*DK55*100.0/(AV55), 0))*(DX55+DY55)/1000.0</f>
        <v>0</v>
      </c>
      <c r="P55">
        <f>2.0/((1/R55-1/Q55)+SIGN(R55)*SQRT((1/R55-1/Q55)*(1/R55-1/Q55) + 4*DL55/((DL55+1)*(DL55+1))*(2*1/R55*1/Q55-1/Q55*1/Q55)))</f>
        <v>0</v>
      </c>
      <c r="Q55">
        <f>IF(LEFT(DM55,1)&lt;&gt;"0",IF(LEFT(DM55,1)="1",3.0,DN55),$D$5+$E$5*(EE55*DX55/($K$5*1000))+$F$5*(EE55*DX55/($K$5*1000))*MAX(MIN(DK55,$J$5),$I$5)*MAX(MIN(DK55,$J$5),$I$5)+$G$5*MAX(MIN(DK55,$J$5),$I$5)*(EE55*DX55/($K$5*1000))+$H$5*(EE55*DX55/($K$5*1000))*(EE55*DX55/($K$5*1000)))</f>
        <v>0</v>
      </c>
      <c r="R55">
        <f>I55*(1000-(1000*0.61365*exp(17.502*V55/(240.97+V55))/(DX55+DY55)+DS55)/2)/(1000*0.61365*exp(17.502*V55/(240.97+V55))/(DX55+DY55)-DS55)</f>
        <v>0</v>
      </c>
      <c r="S55">
        <f>1/((DL55+1)/(P55/1.6)+1/(Q55/1.37)) + DL55/((DL55+1)/(P55/1.6) + DL55/(Q55/1.37))</f>
        <v>0</v>
      </c>
      <c r="T55">
        <f>(DG55*DJ55)</f>
        <v>0</v>
      </c>
      <c r="U55">
        <f>(DZ55+(T55+2*0.95*5.67E-8*(((DZ55+$B$9)+273)^4-(DZ55+273)^4)-44100*I55)/(1.84*29.3*Q55+8*0.95*5.67E-8*(DZ55+273)^3))</f>
        <v>0</v>
      </c>
      <c r="V55">
        <f>($C$9*EA55+$D$9*EB55+$E$9*U55)</f>
        <v>0</v>
      </c>
      <c r="W55">
        <f>0.61365*exp(17.502*V55/(240.97+V55))</f>
        <v>0</v>
      </c>
      <c r="X55">
        <f>(Y55/Z55*100)</f>
        <v>0</v>
      </c>
      <c r="Y55">
        <f>DS55*(DX55+DY55)/1000</f>
        <v>0</v>
      </c>
      <c r="Z55">
        <f>0.61365*exp(17.502*DZ55/(240.97+DZ55))</f>
        <v>0</v>
      </c>
      <c r="AA55">
        <f>(W55-DS55*(DX55+DY55)/1000)</f>
        <v>0</v>
      </c>
      <c r="AB55">
        <f>(-I55*44100)</f>
        <v>0</v>
      </c>
      <c r="AC55">
        <f>2*29.3*Q55*0.92*(DZ55-V55)</f>
        <v>0</v>
      </c>
      <c r="AD55">
        <f>2*0.95*5.67E-8*(((DZ55+$B$9)+273)^4-(V55+273)^4)</f>
        <v>0</v>
      </c>
      <c r="AE55">
        <f>T55+AD55+AB55+AC55</f>
        <v>0</v>
      </c>
      <c r="AF55">
        <f>DW55*AT55*(DR55-DQ55*(1000-AT55*DT55)/(1000-AT55*DS55))/(100*DK55)</f>
        <v>0</v>
      </c>
      <c r="AG55">
        <f>1000*DW55*AT55*(DS55-DT55)/(100*DK55*(1000-AT55*DS55))</f>
        <v>0</v>
      </c>
      <c r="AH55">
        <f>(AI55 - AJ55 - DX55*1E3/(8.314*(DZ55+273.15)) * AL55/DW55 * AK55) * DW55/(100*DK55) * (1000 - DT55)/1000</f>
        <v>0</v>
      </c>
      <c r="AI55">
        <v>1018.000689380243</v>
      </c>
      <c r="AJ55">
        <v>1017.959696969697</v>
      </c>
      <c r="AK55">
        <v>0.001816946725928607</v>
      </c>
      <c r="AL55">
        <v>65.81824577577166</v>
      </c>
      <c r="AM55">
        <f>(AO55 - AN55 + DX55*1E3/(8.314*(DZ55+273.15)) * AQ55/DW55 * AP55) * DW55/(100*DK55) * 1000/(1000 - AO55)</f>
        <v>0</v>
      </c>
      <c r="AN55">
        <v>17.62333244842554</v>
      </c>
      <c r="AO55">
        <v>17.69527575757575</v>
      </c>
      <c r="AP55">
        <v>-2.585104712699397E-05</v>
      </c>
      <c r="AQ55">
        <v>107.8047084840982</v>
      </c>
      <c r="AR55">
        <v>0</v>
      </c>
      <c r="AS55">
        <v>0</v>
      </c>
      <c r="AT55">
        <f>IF(AR55*$H$15&gt;=AV55,1.0,(AV55/(AV55-AR55*$H$15)))</f>
        <v>0</v>
      </c>
      <c r="AU55">
        <f>(AT55-1)*100</f>
        <v>0</v>
      </c>
      <c r="AV55">
        <f>MAX(0,($B$15+$C$15*EE55)/(1+$D$15*EE55)*DX55/(DZ55+273)*$E$15)</f>
        <v>0</v>
      </c>
      <c r="AW55" t="s">
        <v>437</v>
      </c>
      <c r="AX55" t="s">
        <v>437</v>
      </c>
      <c r="AY55">
        <v>0</v>
      </c>
      <c r="AZ55">
        <v>0</v>
      </c>
      <c r="BA55">
        <f>1-AY55/AZ55</f>
        <v>0</v>
      </c>
      <c r="BB55">
        <v>0</v>
      </c>
      <c r="BC55" t="s">
        <v>437</v>
      </c>
      <c r="BD55" t="s">
        <v>437</v>
      </c>
      <c r="BE55">
        <v>0</v>
      </c>
      <c r="BF55">
        <v>0</v>
      </c>
      <c r="BG55">
        <f>1-BE55/BF55</f>
        <v>0</v>
      </c>
      <c r="BH55">
        <v>0.5</v>
      </c>
      <c r="BI55">
        <f>DH55</f>
        <v>0</v>
      </c>
      <c r="BJ55">
        <f>K55</f>
        <v>0</v>
      </c>
      <c r="BK55">
        <f>BG55*BH55*BI55</f>
        <v>0</v>
      </c>
      <c r="BL55">
        <f>(BJ55-BB55)/BI55</f>
        <v>0</v>
      </c>
      <c r="BM55">
        <f>(AZ55-BF55)/BF55</f>
        <v>0</v>
      </c>
      <c r="BN55">
        <f>AY55/(BA55+AY55/BF55)</f>
        <v>0</v>
      </c>
      <c r="BO55" t="s">
        <v>437</v>
      </c>
      <c r="BP55">
        <v>0</v>
      </c>
      <c r="BQ55">
        <f>IF(BP55&lt;&gt;0, BP55, BN55)</f>
        <v>0</v>
      </c>
      <c r="BR55">
        <f>1-BQ55/BF55</f>
        <v>0</v>
      </c>
      <c r="BS55">
        <f>(BF55-BE55)/(BF55-BQ55)</f>
        <v>0</v>
      </c>
      <c r="BT55">
        <f>(AZ55-BF55)/(AZ55-BQ55)</f>
        <v>0</v>
      </c>
      <c r="BU55">
        <f>(BF55-BE55)/(BF55-AY55)</f>
        <v>0</v>
      </c>
      <c r="BV55">
        <f>(AZ55-BF55)/(AZ55-AY55)</f>
        <v>0</v>
      </c>
      <c r="BW55">
        <f>(BS55*BQ55/BE55)</f>
        <v>0</v>
      </c>
      <c r="BX55">
        <f>(1-BW55)</f>
        <v>0</v>
      </c>
      <c r="DG55">
        <f>$B$13*EF55+$C$13*EG55+$F$13*ER55*(1-EU55)</f>
        <v>0</v>
      </c>
      <c r="DH55">
        <f>DG55*DI55</f>
        <v>0</v>
      </c>
      <c r="DI55">
        <f>($B$13*$D$11+$C$13*$D$11+$F$13*((FE55+EW55)/MAX(FE55+EW55+FF55, 0.1)*$I$11+FF55/MAX(FE55+EW55+FF55, 0.1)*$J$11))/($B$13+$C$13+$F$13)</f>
        <v>0</v>
      </c>
      <c r="DJ55">
        <f>($B$13*$K$11+$C$13*$K$11+$F$13*((FE55+EW55)/MAX(FE55+EW55+FF55, 0.1)*$P$11+FF55/MAX(FE55+EW55+FF55, 0.1)*$Q$11))/($B$13+$C$13+$F$13)</f>
        <v>0</v>
      </c>
      <c r="DK55">
        <v>5.66</v>
      </c>
      <c r="DL55">
        <v>0.5</v>
      </c>
      <c r="DM55" t="s">
        <v>438</v>
      </c>
      <c r="DN55">
        <v>2</v>
      </c>
      <c r="DO55" t="b">
        <v>1</v>
      </c>
      <c r="DP55">
        <v>1765304180.75</v>
      </c>
      <c r="DQ55">
        <v>999.5531666666666</v>
      </c>
      <c r="DR55">
        <v>1000.041033333333</v>
      </c>
      <c r="DS55">
        <v>17.70081666666666</v>
      </c>
      <c r="DT55">
        <v>17.62828666666666</v>
      </c>
      <c r="DU55">
        <v>998.6221666666665</v>
      </c>
      <c r="DV55">
        <v>17.61881666666666</v>
      </c>
      <c r="DW55">
        <v>500.0123</v>
      </c>
      <c r="DX55">
        <v>90.01790333333334</v>
      </c>
      <c r="DY55">
        <v>0.1000201766666667</v>
      </c>
      <c r="DZ55">
        <v>25.11073666666667</v>
      </c>
      <c r="EA55">
        <v>25.00759666666666</v>
      </c>
      <c r="EB55">
        <v>999.9000000000002</v>
      </c>
      <c r="EC55">
        <v>0</v>
      </c>
      <c r="ED55">
        <v>0</v>
      </c>
      <c r="EE55">
        <v>9992.813000000002</v>
      </c>
      <c r="EF55">
        <v>0</v>
      </c>
      <c r="EG55">
        <v>9.532109999999998</v>
      </c>
      <c r="EH55">
        <v>-0.15866503</v>
      </c>
      <c r="EI55">
        <v>1017.898666666667</v>
      </c>
      <c r="EJ55">
        <v>1017.986</v>
      </c>
      <c r="EK55">
        <v>0.07160721</v>
      </c>
      <c r="EL55">
        <v>1000.041033333333</v>
      </c>
      <c r="EM55">
        <v>17.62828666666666</v>
      </c>
      <c r="EN55">
        <v>1.593307666666667</v>
      </c>
      <c r="EO55">
        <v>1.586861</v>
      </c>
      <c r="EP55">
        <v>13.89422666666667</v>
      </c>
      <c r="EQ55">
        <v>13.83181333333333</v>
      </c>
      <c r="ER55">
        <v>800.0060666666669</v>
      </c>
      <c r="ES55">
        <v>0.9499995999999999</v>
      </c>
      <c r="ET55">
        <v>0.05000061</v>
      </c>
      <c r="EU55">
        <v>0</v>
      </c>
      <c r="EV55">
        <v>857.0340333333332</v>
      </c>
      <c r="EW55">
        <v>5.00078</v>
      </c>
      <c r="EX55">
        <v>6495.131333333335</v>
      </c>
      <c r="EY55">
        <v>6463.466333333333</v>
      </c>
      <c r="EZ55">
        <v>37.03919999999999</v>
      </c>
      <c r="FA55">
        <v>40.49556666666665</v>
      </c>
      <c r="FB55">
        <v>39.07889999999999</v>
      </c>
      <c r="FC55">
        <v>40.73929999999999</v>
      </c>
      <c r="FD55">
        <v>39.26429999999998</v>
      </c>
      <c r="FE55">
        <v>755.2543333333335</v>
      </c>
      <c r="FF55">
        <v>39.75</v>
      </c>
      <c r="FG55">
        <v>0</v>
      </c>
      <c r="FH55">
        <v>1765304188.1</v>
      </c>
      <c r="FI55">
        <v>0</v>
      </c>
      <c r="FJ55">
        <v>857.0021538461539</v>
      </c>
      <c r="FK55">
        <v>-0.6314529944840026</v>
      </c>
      <c r="FL55">
        <v>10.23897426633745</v>
      </c>
      <c r="FM55">
        <v>6495.148076923076</v>
      </c>
      <c r="FN55">
        <v>15</v>
      </c>
      <c r="FO55">
        <v>1765304211</v>
      </c>
      <c r="FP55" t="s">
        <v>555</v>
      </c>
      <c r="FQ55">
        <v>1765304211</v>
      </c>
      <c r="FR55">
        <v>1765304205</v>
      </c>
      <c r="FS55">
        <v>38</v>
      </c>
      <c r="FT55">
        <v>-0.33</v>
      </c>
      <c r="FU55">
        <v>0.003</v>
      </c>
      <c r="FV55">
        <v>0.931</v>
      </c>
      <c r="FW55">
        <v>0.082</v>
      </c>
      <c r="FX55">
        <v>1000</v>
      </c>
      <c r="FY55">
        <v>18</v>
      </c>
      <c r="FZ55">
        <v>0.76</v>
      </c>
      <c r="GA55">
        <v>0.13</v>
      </c>
      <c r="GB55">
        <v>-0.15735784</v>
      </c>
      <c r="GC55">
        <v>0.1749102033771115</v>
      </c>
      <c r="GD55">
        <v>0.0511699741981555</v>
      </c>
      <c r="GE55">
        <v>1</v>
      </c>
      <c r="GF55">
        <v>857.1091470588236</v>
      </c>
      <c r="GG55">
        <v>-0.9250878595770451</v>
      </c>
      <c r="GH55">
        <v>0.2210237054564674</v>
      </c>
      <c r="GI55">
        <v>1</v>
      </c>
      <c r="GJ55">
        <v>0.0697461175</v>
      </c>
      <c r="GK55">
        <v>0.03137603414634136</v>
      </c>
      <c r="GL55">
        <v>0.00337266249192589</v>
      </c>
      <c r="GM55">
        <v>1</v>
      </c>
      <c r="GN55">
        <v>3</v>
      </c>
      <c r="GO55">
        <v>3</v>
      </c>
      <c r="GP55" t="s">
        <v>440</v>
      </c>
      <c r="GQ55">
        <v>3.10824</v>
      </c>
      <c r="GR55">
        <v>2.79171</v>
      </c>
      <c r="GS55">
        <v>0.160178</v>
      </c>
      <c r="GT55">
        <v>0.160402</v>
      </c>
      <c r="GU55">
        <v>0.08716649999999999</v>
      </c>
      <c r="GV55">
        <v>0.0877103</v>
      </c>
      <c r="GW55">
        <v>22062.9</v>
      </c>
      <c r="GX55">
        <v>20023.4</v>
      </c>
      <c r="GY55">
        <v>26827.3</v>
      </c>
      <c r="GZ55">
        <v>24053.6</v>
      </c>
      <c r="HA55">
        <v>39145.1</v>
      </c>
      <c r="HB55">
        <v>32390.8</v>
      </c>
      <c r="HC55">
        <v>46821.7</v>
      </c>
      <c r="HD55">
        <v>38035.1</v>
      </c>
      <c r="HE55">
        <v>1.895</v>
      </c>
      <c r="HF55">
        <v>1.84115</v>
      </c>
      <c r="HG55">
        <v>0.07115299999999999</v>
      </c>
      <c r="HH55">
        <v>0</v>
      </c>
      <c r="HI55">
        <v>23.8434</v>
      </c>
      <c r="HJ55">
        <v>999.9</v>
      </c>
      <c r="HK55">
        <v>35</v>
      </c>
      <c r="HL55">
        <v>33.9</v>
      </c>
      <c r="HM55">
        <v>20.6591</v>
      </c>
      <c r="HN55">
        <v>60.9138</v>
      </c>
      <c r="HO55">
        <v>28.6498</v>
      </c>
      <c r="HP55">
        <v>1</v>
      </c>
      <c r="HQ55">
        <v>-0.00547256</v>
      </c>
      <c r="HR55">
        <v>0.406558</v>
      </c>
      <c r="HS55">
        <v>20.2944</v>
      </c>
      <c r="HT55">
        <v>5.22328</v>
      </c>
      <c r="HU55">
        <v>11.976</v>
      </c>
      <c r="HV55">
        <v>4.96575</v>
      </c>
      <c r="HW55">
        <v>3.276</v>
      </c>
      <c r="HX55">
        <v>9999</v>
      </c>
      <c r="HY55">
        <v>9999</v>
      </c>
      <c r="HZ55">
        <v>9999</v>
      </c>
      <c r="IA55">
        <v>999.9</v>
      </c>
      <c r="IB55">
        <v>1.86406</v>
      </c>
      <c r="IC55">
        <v>1.86031</v>
      </c>
      <c r="ID55">
        <v>1.85861</v>
      </c>
      <c r="IE55">
        <v>1.85991</v>
      </c>
      <c r="IF55">
        <v>1.86005</v>
      </c>
      <c r="IG55">
        <v>1.85855</v>
      </c>
      <c r="IH55">
        <v>1.85762</v>
      </c>
      <c r="II55">
        <v>1.85257</v>
      </c>
      <c r="IJ55">
        <v>0</v>
      </c>
      <c r="IK55">
        <v>0</v>
      </c>
      <c r="IL55">
        <v>0</v>
      </c>
      <c r="IM55">
        <v>0</v>
      </c>
      <c r="IN55" t="s">
        <v>441</v>
      </c>
      <c r="IO55" t="s">
        <v>442</v>
      </c>
      <c r="IP55" t="s">
        <v>443</v>
      </c>
      <c r="IQ55" t="s">
        <v>443</v>
      </c>
      <c r="IR55" t="s">
        <v>443</v>
      </c>
      <c r="IS55" t="s">
        <v>443</v>
      </c>
      <c r="IT55">
        <v>0</v>
      </c>
      <c r="IU55">
        <v>100</v>
      </c>
      <c r="IV55">
        <v>100</v>
      </c>
      <c r="IW55">
        <v>0.931</v>
      </c>
      <c r="IX55">
        <v>0.082</v>
      </c>
      <c r="IY55">
        <v>0.02246615842177968</v>
      </c>
      <c r="IZ55">
        <v>0.0001583678016168383</v>
      </c>
      <c r="JA55">
        <v>1.526473431467286E-06</v>
      </c>
      <c r="JB55">
        <v>-4.446382740029455E-10</v>
      </c>
      <c r="JC55">
        <v>-0.04136590372970156</v>
      </c>
      <c r="JD55">
        <v>-0.009941991807247691</v>
      </c>
      <c r="JE55">
        <v>0.001256427533001032</v>
      </c>
      <c r="JF55">
        <v>-1.689728105039484E-05</v>
      </c>
      <c r="JG55">
        <v>2</v>
      </c>
      <c r="JH55">
        <v>1984</v>
      </c>
      <c r="JI55">
        <v>0</v>
      </c>
      <c r="JJ55">
        <v>25</v>
      </c>
      <c r="JK55">
        <v>1.3</v>
      </c>
      <c r="JL55">
        <v>1.3</v>
      </c>
      <c r="JM55">
        <v>2.2876</v>
      </c>
      <c r="JN55">
        <v>2.62573</v>
      </c>
      <c r="JO55">
        <v>1.49658</v>
      </c>
      <c r="JP55">
        <v>2.34619</v>
      </c>
      <c r="JQ55">
        <v>1.54907</v>
      </c>
      <c r="JR55">
        <v>2.4585</v>
      </c>
      <c r="JS55">
        <v>38.2812</v>
      </c>
      <c r="JT55">
        <v>23.9649</v>
      </c>
      <c r="JU55">
        <v>18</v>
      </c>
      <c r="JV55">
        <v>480.364</v>
      </c>
      <c r="JW55">
        <v>474.93</v>
      </c>
      <c r="JX55">
        <v>23.8475</v>
      </c>
      <c r="JY55">
        <v>27.0988</v>
      </c>
      <c r="JZ55">
        <v>29.9999</v>
      </c>
      <c r="KA55">
        <v>27.4241</v>
      </c>
      <c r="KB55">
        <v>27.4442</v>
      </c>
      <c r="KC55">
        <v>45.8972</v>
      </c>
      <c r="KD55">
        <v>14.6311</v>
      </c>
      <c r="KE55">
        <v>14.7797</v>
      </c>
      <c r="KF55">
        <v>23.8413</v>
      </c>
      <c r="KG55">
        <v>1000</v>
      </c>
      <c r="KH55">
        <v>17.6285</v>
      </c>
      <c r="KI55">
        <v>102.391</v>
      </c>
      <c r="KJ55">
        <v>91.7454</v>
      </c>
    </row>
    <row r="56" spans="1:296">
      <c r="A56">
        <v>38</v>
      </c>
      <c r="B56">
        <v>1765304283</v>
      </c>
      <c r="C56">
        <v>6850</v>
      </c>
      <c r="D56" t="s">
        <v>556</v>
      </c>
      <c r="E56" t="s">
        <v>557</v>
      </c>
      <c r="F56">
        <v>5</v>
      </c>
      <c r="G56" t="s">
        <v>524</v>
      </c>
      <c r="H56">
        <v>1765304275</v>
      </c>
      <c r="I56">
        <f>(J56)/1000</f>
        <v>0</v>
      </c>
      <c r="J56">
        <f>IF(DO56, AM56, AG56)</f>
        <v>0</v>
      </c>
      <c r="K56">
        <f>IF(DO56, AH56, AF56)</f>
        <v>0</v>
      </c>
      <c r="L56">
        <f>DQ56 - IF(AT56&gt;1, K56*DK56*100.0/(AV56), 0)</f>
        <v>0</v>
      </c>
      <c r="M56">
        <f>((S56-I56/2)*L56-K56)/(S56+I56/2)</f>
        <v>0</v>
      </c>
      <c r="N56">
        <f>M56*(DX56+DY56)/1000.0</f>
        <v>0</v>
      </c>
      <c r="O56">
        <f>(DQ56 - IF(AT56&gt;1, K56*DK56*100.0/(AV56), 0))*(DX56+DY56)/1000.0</f>
        <v>0</v>
      </c>
      <c r="P56">
        <f>2.0/((1/R56-1/Q56)+SIGN(R56)*SQRT((1/R56-1/Q56)*(1/R56-1/Q56) + 4*DL56/((DL56+1)*(DL56+1))*(2*1/R56*1/Q56-1/Q56*1/Q56)))</f>
        <v>0</v>
      </c>
      <c r="Q56">
        <f>IF(LEFT(DM56,1)&lt;&gt;"0",IF(LEFT(DM56,1)="1",3.0,DN56),$D$5+$E$5*(EE56*DX56/($K$5*1000))+$F$5*(EE56*DX56/($K$5*1000))*MAX(MIN(DK56,$J$5),$I$5)*MAX(MIN(DK56,$J$5),$I$5)+$G$5*MAX(MIN(DK56,$J$5),$I$5)*(EE56*DX56/($K$5*1000))+$H$5*(EE56*DX56/($K$5*1000))*(EE56*DX56/($K$5*1000)))</f>
        <v>0</v>
      </c>
      <c r="R56">
        <f>I56*(1000-(1000*0.61365*exp(17.502*V56/(240.97+V56))/(DX56+DY56)+DS56)/2)/(1000*0.61365*exp(17.502*V56/(240.97+V56))/(DX56+DY56)-DS56)</f>
        <v>0</v>
      </c>
      <c r="S56">
        <f>1/((DL56+1)/(P56/1.6)+1/(Q56/1.37)) + DL56/((DL56+1)/(P56/1.6) + DL56/(Q56/1.37))</f>
        <v>0</v>
      </c>
      <c r="T56">
        <f>(DG56*DJ56)</f>
        <v>0</v>
      </c>
      <c r="U56">
        <f>(DZ56+(T56+2*0.95*5.67E-8*(((DZ56+$B$9)+273)^4-(DZ56+273)^4)-44100*I56)/(1.84*29.3*Q56+8*0.95*5.67E-8*(DZ56+273)^3))</f>
        <v>0</v>
      </c>
      <c r="V56">
        <f>($C$9*EA56+$D$9*EB56+$E$9*U56)</f>
        <v>0</v>
      </c>
      <c r="W56">
        <f>0.61365*exp(17.502*V56/(240.97+V56))</f>
        <v>0</v>
      </c>
      <c r="X56">
        <f>(Y56/Z56*100)</f>
        <v>0</v>
      </c>
      <c r="Y56">
        <f>DS56*(DX56+DY56)/1000</f>
        <v>0</v>
      </c>
      <c r="Z56">
        <f>0.61365*exp(17.502*DZ56/(240.97+DZ56))</f>
        <v>0</v>
      </c>
      <c r="AA56">
        <f>(W56-DS56*(DX56+DY56)/1000)</f>
        <v>0</v>
      </c>
      <c r="AB56">
        <f>(-I56*44100)</f>
        <v>0</v>
      </c>
      <c r="AC56">
        <f>2*29.3*Q56*0.92*(DZ56-V56)</f>
        <v>0</v>
      </c>
      <c r="AD56">
        <f>2*0.95*5.67E-8*(((DZ56+$B$9)+273)^4-(V56+273)^4)</f>
        <v>0</v>
      </c>
      <c r="AE56">
        <f>T56+AD56+AB56+AC56</f>
        <v>0</v>
      </c>
      <c r="AF56">
        <f>DW56*AT56*(DR56-DQ56*(1000-AT56*DT56)/(1000-AT56*DS56))/(100*DK56)</f>
        <v>0</v>
      </c>
      <c r="AG56">
        <f>1000*DW56*AT56*(DS56-DT56)/(100*DK56*(1000-AT56*DS56))</f>
        <v>0</v>
      </c>
      <c r="AH56">
        <f>(AI56 - AJ56 - DX56*1E3/(8.314*(DZ56+273.15)) * AL56/DW56 * AK56) * DW56/(100*DK56) * (1000 - DT56)/1000</f>
        <v>0</v>
      </c>
      <c r="AI56">
        <v>1221.691636363636</v>
      </c>
      <c r="AJ56">
        <v>1221.108848484849</v>
      </c>
      <c r="AK56">
        <v>0.001846987505970205</v>
      </c>
      <c r="AL56">
        <v>64.32585470986712</v>
      </c>
      <c r="AM56">
        <f>(AO56 - AN56 + DX56*1E3/(8.314*(DZ56+273.15)) * AQ56/DW56 * AP56) * DW56/(100*DK56) * 1000/(1000 - AO56)</f>
        <v>0</v>
      </c>
      <c r="AN56">
        <v>17.72158848484847</v>
      </c>
      <c r="AO56">
        <v>17.78304848484849</v>
      </c>
      <c r="AP56">
        <v>-3.68112113876369E-05</v>
      </c>
      <c r="AQ56">
        <v>102.2580368543053</v>
      </c>
      <c r="AR56">
        <v>0</v>
      </c>
      <c r="AS56">
        <v>0</v>
      </c>
      <c r="AT56">
        <f>IF(AR56*$H$15&gt;=AV56,1.0,(AV56/(AV56-AR56*$H$15)))</f>
        <v>0</v>
      </c>
      <c r="AU56">
        <f>(AT56-1)*100</f>
        <v>0</v>
      </c>
      <c r="AV56">
        <f>MAX(0,($B$15+$C$15*EE56)/(1+$D$15*EE56)*DX56/(DZ56+273)*$E$15)</f>
        <v>0</v>
      </c>
      <c r="AW56" t="s">
        <v>437</v>
      </c>
      <c r="AX56" t="s">
        <v>437</v>
      </c>
      <c r="AY56">
        <v>0</v>
      </c>
      <c r="AZ56">
        <v>0</v>
      </c>
      <c r="BA56">
        <f>1-AY56/AZ56</f>
        <v>0</v>
      </c>
      <c r="BB56">
        <v>0</v>
      </c>
      <c r="BC56" t="s">
        <v>437</v>
      </c>
      <c r="BD56" t="s">
        <v>437</v>
      </c>
      <c r="BE56">
        <v>0</v>
      </c>
      <c r="BF56">
        <v>0</v>
      </c>
      <c r="BG56">
        <f>1-BE56/BF56</f>
        <v>0</v>
      </c>
      <c r="BH56">
        <v>0.5</v>
      </c>
      <c r="BI56">
        <f>DH56</f>
        <v>0</v>
      </c>
      <c r="BJ56">
        <f>K56</f>
        <v>0</v>
      </c>
      <c r="BK56">
        <f>BG56*BH56*BI56</f>
        <v>0</v>
      </c>
      <c r="BL56">
        <f>(BJ56-BB56)/BI56</f>
        <v>0</v>
      </c>
      <c r="BM56">
        <f>(AZ56-BF56)/BF56</f>
        <v>0</v>
      </c>
      <c r="BN56">
        <f>AY56/(BA56+AY56/BF56)</f>
        <v>0</v>
      </c>
      <c r="BO56" t="s">
        <v>437</v>
      </c>
      <c r="BP56">
        <v>0</v>
      </c>
      <c r="BQ56">
        <f>IF(BP56&lt;&gt;0, BP56, BN56)</f>
        <v>0</v>
      </c>
      <c r="BR56">
        <f>1-BQ56/BF56</f>
        <v>0</v>
      </c>
      <c r="BS56">
        <f>(BF56-BE56)/(BF56-BQ56)</f>
        <v>0</v>
      </c>
      <c r="BT56">
        <f>(AZ56-BF56)/(AZ56-BQ56)</f>
        <v>0</v>
      </c>
      <c r="BU56">
        <f>(BF56-BE56)/(BF56-AY56)</f>
        <v>0</v>
      </c>
      <c r="BV56">
        <f>(AZ56-BF56)/(AZ56-AY56)</f>
        <v>0</v>
      </c>
      <c r="BW56">
        <f>(BS56*BQ56/BE56)</f>
        <v>0</v>
      </c>
      <c r="BX56">
        <f>(1-BW56)</f>
        <v>0</v>
      </c>
      <c r="DG56">
        <f>$B$13*EF56+$C$13*EG56+$F$13*ER56*(1-EU56)</f>
        <v>0</v>
      </c>
      <c r="DH56">
        <f>DG56*DI56</f>
        <v>0</v>
      </c>
      <c r="DI56">
        <f>($B$13*$D$11+$C$13*$D$11+$F$13*((FE56+EW56)/MAX(FE56+EW56+FF56, 0.1)*$I$11+FF56/MAX(FE56+EW56+FF56, 0.1)*$J$11))/($B$13+$C$13+$F$13)</f>
        <v>0</v>
      </c>
      <c r="DJ56">
        <f>($B$13*$K$11+$C$13*$K$11+$F$13*((FE56+EW56)/MAX(FE56+EW56+FF56, 0.1)*$P$11+FF56/MAX(FE56+EW56+FF56, 0.1)*$Q$11))/($B$13+$C$13+$F$13)</f>
        <v>0</v>
      </c>
      <c r="DK56">
        <v>5.66</v>
      </c>
      <c r="DL56">
        <v>0.5</v>
      </c>
      <c r="DM56" t="s">
        <v>438</v>
      </c>
      <c r="DN56">
        <v>2</v>
      </c>
      <c r="DO56" t="b">
        <v>1</v>
      </c>
      <c r="DP56">
        <v>1765304275</v>
      </c>
      <c r="DQ56">
        <v>1199.348064516129</v>
      </c>
      <c r="DR56">
        <v>1199.987419354839</v>
      </c>
      <c r="DS56">
        <v>17.78380322580645</v>
      </c>
      <c r="DT56">
        <v>17.72682903225807</v>
      </c>
      <c r="DU56">
        <v>1198.018064516129</v>
      </c>
      <c r="DV56">
        <v>17.69880322580645</v>
      </c>
      <c r="DW56">
        <v>499.9963225806452</v>
      </c>
      <c r="DX56">
        <v>90.01492258064516</v>
      </c>
      <c r="DY56">
        <v>0.09997495806451613</v>
      </c>
      <c r="DZ56">
        <v>25.13271612903226</v>
      </c>
      <c r="EA56">
        <v>25.00588064516129</v>
      </c>
      <c r="EB56">
        <v>999.9000000000003</v>
      </c>
      <c r="EC56">
        <v>0</v>
      </c>
      <c r="ED56">
        <v>0</v>
      </c>
      <c r="EE56">
        <v>9998.825161290324</v>
      </c>
      <c r="EF56">
        <v>0</v>
      </c>
      <c r="EG56">
        <v>9.53196322580645</v>
      </c>
      <c r="EH56">
        <v>-0.6606798709677419</v>
      </c>
      <c r="EI56">
        <v>1221.041935483871</v>
      </c>
      <c r="EJ56">
        <v>1221.642903225807</v>
      </c>
      <c r="EK56">
        <v>0.05710613870967743</v>
      </c>
      <c r="EL56">
        <v>1199.987419354839</v>
      </c>
      <c r="EM56">
        <v>17.72682903225807</v>
      </c>
      <c r="EN56">
        <v>1.600820967741936</v>
      </c>
      <c r="EO56">
        <v>1.595679677419355</v>
      </c>
      <c r="EP56">
        <v>13.96670322580645</v>
      </c>
      <c r="EQ56">
        <v>13.91714193548387</v>
      </c>
      <c r="ER56">
        <v>800.0194193548386</v>
      </c>
      <c r="ES56">
        <v>0.9500081612903225</v>
      </c>
      <c r="ET56">
        <v>0.04999179354838709</v>
      </c>
      <c r="EU56">
        <v>0</v>
      </c>
      <c r="EV56">
        <v>854.9191612903227</v>
      </c>
      <c r="EW56">
        <v>5.000779999999999</v>
      </c>
      <c r="EX56">
        <v>6486.81</v>
      </c>
      <c r="EY56">
        <v>6463.592580645162</v>
      </c>
      <c r="EZ56">
        <v>37.43716129032258</v>
      </c>
      <c r="FA56">
        <v>40.41106451612903</v>
      </c>
      <c r="FB56">
        <v>39.08851612903226</v>
      </c>
      <c r="FC56">
        <v>40.81435483870968</v>
      </c>
      <c r="FD56">
        <v>39.14893548387095</v>
      </c>
      <c r="FE56">
        <v>755.2748387096774</v>
      </c>
      <c r="FF56">
        <v>39.74516129032259</v>
      </c>
      <c r="FG56">
        <v>0</v>
      </c>
      <c r="FH56">
        <v>1765304282.3</v>
      </c>
      <c r="FI56">
        <v>0</v>
      </c>
      <c r="FJ56">
        <v>854.97</v>
      </c>
      <c r="FK56">
        <v>0.7497692455673888</v>
      </c>
      <c r="FL56">
        <v>-15.57384615578701</v>
      </c>
      <c r="FM56">
        <v>6486.706</v>
      </c>
      <c r="FN56">
        <v>15</v>
      </c>
      <c r="FO56">
        <v>1765304306.5</v>
      </c>
      <c r="FP56" t="s">
        <v>558</v>
      </c>
      <c r="FQ56">
        <v>1765304306.5</v>
      </c>
      <c r="FR56">
        <v>1765304299</v>
      </c>
      <c r="FS56">
        <v>39</v>
      </c>
      <c r="FT56">
        <v>0.021</v>
      </c>
      <c r="FU56">
        <v>0</v>
      </c>
      <c r="FV56">
        <v>1.33</v>
      </c>
      <c r="FW56">
        <v>0.08500000000000001</v>
      </c>
      <c r="FX56">
        <v>1200</v>
      </c>
      <c r="FY56">
        <v>18</v>
      </c>
      <c r="FZ56">
        <v>0.67</v>
      </c>
      <c r="GA56">
        <v>0.09</v>
      </c>
      <c r="GB56">
        <v>-0.6711276097560975</v>
      </c>
      <c r="GC56">
        <v>0.4248946411149822</v>
      </c>
      <c r="GD56">
        <v>0.07484338921419328</v>
      </c>
      <c r="GE56">
        <v>1</v>
      </c>
      <c r="GF56">
        <v>854.9496764705882</v>
      </c>
      <c r="GG56">
        <v>-0.02598930085405895</v>
      </c>
      <c r="GH56">
        <v>0.1827039908428232</v>
      </c>
      <c r="GI56">
        <v>1</v>
      </c>
      <c r="GJ56">
        <v>0.05390083170731707</v>
      </c>
      <c r="GK56">
        <v>0.05754777909407673</v>
      </c>
      <c r="GL56">
        <v>0.005939920944552312</v>
      </c>
      <c r="GM56">
        <v>1</v>
      </c>
      <c r="GN56">
        <v>3</v>
      </c>
      <c r="GO56">
        <v>3</v>
      </c>
      <c r="GP56" t="s">
        <v>440</v>
      </c>
      <c r="GQ56">
        <v>3.10828</v>
      </c>
      <c r="GR56">
        <v>2.79182</v>
      </c>
      <c r="GS56">
        <v>0.179605</v>
      </c>
      <c r="GT56">
        <v>0.179882</v>
      </c>
      <c r="GU56">
        <v>0.0874766</v>
      </c>
      <c r="GV56">
        <v>0.088074</v>
      </c>
      <c r="GW56">
        <v>21553.8</v>
      </c>
      <c r="GX56">
        <v>19559.4</v>
      </c>
      <c r="GY56">
        <v>26828.3</v>
      </c>
      <c r="GZ56">
        <v>24053.9</v>
      </c>
      <c r="HA56">
        <v>39135.5</v>
      </c>
      <c r="HB56">
        <v>32379.8</v>
      </c>
      <c r="HC56">
        <v>46823.4</v>
      </c>
      <c r="HD56">
        <v>38035.2</v>
      </c>
      <c r="HE56">
        <v>1.89525</v>
      </c>
      <c r="HF56">
        <v>1.84265</v>
      </c>
      <c r="HG56">
        <v>0.0701845</v>
      </c>
      <c r="HH56">
        <v>0</v>
      </c>
      <c r="HI56">
        <v>23.8535</v>
      </c>
      <c r="HJ56">
        <v>999.9</v>
      </c>
      <c r="HK56">
        <v>35.1</v>
      </c>
      <c r="HL56">
        <v>33.9</v>
      </c>
      <c r="HM56">
        <v>20.719</v>
      </c>
      <c r="HN56">
        <v>60.8338</v>
      </c>
      <c r="HO56">
        <v>28.5777</v>
      </c>
      <c r="HP56">
        <v>1</v>
      </c>
      <c r="HQ56">
        <v>-0.00848323</v>
      </c>
      <c r="HR56">
        <v>0.5013069999999999</v>
      </c>
      <c r="HS56">
        <v>20.2922</v>
      </c>
      <c r="HT56">
        <v>5.22298</v>
      </c>
      <c r="HU56">
        <v>11.9757</v>
      </c>
      <c r="HV56">
        <v>4.9657</v>
      </c>
      <c r="HW56">
        <v>3.27585</v>
      </c>
      <c r="HX56">
        <v>9999</v>
      </c>
      <c r="HY56">
        <v>9999</v>
      </c>
      <c r="HZ56">
        <v>9999</v>
      </c>
      <c r="IA56">
        <v>999.9</v>
      </c>
      <c r="IB56">
        <v>1.86407</v>
      </c>
      <c r="IC56">
        <v>1.86029</v>
      </c>
      <c r="ID56">
        <v>1.85862</v>
      </c>
      <c r="IE56">
        <v>1.8599</v>
      </c>
      <c r="IF56">
        <v>1.86004</v>
      </c>
      <c r="IG56">
        <v>1.85858</v>
      </c>
      <c r="IH56">
        <v>1.85762</v>
      </c>
      <c r="II56">
        <v>1.85256</v>
      </c>
      <c r="IJ56">
        <v>0</v>
      </c>
      <c r="IK56">
        <v>0</v>
      </c>
      <c r="IL56">
        <v>0</v>
      </c>
      <c r="IM56">
        <v>0</v>
      </c>
      <c r="IN56" t="s">
        <v>441</v>
      </c>
      <c r="IO56" t="s">
        <v>442</v>
      </c>
      <c r="IP56" t="s">
        <v>443</v>
      </c>
      <c r="IQ56" t="s">
        <v>443</v>
      </c>
      <c r="IR56" t="s">
        <v>443</v>
      </c>
      <c r="IS56" t="s">
        <v>443</v>
      </c>
      <c r="IT56">
        <v>0</v>
      </c>
      <c r="IU56">
        <v>100</v>
      </c>
      <c r="IV56">
        <v>100</v>
      </c>
      <c r="IW56">
        <v>1.33</v>
      </c>
      <c r="IX56">
        <v>0.08500000000000001</v>
      </c>
      <c r="IY56">
        <v>-0.3077143701873524</v>
      </c>
      <c r="IZ56">
        <v>0.0001583678016168383</v>
      </c>
      <c r="JA56">
        <v>1.526473431467286E-06</v>
      </c>
      <c r="JB56">
        <v>-4.446382740029455E-10</v>
      </c>
      <c r="JC56">
        <v>-0.03878821408198579</v>
      </c>
      <c r="JD56">
        <v>-0.009941991807247691</v>
      </c>
      <c r="JE56">
        <v>0.001256427533001032</v>
      </c>
      <c r="JF56">
        <v>-1.689728105039484E-05</v>
      </c>
      <c r="JG56">
        <v>2</v>
      </c>
      <c r="JH56">
        <v>1984</v>
      </c>
      <c r="JI56">
        <v>0</v>
      </c>
      <c r="JJ56">
        <v>25</v>
      </c>
      <c r="JK56">
        <v>1.2</v>
      </c>
      <c r="JL56">
        <v>1.3</v>
      </c>
      <c r="JM56">
        <v>2.64893</v>
      </c>
      <c r="JN56">
        <v>2.61719</v>
      </c>
      <c r="JO56">
        <v>1.49658</v>
      </c>
      <c r="JP56">
        <v>2.34619</v>
      </c>
      <c r="JQ56">
        <v>1.54907</v>
      </c>
      <c r="JR56">
        <v>2.44751</v>
      </c>
      <c r="JS56">
        <v>38.1837</v>
      </c>
      <c r="JT56">
        <v>23.9562</v>
      </c>
      <c r="JU56">
        <v>18</v>
      </c>
      <c r="JV56">
        <v>480.162</v>
      </c>
      <c r="JW56">
        <v>475.5</v>
      </c>
      <c r="JX56">
        <v>23.7111</v>
      </c>
      <c r="JY56">
        <v>27.0625</v>
      </c>
      <c r="JZ56">
        <v>30</v>
      </c>
      <c r="KA56">
        <v>27.3793</v>
      </c>
      <c r="KB56">
        <v>27.3979</v>
      </c>
      <c r="KC56">
        <v>53.1696</v>
      </c>
      <c r="KD56">
        <v>14.316</v>
      </c>
      <c r="KE56">
        <v>15.9753</v>
      </c>
      <c r="KF56">
        <v>23.7081</v>
      </c>
      <c r="KG56">
        <v>1200</v>
      </c>
      <c r="KH56">
        <v>17.6787</v>
      </c>
      <c r="KI56">
        <v>102.395</v>
      </c>
      <c r="KJ56">
        <v>91.74590000000001</v>
      </c>
    </row>
    <row r="57" spans="1:296">
      <c r="A57">
        <v>39</v>
      </c>
      <c r="B57">
        <v>1765304386</v>
      </c>
      <c r="C57">
        <v>6953</v>
      </c>
      <c r="D57" t="s">
        <v>559</v>
      </c>
      <c r="E57" t="s">
        <v>560</v>
      </c>
      <c r="F57">
        <v>5</v>
      </c>
      <c r="G57" t="s">
        <v>524</v>
      </c>
      <c r="H57">
        <v>1765304378.25</v>
      </c>
      <c r="I57">
        <f>(J57)/1000</f>
        <v>0</v>
      </c>
      <c r="J57">
        <f>IF(DO57, AM57, AG57)</f>
        <v>0</v>
      </c>
      <c r="K57">
        <f>IF(DO57, AH57, AF57)</f>
        <v>0</v>
      </c>
      <c r="L57">
        <f>DQ57 - IF(AT57&gt;1, K57*DK57*100.0/(AV57), 0)</f>
        <v>0</v>
      </c>
      <c r="M57">
        <f>((S57-I57/2)*L57-K57)/(S57+I57/2)</f>
        <v>0</v>
      </c>
      <c r="N57">
        <f>M57*(DX57+DY57)/1000.0</f>
        <v>0</v>
      </c>
      <c r="O57">
        <f>(DQ57 - IF(AT57&gt;1, K57*DK57*100.0/(AV57), 0))*(DX57+DY57)/1000.0</f>
        <v>0</v>
      </c>
      <c r="P57">
        <f>2.0/((1/R57-1/Q57)+SIGN(R57)*SQRT((1/R57-1/Q57)*(1/R57-1/Q57) + 4*DL57/((DL57+1)*(DL57+1))*(2*1/R57*1/Q57-1/Q57*1/Q57)))</f>
        <v>0</v>
      </c>
      <c r="Q57">
        <f>IF(LEFT(DM57,1)&lt;&gt;"0",IF(LEFT(DM57,1)="1",3.0,DN57),$D$5+$E$5*(EE57*DX57/($K$5*1000))+$F$5*(EE57*DX57/($K$5*1000))*MAX(MIN(DK57,$J$5),$I$5)*MAX(MIN(DK57,$J$5),$I$5)+$G$5*MAX(MIN(DK57,$J$5),$I$5)*(EE57*DX57/($K$5*1000))+$H$5*(EE57*DX57/($K$5*1000))*(EE57*DX57/($K$5*1000)))</f>
        <v>0</v>
      </c>
      <c r="R57">
        <f>I57*(1000-(1000*0.61365*exp(17.502*V57/(240.97+V57))/(DX57+DY57)+DS57)/2)/(1000*0.61365*exp(17.502*V57/(240.97+V57))/(DX57+DY57)-DS57)</f>
        <v>0</v>
      </c>
      <c r="S57">
        <f>1/((DL57+1)/(P57/1.6)+1/(Q57/1.37)) + DL57/((DL57+1)/(P57/1.6) + DL57/(Q57/1.37))</f>
        <v>0</v>
      </c>
      <c r="T57">
        <f>(DG57*DJ57)</f>
        <v>0</v>
      </c>
      <c r="U57">
        <f>(DZ57+(T57+2*0.95*5.67E-8*(((DZ57+$B$9)+273)^4-(DZ57+273)^4)-44100*I57)/(1.84*29.3*Q57+8*0.95*5.67E-8*(DZ57+273)^3))</f>
        <v>0</v>
      </c>
      <c r="V57">
        <f>($C$9*EA57+$D$9*EB57+$E$9*U57)</f>
        <v>0</v>
      </c>
      <c r="W57">
        <f>0.61365*exp(17.502*V57/(240.97+V57))</f>
        <v>0</v>
      </c>
      <c r="X57">
        <f>(Y57/Z57*100)</f>
        <v>0</v>
      </c>
      <c r="Y57">
        <f>DS57*(DX57+DY57)/1000</f>
        <v>0</v>
      </c>
      <c r="Z57">
        <f>0.61365*exp(17.502*DZ57/(240.97+DZ57))</f>
        <v>0</v>
      </c>
      <c r="AA57">
        <f>(W57-DS57*(DX57+DY57)/1000)</f>
        <v>0</v>
      </c>
      <c r="AB57">
        <f>(-I57*44100)</f>
        <v>0</v>
      </c>
      <c r="AC57">
        <f>2*29.3*Q57*0.92*(DZ57-V57)</f>
        <v>0</v>
      </c>
      <c r="AD57">
        <f>2*0.95*5.67E-8*(((DZ57+$B$9)+273)^4-(V57+273)^4)</f>
        <v>0</v>
      </c>
      <c r="AE57">
        <f>T57+AD57+AB57+AC57</f>
        <v>0</v>
      </c>
      <c r="AF57">
        <f>DW57*AT57*(DR57-DQ57*(1000-AT57*DT57)/(1000-AT57*DS57))/(100*DK57)</f>
        <v>0</v>
      </c>
      <c r="AG57">
        <f>1000*DW57*AT57*(DS57-DT57)/(100*DK57*(1000-AT57*DS57))</f>
        <v>0</v>
      </c>
      <c r="AH57">
        <f>(AI57 - AJ57 - DX57*1E3/(8.314*(DZ57+273.15)) * AL57/DW57 * AK57) * DW57/(100*DK57) * (1000 - DT57)/1000</f>
        <v>0</v>
      </c>
      <c r="AI57">
        <v>1526.878767518635</v>
      </c>
      <c r="AJ57">
        <v>1526.115090909091</v>
      </c>
      <c r="AK57">
        <v>0.001971388404292073</v>
      </c>
      <c r="AL57">
        <v>65.82727229462297</v>
      </c>
      <c r="AM57">
        <f>(AO57 - AN57 + DX57*1E3/(8.314*(DZ57+273.15)) * AQ57/DW57 * AP57) * DW57/(100*DK57) * 1000/(1000 - AO57)</f>
        <v>0</v>
      </c>
      <c r="AN57">
        <v>17.64409130738388</v>
      </c>
      <c r="AO57">
        <v>17.71813515151515</v>
      </c>
      <c r="AP57">
        <v>-0.0001172430821953608</v>
      </c>
      <c r="AQ57">
        <v>108.1536393355227</v>
      </c>
      <c r="AR57">
        <v>0</v>
      </c>
      <c r="AS57">
        <v>0</v>
      </c>
      <c r="AT57">
        <f>IF(AR57*$H$15&gt;=AV57,1.0,(AV57/(AV57-AR57*$H$15)))</f>
        <v>0</v>
      </c>
      <c r="AU57">
        <f>(AT57-1)*100</f>
        <v>0</v>
      </c>
      <c r="AV57">
        <f>MAX(0,($B$15+$C$15*EE57)/(1+$D$15*EE57)*DX57/(DZ57+273)*$E$15)</f>
        <v>0</v>
      </c>
      <c r="AW57" t="s">
        <v>437</v>
      </c>
      <c r="AX57" t="s">
        <v>437</v>
      </c>
      <c r="AY57">
        <v>0</v>
      </c>
      <c r="AZ57">
        <v>0</v>
      </c>
      <c r="BA57">
        <f>1-AY57/AZ57</f>
        <v>0</v>
      </c>
      <c r="BB57">
        <v>0</v>
      </c>
      <c r="BC57" t="s">
        <v>437</v>
      </c>
      <c r="BD57" t="s">
        <v>437</v>
      </c>
      <c r="BE57">
        <v>0</v>
      </c>
      <c r="BF57">
        <v>0</v>
      </c>
      <c r="BG57">
        <f>1-BE57/BF57</f>
        <v>0</v>
      </c>
      <c r="BH57">
        <v>0.5</v>
      </c>
      <c r="BI57">
        <f>DH57</f>
        <v>0</v>
      </c>
      <c r="BJ57">
        <f>K57</f>
        <v>0</v>
      </c>
      <c r="BK57">
        <f>BG57*BH57*BI57</f>
        <v>0</v>
      </c>
      <c r="BL57">
        <f>(BJ57-BB57)/BI57</f>
        <v>0</v>
      </c>
      <c r="BM57">
        <f>(AZ57-BF57)/BF57</f>
        <v>0</v>
      </c>
      <c r="BN57">
        <f>AY57/(BA57+AY57/BF57)</f>
        <v>0</v>
      </c>
      <c r="BO57" t="s">
        <v>437</v>
      </c>
      <c r="BP57">
        <v>0</v>
      </c>
      <c r="BQ57">
        <f>IF(BP57&lt;&gt;0, BP57, BN57)</f>
        <v>0</v>
      </c>
      <c r="BR57">
        <f>1-BQ57/BF57</f>
        <v>0</v>
      </c>
      <c r="BS57">
        <f>(BF57-BE57)/(BF57-BQ57)</f>
        <v>0</v>
      </c>
      <c r="BT57">
        <f>(AZ57-BF57)/(AZ57-BQ57)</f>
        <v>0</v>
      </c>
      <c r="BU57">
        <f>(BF57-BE57)/(BF57-AY57)</f>
        <v>0</v>
      </c>
      <c r="BV57">
        <f>(AZ57-BF57)/(AZ57-AY57)</f>
        <v>0</v>
      </c>
      <c r="BW57">
        <f>(BS57*BQ57/BE57)</f>
        <v>0</v>
      </c>
      <c r="BX57">
        <f>(1-BW57)</f>
        <v>0</v>
      </c>
      <c r="DG57">
        <f>$B$13*EF57+$C$13*EG57+$F$13*ER57*(1-EU57)</f>
        <v>0</v>
      </c>
      <c r="DH57">
        <f>DG57*DI57</f>
        <v>0</v>
      </c>
      <c r="DI57">
        <f>($B$13*$D$11+$C$13*$D$11+$F$13*((FE57+EW57)/MAX(FE57+EW57+FF57, 0.1)*$I$11+FF57/MAX(FE57+EW57+FF57, 0.1)*$J$11))/($B$13+$C$13+$F$13)</f>
        <v>0</v>
      </c>
      <c r="DJ57">
        <f>($B$13*$K$11+$C$13*$K$11+$F$13*((FE57+EW57)/MAX(FE57+EW57+FF57, 0.1)*$P$11+FF57/MAX(FE57+EW57+FF57, 0.1)*$Q$11))/($B$13+$C$13+$F$13)</f>
        <v>0</v>
      </c>
      <c r="DK57">
        <v>5.66</v>
      </c>
      <c r="DL57">
        <v>0.5</v>
      </c>
      <c r="DM57" t="s">
        <v>438</v>
      </c>
      <c r="DN57">
        <v>2</v>
      </c>
      <c r="DO57" t="b">
        <v>1</v>
      </c>
      <c r="DP57">
        <v>1765304378.25</v>
      </c>
      <c r="DQ57">
        <v>1499.328666666667</v>
      </c>
      <c r="DR57">
        <v>1499.999666666667</v>
      </c>
      <c r="DS57">
        <v>17.72534666666667</v>
      </c>
      <c r="DT57">
        <v>17.64841666666667</v>
      </c>
      <c r="DU57">
        <v>1497.190666666667</v>
      </c>
      <c r="DV57">
        <v>17.64334666666667</v>
      </c>
      <c r="DW57">
        <v>500.0097</v>
      </c>
      <c r="DX57">
        <v>90.01723</v>
      </c>
      <c r="DY57">
        <v>0.09999278333333333</v>
      </c>
      <c r="DZ57">
        <v>25.10883333333333</v>
      </c>
      <c r="EA57">
        <v>24.99932333333333</v>
      </c>
      <c r="EB57">
        <v>999.9000000000002</v>
      </c>
      <c r="EC57">
        <v>0</v>
      </c>
      <c r="ED57">
        <v>0</v>
      </c>
      <c r="EE57">
        <v>9996.710999999999</v>
      </c>
      <c r="EF57">
        <v>0</v>
      </c>
      <c r="EG57">
        <v>9.494719333333334</v>
      </c>
      <c r="EH57">
        <v>-0.9292033</v>
      </c>
      <c r="EI57">
        <v>1526.125666666667</v>
      </c>
      <c r="EJ57">
        <v>1526.947333333333</v>
      </c>
      <c r="EK57">
        <v>0.07945989000000002</v>
      </c>
      <c r="EL57">
        <v>1499.999666666667</v>
      </c>
      <c r="EM57">
        <v>17.64841666666667</v>
      </c>
      <c r="EN57">
        <v>1.595814333333333</v>
      </c>
      <c r="EO57">
        <v>1.588662333333333</v>
      </c>
      <c r="EP57">
        <v>13.91844666666667</v>
      </c>
      <c r="EQ57">
        <v>13.84926</v>
      </c>
      <c r="ER57">
        <v>799.9951000000001</v>
      </c>
      <c r="ES57">
        <v>0.9499891000000003</v>
      </c>
      <c r="ET57">
        <v>0.05001099333333334</v>
      </c>
      <c r="EU57">
        <v>0</v>
      </c>
      <c r="EV57">
        <v>855.5357</v>
      </c>
      <c r="EW57">
        <v>5.00078</v>
      </c>
      <c r="EX57">
        <v>6466.033666666667</v>
      </c>
      <c r="EY57">
        <v>6463.353333333333</v>
      </c>
      <c r="EZ57">
        <v>36.48306666666666</v>
      </c>
      <c r="FA57">
        <v>38.70386666666666</v>
      </c>
      <c r="FB57">
        <v>38.03306666666666</v>
      </c>
      <c r="FC57">
        <v>38.4706</v>
      </c>
      <c r="FD57">
        <v>38.07893333333332</v>
      </c>
      <c r="FE57">
        <v>755.2346666666665</v>
      </c>
      <c r="FF57">
        <v>39.76</v>
      </c>
      <c r="FG57">
        <v>0</v>
      </c>
      <c r="FH57">
        <v>1765304385.5</v>
      </c>
      <c r="FI57">
        <v>0</v>
      </c>
      <c r="FJ57">
        <v>855.5634800000001</v>
      </c>
      <c r="FK57">
        <v>0.7317692435186293</v>
      </c>
      <c r="FL57">
        <v>-4.987692281946953</v>
      </c>
      <c r="FM57">
        <v>6466.0344</v>
      </c>
      <c r="FN57">
        <v>15</v>
      </c>
      <c r="FO57">
        <v>1765304410.5</v>
      </c>
      <c r="FP57" t="s">
        <v>561</v>
      </c>
      <c r="FQ57">
        <v>1765304410.5</v>
      </c>
      <c r="FR57">
        <v>1765304402</v>
      </c>
      <c r="FS57">
        <v>40</v>
      </c>
      <c r="FT57">
        <v>0.255</v>
      </c>
      <c r="FU57">
        <v>-0.001</v>
      </c>
      <c r="FV57">
        <v>2.138</v>
      </c>
      <c r="FW57">
        <v>0.082</v>
      </c>
      <c r="FX57">
        <v>1500</v>
      </c>
      <c r="FY57">
        <v>18</v>
      </c>
      <c r="FZ57">
        <v>0.71</v>
      </c>
      <c r="GA57">
        <v>0.23</v>
      </c>
      <c r="GB57">
        <v>-0.9494121219512195</v>
      </c>
      <c r="GC57">
        <v>0.4219326689895433</v>
      </c>
      <c r="GD57">
        <v>0.06857444288782352</v>
      </c>
      <c r="GE57">
        <v>1</v>
      </c>
      <c r="GF57">
        <v>855.4913529411764</v>
      </c>
      <c r="GG57">
        <v>0.8893200989049262</v>
      </c>
      <c r="GH57">
        <v>0.2221246182231003</v>
      </c>
      <c r="GI57">
        <v>1</v>
      </c>
      <c r="GJ57">
        <v>0.08260964390243904</v>
      </c>
      <c r="GK57">
        <v>-0.04589522299651587</v>
      </c>
      <c r="GL57">
        <v>0.005281161878493507</v>
      </c>
      <c r="GM57">
        <v>1</v>
      </c>
      <c r="GN57">
        <v>3</v>
      </c>
      <c r="GO57">
        <v>3</v>
      </c>
      <c r="GP57" t="s">
        <v>440</v>
      </c>
      <c r="GQ57">
        <v>3.10839</v>
      </c>
      <c r="GR57">
        <v>2.79166</v>
      </c>
      <c r="GS57">
        <v>0.205539</v>
      </c>
      <c r="GT57">
        <v>0.205898</v>
      </c>
      <c r="GU57">
        <v>0.08725910000000001</v>
      </c>
      <c r="GV57">
        <v>0.0878731</v>
      </c>
      <c r="GW57">
        <v>20873.2</v>
      </c>
      <c r="GX57">
        <v>18939.4</v>
      </c>
      <c r="GY57">
        <v>26828.4</v>
      </c>
      <c r="GZ57">
        <v>24053.6</v>
      </c>
      <c r="HA57">
        <v>39148.9</v>
      </c>
      <c r="HB57">
        <v>32389.4</v>
      </c>
      <c r="HC57">
        <v>46824.3</v>
      </c>
      <c r="HD57">
        <v>38034.9</v>
      </c>
      <c r="HE57">
        <v>1.8958</v>
      </c>
      <c r="HF57">
        <v>1.84422</v>
      </c>
      <c r="HG57">
        <v>0.0706688</v>
      </c>
      <c r="HH57">
        <v>0</v>
      </c>
      <c r="HI57">
        <v>23.8234</v>
      </c>
      <c r="HJ57">
        <v>999.9</v>
      </c>
      <c r="HK57">
        <v>35.2</v>
      </c>
      <c r="HL57">
        <v>33.9</v>
      </c>
      <c r="HM57">
        <v>20.777</v>
      </c>
      <c r="HN57">
        <v>61.1838</v>
      </c>
      <c r="HO57">
        <v>28.2812</v>
      </c>
      <c r="HP57">
        <v>1</v>
      </c>
      <c r="HQ57">
        <v>-0.010625</v>
      </c>
      <c r="HR57">
        <v>0.4414</v>
      </c>
      <c r="HS57">
        <v>20.2928</v>
      </c>
      <c r="HT57">
        <v>5.22238</v>
      </c>
      <c r="HU57">
        <v>11.9758</v>
      </c>
      <c r="HV57">
        <v>4.96565</v>
      </c>
      <c r="HW57">
        <v>3.27588</v>
      </c>
      <c r="HX57">
        <v>9999</v>
      </c>
      <c r="HY57">
        <v>9999</v>
      </c>
      <c r="HZ57">
        <v>9999</v>
      </c>
      <c r="IA57">
        <v>999.9</v>
      </c>
      <c r="IB57">
        <v>1.86406</v>
      </c>
      <c r="IC57">
        <v>1.86027</v>
      </c>
      <c r="ID57">
        <v>1.85858</v>
      </c>
      <c r="IE57">
        <v>1.8599</v>
      </c>
      <c r="IF57">
        <v>1.86005</v>
      </c>
      <c r="IG57">
        <v>1.85854</v>
      </c>
      <c r="IH57">
        <v>1.85761</v>
      </c>
      <c r="II57">
        <v>1.85256</v>
      </c>
      <c r="IJ57">
        <v>0</v>
      </c>
      <c r="IK57">
        <v>0</v>
      </c>
      <c r="IL57">
        <v>0</v>
      </c>
      <c r="IM57">
        <v>0</v>
      </c>
      <c r="IN57" t="s">
        <v>441</v>
      </c>
      <c r="IO57" t="s">
        <v>442</v>
      </c>
      <c r="IP57" t="s">
        <v>443</v>
      </c>
      <c r="IQ57" t="s">
        <v>443</v>
      </c>
      <c r="IR57" t="s">
        <v>443</v>
      </c>
      <c r="IS57" t="s">
        <v>443</v>
      </c>
      <c r="IT57">
        <v>0</v>
      </c>
      <c r="IU57">
        <v>100</v>
      </c>
      <c r="IV57">
        <v>100</v>
      </c>
      <c r="IW57">
        <v>2.138</v>
      </c>
      <c r="IX57">
        <v>0.082</v>
      </c>
      <c r="IY57">
        <v>-0.2872072696532476</v>
      </c>
      <c r="IZ57">
        <v>0.0001583678016168383</v>
      </c>
      <c r="JA57">
        <v>1.526473431467286E-06</v>
      </c>
      <c r="JB57">
        <v>-4.446382740029455E-10</v>
      </c>
      <c r="JC57">
        <v>-0.03835981974999134</v>
      </c>
      <c r="JD57">
        <v>-0.009941991807247691</v>
      </c>
      <c r="JE57">
        <v>0.001256427533001032</v>
      </c>
      <c r="JF57">
        <v>-1.689728105039484E-05</v>
      </c>
      <c r="JG57">
        <v>2</v>
      </c>
      <c r="JH57">
        <v>1984</v>
      </c>
      <c r="JI57">
        <v>0</v>
      </c>
      <c r="JJ57">
        <v>25</v>
      </c>
      <c r="JK57">
        <v>1.3</v>
      </c>
      <c r="JL57">
        <v>1.4</v>
      </c>
      <c r="JM57">
        <v>3.16406</v>
      </c>
      <c r="JN57">
        <v>2.62085</v>
      </c>
      <c r="JO57">
        <v>1.49658</v>
      </c>
      <c r="JP57">
        <v>2.34619</v>
      </c>
      <c r="JQ57">
        <v>1.54907</v>
      </c>
      <c r="JR57">
        <v>2.35962</v>
      </c>
      <c r="JS57">
        <v>38.1106</v>
      </c>
      <c r="JT57">
        <v>23.9737</v>
      </c>
      <c r="JU57">
        <v>18</v>
      </c>
      <c r="JV57">
        <v>480.18</v>
      </c>
      <c r="JW57">
        <v>476.164</v>
      </c>
      <c r="JX57">
        <v>23.8033</v>
      </c>
      <c r="JY57">
        <v>27.0321</v>
      </c>
      <c r="JZ57">
        <v>30.0002</v>
      </c>
      <c r="KA57">
        <v>27.3406</v>
      </c>
      <c r="KB57">
        <v>27.357</v>
      </c>
      <c r="KC57">
        <v>63.4925</v>
      </c>
      <c r="KD57">
        <v>14.8701</v>
      </c>
      <c r="KE57">
        <v>16.7263</v>
      </c>
      <c r="KF57">
        <v>23.802</v>
      </c>
      <c r="KG57">
        <v>1500</v>
      </c>
      <c r="KH57">
        <v>17.7096</v>
      </c>
      <c r="KI57">
        <v>102.397</v>
      </c>
      <c r="KJ57">
        <v>91.74509999999999</v>
      </c>
    </row>
    <row r="58" spans="1:296">
      <c r="A58">
        <v>40</v>
      </c>
      <c r="B58">
        <v>1765304501.5</v>
      </c>
      <c r="C58">
        <v>7068.5</v>
      </c>
      <c r="D58" t="s">
        <v>562</v>
      </c>
      <c r="E58" t="s">
        <v>563</v>
      </c>
      <c r="F58">
        <v>5</v>
      </c>
      <c r="G58" t="s">
        <v>524</v>
      </c>
      <c r="H58">
        <v>1765304493.5</v>
      </c>
      <c r="I58">
        <f>(J58)/1000</f>
        <v>0</v>
      </c>
      <c r="J58">
        <f>IF(DO58, AM58, AG58)</f>
        <v>0</v>
      </c>
      <c r="K58">
        <f>IF(DO58, AH58, AF58)</f>
        <v>0</v>
      </c>
      <c r="L58">
        <f>DQ58 - IF(AT58&gt;1, K58*DK58*100.0/(AV58), 0)</f>
        <v>0</v>
      </c>
      <c r="M58">
        <f>((S58-I58/2)*L58-K58)/(S58+I58/2)</f>
        <v>0</v>
      </c>
      <c r="N58">
        <f>M58*(DX58+DY58)/1000.0</f>
        <v>0</v>
      </c>
      <c r="O58">
        <f>(DQ58 - IF(AT58&gt;1, K58*DK58*100.0/(AV58), 0))*(DX58+DY58)/1000.0</f>
        <v>0</v>
      </c>
      <c r="P58">
        <f>2.0/((1/R58-1/Q58)+SIGN(R58)*SQRT((1/R58-1/Q58)*(1/R58-1/Q58) + 4*DL58/((DL58+1)*(DL58+1))*(2*1/R58*1/Q58-1/Q58*1/Q58)))</f>
        <v>0</v>
      </c>
      <c r="Q58">
        <f>IF(LEFT(DM58,1)&lt;&gt;"0",IF(LEFT(DM58,1)="1",3.0,DN58),$D$5+$E$5*(EE58*DX58/($K$5*1000))+$F$5*(EE58*DX58/($K$5*1000))*MAX(MIN(DK58,$J$5),$I$5)*MAX(MIN(DK58,$J$5),$I$5)+$G$5*MAX(MIN(DK58,$J$5),$I$5)*(EE58*DX58/($K$5*1000))+$H$5*(EE58*DX58/($K$5*1000))*(EE58*DX58/($K$5*1000)))</f>
        <v>0</v>
      </c>
      <c r="R58">
        <f>I58*(1000-(1000*0.61365*exp(17.502*V58/(240.97+V58))/(DX58+DY58)+DS58)/2)/(1000*0.61365*exp(17.502*V58/(240.97+V58))/(DX58+DY58)-DS58)</f>
        <v>0</v>
      </c>
      <c r="S58">
        <f>1/((DL58+1)/(P58/1.6)+1/(Q58/1.37)) + DL58/((DL58+1)/(P58/1.6) + DL58/(Q58/1.37))</f>
        <v>0</v>
      </c>
      <c r="T58">
        <f>(DG58*DJ58)</f>
        <v>0</v>
      </c>
      <c r="U58">
        <f>(DZ58+(T58+2*0.95*5.67E-8*(((DZ58+$B$9)+273)^4-(DZ58+273)^4)-44100*I58)/(1.84*29.3*Q58+8*0.95*5.67E-8*(DZ58+273)^3))</f>
        <v>0</v>
      </c>
      <c r="V58">
        <f>($C$9*EA58+$D$9*EB58+$E$9*U58)</f>
        <v>0</v>
      </c>
      <c r="W58">
        <f>0.61365*exp(17.502*V58/(240.97+V58))</f>
        <v>0</v>
      </c>
      <c r="X58">
        <f>(Y58/Z58*100)</f>
        <v>0</v>
      </c>
      <c r="Y58">
        <f>DS58*(DX58+DY58)/1000</f>
        <v>0</v>
      </c>
      <c r="Z58">
        <f>0.61365*exp(17.502*DZ58/(240.97+DZ58))</f>
        <v>0</v>
      </c>
      <c r="AA58">
        <f>(W58-DS58*(DX58+DY58)/1000)</f>
        <v>0</v>
      </c>
      <c r="AB58">
        <f>(-I58*44100)</f>
        <v>0</v>
      </c>
      <c r="AC58">
        <f>2*29.3*Q58*0.92*(DZ58-V58)</f>
        <v>0</v>
      </c>
      <c r="AD58">
        <f>2*0.95*5.67E-8*(((DZ58+$B$9)+273)^4-(V58+273)^4)</f>
        <v>0</v>
      </c>
      <c r="AE58">
        <f>T58+AD58+AB58+AC58</f>
        <v>0</v>
      </c>
      <c r="AF58">
        <f>DW58*AT58*(DR58-DQ58*(1000-AT58*DT58)/(1000-AT58*DS58))/(100*DK58)</f>
        <v>0</v>
      </c>
      <c r="AG58">
        <f>1000*DW58*AT58*(DS58-DT58)/(100*DK58*(1000-AT58*DS58))</f>
        <v>0</v>
      </c>
      <c r="AH58">
        <f>(AI58 - AJ58 - DX58*1E3/(8.314*(DZ58+273.15)) * AL58/DW58 * AK58) * DW58/(100*DK58) * (1000 - DT58)/1000</f>
        <v>0</v>
      </c>
      <c r="AI58">
        <v>407.19866180526</v>
      </c>
      <c r="AJ58">
        <v>408.0587393939393</v>
      </c>
      <c r="AK58">
        <v>-0.000272097911206525</v>
      </c>
      <c r="AL58">
        <v>65.81824404638901</v>
      </c>
      <c r="AM58">
        <f>(AO58 - AN58 + DX58*1E3/(8.314*(DZ58+273.15)) * AQ58/DW58 * AP58) * DW58/(100*DK58) * 1000/(1000 - AO58)</f>
        <v>0</v>
      </c>
      <c r="AN58">
        <v>17.73923405184986</v>
      </c>
      <c r="AO58">
        <v>17.8078406060606</v>
      </c>
      <c r="AP58">
        <v>-7.172996785728409E-05</v>
      </c>
      <c r="AQ58">
        <v>107.8046278257588</v>
      </c>
      <c r="AR58">
        <v>0</v>
      </c>
      <c r="AS58">
        <v>0</v>
      </c>
      <c r="AT58">
        <f>IF(AR58*$H$15&gt;=AV58,1.0,(AV58/(AV58-AR58*$H$15)))</f>
        <v>0</v>
      </c>
      <c r="AU58">
        <f>(AT58-1)*100</f>
        <v>0</v>
      </c>
      <c r="AV58">
        <f>MAX(0,($B$15+$C$15*EE58)/(1+$D$15*EE58)*DX58/(DZ58+273)*$E$15)</f>
        <v>0</v>
      </c>
      <c r="AW58" t="s">
        <v>437</v>
      </c>
      <c r="AX58" t="s">
        <v>437</v>
      </c>
      <c r="AY58">
        <v>0</v>
      </c>
      <c r="AZ58">
        <v>0</v>
      </c>
      <c r="BA58">
        <f>1-AY58/AZ58</f>
        <v>0</v>
      </c>
      <c r="BB58">
        <v>0</v>
      </c>
      <c r="BC58" t="s">
        <v>437</v>
      </c>
      <c r="BD58" t="s">
        <v>437</v>
      </c>
      <c r="BE58">
        <v>0</v>
      </c>
      <c r="BF58">
        <v>0</v>
      </c>
      <c r="BG58">
        <f>1-BE58/BF58</f>
        <v>0</v>
      </c>
      <c r="BH58">
        <v>0.5</v>
      </c>
      <c r="BI58">
        <f>DH58</f>
        <v>0</v>
      </c>
      <c r="BJ58">
        <f>K58</f>
        <v>0</v>
      </c>
      <c r="BK58">
        <f>BG58*BH58*BI58</f>
        <v>0</v>
      </c>
      <c r="BL58">
        <f>(BJ58-BB58)/BI58</f>
        <v>0</v>
      </c>
      <c r="BM58">
        <f>(AZ58-BF58)/BF58</f>
        <v>0</v>
      </c>
      <c r="BN58">
        <f>AY58/(BA58+AY58/BF58)</f>
        <v>0</v>
      </c>
      <c r="BO58" t="s">
        <v>437</v>
      </c>
      <c r="BP58">
        <v>0</v>
      </c>
      <c r="BQ58">
        <f>IF(BP58&lt;&gt;0, BP58, BN58)</f>
        <v>0</v>
      </c>
      <c r="BR58">
        <f>1-BQ58/BF58</f>
        <v>0</v>
      </c>
      <c r="BS58">
        <f>(BF58-BE58)/(BF58-BQ58)</f>
        <v>0</v>
      </c>
      <c r="BT58">
        <f>(AZ58-BF58)/(AZ58-BQ58)</f>
        <v>0</v>
      </c>
      <c r="BU58">
        <f>(BF58-BE58)/(BF58-AY58)</f>
        <v>0</v>
      </c>
      <c r="BV58">
        <f>(AZ58-BF58)/(AZ58-AY58)</f>
        <v>0</v>
      </c>
      <c r="BW58">
        <f>(BS58*BQ58/BE58)</f>
        <v>0</v>
      </c>
      <c r="BX58">
        <f>(1-BW58)</f>
        <v>0</v>
      </c>
      <c r="DG58">
        <f>$B$13*EF58+$C$13*EG58+$F$13*ER58*(1-EU58)</f>
        <v>0</v>
      </c>
      <c r="DH58">
        <f>DG58*DI58</f>
        <v>0</v>
      </c>
      <c r="DI58">
        <f>($B$13*$D$11+$C$13*$D$11+$F$13*((FE58+EW58)/MAX(FE58+EW58+FF58, 0.1)*$I$11+FF58/MAX(FE58+EW58+FF58, 0.1)*$J$11))/($B$13+$C$13+$F$13)</f>
        <v>0</v>
      </c>
      <c r="DJ58">
        <f>($B$13*$K$11+$C$13*$K$11+$F$13*((FE58+EW58)/MAX(FE58+EW58+FF58, 0.1)*$P$11+FF58/MAX(FE58+EW58+FF58, 0.1)*$Q$11))/($B$13+$C$13+$F$13)</f>
        <v>0</v>
      </c>
      <c r="DK58">
        <v>5.66</v>
      </c>
      <c r="DL58">
        <v>0.5</v>
      </c>
      <c r="DM58" t="s">
        <v>438</v>
      </c>
      <c r="DN58">
        <v>2</v>
      </c>
      <c r="DO58" t="b">
        <v>1</v>
      </c>
      <c r="DP58">
        <v>1765304493.5</v>
      </c>
      <c r="DQ58">
        <v>400.4023548387098</v>
      </c>
      <c r="DR58">
        <v>399.9600645161289</v>
      </c>
      <c r="DS58">
        <v>17.8009064516129</v>
      </c>
      <c r="DT58">
        <v>17.75705806451613</v>
      </c>
      <c r="DU58">
        <v>400.5633548387098</v>
      </c>
      <c r="DV58">
        <v>17.7239064516129</v>
      </c>
      <c r="DW58">
        <v>500.0153225806451</v>
      </c>
      <c r="DX58">
        <v>90.02133225806452</v>
      </c>
      <c r="DY58">
        <v>0.09996856129032258</v>
      </c>
      <c r="DZ58">
        <v>25.06873548387097</v>
      </c>
      <c r="EA58">
        <v>24.99015161290322</v>
      </c>
      <c r="EB58">
        <v>999.9000000000003</v>
      </c>
      <c r="EC58">
        <v>0</v>
      </c>
      <c r="ED58">
        <v>0</v>
      </c>
      <c r="EE58">
        <v>10003.93516129032</v>
      </c>
      <c r="EF58">
        <v>0</v>
      </c>
      <c r="EG58">
        <v>9.484174193548387</v>
      </c>
      <c r="EH58">
        <v>0.8527555806451614</v>
      </c>
      <c r="EI58">
        <v>408.0800967741936</v>
      </c>
      <c r="EJ58">
        <v>407.1905806451613</v>
      </c>
      <c r="EK58">
        <v>0.05155538387096773</v>
      </c>
      <c r="EL58">
        <v>399.9600645161289</v>
      </c>
      <c r="EM58">
        <v>17.75705806451613</v>
      </c>
      <c r="EN58">
        <v>1.603155806451613</v>
      </c>
      <c r="EO58">
        <v>1.598514838709677</v>
      </c>
      <c r="EP58">
        <v>13.98915806451613</v>
      </c>
      <c r="EQ58">
        <v>13.94449032258064</v>
      </c>
      <c r="ER58">
        <v>799.9656451612905</v>
      </c>
      <c r="ES58">
        <v>0.9500032258064514</v>
      </c>
      <c r="ET58">
        <v>0.04999686129032258</v>
      </c>
      <c r="EU58">
        <v>0</v>
      </c>
      <c r="EV58">
        <v>856.9802903225807</v>
      </c>
      <c r="EW58">
        <v>5.000779999999999</v>
      </c>
      <c r="EX58">
        <v>6467.780000000001</v>
      </c>
      <c r="EY58">
        <v>6463.146451612904</v>
      </c>
      <c r="EZ58">
        <v>36.04816129032258</v>
      </c>
      <c r="FA58">
        <v>38.59851612903226</v>
      </c>
      <c r="FB58">
        <v>38.09467741935484</v>
      </c>
      <c r="FC58">
        <v>38.28612903225806</v>
      </c>
      <c r="FD58">
        <v>38.06025806451612</v>
      </c>
      <c r="FE58">
        <v>755.2200000000001</v>
      </c>
      <c r="FF58">
        <v>39.74677419354839</v>
      </c>
      <c r="FG58">
        <v>0</v>
      </c>
      <c r="FH58">
        <v>1765304500.7</v>
      </c>
      <c r="FI58">
        <v>0</v>
      </c>
      <c r="FJ58">
        <v>856.95404</v>
      </c>
      <c r="FK58">
        <v>-0.6415384710752258</v>
      </c>
      <c r="FL58">
        <v>14.68615381014598</v>
      </c>
      <c r="FM58">
        <v>6467.996399999999</v>
      </c>
      <c r="FN58">
        <v>15</v>
      </c>
      <c r="FO58">
        <v>1765304518</v>
      </c>
      <c r="FP58" t="s">
        <v>564</v>
      </c>
      <c r="FQ58">
        <v>1765304518</v>
      </c>
      <c r="FR58">
        <v>1765304517.5</v>
      </c>
      <c r="FS58">
        <v>41</v>
      </c>
      <c r="FT58">
        <v>-0.41</v>
      </c>
      <c r="FU58">
        <v>-0.006</v>
      </c>
      <c r="FV58">
        <v>-0.161</v>
      </c>
      <c r="FW58">
        <v>0.077</v>
      </c>
      <c r="FX58">
        <v>400</v>
      </c>
      <c r="FY58">
        <v>18</v>
      </c>
      <c r="FZ58">
        <v>0.54</v>
      </c>
      <c r="GA58">
        <v>0.11</v>
      </c>
      <c r="GB58">
        <v>0.8618014390243903</v>
      </c>
      <c r="GC58">
        <v>-0.3062565156794405</v>
      </c>
      <c r="GD58">
        <v>0.04740901092236081</v>
      </c>
      <c r="GE58">
        <v>1</v>
      </c>
      <c r="GF58">
        <v>856.9983235294118</v>
      </c>
      <c r="GG58">
        <v>-0.8545912932120555</v>
      </c>
      <c r="GH58">
        <v>0.2678830649839476</v>
      </c>
      <c r="GI58">
        <v>1</v>
      </c>
      <c r="GJ58">
        <v>0.05289128536585366</v>
      </c>
      <c r="GK58">
        <v>0.07118297770034848</v>
      </c>
      <c r="GL58">
        <v>0.01517340164484825</v>
      </c>
      <c r="GM58">
        <v>1</v>
      </c>
      <c r="GN58">
        <v>3</v>
      </c>
      <c r="GO58">
        <v>3</v>
      </c>
      <c r="GP58" t="s">
        <v>440</v>
      </c>
      <c r="GQ58">
        <v>3.10832</v>
      </c>
      <c r="GR58">
        <v>2.7918</v>
      </c>
      <c r="GS58">
        <v>0.084788</v>
      </c>
      <c r="GT58">
        <v>0.0847358</v>
      </c>
      <c r="GU58">
        <v>0.0875879</v>
      </c>
      <c r="GV58">
        <v>0.08811819999999999</v>
      </c>
      <c r="GW58">
        <v>24043.7</v>
      </c>
      <c r="GX58">
        <v>21826.7</v>
      </c>
      <c r="GY58">
        <v>26828</v>
      </c>
      <c r="GZ58">
        <v>24052.5</v>
      </c>
      <c r="HA58">
        <v>39119.2</v>
      </c>
      <c r="HB58">
        <v>32365.8</v>
      </c>
      <c r="HC58">
        <v>46824</v>
      </c>
      <c r="HD58">
        <v>38032.1</v>
      </c>
      <c r="HE58">
        <v>1.89533</v>
      </c>
      <c r="HF58">
        <v>1.84245</v>
      </c>
      <c r="HG58">
        <v>0.071004</v>
      </c>
      <c r="HH58">
        <v>0</v>
      </c>
      <c r="HI58">
        <v>23.8254</v>
      </c>
      <c r="HJ58">
        <v>999.9</v>
      </c>
      <c r="HK58">
        <v>35.3</v>
      </c>
      <c r="HL58">
        <v>33.8</v>
      </c>
      <c r="HM58">
        <v>20.7191</v>
      </c>
      <c r="HN58">
        <v>61.2638</v>
      </c>
      <c r="HO58">
        <v>28.4696</v>
      </c>
      <c r="HP58">
        <v>1</v>
      </c>
      <c r="HQ58">
        <v>-0.0121875</v>
      </c>
      <c r="HR58">
        <v>0.329265</v>
      </c>
      <c r="HS58">
        <v>20.2946</v>
      </c>
      <c r="HT58">
        <v>5.22223</v>
      </c>
      <c r="HU58">
        <v>11.9749</v>
      </c>
      <c r="HV58">
        <v>4.9657</v>
      </c>
      <c r="HW58">
        <v>3.27595</v>
      </c>
      <c r="HX58">
        <v>9999</v>
      </c>
      <c r="HY58">
        <v>9999</v>
      </c>
      <c r="HZ58">
        <v>9999</v>
      </c>
      <c r="IA58">
        <v>999.9</v>
      </c>
      <c r="IB58">
        <v>1.86406</v>
      </c>
      <c r="IC58">
        <v>1.86023</v>
      </c>
      <c r="ID58">
        <v>1.85856</v>
      </c>
      <c r="IE58">
        <v>1.85989</v>
      </c>
      <c r="IF58">
        <v>1.86005</v>
      </c>
      <c r="IG58">
        <v>1.85854</v>
      </c>
      <c r="IH58">
        <v>1.85761</v>
      </c>
      <c r="II58">
        <v>1.85254</v>
      </c>
      <c r="IJ58">
        <v>0</v>
      </c>
      <c r="IK58">
        <v>0</v>
      </c>
      <c r="IL58">
        <v>0</v>
      </c>
      <c r="IM58">
        <v>0</v>
      </c>
      <c r="IN58" t="s">
        <v>441</v>
      </c>
      <c r="IO58" t="s">
        <v>442</v>
      </c>
      <c r="IP58" t="s">
        <v>443</v>
      </c>
      <c r="IQ58" t="s">
        <v>443</v>
      </c>
      <c r="IR58" t="s">
        <v>443</v>
      </c>
      <c r="IS58" t="s">
        <v>443</v>
      </c>
      <c r="IT58">
        <v>0</v>
      </c>
      <c r="IU58">
        <v>100</v>
      </c>
      <c r="IV58">
        <v>100</v>
      </c>
      <c r="IW58">
        <v>-0.161</v>
      </c>
      <c r="IX58">
        <v>0.077</v>
      </c>
      <c r="IY58">
        <v>-0.03034898014640441</v>
      </c>
      <c r="IZ58">
        <v>0.0001583678016168383</v>
      </c>
      <c r="JA58">
        <v>1.526473431467286E-06</v>
      </c>
      <c r="JB58">
        <v>-4.446382740029455E-10</v>
      </c>
      <c r="JC58">
        <v>-0.03968452415074486</v>
      </c>
      <c r="JD58">
        <v>-0.009941991807247691</v>
      </c>
      <c r="JE58">
        <v>0.001256427533001032</v>
      </c>
      <c r="JF58">
        <v>-1.689728105039484E-05</v>
      </c>
      <c r="JG58">
        <v>2</v>
      </c>
      <c r="JH58">
        <v>1984</v>
      </c>
      <c r="JI58">
        <v>0</v>
      </c>
      <c r="JJ58">
        <v>25</v>
      </c>
      <c r="JK58">
        <v>1.5</v>
      </c>
      <c r="JL58">
        <v>1.7</v>
      </c>
      <c r="JM58">
        <v>1.09009</v>
      </c>
      <c r="JN58">
        <v>2.61475</v>
      </c>
      <c r="JO58">
        <v>1.49658</v>
      </c>
      <c r="JP58">
        <v>2.34619</v>
      </c>
      <c r="JQ58">
        <v>1.54907</v>
      </c>
      <c r="JR58">
        <v>2.38525</v>
      </c>
      <c r="JS58">
        <v>38.0134</v>
      </c>
      <c r="JT58">
        <v>23.9999</v>
      </c>
      <c r="JU58">
        <v>18</v>
      </c>
      <c r="JV58">
        <v>479.622</v>
      </c>
      <c r="JW58">
        <v>474.701</v>
      </c>
      <c r="JX58">
        <v>23.8312</v>
      </c>
      <c r="JY58">
        <v>27.0023</v>
      </c>
      <c r="JZ58">
        <v>29.9999</v>
      </c>
      <c r="KA58">
        <v>27.3037</v>
      </c>
      <c r="KB58">
        <v>27.3166</v>
      </c>
      <c r="KC58">
        <v>21.9352</v>
      </c>
      <c r="KD58">
        <v>14.5577</v>
      </c>
      <c r="KE58">
        <v>17.8508</v>
      </c>
      <c r="KF58">
        <v>23.8356</v>
      </c>
      <c r="KG58">
        <v>400</v>
      </c>
      <c r="KH58">
        <v>17.6491</v>
      </c>
      <c r="KI58">
        <v>102.396</v>
      </c>
      <c r="KJ58">
        <v>91.7393</v>
      </c>
    </row>
    <row r="59" spans="1:296">
      <c r="A59">
        <v>41</v>
      </c>
      <c r="B59">
        <v>1765305868.1</v>
      </c>
      <c r="C59">
        <v>8435.099999904633</v>
      </c>
      <c r="D59" t="s">
        <v>565</v>
      </c>
      <c r="E59" t="s">
        <v>566</v>
      </c>
      <c r="F59">
        <v>5</v>
      </c>
      <c r="G59" t="s">
        <v>567</v>
      </c>
      <c r="H59">
        <v>1765305860.099999</v>
      </c>
      <c r="I59">
        <f>(J59)/1000</f>
        <v>0</v>
      </c>
      <c r="J59">
        <f>IF(DO59, AM59, AG59)</f>
        <v>0</v>
      </c>
      <c r="K59">
        <f>IF(DO59, AH59, AF59)</f>
        <v>0</v>
      </c>
      <c r="L59">
        <f>DQ59 - IF(AT59&gt;1, K59*DK59*100.0/(AV59), 0)</f>
        <v>0</v>
      </c>
      <c r="M59">
        <f>((S59-I59/2)*L59-K59)/(S59+I59/2)</f>
        <v>0</v>
      </c>
      <c r="N59">
        <f>M59*(DX59+DY59)/1000.0</f>
        <v>0</v>
      </c>
      <c r="O59">
        <f>(DQ59 - IF(AT59&gt;1, K59*DK59*100.0/(AV59), 0))*(DX59+DY59)/1000.0</f>
        <v>0</v>
      </c>
      <c r="P59">
        <f>2.0/((1/R59-1/Q59)+SIGN(R59)*SQRT((1/R59-1/Q59)*(1/R59-1/Q59) + 4*DL59/((DL59+1)*(DL59+1))*(2*1/R59*1/Q59-1/Q59*1/Q59)))</f>
        <v>0</v>
      </c>
      <c r="Q59">
        <f>IF(LEFT(DM59,1)&lt;&gt;"0",IF(LEFT(DM59,1)="1",3.0,DN59),$D$5+$E$5*(EE59*DX59/($K$5*1000))+$F$5*(EE59*DX59/($K$5*1000))*MAX(MIN(DK59,$J$5),$I$5)*MAX(MIN(DK59,$J$5),$I$5)+$G$5*MAX(MIN(DK59,$J$5),$I$5)*(EE59*DX59/($K$5*1000))+$H$5*(EE59*DX59/($K$5*1000))*(EE59*DX59/($K$5*1000)))</f>
        <v>0</v>
      </c>
      <c r="R59">
        <f>I59*(1000-(1000*0.61365*exp(17.502*V59/(240.97+V59))/(DX59+DY59)+DS59)/2)/(1000*0.61365*exp(17.502*V59/(240.97+V59))/(DX59+DY59)-DS59)</f>
        <v>0</v>
      </c>
      <c r="S59">
        <f>1/((DL59+1)/(P59/1.6)+1/(Q59/1.37)) + DL59/((DL59+1)/(P59/1.6) + DL59/(Q59/1.37))</f>
        <v>0</v>
      </c>
      <c r="T59">
        <f>(DG59*DJ59)</f>
        <v>0</v>
      </c>
      <c r="U59">
        <f>(DZ59+(T59+2*0.95*5.67E-8*(((DZ59+$B$9)+273)^4-(DZ59+273)^4)-44100*I59)/(1.84*29.3*Q59+8*0.95*5.67E-8*(DZ59+273)^3))</f>
        <v>0</v>
      </c>
      <c r="V59">
        <f>($C$9*EA59+$D$9*EB59+$E$9*U59)</f>
        <v>0</v>
      </c>
      <c r="W59">
        <f>0.61365*exp(17.502*V59/(240.97+V59))</f>
        <v>0</v>
      </c>
      <c r="X59">
        <f>(Y59/Z59*100)</f>
        <v>0</v>
      </c>
      <c r="Y59">
        <f>DS59*(DX59+DY59)/1000</f>
        <v>0</v>
      </c>
      <c r="Z59">
        <f>0.61365*exp(17.502*DZ59/(240.97+DZ59))</f>
        <v>0</v>
      </c>
      <c r="AA59">
        <f>(W59-DS59*(DX59+DY59)/1000)</f>
        <v>0</v>
      </c>
      <c r="AB59">
        <f>(-I59*44100)</f>
        <v>0</v>
      </c>
      <c r="AC59">
        <f>2*29.3*Q59*0.92*(DZ59-V59)</f>
        <v>0</v>
      </c>
      <c r="AD59">
        <f>2*0.95*5.67E-8*(((DZ59+$B$9)+273)^4-(V59+273)^4)</f>
        <v>0</v>
      </c>
      <c r="AE59">
        <f>T59+AD59+AB59+AC59</f>
        <v>0</v>
      </c>
      <c r="AF59">
        <f>DW59*AT59*(DR59-DQ59*(1000-AT59*DT59)/(1000-AT59*DS59))/(100*DK59)</f>
        <v>0</v>
      </c>
      <c r="AG59">
        <f>1000*DW59*AT59*(DS59-DT59)/(100*DK59*(1000-AT59*DS59))</f>
        <v>0</v>
      </c>
      <c r="AH59">
        <f>(AI59 - AJ59 - DX59*1E3/(8.314*(DZ59+273.15)) * AL59/DW59 * AK59) * DW59/(100*DK59) * (1000 - DT59)/1000</f>
        <v>0</v>
      </c>
      <c r="AI59">
        <v>407.0298081323234</v>
      </c>
      <c r="AJ59">
        <v>406.8031090909089</v>
      </c>
      <c r="AK59">
        <v>-0.0003415417291800092</v>
      </c>
      <c r="AL59">
        <v>65.82475871644996</v>
      </c>
      <c r="AM59">
        <f>(AO59 - AN59 + DX59*1E3/(8.314*(DZ59+273.15)) * AQ59/DW59 * AP59) * DW59/(100*DK59) * 1000/(1000 - AO59)</f>
        <v>0</v>
      </c>
      <c r="AN59">
        <v>17.30816054505289</v>
      </c>
      <c r="AO59">
        <v>17.38410424242424</v>
      </c>
      <c r="AP59">
        <v>5.273188788216331E-07</v>
      </c>
      <c r="AQ59">
        <v>108.1045330080412</v>
      </c>
      <c r="AR59">
        <v>3</v>
      </c>
      <c r="AS59">
        <v>1</v>
      </c>
      <c r="AT59">
        <f>IF(AR59*$H$15&gt;=AV59,1.0,(AV59/(AV59-AR59*$H$15)))</f>
        <v>0</v>
      </c>
      <c r="AU59">
        <f>(AT59-1)*100</f>
        <v>0</v>
      </c>
      <c r="AV59">
        <f>MAX(0,($B$15+$C$15*EE59)/(1+$D$15*EE59)*DX59/(DZ59+273)*$E$15)</f>
        <v>0</v>
      </c>
      <c r="AW59" t="s">
        <v>437</v>
      </c>
      <c r="AX59" t="s">
        <v>437</v>
      </c>
      <c r="AY59">
        <v>0</v>
      </c>
      <c r="AZ59">
        <v>0</v>
      </c>
      <c r="BA59">
        <f>1-AY59/AZ59</f>
        <v>0</v>
      </c>
      <c r="BB59">
        <v>0</v>
      </c>
      <c r="BC59" t="s">
        <v>437</v>
      </c>
      <c r="BD59" t="s">
        <v>437</v>
      </c>
      <c r="BE59">
        <v>0</v>
      </c>
      <c r="BF59">
        <v>0</v>
      </c>
      <c r="BG59">
        <f>1-BE59/BF59</f>
        <v>0</v>
      </c>
      <c r="BH59">
        <v>0.5</v>
      </c>
      <c r="BI59">
        <f>DH59</f>
        <v>0</v>
      </c>
      <c r="BJ59">
        <f>K59</f>
        <v>0</v>
      </c>
      <c r="BK59">
        <f>BG59*BH59*BI59</f>
        <v>0</v>
      </c>
      <c r="BL59">
        <f>(BJ59-BB59)/BI59</f>
        <v>0</v>
      </c>
      <c r="BM59">
        <f>(AZ59-BF59)/BF59</f>
        <v>0</v>
      </c>
      <c r="BN59">
        <f>AY59/(BA59+AY59/BF59)</f>
        <v>0</v>
      </c>
      <c r="BO59" t="s">
        <v>437</v>
      </c>
      <c r="BP59">
        <v>0</v>
      </c>
      <c r="BQ59">
        <f>IF(BP59&lt;&gt;0, BP59, BN59)</f>
        <v>0</v>
      </c>
      <c r="BR59">
        <f>1-BQ59/BF59</f>
        <v>0</v>
      </c>
      <c r="BS59">
        <f>(BF59-BE59)/(BF59-BQ59)</f>
        <v>0</v>
      </c>
      <c r="BT59">
        <f>(AZ59-BF59)/(AZ59-BQ59)</f>
        <v>0</v>
      </c>
      <c r="BU59">
        <f>(BF59-BE59)/(BF59-AY59)</f>
        <v>0</v>
      </c>
      <c r="BV59">
        <f>(AZ59-BF59)/(AZ59-AY59)</f>
        <v>0</v>
      </c>
      <c r="BW59">
        <f>(BS59*BQ59/BE59)</f>
        <v>0</v>
      </c>
      <c r="BX59">
        <f>(1-BW59)</f>
        <v>0</v>
      </c>
      <c r="DG59">
        <f>$B$13*EF59+$C$13*EG59+$F$13*ER59*(1-EU59)</f>
        <v>0</v>
      </c>
      <c r="DH59">
        <f>DG59*DI59</f>
        <v>0</v>
      </c>
      <c r="DI59">
        <f>($B$13*$D$11+$C$13*$D$11+$F$13*((FE59+EW59)/MAX(FE59+EW59+FF59, 0.1)*$I$11+FF59/MAX(FE59+EW59+FF59, 0.1)*$J$11))/($B$13+$C$13+$F$13)</f>
        <v>0</v>
      </c>
      <c r="DJ59">
        <f>($B$13*$K$11+$C$13*$K$11+$F$13*((FE59+EW59)/MAX(FE59+EW59+FF59, 0.1)*$P$11+FF59/MAX(FE59+EW59+FF59, 0.1)*$Q$11))/($B$13+$C$13+$F$13)</f>
        <v>0</v>
      </c>
      <c r="DK59">
        <v>5.66</v>
      </c>
      <c r="DL59">
        <v>0.5</v>
      </c>
      <c r="DM59" t="s">
        <v>438</v>
      </c>
      <c r="DN59">
        <v>2</v>
      </c>
      <c r="DO59" t="b">
        <v>1</v>
      </c>
      <c r="DP59">
        <v>1765305860.099999</v>
      </c>
      <c r="DQ59">
        <v>399.8268387096775</v>
      </c>
      <c r="DR59">
        <v>400.0104516129032</v>
      </c>
      <c r="DS59">
        <v>17.38390322580646</v>
      </c>
      <c r="DT59">
        <v>17.30792580645161</v>
      </c>
      <c r="DU59">
        <v>399.8998387096775</v>
      </c>
      <c r="DV59">
        <v>17.31290322580645</v>
      </c>
      <c r="DW59">
        <v>500.0158387096774</v>
      </c>
      <c r="DX59">
        <v>89.97177419354837</v>
      </c>
      <c r="DY59">
        <v>0.1000371677419355</v>
      </c>
      <c r="DZ59">
        <v>24.75971612903225</v>
      </c>
      <c r="EA59">
        <v>25.00273225806452</v>
      </c>
      <c r="EB59">
        <v>999.9000000000003</v>
      </c>
      <c r="EC59">
        <v>0</v>
      </c>
      <c r="ED59">
        <v>0</v>
      </c>
      <c r="EE59">
        <v>9994.499677419357</v>
      </c>
      <c r="EF59">
        <v>0</v>
      </c>
      <c r="EG59">
        <v>9.279412580645163</v>
      </c>
      <c r="EH59">
        <v>-0.2720081612903226</v>
      </c>
      <c r="EI59">
        <v>406.8104516129033</v>
      </c>
      <c r="EJ59">
        <v>407.0557419354839</v>
      </c>
      <c r="EK59">
        <v>0.07619809032258067</v>
      </c>
      <c r="EL59">
        <v>400.0104516129032</v>
      </c>
      <c r="EM59">
        <v>17.30792580645161</v>
      </c>
      <c r="EN59">
        <v>1.564080967741935</v>
      </c>
      <c r="EO59">
        <v>1.557225806451613</v>
      </c>
      <c r="EP59">
        <v>13.60940967741936</v>
      </c>
      <c r="EQ59">
        <v>13.54191612903226</v>
      </c>
      <c r="ER59">
        <v>799.9955806451613</v>
      </c>
      <c r="ES59">
        <v>0.9500059999999999</v>
      </c>
      <c r="ET59">
        <v>0.04999411612903226</v>
      </c>
      <c r="EU59">
        <v>0</v>
      </c>
      <c r="EV59">
        <v>837.6246451612902</v>
      </c>
      <c r="EW59">
        <v>5.000779999999999</v>
      </c>
      <c r="EX59">
        <v>6312.094193548389</v>
      </c>
      <c r="EY59">
        <v>6463.394516129031</v>
      </c>
      <c r="EZ59">
        <v>36.27403225806452</v>
      </c>
      <c r="FA59">
        <v>38.73574193548387</v>
      </c>
      <c r="FB59">
        <v>37.81829032258064</v>
      </c>
      <c r="FC59">
        <v>38.38074193548386</v>
      </c>
      <c r="FD59">
        <v>37.78199999999999</v>
      </c>
      <c r="FE59">
        <v>755.2509677419355</v>
      </c>
      <c r="FF59">
        <v>39.74483870967742</v>
      </c>
      <c r="FG59">
        <v>0</v>
      </c>
      <c r="FH59">
        <v>1765305867.5</v>
      </c>
      <c r="FI59">
        <v>0</v>
      </c>
      <c r="FJ59">
        <v>837.6297999999999</v>
      </c>
      <c r="FK59">
        <v>0.4089230757779155</v>
      </c>
      <c r="FL59">
        <v>2.514615437229506</v>
      </c>
      <c r="FM59">
        <v>6312.104000000001</v>
      </c>
      <c r="FN59">
        <v>15</v>
      </c>
      <c r="FO59">
        <v>1765305886.1</v>
      </c>
      <c r="FP59" t="s">
        <v>568</v>
      </c>
      <c r="FQ59">
        <v>1765305883.1</v>
      </c>
      <c r="FR59">
        <v>1765305886.1</v>
      </c>
      <c r="FS59">
        <v>42</v>
      </c>
      <c r="FT59">
        <v>0.08799999999999999</v>
      </c>
      <c r="FU59">
        <v>0.001</v>
      </c>
      <c r="FV59">
        <v>-0.073</v>
      </c>
      <c r="FW59">
        <v>0.07099999999999999</v>
      </c>
      <c r="FX59">
        <v>400</v>
      </c>
      <c r="FY59">
        <v>17</v>
      </c>
      <c r="FZ59">
        <v>0.3</v>
      </c>
      <c r="GA59">
        <v>0.27</v>
      </c>
      <c r="GB59">
        <v>-0.248887675</v>
      </c>
      <c r="GC59">
        <v>-0.3291805440900558</v>
      </c>
      <c r="GD59">
        <v>0.0577064301119847</v>
      </c>
      <c r="GE59">
        <v>1</v>
      </c>
      <c r="GF59">
        <v>837.6254117647057</v>
      </c>
      <c r="GG59">
        <v>0.3866768526344117</v>
      </c>
      <c r="GH59">
        <v>0.1978083025746757</v>
      </c>
      <c r="GI59">
        <v>1</v>
      </c>
      <c r="GJ59">
        <v>0.07620149000000001</v>
      </c>
      <c r="GK59">
        <v>0.001022823264540273</v>
      </c>
      <c r="GL59">
        <v>0.0006557678262159562</v>
      </c>
      <c r="GM59">
        <v>1</v>
      </c>
      <c r="GN59">
        <v>3</v>
      </c>
      <c r="GO59">
        <v>3</v>
      </c>
      <c r="GP59" t="s">
        <v>440</v>
      </c>
      <c r="GQ59">
        <v>3.10824</v>
      </c>
      <c r="GR59">
        <v>2.79162</v>
      </c>
      <c r="GS59">
        <v>0.0845588</v>
      </c>
      <c r="GT59">
        <v>0.0846259</v>
      </c>
      <c r="GU59">
        <v>0.0859887</v>
      </c>
      <c r="GV59">
        <v>0.0865025</v>
      </c>
      <c r="GW59">
        <v>24024.4</v>
      </c>
      <c r="GX59">
        <v>21809.6</v>
      </c>
      <c r="GY59">
        <v>26801.4</v>
      </c>
      <c r="GZ59">
        <v>24032.6</v>
      </c>
      <c r="HA59">
        <v>39150.9</v>
      </c>
      <c r="HB59">
        <v>32399.8</v>
      </c>
      <c r="HC59">
        <v>46778.1</v>
      </c>
      <c r="HD59">
        <v>38003.7</v>
      </c>
      <c r="HE59">
        <v>1.88227</v>
      </c>
      <c r="HF59">
        <v>1.8384</v>
      </c>
      <c r="HG59">
        <v>0.0645593</v>
      </c>
      <c r="HH59">
        <v>0</v>
      </c>
      <c r="HI59">
        <v>23.9333</v>
      </c>
      <c r="HJ59">
        <v>999.9</v>
      </c>
      <c r="HK59">
        <v>36.5</v>
      </c>
      <c r="HL59">
        <v>33.3</v>
      </c>
      <c r="HM59">
        <v>20.8442</v>
      </c>
      <c r="HN59">
        <v>61.2437</v>
      </c>
      <c r="HO59">
        <v>28.1731</v>
      </c>
      <c r="HP59">
        <v>1</v>
      </c>
      <c r="HQ59">
        <v>0.0278938</v>
      </c>
      <c r="HR59">
        <v>1.18049</v>
      </c>
      <c r="HS59">
        <v>20.2897</v>
      </c>
      <c r="HT59">
        <v>5.22208</v>
      </c>
      <c r="HU59">
        <v>11.976</v>
      </c>
      <c r="HV59">
        <v>4.96555</v>
      </c>
      <c r="HW59">
        <v>3.27585</v>
      </c>
      <c r="HX59">
        <v>9999</v>
      </c>
      <c r="HY59">
        <v>9999</v>
      </c>
      <c r="HZ59">
        <v>9999</v>
      </c>
      <c r="IA59">
        <v>999.9</v>
      </c>
      <c r="IB59">
        <v>1.86396</v>
      </c>
      <c r="IC59">
        <v>1.86008</v>
      </c>
      <c r="ID59">
        <v>1.85843</v>
      </c>
      <c r="IE59">
        <v>1.85975</v>
      </c>
      <c r="IF59">
        <v>1.85989</v>
      </c>
      <c r="IG59">
        <v>1.85838</v>
      </c>
      <c r="IH59">
        <v>1.85747</v>
      </c>
      <c r="II59">
        <v>1.85242</v>
      </c>
      <c r="IJ59">
        <v>0</v>
      </c>
      <c r="IK59">
        <v>0</v>
      </c>
      <c r="IL59">
        <v>0</v>
      </c>
      <c r="IM59">
        <v>0</v>
      </c>
      <c r="IN59" t="s">
        <v>441</v>
      </c>
      <c r="IO59" t="s">
        <v>442</v>
      </c>
      <c r="IP59" t="s">
        <v>443</v>
      </c>
      <c r="IQ59" t="s">
        <v>443</v>
      </c>
      <c r="IR59" t="s">
        <v>443</v>
      </c>
      <c r="IS59" t="s">
        <v>443</v>
      </c>
      <c r="IT59">
        <v>0</v>
      </c>
      <c r="IU59">
        <v>100</v>
      </c>
      <c r="IV59">
        <v>100</v>
      </c>
      <c r="IW59">
        <v>-0.073</v>
      </c>
      <c r="IX59">
        <v>0.07099999999999999</v>
      </c>
      <c r="IY59">
        <v>-0.4403937546865428</v>
      </c>
      <c r="IZ59">
        <v>0.0001583678016168383</v>
      </c>
      <c r="JA59">
        <v>1.526473431467286E-06</v>
      </c>
      <c r="JB59">
        <v>-4.446382740029455E-10</v>
      </c>
      <c r="JC59">
        <v>-0.04556957406108578</v>
      </c>
      <c r="JD59">
        <v>-0.009941991807247691</v>
      </c>
      <c r="JE59">
        <v>0.001256427533001032</v>
      </c>
      <c r="JF59">
        <v>-1.689728105039484E-05</v>
      </c>
      <c r="JG59">
        <v>2</v>
      </c>
      <c r="JH59">
        <v>1984</v>
      </c>
      <c r="JI59">
        <v>0</v>
      </c>
      <c r="JJ59">
        <v>25</v>
      </c>
      <c r="JK59">
        <v>22.5</v>
      </c>
      <c r="JL59">
        <v>22.5</v>
      </c>
      <c r="JM59">
        <v>1.09131</v>
      </c>
      <c r="JN59">
        <v>2.61963</v>
      </c>
      <c r="JO59">
        <v>1.49658</v>
      </c>
      <c r="JP59">
        <v>2.34619</v>
      </c>
      <c r="JQ59">
        <v>1.54907</v>
      </c>
      <c r="JR59">
        <v>2.36938</v>
      </c>
      <c r="JS59">
        <v>37.0747</v>
      </c>
      <c r="JT59">
        <v>24.1313</v>
      </c>
      <c r="JU59">
        <v>18</v>
      </c>
      <c r="JV59">
        <v>474.935</v>
      </c>
      <c r="JW59">
        <v>474.906</v>
      </c>
      <c r="JX59">
        <v>23.0545</v>
      </c>
      <c r="JY59">
        <v>27.4872</v>
      </c>
      <c r="JZ59">
        <v>30.0005</v>
      </c>
      <c r="KA59">
        <v>27.6669</v>
      </c>
      <c r="KB59">
        <v>27.6539</v>
      </c>
      <c r="KC59">
        <v>21.9408</v>
      </c>
      <c r="KD59">
        <v>17.3581</v>
      </c>
      <c r="KE59">
        <v>21.6162</v>
      </c>
      <c r="KF59">
        <v>23.0565</v>
      </c>
      <c r="KG59">
        <v>400</v>
      </c>
      <c r="KH59">
        <v>17.2654</v>
      </c>
      <c r="KI59">
        <v>102.295</v>
      </c>
      <c r="KJ59">
        <v>91.66800000000001</v>
      </c>
    </row>
    <row r="60" spans="1:296">
      <c r="A60">
        <v>42</v>
      </c>
      <c r="B60">
        <v>1765305960.6</v>
      </c>
      <c r="C60">
        <v>8527.599999904633</v>
      </c>
      <c r="D60" t="s">
        <v>569</v>
      </c>
      <c r="E60" t="s">
        <v>570</v>
      </c>
      <c r="F60">
        <v>5</v>
      </c>
      <c r="G60" t="s">
        <v>567</v>
      </c>
      <c r="H60">
        <v>1765305952.849999</v>
      </c>
      <c r="I60">
        <f>(J60)/1000</f>
        <v>0</v>
      </c>
      <c r="J60">
        <f>IF(DO60, AM60, AG60)</f>
        <v>0</v>
      </c>
      <c r="K60">
        <f>IF(DO60, AH60, AF60)</f>
        <v>0</v>
      </c>
      <c r="L60">
        <f>DQ60 - IF(AT60&gt;1, K60*DK60*100.0/(AV60), 0)</f>
        <v>0</v>
      </c>
      <c r="M60">
        <f>((S60-I60/2)*L60-K60)/(S60+I60/2)</f>
        <v>0</v>
      </c>
      <c r="N60">
        <f>M60*(DX60+DY60)/1000.0</f>
        <v>0</v>
      </c>
      <c r="O60">
        <f>(DQ60 - IF(AT60&gt;1, K60*DK60*100.0/(AV60), 0))*(DX60+DY60)/1000.0</f>
        <v>0</v>
      </c>
      <c r="P60">
        <f>2.0/((1/R60-1/Q60)+SIGN(R60)*SQRT((1/R60-1/Q60)*(1/R60-1/Q60) + 4*DL60/((DL60+1)*(DL60+1))*(2*1/R60*1/Q60-1/Q60*1/Q60)))</f>
        <v>0</v>
      </c>
      <c r="Q60">
        <f>IF(LEFT(DM60,1)&lt;&gt;"0",IF(LEFT(DM60,1)="1",3.0,DN60),$D$5+$E$5*(EE60*DX60/($K$5*1000))+$F$5*(EE60*DX60/($K$5*1000))*MAX(MIN(DK60,$J$5),$I$5)*MAX(MIN(DK60,$J$5),$I$5)+$G$5*MAX(MIN(DK60,$J$5),$I$5)*(EE60*DX60/($K$5*1000))+$H$5*(EE60*DX60/($K$5*1000))*(EE60*DX60/($K$5*1000)))</f>
        <v>0</v>
      </c>
      <c r="R60">
        <f>I60*(1000-(1000*0.61365*exp(17.502*V60/(240.97+V60))/(DX60+DY60)+DS60)/2)/(1000*0.61365*exp(17.502*V60/(240.97+V60))/(DX60+DY60)-DS60)</f>
        <v>0</v>
      </c>
      <c r="S60">
        <f>1/((DL60+1)/(P60/1.6)+1/(Q60/1.37)) + DL60/((DL60+1)/(P60/1.6) + DL60/(Q60/1.37))</f>
        <v>0</v>
      </c>
      <c r="T60">
        <f>(DG60*DJ60)</f>
        <v>0</v>
      </c>
      <c r="U60">
        <f>(DZ60+(T60+2*0.95*5.67E-8*(((DZ60+$B$9)+273)^4-(DZ60+273)^4)-44100*I60)/(1.84*29.3*Q60+8*0.95*5.67E-8*(DZ60+273)^3))</f>
        <v>0</v>
      </c>
      <c r="V60">
        <f>($C$9*EA60+$D$9*EB60+$E$9*U60)</f>
        <v>0</v>
      </c>
      <c r="W60">
        <f>0.61365*exp(17.502*V60/(240.97+V60))</f>
        <v>0</v>
      </c>
      <c r="X60">
        <f>(Y60/Z60*100)</f>
        <v>0</v>
      </c>
      <c r="Y60">
        <f>DS60*(DX60+DY60)/1000</f>
        <v>0</v>
      </c>
      <c r="Z60">
        <f>0.61365*exp(17.502*DZ60/(240.97+DZ60))</f>
        <v>0</v>
      </c>
      <c r="AA60">
        <f>(W60-DS60*(DX60+DY60)/1000)</f>
        <v>0</v>
      </c>
      <c r="AB60">
        <f>(-I60*44100)</f>
        <v>0</v>
      </c>
      <c r="AC60">
        <f>2*29.3*Q60*0.92*(DZ60-V60)</f>
        <v>0</v>
      </c>
      <c r="AD60">
        <f>2*0.95*5.67E-8*(((DZ60+$B$9)+273)^4-(V60+273)^4)</f>
        <v>0</v>
      </c>
      <c r="AE60">
        <f>T60+AD60+AB60+AC60</f>
        <v>0</v>
      </c>
      <c r="AF60">
        <f>DW60*AT60*(DR60-DQ60*(1000-AT60*DT60)/(1000-AT60*DS60))/(100*DK60)</f>
        <v>0</v>
      </c>
      <c r="AG60">
        <f>1000*DW60*AT60*(DS60-DT60)/(100*DK60*(1000-AT60*DS60))</f>
        <v>0</v>
      </c>
      <c r="AH60">
        <f>(AI60 - AJ60 - DX60*1E3/(8.314*(DZ60+273.15)) * AL60/DW60 * AK60) * DW60/(100*DK60) * (1000 - DT60)/1000</f>
        <v>0</v>
      </c>
      <c r="AI60">
        <v>305.217305046092</v>
      </c>
      <c r="AJ60">
        <v>305.2536909090908</v>
      </c>
      <c r="AK60">
        <v>-0.0008496995220487475</v>
      </c>
      <c r="AL60">
        <v>65.81955019261321</v>
      </c>
      <c r="AM60">
        <f>(AO60 - AN60 + DX60*1E3/(8.314*(DZ60+273.15)) * AQ60/DW60 * AP60) * DW60/(100*DK60) * 1000/(1000 - AO60)</f>
        <v>0</v>
      </c>
      <c r="AN60">
        <v>17.28940510854996</v>
      </c>
      <c r="AO60">
        <v>17.37392545454545</v>
      </c>
      <c r="AP60">
        <v>-1.105680243181318E-05</v>
      </c>
      <c r="AQ60">
        <v>108.0281361585298</v>
      </c>
      <c r="AR60">
        <v>4</v>
      </c>
      <c r="AS60">
        <v>1</v>
      </c>
      <c r="AT60">
        <f>IF(AR60*$H$15&gt;=AV60,1.0,(AV60/(AV60-AR60*$H$15)))</f>
        <v>0</v>
      </c>
      <c r="AU60">
        <f>(AT60-1)*100</f>
        <v>0</v>
      </c>
      <c r="AV60">
        <f>MAX(0,($B$15+$C$15*EE60)/(1+$D$15*EE60)*DX60/(DZ60+273)*$E$15)</f>
        <v>0</v>
      </c>
      <c r="AW60" t="s">
        <v>437</v>
      </c>
      <c r="AX60" t="s">
        <v>437</v>
      </c>
      <c r="AY60">
        <v>0</v>
      </c>
      <c r="AZ60">
        <v>0</v>
      </c>
      <c r="BA60">
        <f>1-AY60/AZ60</f>
        <v>0</v>
      </c>
      <c r="BB60">
        <v>0</v>
      </c>
      <c r="BC60" t="s">
        <v>437</v>
      </c>
      <c r="BD60" t="s">
        <v>437</v>
      </c>
      <c r="BE60">
        <v>0</v>
      </c>
      <c r="BF60">
        <v>0</v>
      </c>
      <c r="BG60">
        <f>1-BE60/BF60</f>
        <v>0</v>
      </c>
      <c r="BH60">
        <v>0.5</v>
      </c>
      <c r="BI60">
        <f>DH60</f>
        <v>0</v>
      </c>
      <c r="BJ60">
        <f>K60</f>
        <v>0</v>
      </c>
      <c r="BK60">
        <f>BG60*BH60*BI60</f>
        <v>0</v>
      </c>
      <c r="BL60">
        <f>(BJ60-BB60)/BI60</f>
        <v>0</v>
      </c>
      <c r="BM60">
        <f>(AZ60-BF60)/BF60</f>
        <v>0</v>
      </c>
      <c r="BN60">
        <f>AY60/(BA60+AY60/BF60)</f>
        <v>0</v>
      </c>
      <c r="BO60" t="s">
        <v>437</v>
      </c>
      <c r="BP60">
        <v>0</v>
      </c>
      <c r="BQ60">
        <f>IF(BP60&lt;&gt;0, BP60, BN60)</f>
        <v>0</v>
      </c>
      <c r="BR60">
        <f>1-BQ60/BF60</f>
        <v>0</v>
      </c>
      <c r="BS60">
        <f>(BF60-BE60)/(BF60-BQ60)</f>
        <v>0</v>
      </c>
      <c r="BT60">
        <f>(AZ60-BF60)/(AZ60-BQ60)</f>
        <v>0</v>
      </c>
      <c r="BU60">
        <f>(BF60-BE60)/(BF60-AY60)</f>
        <v>0</v>
      </c>
      <c r="BV60">
        <f>(AZ60-BF60)/(AZ60-AY60)</f>
        <v>0</v>
      </c>
      <c r="BW60">
        <f>(BS60*BQ60/BE60)</f>
        <v>0</v>
      </c>
      <c r="BX60">
        <f>(1-BW60)</f>
        <v>0</v>
      </c>
      <c r="DG60">
        <f>$B$13*EF60+$C$13*EG60+$F$13*ER60*(1-EU60)</f>
        <v>0</v>
      </c>
      <c r="DH60">
        <f>DG60*DI60</f>
        <v>0</v>
      </c>
      <c r="DI60">
        <f>($B$13*$D$11+$C$13*$D$11+$F$13*((FE60+EW60)/MAX(FE60+EW60+FF60, 0.1)*$I$11+FF60/MAX(FE60+EW60+FF60, 0.1)*$J$11))/($B$13+$C$13+$F$13)</f>
        <v>0</v>
      </c>
      <c r="DJ60">
        <f>($B$13*$K$11+$C$13*$K$11+$F$13*((FE60+EW60)/MAX(FE60+EW60+FF60, 0.1)*$P$11+FF60/MAX(FE60+EW60+FF60, 0.1)*$Q$11))/($B$13+$C$13+$F$13)</f>
        <v>0</v>
      </c>
      <c r="DK60">
        <v>5.66</v>
      </c>
      <c r="DL60">
        <v>0.5</v>
      </c>
      <c r="DM60" t="s">
        <v>438</v>
      </c>
      <c r="DN60">
        <v>2</v>
      </c>
      <c r="DO60" t="b">
        <v>1</v>
      </c>
      <c r="DP60">
        <v>1765305952.849999</v>
      </c>
      <c r="DQ60">
        <v>299.9539666666668</v>
      </c>
      <c r="DR60">
        <v>299.9888</v>
      </c>
      <c r="DS60">
        <v>17.36945666666667</v>
      </c>
      <c r="DT60">
        <v>17.28953</v>
      </c>
      <c r="DU60">
        <v>300.1689666666667</v>
      </c>
      <c r="DV60">
        <v>17.30245666666667</v>
      </c>
      <c r="DW60">
        <v>500.0107333333334</v>
      </c>
      <c r="DX60">
        <v>89.96470999999998</v>
      </c>
      <c r="DY60">
        <v>0.09999282333333334</v>
      </c>
      <c r="DZ60">
        <v>24.74268666666667</v>
      </c>
      <c r="EA60">
        <v>24.99825</v>
      </c>
      <c r="EB60">
        <v>999.9000000000002</v>
      </c>
      <c r="EC60">
        <v>0</v>
      </c>
      <c r="ED60">
        <v>0</v>
      </c>
      <c r="EE60">
        <v>9996.085333333333</v>
      </c>
      <c r="EF60">
        <v>0</v>
      </c>
      <c r="EG60">
        <v>9.260920666666669</v>
      </c>
      <c r="EH60">
        <v>0.0006144373333333327</v>
      </c>
      <c r="EI60">
        <v>305.2938666666667</v>
      </c>
      <c r="EJ60">
        <v>305.2666666666667</v>
      </c>
      <c r="EK60">
        <v>0.08533885333333333</v>
      </c>
      <c r="EL60">
        <v>299.9888</v>
      </c>
      <c r="EM60">
        <v>17.28953</v>
      </c>
      <c r="EN60">
        <v>1.563125</v>
      </c>
      <c r="EO60">
        <v>1.555448</v>
      </c>
      <c r="EP60">
        <v>13.60002</v>
      </c>
      <c r="EQ60">
        <v>13.52438</v>
      </c>
      <c r="ER60">
        <v>799.9954</v>
      </c>
      <c r="ES60">
        <v>0.9500062</v>
      </c>
      <c r="ET60">
        <v>0.04999385999999998</v>
      </c>
      <c r="EU60">
        <v>0</v>
      </c>
      <c r="EV60">
        <v>839.6747666666668</v>
      </c>
      <c r="EW60">
        <v>5.00078</v>
      </c>
      <c r="EX60">
        <v>6318.893666666668</v>
      </c>
      <c r="EY60">
        <v>6463.393666666666</v>
      </c>
      <c r="EZ60">
        <v>35.87253333333333</v>
      </c>
      <c r="FA60">
        <v>38.43286666666665</v>
      </c>
      <c r="FB60">
        <v>37.43089999999999</v>
      </c>
      <c r="FC60">
        <v>38.02259999999999</v>
      </c>
      <c r="FD60">
        <v>37.4269</v>
      </c>
      <c r="FE60">
        <v>755.2493333333331</v>
      </c>
      <c r="FF60">
        <v>39.74333333333334</v>
      </c>
      <c r="FG60">
        <v>0</v>
      </c>
      <c r="FH60">
        <v>1765305959.9</v>
      </c>
      <c r="FI60">
        <v>0</v>
      </c>
      <c r="FJ60">
        <v>839.6855600000001</v>
      </c>
      <c r="FK60">
        <v>-0.3822307731203115</v>
      </c>
      <c r="FL60">
        <v>1.46692297910731</v>
      </c>
      <c r="FM60">
        <v>6318.7608</v>
      </c>
      <c r="FN60">
        <v>15</v>
      </c>
      <c r="FO60">
        <v>1765305977.6</v>
      </c>
      <c r="FP60" t="s">
        <v>571</v>
      </c>
      <c r="FQ60">
        <v>1765305974.6</v>
      </c>
      <c r="FR60">
        <v>1765305977.6</v>
      </c>
      <c r="FS60">
        <v>43</v>
      </c>
      <c r="FT60">
        <v>-0.035</v>
      </c>
      <c r="FU60">
        <v>-0.004</v>
      </c>
      <c r="FV60">
        <v>-0.215</v>
      </c>
      <c r="FW60">
        <v>0.067</v>
      </c>
      <c r="FX60">
        <v>300</v>
      </c>
      <c r="FY60">
        <v>17</v>
      </c>
      <c r="FZ60">
        <v>0.3</v>
      </c>
      <c r="GA60">
        <v>0.15</v>
      </c>
      <c r="GB60">
        <v>0.02650563219512195</v>
      </c>
      <c r="GC60">
        <v>-0.4493547453658533</v>
      </c>
      <c r="GD60">
        <v>0.07227962994923476</v>
      </c>
      <c r="GE60">
        <v>1</v>
      </c>
      <c r="GF60">
        <v>839.6523823529412</v>
      </c>
      <c r="GG60">
        <v>0.1810084023355975</v>
      </c>
      <c r="GH60">
        <v>0.2409520350982599</v>
      </c>
      <c r="GI60">
        <v>1</v>
      </c>
      <c r="GJ60">
        <v>0.08482128780487805</v>
      </c>
      <c r="GK60">
        <v>0.005251902439024458</v>
      </c>
      <c r="GL60">
        <v>0.001100757765646814</v>
      </c>
      <c r="GM60">
        <v>1</v>
      </c>
      <c r="GN60">
        <v>3</v>
      </c>
      <c r="GO60">
        <v>3</v>
      </c>
      <c r="GP60" t="s">
        <v>440</v>
      </c>
      <c r="GQ60">
        <v>3.10819</v>
      </c>
      <c r="GR60">
        <v>2.79181</v>
      </c>
      <c r="GS60">
        <v>0.0674854</v>
      </c>
      <c r="GT60">
        <v>0.06749429999999999</v>
      </c>
      <c r="GU60">
        <v>0.0859274</v>
      </c>
      <c r="GV60">
        <v>0.0864067</v>
      </c>
      <c r="GW60">
        <v>24468.2</v>
      </c>
      <c r="GX60">
        <v>22214.6</v>
      </c>
      <c r="GY60">
        <v>26797.1</v>
      </c>
      <c r="GZ60">
        <v>24029.6</v>
      </c>
      <c r="HA60">
        <v>39145.3</v>
      </c>
      <c r="HB60">
        <v>32397.9</v>
      </c>
      <c r="HC60">
        <v>46770.7</v>
      </c>
      <c r="HD60">
        <v>37999.4</v>
      </c>
      <c r="HE60">
        <v>1.8804</v>
      </c>
      <c r="HF60">
        <v>1.8371</v>
      </c>
      <c r="HG60">
        <v>0.0646114</v>
      </c>
      <c r="HH60">
        <v>0</v>
      </c>
      <c r="HI60">
        <v>23.9419</v>
      </c>
      <c r="HJ60">
        <v>999.9</v>
      </c>
      <c r="HK60">
        <v>36.5</v>
      </c>
      <c r="HL60">
        <v>33.3</v>
      </c>
      <c r="HM60">
        <v>20.8465</v>
      </c>
      <c r="HN60">
        <v>61.4038</v>
      </c>
      <c r="HO60">
        <v>28.3894</v>
      </c>
      <c r="HP60">
        <v>1</v>
      </c>
      <c r="HQ60">
        <v>0.0349619</v>
      </c>
      <c r="HR60">
        <v>1.18955</v>
      </c>
      <c r="HS60">
        <v>20.29</v>
      </c>
      <c r="HT60">
        <v>5.22208</v>
      </c>
      <c r="HU60">
        <v>11.9775</v>
      </c>
      <c r="HV60">
        <v>4.96535</v>
      </c>
      <c r="HW60">
        <v>3.2759</v>
      </c>
      <c r="HX60">
        <v>9999</v>
      </c>
      <c r="HY60">
        <v>9999</v>
      </c>
      <c r="HZ60">
        <v>9999</v>
      </c>
      <c r="IA60">
        <v>999.9</v>
      </c>
      <c r="IB60">
        <v>1.86394</v>
      </c>
      <c r="IC60">
        <v>1.86008</v>
      </c>
      <c r="ID60">
        <v>1.85841</v>
      </c>
      <c r="IE60">
        <v>1.85974</v>
      </c>
      <c r="IF60">
        <v>1.85989</v>
      </c>
      <c r="IG60">
        <v>1.8584</v>
      </c>
      <c r="IH60">
        <v>1.85747</v>
      </c>
      <c r="II60">
        <v>1.85242</v>
      </c>
      <c r="IJ60">
        <v>0</v>
      </c>
      <c r="IK60">
        <v>0</v>
      </c>
      <c r="IL60">
        <v>0</v>
      </c>
      <c r="IM60">
        <v>0</v>
      </c>
      <c r="IN60" t="s">
        <v>441</v>
      </c>
      <c r="IO60" t="s">
        <v>442</v>
      </c>
      <c r="IP60" t="s">
        <v>443</v>
      </c>
      <c r="IQ60" t="s">
        <v>443</v>
      </c>
      <c r="IR60" t="s">
        <v>443</v>
      </c>
      <c r="IS60" t="s">
        <v>443</v>
      </c>
      <c r="IT60">
        <v>0</v>
      </c>
      <c r="IU60">
        <v>100</v>
      </c>
      <c r="IV60">
        <v>100</v>
      </c>
      <c r="IW60">
        <v>-0.215</v>
      </c>
      <c r="IX60">
        <v>0.067</v>
      </c>
      <c r="IY60">
        <v>-0.3526565731753785</v>
      </c>
      <c r="IZ60">
        <v>0.0001583678016168383</v>
      </c>
      <c r="JA60">
        <v>1.526473431467286E-06</v>
      </c>
      <c r="JB60">
        <v>-4.446382740029455E-10</v>
      </c>
      <c r="JC60">
        <v>-0.04418696534002887</v>
      </c>
      <c r="JD60">
        <v>-0.009941991807247691</v>
      </c>
      <c r="JE60">
        <v>0.001256427533001032</v>
      </c>
      <c r="JF60">
        <v>-1.689728105039484E-05</v>
      </c>
      <c r="JG60">
        <v>2</v>
      </c>
      <c r="JH60">
        <v>1984</v>
      </c>
      <c r="JI60">
        <v>0</v>
      </c>
      <c r="JJ60">
        <v>25</v>
      </c>
      <c r="JK60">
        <v>1.3</v>
      </c>
      <c r="JL60">
        <v>1.2</v>
      </c>
      <c r="JM60">
        <v>0.8691410000000001</v>
      </c>
      <c r="JN60">
        <v>2.61597</v>
      </c>
      <c r="JO60">
        <v>1.49658</v>
      </c>
      <c r="JP60">
        <v>2.34619</v>
      </c>
      <c r="JQ60">
        <v>1.54907</v>
      </c>
      <c r="JR60">
        <v>2.45605</v>
      </c>
      <c r="JS60">
        <v>37.0032</v>
      </c>
      <c r="JT60">
        <v>24.14</v>
      </c>
      <c r="JU60">
        <v>18</v>
      </c>
      <c r="JV60">
        <v>474.505</v>
      </c>
      <c r="JW60">
        <v>474.757</v>
      </c>
      <c r="JX60">
        <v>23.0911</v>
      </c>
      <c r="JY60">
        <v>27.5792</v>
      </c>
      <c r="JZ60">
        <v>30.0005</v>
      </c>
      <c r="KA60">
        <v>27.7515</v>
      </c>
      <c r="KB60">
        <v>27.7364</v>
      </c>
      <c r="KC60">
        <v>17.4866</v>
      </c>
      <c r="KD60">
        <v>17.3581</v>
      </c>
      <c r="KE60">
        <v>21.6162</v>
      </c>
      <c r="KF60">
        <v>23.0739</v>
      </c>
      <c r="KG60">
        <v>300</v>
      </c>
      <c r="KH60">
        <v>17.2697</v>
      </c>
      <c r="KI60">
        <v>102.279</v>
      </c>
      <c r="KJ60">
        <v>91.65730000000001</v>
      </c>
    </row>
    <row r="61" spans="1:296">
      <c r="A61">
        <v>43</v>
      </c>
      <c r="B61">
        <v>1765306051.1</v>
      </c>
      <c r="C61">
        <v>8618.099999904633</v>
      </c>
      <c r="D61" t="s">
        <v>572</v>
      </c>
      <c r="E61" t="s">
        <v>573</v>
      </c>
      <c r="F61">
        <v>5</v>
      </c>
      <c r="G61" t="s">
        <v>567</v>
      </c>
      <c r="H61">
        <v>1765306043.349999</v>
      </c>
      <c r="I61">
        <f>(J61)/1000</f>
        <v>0</v>
      </c>
      <c r="J61">
        <f>IF(DO61, AM61, AG61)</f>
        <v>0</v>
      </c>
      <c r="K61">
        <f>IF(DO61, AH61, AF61)</f>
        <v>0</v>
      </c>
      <c r="L61">
        <f>DQ61 - IF(AT61&gt;1, K61*DK61*100.0/(AV61), 0)</f>
        <v>0</v>
      </c>
      <c r="M61">
        <f>((S61-I61/2)*L61-K61)/(S61+I61/2)</f>
        <v>0</v>
      </c>
      <c r="N61">
        <f>M61*(DX61+DY61)/1000.0</f>
        <v>0</v>
      </c>
      <c r="O61">
        <f>(DQ61 - IF(AT61&gt;1, K61*DK61*100.0/(AV61), 0))*(DX61+DY61)/1000.0</f>
        <v>0</v>
      </c>
      <c r="P61">
        <f>2.0/((1/R61-1/Q61)+SIGN(R61)*SQRT((1/R61-1/Q61)*(1/R61-1/Q61) + 4*DL61/((DL61+1)*(DL61+1))*(2*1/R61*1/Q61-1/Q61*1/Q61)))</f>
        <v>0</v>
      </c>
      <c r="Q61">
        <f>IF(LEFT(DM61,1)&lt;&gt;"0",IF(LEFT(DM61,1)="1",3.0,DN61),$D$5+$E$5*(EE61*DX61/($K$5*1000))+$F$5*(EE61*DX61/($K$5*1000))*MAX(MIN(DK61,$J$5),$I$5)*MAX(MIN(DK61,$J$5),$I$5)+$G$5*MAX(MIN(DK61,$J$5),$I$5)*(EE61*DX61/($K$5*1000))+$H$5*(EE61*DX61/($K$5*1000))*(EE61*DX61/($K$5*1000)))</f>
        <v>0</v>
      </c>
      <c r="R61">
        <f>I61*(1000-(1000*0.61365*exp(17.502*V61/(240.97+V61))/(DX61+DY61)+DS61)/2)/(1000*0.61365*exp(17.502*V61/(240.97+V61))/(DX61+DY61)-DS61)</f>
        <v>0</v>
      </c>
      <c r="S61">
        <f>1/((DL61+1)/(P61/1.6)+1/(Q61/1.37)) + DL61/((DL61+1)/(P61/1.6) + DL61/(Q61/1.37))</f>
        <v>0</v>
      </c>
      <c r="T61">
        <f>(DG61*DJ61)</f>
        <v>0</v>
      </c>
      <c r="U61">
        <f>(DZ61+(T61+2*0.95*5.67E-8*(((DZ61+$B$9)+273)^4-(DZ61+273)^4)-44100*I61)/(1.84*29.3*Q61+8*0.95*5.67E-8*(DZ61+273)^3))</f>
        <v>0</v>
      </c>
      <c r="V61">
        <f>($C$9*EA61+$D$9*EB61+$E$9*U61)</f>
        <v>0</v>
      </c>
      <c r="W61">
        <f>0.61365*exp(17.502*V61/(240.97+V61))</f>
        <v>0</v>
      </c>
      <c r="X61">
        <f>(Y61/Z61*100)</f>
        <v>0</v>
      </c>
      <c r="Y61">
        <f>DS61*(DX61+DY61)/1000</f>
        <v>0</v>
      </c>
      <c r="Z61">
        <f>0.61365*exp(17.502*DZ61/(240.97+DZ61))</f>
        <v>0</v>
      </c>
      <c r="AA61">
        <f>(W61-DS61*(DX61+DY61)/1000)</f>
        <v>0</v>
      </c>
      <c r="AB61">
        <f>(-I61*44100)</f>
        <v>0</v>
      </c>
      <c r="AC61">
        <f>2*29.3*Q61*0.92*(DZ61-V61)</f>
        <v>0</v>
      </c>
      <c r="AD61">
        <f>2*0.95*5.67E-8*(((DZ61+$B$9)+273)^4-(V61+273)^4)</f>
        <v>0</v>
      </c>
      <c r="AE61">
        <f>T61+AD61+AB61+AC61</f>
        <v>0</v>
      </c>
      <c r="AF61">
        <f>DW61*AT61*(DR61-DQ61*(1000-AT61*DT61)/(1000-AT61*DS61))/(100*DK61)</f>
        <v>0</v>
      </c>
      <c r="AG61">
        <f>1000*DW61*AT61*(DS61-DT61)/(100*DK61*(1000-AT61*DS61))</f>
        <v>0</v>
      </c>
      <c r="AH61">
        <f>(AI61 - AJ61 - DX61*1E3/(8.314*(DZ61+273.15)) * AL61/DW61 * AK61) * DW61/(100*DK61) * (1000 - DT61)/1000</f>
        <v>0</v>
      </c>
      <c r="AI61">
        <v>203.4827333333334</v>
      </c>
      <c r="AJ61">
        <v>203.4855151515152</v>
      </c>
      <c r="AK61">
        <v>0.004917453491056625</v>
      </c>
      <c r="AL61">
        <v>64.28054276525833</v>
      </c>
      <c r="AM61">
        <f>(AO61 - AN61 + DX61*1E3/(8.314*(DZ61+273.15)) * AQ61/DW61 * AP61) * DW61/(100*DK61) * 1000/(1000 - AO61)</f>
        <v>0</v>
      </c>
      <c r="AN61">
        <v>17.25605333333333</v>
      </c>
      <c r="AO61">
        <v>17.34136606060607</v>
      </c>
      <c r="AP61">
        <v>5.511180548629315E-06</v>
      </c>
      <c r="AQ61">
        <v>102.2148864084506</v>
      </c>
      <c r="AR61">
        <v>3</v>
      </c>
      <c r="AS61">
        <v>1</v>
      </c>
      <c r="AT61">
        <f>IF(AR61*$H$15&gt;=AV61,1.0,(AV61/(AV61-AR61*$H$15)))</f>
        <v>0</v>
      </c>
      <c r="AU61">
        <f>(AT61-1)*100</f>
        <v>0</v>
      </c>
      <c r="AV61">
        <f>MAX(0,($B$15+$C$15*EE61)/(1+$D$15*EE61)*DX61/(DZ61+273)*$E$15)</f>
        <v>0</v>
      </c>
      <c r="AW61" t="s">
        <v>437</v>
      </c>
      <c r="AX61" t="s">
        <v>437</v>
      </c>
      <c r="AY61">
        <v>0</v>
      </c>
      <c r="AZ61">
        <v>0</v>
      </c>
      <c r="BA61">
        <f>1-AY61/AZ61</f>
        <v>0</v>
      </c>
      <c r="BB61">
        <v>0</v>
      </c>
      <c r="BC61" t="s">
        <v>437</v>
      </c>
      <c r="BD61" t="s">
        <v>437</v>
      </c>
      <c r="BE61">
        <v>0</v>
      </c>
      <c r="BF61">
        <v>0</v>
      </c>
      <c r="BG61">
        <f>1-BE61/BF61</f>
        <v>0</v>
      </c>
      <c r="BH61">
        <v>0.5</v>
      </c>
      <c r="BI61">
        <f>DH61</f>
        <v>0</v>
      </c>
      <c r="BJ61">
        <f>K61</f>
        <v>0</v>
      </c>
      <c r="BK61">
        <f>BG61*BH61*BI61</f>
        <v>0</v>
      </c>
      <c r="BL61">
        <f>(BJ61-BB61)/BI61</f>
        <v>0</v>
      </c>
      <c r="BM61">
        <f>(AZ61-BF61)/BF61</f>
        <v>0</v>
      </c>
      <c r="BN61">
        <f>AY61/(BA61+AY61/BF61)</f>
        <v>0</v>
      </c>
      <c r="BO61" t="s">
        <v>437</v>
      </c>
      <c r="BP61">
        <v>0</v>
      </c>
      <c r="BQ61">
        <f>IF(BP61&lt;&gt;0, BP61, BN61)</f>
        <v>0</v>
      </c>
      <c r="BR61">
        <f>1-BQ61/BF61</f>
        <v>0</v>
      </c>
      <c r="BS61">
        <f>(BF61-BE61)/(BF61-BQ61)</f>
        <v>0</v>
      </c>
      <c r="BT61">
        <f>(AZ61-BF61)/(AZ61-BQ61)</f>
        <v>0</v>
      </c>
      <c r="BU61">
        <f>(BF61-BE61)/(BF61-AY61)</f>
        <v>0</v>
      </c>
      <c r="BV61">
        <f>(AZ61-BF61)/(AZ61-AY61)</f>
        <v>0</v>
      </c>
      <c r="BW61">
        <f>(BS61*BQ61/BE61)</f>
        <v>0</v>
      </c>
      <c r="BX61">
        <f>(1-BW61)</f>
        <v>0</v>
      </c>
      <c r="DG61">
        <f>$B$13*EF61+$C$13*EG61+$F$13*ER61*(1-EU61)</f>
        <v>0</v>
      </c>
      <c r="DH61">
        <f>DG61*DI61</f>
        <v>0</v>
      </c>
      <c r="DI61">
        <f>($B$13*$D$11+$C$13*$D$11+$F$13*((FE61+EW61)/MAX(FE61+EW61+FF61, 0.1)*$I$11+FF61/MAX(FE61+EW61+FF61, 0.1)*$J$11))/($B$13+$C$13+$F$13)</f>
        <v>0</v>
      </c>
      <c r="DJ61">
        <f>($B$13*$K$11+$C$13*$K$11+$F$13*((FE61+EW61)/MAX(FE61+EW61+FF61, 0.1)*$P$11+FF61/MAX(FE61+EW61+FF61, 0.1)*$Q$11))/($B$13+$C$13+$F$13)</f>
        <v>0</v>
      </c>
      <c r="DK61">
        <v>5.66</v>
      </c>
      <c r="DL61">
        <v>0.5</v>
      </c>
      <c r="DM61" t="s">
        <v>438</v>
      </c>
      <c r="DN61">
        <v>2</v>
      </c>
      <c r="DO61" t="b">
        <v>1</v>
      </c>
      <c r="DP61">
        <v>1765306043.349999</v>
      </c>
      <c r="DQ61">
        <v>200.0757</v>
      </c>
      <c r="DR61">
        <v>199.9807333333333</v>
      </c>
      <c r="DS61">
        <v>17.33814666666666</v>
      </c>
      <c r="DT61">
        <v>17.25626666666667</v>
      </c>
      <c r="DU61">
        <v>200.2587</v>
      </c>
      <c r="DV61">
        <v>17.27214666666666</v>
      </c>
      <c r="DW61">
        <v>500.0204333333333</v>
      </c>
      <c r="DX61">
        <v>89.96491666666667</v>
      </c>
      <c r="DY61">
        <v>0.10001263</v>
      </c>
      <c r="DZ61">
        <v>24.72386333333333</v>
      </c>
      <c r="EA61">
        <v>24.98781666666667</v>
      </c>
      <c r="EB61">
        <v>999.9000000000002</v>
      </c>
      <c r="EC61">
        <v>0</v>
      </c>
      <c r="ED61">
        <v>0</v>
      </c>
      <c r="EE61">
        <v>9999.144666666667</v>
      </c>
      <c r="EF61">
        <v>0</v>
      </c>
      <c r="EG61">
        <v>9.615440333333336</v>
      </c>
      <c r="EH61">
        <v>-0.02055968613333333</v>
      </c>
      <c r="EI61">
        <v>203.4887666666667</v>
      </c>
      <c r="EJ61">
        <v>203.4923666666667</v>
      </c>
      <c r="EK61">
        <v>0.08422640666666667</v>
      </c>
      <c r="EL61">
        <v>199.9807333333333</v>
      </c>
      <c r="EM61">
        <v>17.25626666666667</v>
      </c>
      <c r="EN61">
        <v>1.560036</v>
      </c>
      <c r="EO61">
        <v>1.552458333333333</v>
      </c>
      <c r="EP61">
        <v>13.56962</v>
      </c>
      <c r="EQ61">
        <v>13.49485333333334</v>
      </c>
      <c r="ER61">
        <v>800.0049000000001</v>
      </c>
      <c r="ES61">
        <v>0.9500049333333335</v>
      </c>
      <c r="ET61">
        <v>0.04999521</v>
      </c>
      <c r="EU61">
        <v>0</v>
      </c>
      <c r="EV61">
        <v>840.9037</v>
      </c>
      <c r="EW61">
        <v>5.00078</v>
      </c>
      <c r="EX61">
        <v>6320.974</v>
      </c>
      <c r="EY61">
        <v>6463.468999999999</v>
      </c>
      <c r="EZ61">
        <v>35.5706</v>
      </c>
      <c r="FA61">
        <v>38.17046666666666</v>
      </c>
      <c r="FB61">
        <v>37.0874</v>
      </c>
      <c r="FC61">
        <v>37.7456</v>
      </c>
      <c r="FD61">
        <v>37.12886666666666</v>
      </c>
      <c r="FE61">
        <v>755.2573333333333</v>
      </c>
      <c r="FF61">
        <v>39.75</v>
      </c>
      <c r="FG61">
        <v>0</v>
      </c>
      <c r="FH61">
        <v>1765306050.5</v>
      </c>
      <c r="FI61">
        <v>0</v>
      </c>
      <c r="FJ61">
        <v>840.909269230769</v>
      </c>
      <c r="FK61">
        <v>0.8563076942397745</v>
      </c>
      <c r="FL61">
        <v>5.236239311758915</v>
      </c>
      <c r="FM61">
        <v>6321.013076923075</v>
      </c>
      <c r="FN61">
        <v>15</v>
      </c>
      <c r="FO61">
        <v>1765306067.1</v>
      </c>
      <c r="FP61" t="s">
        <v>574</v>
      </c>
      <c r="FQ61">
        <v>1765306063.1</v>
      </c>
      <c r="FR61">
        <v>1765306067.1</v>
      </c>
      <c r="FS61">
        <v>44</v>
      </c>
      <c r="FT61">
        <v>0.115</v>
      </c>
      <c r="FU61">
        <v>-0.001</v>
      </c>
      <c r="FV61">
        <v>-0.183</v>
      </c>
      <c r="FW61">
        <v>0.066</v>
      </c>
      <c r="FX61">
        <v>200</v>
      </c>
      <c r="FY61">
        <v>17</v>
      </c>
      <c r="FZ61">
        <v>0.46</v>
      </c>
      <c r="GA61">
        <v>0.12</v>
      </c>
      <c r="GB61">
        <v>-0.004663074850000001</v>
      </c>
      <c r="GC61">
        <v>-0.331087033193246</v>
      </c>
      <c r="GD61">
        <v>0.05406098050247384</v>
      </c>
      <c r="GE61">
        <v>1</v>
      </c>
      <c r="GF61">
        <v>840.8599117647059</v>
      </c>
      <c r="GG61">
        <v>0.7594041265875453</v>
      </c>
      <c r="GH61">
        <v>0.1761061457402218</v>
      </c>
      <c r="GI61">
        <v>1</v>
      </c>
      <c r="GJ61">
        <v>0.08410595999999999</v>
      </c>
      <c r="GK61">
        <v>0.002763894934333977</v>
      </c>
      <c r="GL61">
        <v>0.0008522989662671195</v>
      </c>
      <c r="GM61">
        <v>1</v>
      </c>
      <c r="GN61">
        <v>3</v>
      </c>
      <c r="GO61">
        <v>3</v>
      </c>
      <c r="GP61" t="s">
        <v>440</v>
      </c>
      <c r="GQ61">
        <v>3.10819</v>
      </c>
      <c r="GR61">
        <v>2.79172</v>
      </c>
      <c r="GS61">
        <v>0.0480456</v>
      </c>
      <c r="GT61">
        <v>0.0479958</v>
      </c>
      <c r="GU61">
        <v>0.0858039</v>
      </c>
      <c r="GV61">
        <v>0.08627029999999999</v>
      </c>
      <c r="GW61">
        <v>24974.1</v>
      </c>
      <c r="GX61">
        <v>22676.1</v>
      </c>
      <c r="GY61">
        <v>26792.9</v>
      </c>
      <c r="GZ61">
        <v>24026.7</v>
      </c>
      <c r="HA61">
        <v>39142.4</v>
      </c>
      <c r="HB61">
        <v>32397.9</v>
      </c>
      <c r="HC61">
        <v>46763.5</v>
      </c>
      <c r="HD61">
        <v>37996</v>
      </c>
      <c r="HE61">
        <v>1.8802</v>
      </c>
      <c r="HF61">
        <v>1.83615</v>
      </c>
      <c r="HG61">
        <v>0.0637472</v>
      </c>
      <c r="HH61">
        <v>0</v>
      </c>
      <c r="HI61">
        <v>23.9439</v>
      </c>
      <c r="HJ61">
        <v>999.9</v>
      </c>
      <c r="HK61">
        <v>36.6</v>
      </c>
      <c r="HL61">
        <v>33.2</v>
      </c>
      <c r="HM61">
        <v>20.7846</v>
      </c>
      <c r="HN61">
        <v>61.2738</v>
      </c>
      <c r="HO61">
        <v>28.3293</v>
      </c>
      <c r="HP61">
        <v>1</v>
      </c>
      <c r="HQ61">
        <v>0.041128</v>
      </c>
      <c r="HR61">
        <v>1.08461</v>
      </c>
      <c r="HS61">
        <v>20.2907</v>
      </c>
      <c r="HT61">
        <v>5.22133</v>
      </c>
      <c r="HU61">
        <v>11.9775</v>
      </c>
      <c r="HV61">
        <v>4.96535</v>
      </c>
      <c r="HW61">
        <v>3.27578</v>
      </c>
      <c r="HX61">
        <v>9999</v>
      </c>
      <c r="HY61">
        <v>9999</v>
      </c>
      <c r="HZ61">
        <v>9999</v>
      </c>
      <c r="IA61">
        <v>999.9</v>
      </c>
      <c r="IB61">
        <v>1.86399</v>
      </c>
      <c r="IC61">
        <v>1.86008</v>
      </c>
      <c r="ID61">
        <v>1.8584</v>
      </c>
      <c r="IE61">
        <v>1.85974</v>
      </c>
      <c r="IF61">
        <v>1.85989</v>
      </c>
      <c r="IG61">
        <v>1.8584</v>
      </c>
      <c r="IH61">
        <v>1.85746</v>
      </c>
      <c r="II61">
        <v>1.85242</v>
      </c>
      <c r="IJ61">
        <v>0</v>
      </c>
      <c r="IK61">
        <v>0</v>
      </c>
      <c r="IL61">
        <v>0</v>
      </c>
      <c r="IM61">
        <v>0</v>
      </c>
      <c r="IN61" t="s">
        <v>441</v>
      </c>
      <c r="IO61" t="s">
        <v>442</v>
      </c>
      <c r="IP61" t="s">
        <v>443</v>
      </c>
      <c r="IQ61" t="s">
        <v>443</v>
      </c>
      <c r="IR61" t="s">
        <v>443</v>
      </c>
      <c r="IS61" t="s">
        <v>443</v>
      </c>
      <c r="IT61">
        <v>0</v>
      </c>
      <c r="IU61">
        <v>100</v>
      </c>
      <c r="IV61">
        <v>100</v>
      </c>
      <c r="IW61">
        <v>-0.183</v>
      </c>
      <c r="IX61">
        <v>0.066</v>
      </c>
      <c r="IY61">
        <v>-0.3878818257266997</v>
      </c>
      <c r="IZ61">
        <v>0.0001583678016168383</v>
      </c>
      <c r="JA61">
        <v>1.526473431467286E-06</v>
      </c>
      <c r="JB61">
        <v>-4.446382740029455E-10</v>
      </c>
      <c r="JC61">
        <v>-0.04770321390790055</v>
      </c>
      <c r="JD61">
        <v>-0.009941991807247691</v>
      </c>
      <c r="JE61">
        <v>0.001256427533001032</v>
      </c>
      <c r="JF61">
        <v>-1.689728105039484E-05</v>
      </c>
      <c r="JG61">
        <v>2</v>
      </c>
      <c r="JH61">
        <v>1984</v>
      </c>
      <c r="JI61">
        <v>0</v>
      </c>
      <c r="JJ61">
        <v>25</v>
      </c>
      <c r="JK61">
        <v>1.3</v>
      </c>
      <c r="JL61">
        <v>1.2</v>
      </c>
      <c r="JM61">
        <v>0.637207</v>
      </c>
      <c r="JN61">
        <v>2.63062</v>
      </c>
      <c r="JO61">
        <v>1.49658</v>
      </c>
      <c r="JP61">
        <v>2.34741</v>
      </c>
      <c r="JQ61">
        <v>1.54907</v>
      </c>
      <c r="JR61">
        <v>2.45483</v>
      </c>
      <c r="JS61">
        <v>36.908</v>
      </c>
      <c r="JT61">
        <v>24.14</v>
      </c>
      <c r="JU61">
        <v>18</v>
      </c>
      <c r="JV61">
        <v>475.004</v>
      </c>
      <c r="JW61">
        <v>474.802</v>
      </c>
      <c r="JX61">
        <v>23.1133</v>
      </c>
      <c r="JY61">
        <v>27.6638</v>
      </c>
      <c r="JZ61">
        <v>30.0002</v>
      </c>
      <c r="KA61">
        <v>27.8328</v>
      </c>
      <c r="KB61">
        <v>27.8156</v>
      </c>
      <c r="KC61">
        <v>12.8404</v>
      </c>
      <c r="KD61">
        <v>17.3581</v>
      </c>
      <c r="KE61">
        <v>21.6162</v>
      </c>
      <c r="KF61">
        <v>23.1161</v>
      </c>
      <c r="KG61">
        <v>200</v>
      </c>
      <c r="KH61">
        <v>17.3131</v>
      </c>
      <c r="KI61">
        <v>102.263</v>
      </c>
      <c r="KJ61">
        <v>91.64790000000001</v>
      </c>
    </row>
    <row r="62" spans="1:296">
      <c r="A62">
        <v>44</v>
      </c>
      <c r="B62">
        <v>1765306143.6</v>
      </c>
      <c r="C62">
        <v>8710.599999904633</v>
      </c>
      <c r="D62" t="s">
        <v>575</v>
      </c>
      <c r="E62" t="s">
        <v>576</v>
      </c>
      <c r="F62">
        <v>5</v>
      </c>
      <c r="G62" t="s">
        <v>567</v>
      </c>
      <c r="H62">
        <v>1765306135.849999</v>
      </c>
      <c r="I62">
        <f>(J62)/1000</f>
        <v>0</v>
      </c>
      <c r="J62">
        <f>IF(DO62, AM62, AG62)</f>
        <v>0</v>
      </c>
      <c r="K62">
        <f>IF(DO62, AH62, AF62)</f>
        <v>0</v>
      </c>
      <c r="L62">
        <f>DQ62 - IF(AT62&gt;1, K62*DK62*100.0/(AV62), 0)</f>
        <v>0</v>
      </c>
      <c r="M62">
        <f>((S62-I62/2)*L62-K62)/(S62+I62/2)</f>
        <v>0</v>
      </c>
      <c r="N62">
        <f>M62*(DX62+DY62)/1000.0</f>
        <v>0</v>
      </c>
      <c r="O62">
        <f>(DQ62 - IF(AT62&gt;1, K62*DK62*100.0/(AV62), 0))*(DX62+DY62)/1000.0</f>
        <v>0</v>
      </c>
      <c r="P62">
        <f>2.0/((1/R62-1/Q62)+SIGN(R62)*SQRT((1/R62-1/Q62)*(1/R62-1/Q62) + 4*DL62/((DL62+1)*(DL62+1))*(2*1/R62*1/Q62-1/Q62*1/Q62)))</f>
        <v>0</v>
      </c>
      <c r="Q62">
        <f>IF(LEFT(DM62,1)&lt;&gt;"0",IF(LEFT(DM62,1)="1",3.0,DN62),$D$5+$E$5*(EE62*DX62/($K$5*1000))+$F$5*(EE62*DX62/($K$5*1000))*MAX(MIN(DK62,$J$5),$I$5)*MAX(MIN(DK62,$J$5),$I$5)+$G$5*MAX(MIN(DK62,$J$5),$I$5)*(EE62*DX62/($K$5*1000))+$H$5*(EE62*DX62/($K$5*1000))*(EE62*DX62/($K$5*1000)))</f>
        <v>0</v>
      </c>
      <c r="R62">
        <f>I62*(1000-(1000*0.61365*exp(17.502*V62/(240.97+V62))/(DX62+DY62)+DS62)/2)/(1000*0.61365*exp(17.502*V62/(240.97+V62))/(DX62+DY62)-DS62)</f>
        <v>0</v>
      </c>
      <c r="S62">
        <f>1/((DL62+1)/(P62/1.6)+1/(Q62/1.37)) + DL62/((DL62+1)/(P62/1.6) + DL62/(Q62/1.37))</f>
        <v>0</v>
      </c>
      <c r="T62">
        <f>(DG62*DJ62)</f>
        <v>0</v>
      </c>
      <c r="U62">
        <f>(DZ62+(T62+2*0.95*5.67E-8*(((DZ62+$B$9)+273)^4-(DZ62+273)^4)-44100*I62)/(1.84*29.3*Q62+8*0.95*5.67E-8*(DZ62+273)^3))</f>
        <v>0</v>
      </c>
      <c r="V62">
        <f>($C$9*EA62+$D$9*EB62+$E$9*U62)</f>
        <v>0</v>
      </c>
      <c r="W62">
        <f>0.61365*exp(17.502*V62/(240.97+V62))</f>
        <v>0</v>
      </c>
      <c r="X62">
        <f>(Y62/Z62*100)</f>
        <v>0</v>
      </c>
      <c r="Y62">
        <f>DS62*(DX62+DY62)/1000</f>
        <v>0</v>
      </c>
      <c r="Z62">
        <f>0.61365*exp(17.502*DZ62/(240.97+DZ62))</f>
        <v>0</v>
      </c>
      <c r="AA62">
        <f>(W62-DS62*(DX62+DY62)/1000)</f>
        <v>0</v>
      </c>
      <c r="AB62">
        <f>(-I62*44100)</f>
        <v>0</v>
      </c>
      <c r="AC62">
        <f>2*29.3*Q62*0.92*(DZ62-V62)</f>
        <v>0</v>
      </c>
      <c r="AD62">
        <f>2*0.95*5.67E-8*(((DZ62+$B$9)+273)^4-(V62+273)^4)</f>
        <v>0</v>
      </c>
      <c r="AE62">
        <f>T62+AD62+AB62+AC62</f>
        <v>0</v>
      </c>
      <c r="AF62">
        <f>DW62*AT62*(DR62-DQ62*(1000-AT62*DT62)/(1000-AT62*DS62))/(100*DK62)</f>
        <v>0</v>
      </c>
      <c r="AG62">
        <f>1000*DW62*AT62*(DS62-DT62)/(100*DK62*(1000-AT62*DS62))</f>
        <v>0</v>
      </c>
      <c r="AH62">
        <f>(AI62 - AJ62 - DX62*1E3/(8.314*(DZ62+273.15)) * AL62/DW62 * AK62) * DW62/(100*DK62) * (1000 - DT62)/1000</f>
        <v>0</v>
      </c>
      <c r="AI62">
        <v>101.7818493822599</v>
      </c>
      <c r="AJ62">
        <v>101.8610848484848</v>
      </c>
      <c r="AK62">
        <v>-0.0009618590042892224</v>
      </c>
      <c r="AL62">
        <v>65.81489359047231</v>
      </c>
      <c r="AM62">
        <f>(AO62 - AN62 + DX62*1E3/(8.314*(DZ62+273.15)) * AQ62/DW62 * AP62) * DW62/(100*DK62) * 1000/(1000 - AO62)</f>
        <v>0</v>
      </c>
      <c r="AN62">
        <v>17.28055038811615</v>
      </c>
      <c r="AO62">
        <v>17.35933696969695</v>
      </c>
      <c r="AP62">
        <v>-1.199019045922019E-05</v>
      </c>
      <c r="AQ62">
        <v>107.7483528792484</v>
      </c>
      <c r="AR62">
        <v>3</v>
      </c>
      <c r="AS62">
        <v>1</v>
      </c>
      <c r="AT62">
        <f>IF(AR62*$H$15&gt;=AV62,1.0,(AV62/(AV62-AR62*$H$15)))</f>
        <v>0</v>
      </c>
      <c r="AU62">
        <f>(AT62-1)*100</f>
        <v>0</v>
      </c>
      <c r="AV62">
        <f>MAX(0,($B$15+$C$15*EE62)/(1+$D$15*EE62)*DX62/(DZ62+273)*$E$15)</f>
        <v>0</v>
      </c>
      <c r="AW62" t="s">
        <v>437</v>
      </c>
      <c r="AX62" t="s">
        <v>437</v>
      </c>
      <c r="AY62">
        <v>0</v>
      </c>
      <c r="AZ62">
        <v>0</v>
      </c>
      <c r="BA62">
        <f>1-AY62/AZ62</f>
        <v>0</v>
      </c>
      <c r="BB62">
        <v>0</v>
      </c>
      <c r="BC62" t="s">
        <v>437</v>
      </c>
      <c r="BD62" t="s">
        <v>437</v>
      </c>
      <c r="BE62">
        <v>0</v>
      </c>
      <c r="BF62">
        <v>0</v>
      </c>
      <c r="BG62">
        <f>1-BE62/BF62</f>
        <v>0</v>
      </c>
      <c r="BH62">
        <v>0.5</v>
      </c>
      <c r="BI62">
        <f>DH62</f>
        <v>0</v>
      </c>
      <c r="BJ62">
        <f>K62</f>
        <v>0</v>
      </c>
      <c r="BK62">
        <f>BG62*BH62*BI62</f>
        <v>0</v>
      </c>
      <c r="BL62">
        <f>(BJ62-BB62)/BI62</f>
        <v>0</v>
      </c>
      <c r="BM62">
        <f>(AZ62-BF62)/BF62</f>
        <v>0</v>
      </c>
      <c r="BN62">
        <f>AY62/(BA62+AY62/BF62)</f>
        <v>0</v>
      </c>
      <c r="BO62" t="s">
        <v>437</v>
      </c>
      <c r="BP62">
        <v>0</v>
      </c>
      <c r="BQ62">
        <f>IF(BP62&lt;&gt;0, BP62, BN62)</f>
        <v>0</v>
      </c>
      <c r="BR62">
        <f>1-BQ62/BF62</f>
        <v>0</v>
      </c>
      <c r="BS62">
        <f>(BF62-BE62)/(BF62-BQ62)</f>
        <v>0</v>
      </c>
      <c r="BT62">
        <f>(AZ62-BF62)/(AZ62-BQ62)</f>
        <v>0</v>
      </c>
      <c r="BU62">
        <f>(BF62-BE62)/(BF62-AY62)</f>
        <v>0</v>
      </c>
      <c r="BV62">
        <f>(AZ62-BF62)/(AZ62-AY62)</f>
        <v>0</v>
      </c>
      <c r="BW62">
        <f>(BS62*BQ62/BE62)</f>
        <v>0</v>
      </c>
      <c r="BX62">
        <f>(1-BW62)</f>
        <v>0</v>
      </c>
      <c r="DG62">
        <f>$B$13*EF62+$C$13*EG62+$F$13*ER62*(1-EU62)</f>
        <v>0</v>
      </c>
      <c r="DH62">
        <f>DG62*DI62</f>
        <v>0</v>
      </c>
      <c r="DI62">
        <f>($B$13*$D$11+$C$13*$D$11+$F$13*((FE62+EW62)/MAX(FE62+EW62+FF62, 0.1)*$I$11+FF62/MAX(FE62+EW62+FF62, 0.1)*$J$11))/($B$13+$C$13+$F$13)</f>
        <v>0</v>
      </c>
      <c r="DJ62">
        <f>($B$13*$K$11+$C$13*$K$11+$F$13*((FE62+EW62)/MAX(FE62+EW62+FF62, 0.1)*$P$11+FF62/MAX(FE62+EW62+FF62, 0.1)*$Q$11))/($B$13+$C$13+$F$13)</f>
        <v>0</v>
      </c>
      <c r="DK62">
        <v>5.66</v>
      </c>
      <c r="DL62">
        <v>0.5</v>
      </c>
      <c r="DM62" t="s">
        <v>438</v>
      </c>
      <c r="DN62">
        <v>2</v>
      </c>
      <c r="DO62" t="b">
        <v>1</v>
      </c>
      <c r="DP62">
        <v>1765306135.849999</v>
      </c>
      <c r="DQ62">
        <v>100.2104</v>
      </c>
      <c r="DR62">
        <v>99.98447666666667</v>
      </c>
      <c r="DS62">
        <v>17.36023</v>
      </c>
      <c r="DT62">
        <v>17.28167666666667</v>
      </c>
      <c r="DU62">
        <v>100.3464</v>
      </c>
      <c r="DV62">
        <v>17.29323</v>
      </c>
      <c r="DW62">
        <v>500.0128666666666</v>
      </c>
      <c r="DX62">
        <v>89.95912333333332</v>
      </c>
      <c r="DY62">
        <v>0.1000268733333333</v>
      </c>
      <c r="DZ62">
        <v>24.73067333333333</v>
      </c>
      <c r="EA62">
        <v>25.00117</v>
      </c>
      <c r="EB62">
        <v>999.9000000000002</v>
      </c>
      <c r="EC62">
        <v>0</v>
      </c>
      <c r="ED62">
        <v>0</v>
      </c>
      <c r="EE62">
        <v>9996.714</v>
      </c>
      <c r="EF62">
        <v>0</v>
      </c>
      <c r="EG62">
        <v>9.228540000000002</v>
      </c>
      <c r="EH62">
        <v>0.1203308733333333</v>
      </c>
      <c r="EI62">
        <v>101.8734</v>
      </c>
      <c r="EJ62">
        <v>101.7426333333333</v>
      </c>
      <c r="EK62">
        <v>0.07940031</v>
      </c>
      <c r="EL62">
        <v>99.98447666666667</v>
      </c>
      <c r="EM62">
        <v>17.28167666666667</v>
      </c>
      <c r="EN62">
        <v>1.561787666666667</v>
      </c>
      <c r="EO62">
        <v>1.554644333333333</v>
      </c>
      <c r="EP62">
        <v>13.58685</v>
      </c>
      <c r="EQ62">
        <v>13.51644333333333</v>
      </c>
      <c r="ER62">
        <v>799.944</v>
      </c>
      <c r="ES62">
        <v>0.9499834999999999</v>
      </c>
      <c r="ET62">
        <v>0.05001657333333333</v>
      </c>
      <c r="EU62">
        <v>0</v>
      </c>
      <c r="EV62">
        <v>841.3086333333333</v>
      </c>
      <c r="EW62">
        <v>5.00078</v>
      </c>
      <c r="EX62">
        <v>6326.61</v>
      </c>
      <c r="EY62">
        <v>6462.926666666666</v>
      </c>
      <c r="EZ62">
        <v>35.71843333333333</v>
      </c>
      <c r="FA62">
        <v>38.59349999999998</v>
      </c>
      <c r="FB62">
        <v>37.77683333333332</v>
      </c>
      <c r="FC62">
        <v>38.23526666666667</v>
      </c>
      <c r="FD62">
        <v>37.72049999999999</v>
      </c>
      <c r="FE62">
        <v>755.1826666666665</v>
      </c>
      <c r="FF62">
        <v>39.75966666666667</v>
      </c>
      <c r="FG62">
        <v>0</v>
      </c>
      <c r="FH62">
        <v>1765306142.9</v>
      </c>
      <c r="FI62">
        <v>0</v>
      </c>
      <c r="FJ62">
        <v>841.307576923077</v>
      </c>
      <c r="FK62">
        <v>-0.7723418889836409</v>
      </c>
      <c r="FL62">
        <v>20.14051282566212</v>
      </c>
      <c r="FM62">
        <v>6326.848076923077</v>
      </c>
      <c r="FN62">
        <v>15</v>
      </c>
      <c r="FO62">
        <v>1765306160.6</v>
      </c>
      <c r="FP62" t="s">
        <v>577</v>
      </c>
      <c r="FQ62">
        <v>1765306159.6</v>
      </c>
      <c r="FR62">
        <v>1765306160.6</v>
      </c>
      <c r="FS62">
        <v>45</v>
      </c>
      <c r="FT62">
        <v>0.106</v>
      </c>
      <c r="FU62">
        <v>0.001</v>
      </c>
      <c r="FV62">
        <v>-0.136</v>
      </c>
      <c r="FW62">
        <v>0.067</v>
      </c>
      <c r="FX62">
        <v>100</v>
      </c>
      <c r="FY62">
        <v>17</v>
      </c>
      <c r="FZ62">
        <v>0.29</v>
      </c>
      <c r="GA62">
        <v>0.18</v>
      </c>
      <c r="GB62">
        <v>0.1317870195121952</v>
      </c>
      <c r="GC62">
        <v>-0.2562077226480837</v>
      </c>
      <c r="GD62">
        <v>0.03278683667465269</v>
      </c>
      <c r="GE62">
        <v>1</v>
      </c>
      <c r="GF62">
        <v>841.3838823529412</v>
      </c>
      <c r="GG62">
        <v>-0.9587471411834235</v>
      </c>
      <c r="GH62">
        <v>0.2665636183535884</v>
      </c>
      <c r="GI62">
        <v>1</v>
      </c>
      <c r="GJ62">
        <v>0.07883638780487806</v>
      </c>
      <c r="GK62">
        <v>0.00930086759581863</v>
      </c>
      <c r="GL62">
        <v>0.001556539997087838</v>
      </c>
      <c r="GM62">
        <v>1</v>
      </c>
      <c r="GN62">
        <v>3</v>
      </c>
      <c r="GO62">
        <v>3</v>
      </c>
      <c r="GP62" t="s">
        <v>440</v>
      </c>
      <c r="GQ62">
        <v>3.10818</v>
      </c>
      <c r="GR62">
        <v>2.79168</v>
      </c>
      <c r="GS62">
        <v>0.0256157</v>
      </c>
      <c r="GT62">
        <v>0.0255179</v>
      </c>
      <c r="GU62">
        <v>0.0858531</v>
      </c>
      <c r="GV62">
        <v>0.0863352</v>
      </c>
      <c r="GW62">
        <v>25559.3</v>
      </c>
      <c r="GX62">
        <v>23208.9</v>
      </c>
      <c r="GY62">
        <v>26789.6</v>
      </c>
      <c r="GZ62">
        <v>24024.1</v>
      </c>
      <c r="HA62">
        <v>39132.9</v>
      </c>
      <c r="HB62">
        <v>32390.6</v>
      </c>
      <c r="HC62">
        <v>46757.9</v>
      </c>
      <c r="HD62">
        <v>37992.8</v>
      </c>
      <c r="HE62">
        <v>1.88</v>
      </c>
      <c r="HF62">
        <v>1.8352</v>
      </c>
      <c r="HG62">
        <v>0.0652075</v>
      </c>
      <c r="HH62">
        <v>0</v>
      </c>
      <c r="HI62">
        <v>23.9339</v>
      </c>
      <c r="HJ62">
        <v>999.9</v>
      </c>
      <c r="HK62">
        <v>36.6</v>
      </c>
      <c r="HL62">
        <v>33.2</v>
      </c>
      <c r="HM62">
        <v>20.7874</v>
      </c>
      <c r="HN62">
        <v>61.4638</v>
      </c>
      <c r="HO62">
        <v>28.3213</v>
      </c>
      <c r="HP62">
        <v>1</v>
      </c>
      <c r="HQ62">
        <v>0.0461001</v>
      </c>
      <c r="HR62">
        <v>1.12302</v>
      </c>
      <c r="HS62">
        <v>20.2918</v>
      </c>
      <c r="HT62">
        <v>5.22028</v>
      </c>
      <c r="HU62">
        <v>11.9782</v>
      </c>
      <c r="HV62">
        <v>4.9657</v>
      </c>
      <c r="HW62">
        <v>3.27598</v>
      </c>
      <c r="HX62">
        <v>9999</v>
      </c>
      <c r="HY62">
        <v>9999</v>
      </c>
      <c r="HZ62">
        <v>9999</v>
      </c>
      <c r="IA62">
        <v>999.9</v>
      </c>
      <c r="IB62">
        <v>1.86393</v>
      </c>
      <c r="IC62">
        <v>1.8601</v>
      </c>
      <c r="ID62">
        <v>1.8584</v>
      </c>
      <c r="IE62">
        <v>1.85974</v>
      </c>
      <c r="IF62">
        <v>1.85989</v>
      </c>
      <c r="IG62">
        <v>1.85838</v>
      </c>
      <c r="IH62">
        <v>1.85745</v>
      </c>
      <c r="II62">
        <v>1.85242</v>
      </c>
      <c r="IJ62">
        <v>0</v>
      </c>
      <c r="IK62">
        <v>0</v>
      </c>
      <c r="IL62">
        <v>0</v>
      </c>
      <c r="IM62">
        <v>0</v>
      </c>
      <c r="IN62" t="s">
        <v>441</v>
      </c>
      <c r="IO62" t="s">
        <v>442</v>
      </c>
      <c r="IP62" t="s">
        <v>443</v>
      </c>
      <c r="IQ62" t="s">
        <v>443</v>
      </c>
      <c r="IR62" t="s">
        <v>443</v>
      </c>
      <c r="IS62" t="s">
        <v>443</v>
      </c>
      <c r="IT62">
        <v>0</v>
      </c>
      <c r="IU62">
        <v>100</v>
      </c>
      <c r="IV62">
        <v>100</v>
      </c>
      <c r="IW62">
        <v>-0.136</v>
      </c>
      <c r="IX62">
        <v>0.067</v>
      </c>
      <c r="IY62">
        <v>-0.2724674877366297</v>
      </c>
      <c r="IZ62">
        <v>0.0001583678016168383</v>
      </c>
      <c r="JA62">
        <v>1.526473431467286E-06</v>
      </c>
      <c r="JB62">
        <v>-4.446382740029455E-10</v>
      </c>
      <c r="JC62">
        <v>-0.04859278831036729</v>
      </c>
      <c r="JD62">
        <v>-0.009941991807247691</v>
      </c>
      <c r="JE62">
        <v>0.001256427533001032</v>
      </c>
      <c r="JF62">
        <v>-1.689728105039484E-05</v>
      </c>
      <c r="JG62">
        <v>2</v>
      </c>
      <c r="JH62">
        <v>1984</v>
      </c>
      <c r="JI62">
        <v>0</v>
      </c>
      <c r="JJ62">
        <v>25</v>
      </c>
      <c r="JK62">
        <v>1.3</v>
      </c>
      <c r="JL62">
        <v>1.3</v>
      </c>
      <c r="JM62">
        <v>0.395508</v>
      </c>
      <c r="JN62">
        <v>2.64771</v>
      </c>
      <c r="JO62">
        <v>1.49658</v>
      </c>
      <c r="JP62">
        <v>2.34741</v>
      </c>
      <c r="JQ62">
        <v>1.54907</v>
      </c>
      <c r="JR62">
        <v>2.43652</v>
      </c>
      <c r="JS62">
        <v>36.8604</v>
      </c>
      <c r="JT62">
        <v>24.14</v>
      </c>
      <c r="JU62">
        <v>18</v>
      </c>
      <c r="JV62">
        <v>475.414</v>
      </c>
      <c r="JW62">
        <v>474.76</v>
      </c>
      <c r="JX62">
        <v>23.1081</v>
      </c>
      <c r="JY62">
        <v>27.7276</v>
      </c>
      <c r="JZ62">
        <v>30.0003</v>
      </c>
      <c r="KA62">
        <v>27.9021</v>
      </c>
      <c r="KB62">
        <v>27.8844</v>
      </c>
      <c r="KC62">
        <v>8.003489999999999</v>
      </c>
      <c r="KD62">
        <v>16.8042</v>
      </c>
      <c r="KE62">
        <v>21.6162</v>
      </c>
      <c r="KF62">
        <v>23.1161</v>
      </c>
      <c r="KG62">
        <v>100</v>
      </c>
      <c r="KH62">
        <v>17.3159</v>
      </c>
      <c r="KI62">
        <v>102.25</v>
      </c>
      <c r="KJ62">
        <v>91.63930000000001</v>
      </c>
    </row>
    <row r="63" spans="1:296">
      <c r="A63">
        <v>45</v>
      </c>
      <c r="B63">
        <v>1765306244.1</v>
      </c>
      <c r="C63">
        <v>8811.099999904633</v>
      </c>
      <c r="D63" t="s">
        <v>578</v>
      </c>
      <c r="E63" t="s">
        <v>579</v>
      </c>
      <c r="F63">
        <v>5</v>
      </c>
      <c r="G63" t="s">
        <v>567</v>
      </c>
      <c r="H63">
        <v>1765306236.349999</v>
      </c>
      <c r="I63">
        <f>(J63)/1000</f>
        <v>0</v>
      </c>
      <c r="J63">
        <f>IF(DO63, AM63, AG63)</f>
        <v>0</v>
      </c>
      <c r="K63">
        <f>IF(DO63, AH63, AF63)</f>
        <v>0</v>
      </c>
      <c r="L63">
        <f>DQ63 - IF(AT63&gt;1, K63*DK63*100.0/(AV63), 0)</f>
        <v>0</v>
      </c>
      <c r="M63">
        <f>((S63-I63/2)*L63-K63)/(S63+I63/2)</f>
        <v>0</v>
      </c>
      <c r="N63">
        <f>M63*(DX63+DY63)/1000.0</f>
        <v>0</v>
      </c>
      <c r="O63">
        <f>(DQ63 - IF(AT63&gt;1, K63*DK63*100.0/(AV63), 0))*(DX63+DY63)/1000.0</f>
        <v>0</v>
      </c>
      <c r="P63">
        <f>2.0/((1/R63-1/Q63)+SIGN(R63)*SQRT((1/R63-1/Q63)*(1/R63-1/Q63) + 4*DL63/((DL63+1)*(DL63+1))*(2*1/R63*1/Q63-1/Q63*1/Q63)))</f>
        <v>0</v>
      </c>
      <c r="Q63">
        <f>IF(LEFT(DM63,1)&lt;&gt;"0",IF(LEFT(DM63,1)="1",3.0,DN63),$D$5+$E$5*(EE63*DX63/($K$5*1000))+$F$5*(EE63*DX63/($K$5*1000))*MAX(MIN(DK63,$J$5),$I$5)*MAX(MIN(DK63,$J$5),$I$5)+$G$5*MAX(MIN(DK63,$J$5),$I$5)*(EE63*DX63/($K$5*1000))+$H$5*(EE63*DX63/($K$5*1000))*(EE63*DX63/($K$5*1000)))</f>
        <v>0</v>
      </c>
      <c r="R63">
        <f>I63*(1000-(1000*0.61365*exp(17.502*V63/(240.97+V63))/(DX63+DY63)+DS63)/2)/(1000*0.61365*exp(17.502*V63/(240.97+V63))/(DX63+DY63)-DS63)</f>
        <v>0</v>
      </c>
      <c r="S63">
        <f>1/((DL63+1)/(P63/1.6)+1/(Q63/1.37)) + DL63/((DL63+1)/(P63/1.6) + DL63/(Q63/1.37))</f>
        <v>0</v>
      </c>
      <c r="T63">
        <f>(DG63*DJ63)</f>
        <v>0</v>
      </c>
      <c r="U63">
        <f>(DZ63+(T63+2*0.95*5.67E-8*(((DZ63+$B$9)+273)^4-(DZ63+273)^4)-44100*I63)/(1.84*29.3*Q63+8*0.95*5.67E-8*(DZ63+273)^3))</f>
        <v>0</v>
      </c>
      <c r="V63">
        <f>($C$9*EA63+$D$9*EB63+$E$9*U63)</f>
        <v>0</v>
      </c>
      <c r="W63">
        <f>0.61365*exp(17.502*V63/(240.97+V63))</f>
        <v>0</v>
      </c>
      <c r="X63">
        <f>(Y63/Z63*100)</f>
        <v>0</v>
      </c>
      <c r="Y63">
        <f>DS63*(DX63+DY63)/1000</f>
        <v>0</v>
      </c>
      <c r="Z63">
        <f>0.61365*exp(17.502*DZ63/(240.97+DZ63))</f>
        <v>0</v>
      </c>
      <c r="AA63">
        <f>(W63-DS63*(DX63+DY63)/1000)</f>
        <v>0</v>
      </c>
      <c r="AB63">
        <f>(-I63*44100)</f>
        <v>0</v>
      </c>
      <c r="AC63">
        <f>2*29.3*Q63*0.92*(DZ63-V63)</f>
        <v>0</v>
      </c>
      <c r="AD63">
        <f>2*0.95*5.67E-8*(((DZ63+$B$9)+273)^4-(V63+273)^4)</f>
        <v>0</v>
      </c>
      <c r="AE63">
        <f>T63+AD63+AB63+AC63</f>
        <v>0</v>
      </c>
      <c r="AF63">
        <f>DW63*AT63*(DR63-DQ63*(1000-AT63*DT63)/(1000-AT63*DS63))/(100*DK63)</f>
        <v>0</v>
      </c>
      <c r="AG63">
        <f>1000*DW63*AT63*(DS63-DT63)/(100*DK63*(1000-AT63*DS63))</f>
        <v>0</v>
      </c>
      <c r="AH63">
        <f>(AI63 - AJ63 - DX63*1E3/(8.314*(DZ63+273.15)) * AL63/DW63 * AK63) * DW63/(100*DK63) * (1000 - DT63)/1000</f>
        <v>0</v>
      </c>
      <c r="AI63">
        <v>50.88032909090907</v>
      </c>
      <c r="AJ63">
        <v>50.98429454545455</v>
      </c>
      <c r="AK63">
        <v>-0.002896034307802682</v>
      </c>
      <c r="AL63">
        <v>64.42458856902729</v>
      </c>
      <c r="AM63">
        <f>(AO63 - AN63 + DX63*1E3/(8.314*(DZ63+273.15)) * AQ63/DW63 * AP63) * DW63/(100*DK63) * 1000/(1000 - AO63)</f>
        <v>0</v>
      </c>
      <c r="AN63">
        <v>17.27420181818181</v>
      </c>
      <c r="AO63">
        <v>17.36180727272727</v>
      </c>
      <c r="AP63">
        <v>-1.91501480987046E-06</v>
      </c>
      <c r="AQ63">
        <v>102.356035477864</v>
      </c>
      <c r="AR63">
        <v>2</v>
      </c>
      <c r="AS63">
        <v>0</v>
      </c>
      <c r="AT63">
        <f>IF(AR63*$H$15&gt;=AV63,1.0,(AV63/(AV63-AR63*$H$15)))</f>
        <v>0</v>
      </c>
      <c r="AU63">
        <f>(AT63-1)*100</f>
        <v>0</v>
      </c>
      <c r="AV63">
        <f>MAX(0,($B$15+$C$15*EE63)/(1+$D$15*EE63)*DX63/(DZ63+273)*$E$15)</f>
        <v>0</v>
      </c>
      <c r="AW63" t="s">
        <v>437</v>
      </c>
      <c r="AX63" t="s">
        <v>437</v>
      </c>
      <c r="AY63">
        <v>0</v>
      </c>
      <c r="AZ63">
        <v>0</v>
      </c>
      <c r="BA63">
        <f>1-AY63/AZ63</f>
        <v>0</v>
      </c>
      <c r="BB63">
        <v>0</v>
      </c>
      <c r="BC63" t="s">
        <v>437</v>
      </c>
      <c r="BD63" t="s">
        <v>437</v>
      </c>
      <c r="BE63">
        <v>0</v>
      </c>
      <c r="BF63">
        <v>0</v>
      </c>
      <c r="BG63">
        <f>1-BE63/BF63</f>
        <v>0</v>
      </c>
      <c r="BH63">
        <v>0.5</v>
      </c>
      <c r="BI63">
        <f>DH63</f>
        <v>0</v>
      </c>
      <c r="BJ63">
        <f>K63</f>
        <v>0</v>
      </c>
      <c r="BK63">
        <f>BG63*BH63*BI63</f>
        <v>0</v>
      </c>
      <c r="BL63">
        <f>(BJ63-BB63)/BI63</f>
        <v>0</v>
      </c>
      <c r="BM63">
        <f>(AZ63-BF63)/BF63</f>
        <v>0</v>
      </c>
      <c r="BN63">
        <f>AY63/(BA63+AY63/BF63)</f>
        <v>0</v>
      </c>
      <c r="BO63" t="s">
        <v>437</v>
      </c>
      <c r="BP63">
        <v>0</v>
      </c>
      <c r="BQ63">
        <f>IF(BP63&lt;&gt;0, BP63, BN63)</f>
        <v>0</v>
      </c>
      <c r="BR63">
        <f>1-BQ63/BF63</f>
        <v>0</v>
      </c>
      <c r="BS63">
        <f>(BF63-BE63)/(BF63-BQ63)</f>
        <v>0</v>
      </c>
      <c r="BT63">
        <f>(AZ63-BF63)/(AZ63-BQ63)</f>
        <v>0</v>
      </c>
      <c r="BU63">
        <f>(BF63-BE63)/(BF63-AY63)</f>
        <v>0</v>
      </c>
      <c r="BV63">
        <f>(AZ63-BF63)/(AZ63-AY63)</f>
        <v>0</v>
      </c>
      <c r="BW63">
        <f>(BS63*BQ63/BE63)</f>
        <v>0</v>
      </c>
      <c r="BX63">
        <f>(1-BW63)</f>
        <v>0</v>
      </c>
      <c r="DG63">
        <f>$B$13*EF63+$C$13*EG63+$F$13*ER63*(1-EU63)</f>
        <v>0</v>
      </c>
      <c r="DH63">
        <f>DG63*DI63</f>
        <v>0</v>
      </c>
      <c r="DI63">
        <f>($B$13*$D$11+$C$13*$D$11+$F$13*((FE63+EW63)/MAX(FE63+EW63+FF63, 0.1)*$I$11+FF63/MAX(FE63+EW63+FF63, 0.1)*$J$11))/($B$13+$C$13+$F$13)</f>
        <v>0</v>
      </c>
      <c r="DJ63">
        <f>($B$13*$K$11+$C$13*$K$11+$F$13*((FE63+EW63)/MAX(FE63+EW63+FF63, 0.1)*$P$11+FF63/MAX(FE63+EW63+FF63, 0.1)*$Q$11))/($B$13+$C$13+$F$13)</f>
        <v>0</v>
      </c>
      <c r="DK63">
        <v>5.66</v>
      </c>
      <c r="DL63">
        <v>0.5</v>
      </c>
      <c r="DM63" t="s">
        <v>438</v>
      </c>
      <c r="DN63">
        <v>2</v>
      </c>
      <c r="DO63" t="b">
        <v>1</v>
      </c>
      <c r="DP63">
        <v>1765306236.349999</v>
      </c>
      <c r="DQ63">
        <v>50.19826333333334</v>
      </c>
      <c r="DR63">
        <v>49.99177</v>
      </c>
      <c r="DS63">
        <v>17.36519</v>
      </c>
      <c r="DT63">
        <v>17.27905</v>
      </c>
      <c r="DU63">
        <v>50.29326333333334</v>
      </c>
      <c r="DV63">
        <v>17.29619</v>
      </c>
      <c r="DW63">
        <v>500.0151</v>
      </c>
      <c r="DX63">
        <v>89.95499666666666</v>
      </c>
      <c r="DY63">
        <v>0.1000053666666667</v>
      </c>
      <c r="DZ63">
        <v>24.74796666666667</v>
      </c>
      <c r="EA63">
        <v>25.00215</v>
      </c>
      <c r="EB63">
        <v>999.9000000000002</v>
      </c>
      <c r="EC63">
        <v>0</v>
      </c>
      <c r="ED63">
        <v>0</v>
      </c>
      <c r="EE63">
        <v>10001.73566666667</v>
      </c>
      <c r="EF63">
        <v>0</v>
      </c>
      <c r="EG63">
        <v>9.228540000000002</v>
      </c>
      <c r="EH63">
        <v>0.146359</v>
      </c>
      <c r="EI63">
        <v>51.02417333333333</v>
      </c>
      <c r="EJ63">
        <v>50.87077000000001</v>
      </c>
      <c r="EK63">
        <v>0.08619658333333334</v>
      </c>
      <c r="EL63">
        <v>49.99177</v>
      </c>
      <c r="EM63">
        <v>17.27905</v>
      </c>
      <c r="EN63">
        <v>1.562092</v>
      </c>
      <c r="EO63">
        <v>1.554337333333333</v>
      </c>
      <c r="EP63">
        <v>13.58984</v>
      </c>
      <c r="EQ63">
        <v>13.5134</v>
      </c>
      <c r="ER63">
        <v>799.9949333333334</v>
      </c>
      <c r="ES63">
        <v>0.9500047333333332</v>
      </c>
      <c r="ET63">
        <v>0.04999556333333333</v>
      </c>
      <c r="EU63">
        <v>0</v>
      </c>
      <c r="EV63">
        <v>839.9257999999999</v>
      </c>
      <c r="EW63">
        <v>5.00078</v>
      </c>
      <c r="EX63">
        <v>6343.859333333335</v>
      </c>
      <c r="EY63">
        <v>6463.386</v>
      </c>
      <c r="EZ63">
        <v>36.8706</v>
      </c>
      <c r="FA63">
        <v>40.70813333333332</v>
      </c>
      <c r="FB63">
        <v>39.28726666666667</v>
      </c>
      <c r="FC63">
        <v>40.86226666666666</v>
      </c>
      <c r="FD63">
        <v>39.15393333333333</v>
      </c>
      <c r="FE63">
        <v>755.2483333333333</v>
      </c>
      <c r="FF63">
        <v>39.75</v>
      </c>
      <c r="FG63">
        <v>0</v>
      </c>
      <c r="FH63">
        <v>1765306243.7</v>
      </c>
      <c r="FI63">
        <v>0</v>
      </c>
      <c r="FJ63">
        <v>839.9226538461539</v>
      </c>
      <c r="FK63">
        <v>0.3940170990974911</v>
      </c>
      <c r="FL63">
        <v>3.694358934085157</v>
      </c>
      <c r="FM63">
        <v>6343.876923076923</v>
      </c>
      <c r="FN63">
        <v>15</v>
      </c>
      <c r="FO63">
        <v>1765306264.6</v>
      </c>
      <c r="FP63" t="s">
        <v>580</v>
      </c>
      <c r="FQ63">
        <v>1765306264.6</v>
      </c>
      <c r="FR63">
        <v>1765306263.6</v>
      </c>
      <c r="FS63">
        <v>46</v>
      </c>
      <c r="FT63">
        <v>0.06</v>
      </c>
      <c r="FU63">
        <v>0.002</v>
      </c>
      <c r="FV63">
        <v>-0.095</v>
      </c>
      <c r="FW63">
        <v>0.06900000000000001</v>
      </c>
      <c r="FX63">
        <v>50</v>
      </c>
      <c r="FY63">
        <v>17</v>
      </c>
      <c r="FZ63">
        <v>0.52</v>
      </c>
      <c r="GA63">
        <v>0.22</v>
      </c>
      <c r="GB63">
        <v>0.15218155</v>
      </c>
      <c r="GC63">
        <v>-0.1180415887429647</v>
      </c>
      <c r="GD63">
        <v>0.03059885571533681</v>
      </c>
      <c r="GE63">
        <v>1</v>
      </c>
      <c r="GF63">
        <v>839.9779705882353</v>
      </c>
      <c r="GG63">
        <v>-0.9106951879726851</v>
      </c>
      <c r="GH63">
        <v>0.2513408144677236</v>
      </c>
      <c r="GI63">
        <v>1</v>
      </c>
      <c r="GJ63">
        <v>0.085777665</v>
      </c>
      <c r="GK63">
        <v>0.009469981238273851</v>
      </c>
      <c r="GL63">
        <v>0.001103438833726183</v>
      </c>
      <c r="GM63">
        <v>1</v>
      </c>
      <c r="GN63">
        <v>3</v>
      </c>
      <c r="GO63">
        <v>3</v>
      </c>
      <c r="GP63" t="s">
        <v>440</v>
      </c>
      <c r="GQ63">
        <v>3.10834</v>
      </c>
      <c r="GR63">
        <v>2.7917</v>
      </c>
      <c r="GS63">
        <v>0.0131594</v>
      </c>
      <c r="GT63">
        <v>0.0130718</v>
      </c>
      <c r="GU63">
        <v>0.08584</v>
      </c>
      <c r="GV63">
        <v>0.08629779999999999</v>
      </c>
      <c r="GW63">
        <v>25884</v>
      </c>
      <c r="GX63">
        <v>23504.1</v>
      </c>
      <c r="GY63">
        <v>26787.6</v>
      </c>
      <c r="GZ63">
        <v>24023</v>
      </c>
      <c r="HA63">
        <v>39128.9</v>
      </c>
      <c r="HB63">
        <v>32389.7</v>
      </c>
      <c r="HC63">
        <v>46754.2</v>
      </c>
      <c r="HD63">
        <v>37991.7</v>
      </c>
      <c r="HE63">
        <v>1.8803</v>
      </c>
      <c r="HF63">
        <v>1.83442</v>
      </c>
      <c r="HG63">
        <v>0.0664666</v>
      </c>
      <c r="HH63">
        <v>0</v>
      </c>
      <c r="HI63">
        <v>23.9125</v>
      </c>
      <c r="HJ63">
        <v>999.9</v>
      </c>
      <c r="HK63">
        <v>36.6</v>
      </c>
      <c r="HL63">
        <v>33.1</v>
      </c>
      <c r="HM63">
        <v>20.6718</v>
      </c>
      <c r="HN63">
        <v>61.3838</v>
      </c>
      <c r="HO63">
        <v>28.129</v>
      </c>
      <c r="HP63">
        <v>1</v>
      </c>
      <c r="HQ63">
        <v>0.0496545</v>
      </c>
      <c r="HR63">
        <v>1.10246</v>
      </c>
      <c r="HS63">
        <v>20.2921</v>
      </c>
      <c r="HT63">
        <v>5.21894</v>
      </c>
      <c r="HU63">
        <v>11.9788</v>
      </c>
      <c r="HV63">
        <v>4.9653</v>
      </c>
      <c r="HW63">
        <v>3.2759</v>
      </c>
      <c r="HX63">
        <v>9999</v>
      </c>
      <c r="HY63">
        <v>9999</v>
      </c>
      <c r="HZ63">
        <v>9999</v>
      </c>
      <c r="IA63">
        <v>999.9</v>
      </c>
      <c r="IB63">
        <v>1.86392</v>
      </c>
      <c r="IC63">
        <v>1.86008</v>
      </c>
      <c r="ID63">
        <v>1.85841</v>
      </c>
      <c r="IE63">
        <v>1.85973</v>
      </c>
      <c r="IF63">
        <v>1.85989</v>
      </c>
      <c r="IG63">
        <v>1.85838</v>
      </c>
      <c r="IH63">
        <v>1.85745</v>
      </c>
      <c r="II63">
        <v>1.85242</v>
      </c>
      <c r="IJ63">
        <v>0</v>
      </c>
      <c r="IK63">
        <v>0</v>
      </c>
      <c r="IL63">
        <v>0</v>
      </c>
      <c r="IM63">
        <v>0</v>
      </c>
      <c r="IN63" t="s">
        <v>441</v>
      </c>
      <c r="IO63" t="s">
        <v>442</v>
      </c>
      <c r="IP63" t="s">
        <v>443</v>
      </c>
      <c r="IQ63" t="s">
        <v>443</v>
      </c>
      <c r="IR63" t="s">
        <v>443</v>
      </c>
      <c r="IS63" t="s">
        <v>443</v>
      </c>
      <c r="IT63">
        <v>0</v>
      </c>
      <c r="IU63">
        <v>100</v>
      </c>
      <c r="IV63">
        <v>100</v>
      </c>
      <c r="IW63">
        <v>-0.095</v>
      </c>
      <c r="IX63">
        <v>0.06900000000000001</v>
      </c>
      <c r="IY63">
        <v>-0.1669049744004079</v>
      </c>
      <c r="IZ63">
        <v>0.0001583678016168383</v>
      </c>
      <c r="JA63">
        <v>1.526473431467286E-06</v>
      </c>
      <c r="JB63">
        <v>-4.446382740029455E-10</v>
      </c>
      <c r="JC63">
        <v>-0.0474267212309404</v>
      </c>
      <c r="JD63">
        <v>-0.009941991807247691</v>
      </c>
      <c r="JE63">
        <v>0.001256427533001032</v>
      </c>
      <c r="JF63">
        <v>-1.689728105039484E-05</v>
      </c>
      <c r="JG63">
        <v>2</v>
      </c>
      <c r="JH63">
        <v>1984</v>
      </c>
      <c r="JI63">
        <v>0</v>
      </c>
      <c r="JJ63">
        <v>25</v>
      </c>
      <c r="JK63">
        <v>1.4</v>
      </c>
      <c r="JL63">
        <v>1.4</v>
      </c>
      <c r="JM63">
        <v>0.272217</v>
      </c>
      <c r="JN63">
        <v>2.66602</v>
      </c>
      <c r="JO63">
        <v>1.49658</v>
      </c>
      <c r="JP63">
        <v>2.34741</v>
      </c>
      <c r="JQ63">
        <v>1.54907</v>
      </c>
      <c r="JR63">
        <v>2.47803</v>
      </c>
      <c r="JS63">
        <v>36.7892</v>
      </c>
      <c r="JT63">
        <v>24.1488</v>
      </c>
      <c r="JU63">
        <v>18</v>
      </c>
      <c r="JV63">
        <v>476.04</v>
      </c>
      <c r="JW63">
        <v>474.779</v>
      </c>
      <c r="JX63">
        <v>23.1199</v>
      </c>
      <c r="JY63">
        <v>27.7757</v>
      </c>
      <c r="JZ63">
        <v>30.0002</v>
      </c>
      <c r="KA63">
        <v>27.9623</v>
      </c>
      <c r="KB63">
        <v>27.947</v>
      </c>
      <c r="KC63">
        <v>5.5579</v>
      </c>
      <c r="KD63">
        <v>16.527</v>
      </c>
      <c r="KE63">
        <v>21.6162</v>
      </c>
      <c r="KF63">
        <v>23.1179</v>
      </c>
      <c r="KG63">
        <v>50</v>
      </c>
      <c r="KH63">
        <v>17.322</v>
      </c>
      <c r="KI63">
        <v>102.243</v>
      </c>
      <c r="KJ63">
        <v>91.6361</v>
      </c>
    </row>
    <row r="64" spans="1:296">
      <c r="A64">
        <v>46</v>
      </c>
      <c r="B64">
        <v>1765306331.1</v>
      </c>
      <c r="C64">
        <v>8898.099999904633</v>
      </c>
      <c r="D64" t="s">
        <v>581</v>
      </c>
      <c r="E64" t="s">
        <v>582</v>
      </c>
      <c r="F64">
        <v>5</v>
      </c>
      <c r="G64" t="s">
        <v>567</v>
      </c>
      <c r="H64">
        <v>1765306323.349999</v>
      </c>
      <c r="I64">
        <f>(J64)/1000</f>
        <v>0</v>
      </c>
      <c r="J64">
        <f>IF(DO64, AM64, AG64)</f>
        <v>0</v>
      </c>
      <c r="K64">
        <f>IF(DO64, AH64, AF64)</f>
        <v>0</v>
      </c>
      <c r="L64">
        <f>DQ64 - IF(AT64&gt;1, K64*DK64*100.0/(AV64), 0)</f>
        <v>0</v>
      </c>
      <c r="M64">
        <f>((S64-I64/2)*L64-K64)/(S64+I64/2)</f>
        <v>0</v>
      </c>
      <c r="N64">
        <f>M64*(DX64+DY64)/1000.0</f>
        <v>0</v>
      </c>
      <c r="O64">
        <f>(DQ64 - IF(AT64&gt;1, K64*DK64*100.0/(AV64), 0))*(DX64+DY64)/1000.0</f>
        <v>0</v>
      </c>
      <c r="P64">
        <f>2.0/((1/R64-1/Q64)+SIGN(R64)*SQRT((1/R64-1/Q64)*(1/R64-1/Q64) + 4*DL64/((DL64+1)*(DL64+1))*(2*1/R64*1/Q64-1/Q64*1/Q64)))</f>
        <v>0</v>
      </c>
      <c r="Q64">
        <f>IF(LEFT(DM64,1)&lt;&gt;"0",IF(LEFT(DM64,1)="1",3.0,DN64),$D$5+$E$5*(EE64*DX64/($K$5*1000))+$F$5*(EE64*DX64/($K$5*1000))*MAX(MIN(DK64,$J$5),$I$5)*MAX(MIN(DK64,$J$5),$I$5)+$G$5*MAX(MIN(DK64,$J$5),$I$5)*(EE64*DX64/($K$5*1000))+$H$5*(EE64*DX64/($K$5*1000))*(EE64*DX64/($K$5*1000)))</f>
        <v>0</v>
      </c>
      <c r="R64">
        <f>I64*(1000-(1000*0.61365*exp(17.502*V64/(240.97+V64))/(DX64+DY64)+DS64)/2)/(1000*0.61365*exp(17.502*V64/(240.97+V64))/(DX64+DY64)-DS64)</f>
        <v>0</v>
      </c>
      <c r="S64">
        <f>1/((DL64+1)/(P64/1.6)+1/(Q64/1.37)) + DL64/((DL64+1)/(P64/1.6) + DL64/(Q64/1.37))</f>
        <v>0</v>
      </c>
      <c r="T64">
        <f>(DG64*DJ64)</f>
        <v>0</v>
      </c>
      <c r="U64">
        <f>(DZ64+(T64+2*0.95*5.67E-8*(((DZ64+$B$9)+273)^4-(DZ64+273)^4)-44100*I64)/(1.84*29.3*Q64+8*0.95*5.67E-8*(DZ64+273)^3))</f>
        <v>0</v>
      </c>
      <c r="V64">
        <f>($C$9*EA64+$D$9*EB64+$E$9*U64)</f>
        <v>0</v>
      </c>
      <c r="W64">
        <f>0.61365*exp(17.502*V64/(240.97+V64))</f>
        <v>0</v>
      </c>
      <c r="X64">
        <f>(Y64/Z64*100)</f>
        <v>0</v>
      </c>
      <c r="Y64">
        <f>DS64*(DX64+DY64)/1000</f>
        <v>0</v>
      </c>
      <c r="Z64">
        <f>0.61365*exp(17.502*DZ64/(240.97+DZ64))</f>
        <v>0</v>
      </c>
      <c r="AA64">
        <f>(W64-DS64*(DX64+DY64)/1000)</f>
        <v>0</v>
      </c>
      <c r="AB64">
        <f>(-I64*44100)</f>
        <v>0</v>
      </c>
      <c r="AC64">
        <f>2*29.3*Q64*0.92*(DZ64-V64)</f>
        <v>0</v>
      </c>
      <c r="AD64">
        <f>2*0.95*5.67E-8*(((DZ64+$B$9)+273)^4-(V64+273)^4)</f>
        <v>0</v>
      </c>
      <c r="AE64">
        <f>T64+AD64+AB64+AC64</f>
        <v>0</v>
      </c>
      <c r="AF64">
        <f>DW64*AT64*(DR64-DQ64*(1000-AT64*DT64)/(1000-AT64*DS64))/(100*DK64)</f>
        <v>0</v>
      </c>
      <c r="AG64">
        <f>1000*DW64*AT64*(DS64-DT64)/(100*DK64*(1000-AT64*DS64))</f>
        <v>0</v>
      </c>
      <c r="AH64">
        <f>(AI64 - AJ64 - DX64*1E3/(8.314*(DZ64+273.15)) * AL64/DW64 * AK64) * DW64/(100*DK64) * (1000 - DT64)/1000</f>
        <v>0</v>
      </c>
      <c r="AI64">
        <v>0.1980272767759982</v>
      </c>
      <c r="AJ64">
        <v>0.4846580787878785</v>
      </c>
      <c r="AK64">
        <v>-0.0004879246504575848</v>
      </c>
      <c r="AL64">
        <v>65.83379616684105</v>
      </c>
      <c r="AM64">
        <f>(AO64 - AN64 + DX64*1E3/(8.314*(DZ64+273.15)) * AQ64/DW64 * AP64) * DW64/(100*DK64) * 1000/(1000 - AO64)</f>
        <v>0</v>
      </c>
      <c r="AN64">
        <v>17.3153382855241</v>
      </c>
      <c r="AO64">
        <v>17.39527575757576</v>
      </c>
      <c r="AP64">
        <v>6.36745543340062E-06</v>
      </c>
      <c r="AQ64">
        <v>108.2683568941587</v>
      </c>
      <c r="AR64">
        <v>2</v>
      </c>
      <c r="AS64">
        <v>0</v>
      </c>
      <c r="AT64">
        <f>IF(AR64*$H$15&gt;=AV64,1.0,(AV64/(AV64-AR64*$H$15)))</f>
        <v>0</v>
      </c>
      <c r="AU64">
        <f>(AT64-1)*100</f>
        <v>0</v>
      </c>
      <c r="AV64">
        <f>MAX(0,($B$15+$C$15*EE64)/(1+$D$15*EE64)*DX64/(DZ64+273)*$E$15)</f>
        <v>0</v>
      </c>
      <c r="AW64" t="s">
        <v>437</v>
      </c>
      <c r="AX64" t="s">
        <v>437</v>
      </c>
      <c r="AY64">
        <v>0</v>
      </c>
      <c r="AZ64">
        <v>0</v>
      </c>
      <c r="BA64">
        <f>1-AY64/AZ64</f>
        <v>0</v>
      </c>
      <c r="BB64">
        <v>0</v>
      </c>
      <c r="BC64" t="s">
        <v>437</v>
      </c>
      <c r="BD64" t="s">
        <v>437</v>
      </c>
      <c r="BE64">
        <v>0</v>
      </c>
      <c r="BF64">
        <v>0</v>
      </c>
      <c r="BG64">
        <f>1-BE64/BF64</f>
        <v>0</v>
      </c>
      <c r="BH64">
        <v>0.5</v>
      </c>
      <c r="BI64">
        <f>DH64</f>
        <v>0</v>
      </c>
      <c r="BJ64">
        <f>K64</f>
        <v>0</v>
      </c>
      <c r="BK64">
        <f>BG64*BH64*BI64</f>
        <v>0</v>
      </c>
      <c r="BL64">
        <f>(BJ64-BB64)/BI64</f>
        <v>0</v>
      </c>
      <c r="BM64">
        <f>(AZ64-BF64)/BF64</f>
        <v>0</v>
      </c>
      <c r="BN64">
        <f>AY64/(BA64+AY64/BF64)</f>
        <v>0</v>
      </c>
      <c r="BO64" t="s">
        <v>437</v>
      </c>
      <c r="BP64">
        <v>0</v>
      </c>
      <c r="BQ64">
        <f>IF(BP64&lt;&gt;0, BP64, BN64)</f>
        <v>0</v>
      </c>
      <c r="BR64">
        <f>1-BQ64/BF64</f>
        <v>0</v>
      </c>
      <c r="BS64">
        <f>(BF64-BE64)/(BF64-BQ64)</f>
        <v>0</v>
      </c>
      <c r="BT64">
        <f>(AZ64-BF64)/(AZ64-BQ64)</f>
        <v>0</v>
      </c>
      <c r="BU64">
        <f>(BF64-BE64)/(BF64-AY64)</f>
        <v>0</v>
      </c>
      <c r="BV64">
        <f>(AZ64-BF64)/(AZ64-AY64)</f>
        <v>0</v>
      </c>
      <c r="BW64">
        <f>(BS64*BQ64/BE64)</f>
        <v>0</v>
      </c>
      <c r="BX64">
        <f>(1-BW64)</f>
        <v>0</v>
      </c>
      <c r="DG64">
        <f>$B$13*EF64+$C$13*EG64+$F$13*ER64*(1-EU64)</f>
        <v>0</v>
      </c>
      <c r="DH64">
        <f>DG64*DI64</f>
        <v>0</v>
      </c>
      <c r="DI64">
        <f>($B$13*$D$11+$C$13*$D$11+$F$13*((FE64+EW64)/MAX(FE64+EW64+FF64, 0.1)*$I$11+FF64/MAX(FE64+EW64+FF64, 0.1)*$J$11))/($B$13+$C$13+$F$13)</f>
        <v>0</v>
      </c>
      <c r="DJ64">
        <f>($B$13*$K$11+$C$13*$K$11+$F$13*((FE64+EW64)/MAX(FE64+EW64+FF64, 0.1)*$P$11+FF64/MAX(FE64+EW64+FF64, 0.1)*$Q$11))/($B$13+$C$13+$F$13)</f>
        <v>0</v>
      </c>
      <c r="DK64">
        <v>5.66</v>
      </c>
      <c r="DL64">
        <v>0.5</v>
      </c>
      <c r="DM64" t="s">
        <v>438</v>
      </c>
      <c r="DN64">
        <v>2</v>
      </c>
      <c r="DO64" t="b">
        <v>1</v>
      </c>
      <c r="DP64">
        <v>1765306323.349999</v>
      </c>
      <c r="DQ64">
        <v>0.5212599999999999</v>
      </c>
      <c r="DR64">
        <v>0.2183716666666666</v>
      </c>
      <c r="DS64">
        <v>17.39393666666666</v>
      </c>
      <c r="DT64">
        <v>17.31805333333333</v>
      </c>
      <c r="DU64">
        <v>0.6122599999999999</v>
      </c>
      <c r="DV64">
        <v>17.32493666666666</v>
      </c>
      <c r="DW64">
        <v>499.9957</v>
      </c>
      <c r="DX64">
        <v>89.95479333333333</v>
      </c>
      <c r="DY64">
        <v>0.09996257666666666</v>
      </c>
      <c r="DZ64">
        <v>24.77525</v>
      </c>
      <c r="EA64">
        <v>25.00872</v>
      </c>
      <c r="EB64">
        <v>999.9000000000002</v>
      </c>
      <c r="EC64">
        <v>0</v>
      </c>
      <c r="ED64">
        <v>0</v>
      </c>
      <c r="EE64">
        <v>9997.577333333333</v>
      </c>
      <c r="EF64">
        <v>0</v>
      </c>
      <c r="EG64">
        <v>9.192112333333336</v>
      </c>
      <c r="EH64">
        <v>0.2872066</v>
      </c>
      <c r="EI64">
        <v>0.5145293666666667</v>
      </c>
      <c r="EJ64">
        <v>0.2222201666666667</v>
      </c>
      <c r="EK64">
        <v>0.07840423000000001</v>
      </c>
      <c r="EL64">
        <v>0.2183716666666666</v>
      </c>
      <c r="EM64">
        <v>17.31805333333333</v>
      </c>
      <c r="EN64">
        <v>1.564895333333333</v>
      </c>
      <c r="EO64">
        <v>1.557843333333333</v>
      </c>
      <c r="EP64">
        <v>13.61740666666667</v>
      </c>
      <c r="EQ64">
        <v>13.54801666666666</v>
      </c>
      <c r="ER64">
        <v>799.9804</v>
      </c>
      <c r="ES64">
        <v>0.9499855999999999</v>
      </c>
      <c r="ET64">
        <v>0.05001437999999999</v>
      </c>
      <c r="EU64">
        <v>0</v>
      </c>
      <c r="EV64">
        <v>838.9448000000001</v>
      </c>
      <c r="EW64">
        <v>5.00078</v>
      </c>
      <c r="EX64">
        <v>6346.176333333334</v>
      </c>
      <c r="EY64">
        <v>6463.228333333333</v>
      </c>
      <c r="EZ64">
        <v>37.34553333333334</v>
      </c>
      <c r="FA64">
        <v>40.71226666666666</v>
      </c>
      <c r="FB64">
        <v>39.39146666666667</v>
      </c>
      <c r="FC64">
        <v>41.05806666666665</v>
      </c>
      <c r="FD64">
        <v>39.12479999999999</v>
      </c>
      <c r="FE64">
        <v>755.2189999999998</v>
      </c>
      <c r="FF64">
        <v>39.76</v>
      </c>
      <c r="FG64">
        <v>0</v>
      </c>
      <c r="FH64">
        <v>1765306330.7</v>
      </c>
      <c r="FI64">
        <v>0</v>
      </c>
      <c r="FJ64">
        <v>838.93452</v>
      </c>
      <c r="FK64">
        <v>-0.05153846893659759</v>
      </c>
      <c r="FL64">
        <v>-5.574615363272179</v>
      </c>
      <c r="FM64">
        <v>6346.12</v>
      </c>
      <c r="FN64">
        <v>15</v>
      </c>
      <c r="FO64">
        <v>1765306350.1</v>
      </c>
      <c r="FP64" t="s">
        <v>583</v>
      </c>
      <c r="FQ64">
        <v>1765306350.1</v>
      </c>
      <c r="FR64">
        <v>1765306347.1</v>
      </c>
      <c r="FS64">
        <v>47</v>
      </c>
      <c r="FT64">
        <v>0.016</v>
      </c>
      <c r="FU64">
        <v>-0</v>
      </c>
      <c r="FV64">
        <v>-0.091</v>
      </c>
      <c r="FW64">
        <v>0.06900000000000001</v>
      </c>
      <c r="FX64">
        <v>0</v>
      </c>
      <c r="FY64">
        <v>17</v>
      </c>
      <c r="FZ64">
        <v>0.46</v>
      </c>
      <c r="GA64">
        <v>0.11</v>
      </c>
      <c r="GB64">
        <v>0.312149275</v>
      </c>
      <c r="GC64">
        <v>-0.3910529268292691</v>
      </c>
      <c r="GD64">
        <v>0.04451962446831031</v>
      </c>
      <c r="GE64">
        <v>1</v>
      </c>
      <c r="GF64">
        <v>838.9015588235294</v>
      </c>
      <c r="GG64">
        <v>0.0724675372109011</v>
      </c>
      <c r="GH64">
        <v>0.1958164193044154</v>
      </c>
      <c r="GI64">
        <v>1</v>
      </c>
      <c r="GJ64">
        <v>0.0760445525</v>
      </c>
      <c r="GK64">
        <v>0.04362204315196982</v>
      </c>
      <c r="GL64">
        <v>0.004375042665619817</v>
      </c>
      <c r="GM64">
        <v>1</v>
      </c>
      <c r="GN64">
        <v>3</v>
      </c>
      <c r="GO64">
        <v>3</v>
      </c>
      <c r="GP64" t="s">
        <v>440</v>
      </c>
      <c r="GQ64">
        <v>3.1083</v>
      </c>
      <c r="GR64">
        <v>2.79154</v>
      </c>
      <c r="GS64">
        <v>0.000153193</v>
      </c>
      <c r="GT64">
        <v>6.35543E-05</v>
      </c>
      <c r="GU64">
        <v>0.08594259999999999</v>
      </c>
      <c r="GV64">
        <v>0.0864304</v>
      </c>
      <c r="GW64">
        <v>26223.6</v>
      </c>
      <c r="GX64">
        <v>23813.6</v>
      </c>
      <c r="GY64">
        <v>26786.1</v>
      </c>
      <c r="GZ64">
        <v>24022.9</v>
      </c>
      <c r="HA64">
        <v>39120.8</v>
      </c>
      <c r="HB64">
        <v>32383.2</v>
      </c>
      <c r="HC64">
        <v>46751.7</v>
      </c>
      <c r="HD64">
        <v>37991.1</v>
      </c>
      <c r="HE64">
        <v>1.87965</v>
      </c>
      <c r="HF64">
        <v>1.83442</v>
      </c>
      <c r="HG64">
        <v>0.0682324</v>
      </c>
      <c r="HH64">
        <v>0</v>
      </c>
      <c r="HI64">
        <v>23.8873</v>
      </c>
      <c r="HJ64">
        <v>999.9</v>
      </c>
      <c r="HK64">
        <v>36.5</v>
      </c>
      <c r="HL64">
        <v>33.1</v>
      </c>
      <c r="HM64">
        <v>20.6146</v>
      </c>
      <c r="HN64">
        <v>61.2338</v>
      </c>
      <c r="HO64">
        <v>28.113</v>
      </c>
      <c r="HP64">
        <v>1</v>
      </c>
      <c r="HQ64">
        <v>0.0520122</v>
      </c>
      <c r="HR64">
        <v>1.24612</v>
      </c>
      <c r="HS64">
        <v>20.2893</v>
      </c>
      <c r="HT64">
        <v>5.22118</v>
      </c>
      <c r="HU64">
        <v>11.9776</v>
      </c>
      <c r="HV64">
        <v>4.96485</v>
      </c>
      <c r="HW64">
        <v>3.2759</v>
      </c>
      <c r="HX64">
        <v>9999</v>
      </c>
      <c r="HY64">
        <v>9999</v>
      </c>
      <c r="HZ64">
        <v>9999</v>
      </c>
      <c r="IA64">
        <v>999.9</v>
      </c>
      <c r="IB64">
        <v>1.86395</v>
      </c>
      <c r="IC64">
        <v>1.86011</v>
      </c>
      <c r="ID64">
        <v>1.85841</v>
      </c>
      <c r="IE64">
        <v>1.85975</v>
      </c>
      <c r="IF64">
        <v>1.8599</v>
      </c>
      <c r="IG64">
        <v>1.85839</v>
      </c>
      <c r="IH64">
        <v>1.85747</v>
      </c>
      <c r="II64">
        <v>1.85242</v>
      </c>
      <c r="IJ64">
        <v>0</v>
      </c>
      <c r="IK64">
        <v>0</v>
      </c>
      <c r="IL64">
        <v>0</v>
      </c>
      <c r="IM64">
        <v>0</v>
      </c>
      <c r="IN64" t="s">
        <v>441</v>
      </c>
      <c r="IO64" t="s">
        <v>442</v>
      </c>
      <c r="IP64" t="s">
        <v>443</v>
      </c>
      <c r="IQ64" t="s">
        <v>443</v>
      </c>
      <c r="IR64" t="s">
        <v>443</v>
      </c>
      <c r="IS64" t="s">
        <v>443</v>
      </c>
      <c r="IT64">
        <v>0</v>
      </c>
      <c r="IU64">
        <v>100</v>
      </c>
      <c r="IV64">
        <v>100</v>
      </c>
      <c r="IW64">
        <v>-0.091</v>
      </c>
      <c r="IX64">
        <v>0.06900000000000001</v>
      </c>
      <c r="IY64">
        <v>-0.1067791439148966</v>
      </c>
      <c r="IZ64">
        <v>0.0001583678016168383</v>
      </c>
      <c r="JA64">
        <v>1.526473431467286E-06</v>
      </c>
      <c r="JB64">
        <v>-4.446382740029455E-10</v>
      </c>
      <c r="JC64">
        <v>-0.04547576606101096</v>
      </c>
      <c r="JD64">
        <v>-0.009941991807247691</v>
      </c>
      <c r="JE64">
        <v>0.001256427533001032</v>
      </c>
      <c r="JF64">
        <v>-1.689728105039484E-05</v>
      </c>
      <c r="JG64">
        <v>2</v>
      </c>
      <c r="JH64">
        <v>1984</v>
      </c>
      <c r="JI64">
        <v>0</v>
      </c>
      <c r="JJ64">
        <v>25</v>
      </c>
      <c r="JK64">
        <v>1.1</v>
      </c>
      <c r="JL64">
        <v>1.1</v>
      </c>
      <c r="JM64">
        <v>0.0292969</v>
      </c>
      <c r="JN64">
        <v>4.99634</v>
      </c>
      <c r="JO64">
        <v>1.49658</v>
      </c>
      <c r="JP64">
        <v>2.34619</v>
      </c>
      <c r="JQ64">
        <v>1.54907</v>
      </c>
      <c r="JR64">
        <v>2.46338</v>
      </c>
      <c r="JS64">
        <v>36.718</v>
      </c>
      <c r="JT64">
        <v>24.1313</v>
      </c>
      <c r="JU64">
        <v>18</v>
      </c>
      <c r="JV64">
        <v>475.972</v>
      </c>
      <c r="JW64">
        <v>475.13</v>
      </c>
      <c r="JX64">
        <v>22.9869</v>
      </c>
      <c r="JY64">
        <v>27.8052</v>
      </c>
      <c r="JZ64">
        <v>30.0001</v>
      </c>
      <c r="KA64">
        <v>28.0026</v>
      </c>
      <c r="KB64">
        <v>27.9901</v>
      </c>
      <c r="KC64">
        <v>0</v>
      </c>
      <c r="KD64">
        <v>15.9225</v>
      </c>
      <c r="KE64">
        <v>21.6162</v>
      </c>
      <c r="KF64">
        <v>22.9813</v>
      </c>
      <c r="KG64">
        <v>0</v>
      </c>
      <c r="KH64">
        <v>17.3553</v>
      </c>
      <c r="KI64">
        <v>102.237</v>
      </c>
      <c r="KJ64">
        <v>91.6349</v>
      </c>
    </row>
    <row r="65" spans="1:296">
      <c r="A65">
        <v>47</v>
      </c>
      <c r="B65">
        <v>1765306438</v>
      </c>
      <c r="C65">
        <v>9005</v>
      </c>
      <c r="D65" t="s">
        <v>584</v>
      </c>
      <c r="E65" t="s">
        <v>585</v>
      </c>
      <c r="F65">
        <v>5</v>
      </c>
      <c r="G65" t="s">
        <v>567</v>
      </c>
      <c r="H65">
        <v>1765306430</v>
      </c>
      <c r="I65">
        <f>(J65)/1000</f>
        <v>0</v>
      </c>
      <c r="J65">
        <f>IF(DO65, AM65, AG65)</f>
        <v>0</v>
      </c>
      <c r="K65">
        <f>IF(DO65, AH65, AF65)</f>
        <v>0</v>
      </c>
      <c r="L65">
        <f>DQ65 - IF(AT65&gt;1, K65*DK65*100.0/(AV65), 0)</f>
        <v>0</v>
      </c>
      <c r="M65">
        <f>((S65-I65/2)*L65-K65)/(S65+I65/2)</f>
        <v>0</v>
      </c>
      <c r="N65">
        <f>M65*(DX65+DY65)/1000.0</f>
        <v>0</v>
      </c>
      <c r="O65">
        <f>(DQ65 - IF(AT65&gt;1, K65*DK65*100.0/(AV65), 0))*(DX65+DY65)/1000.0</f>
        <v>0</v>
      </c>
      <c r="P65">
        <f>2.0/((1/R65-1/Q65)+SIGN(R65)*SQRT((1/R65-1/Q65)*(1/R65-1/Q65) + 4*DL65/((DL65+1)*(DL65+1))*(2*1/R65*1/Q65-1/Q65*1/Q65)))</f>
        <v>0</v>
      </c>
      <c r="Q65">
        <f>IF(LEFT(DM65,1)&lt;&gt;"0",IF(LEFT(DM65,1)="1",3.0,DN65),$D$5+$E$5*(EE65*DX65/($K$5*1000))+$F$5*(EE65*DX65/($K$5*1000))*MAX(MIN(DK65,$J$5),$I$5)*MAX(MIN(DK65,$J$5),$I$5)+$G$5*MAX(MIN(DK65,$J$5),$I$5)*(EE65*DX65/($K$5*1000))+$H$5*(EE65*DX65/($K$5*1000))*(EE65*DX65/($K$5*1000)))</f>
        <v>0</v>
      </c>
      <c r="R65">
        <f>I65*(1000-(1000*0.61365*exp(17.502*V65/(240.97+V65))/(DX65+DY65)+DS65)/2)/(1000*0.61365*exp(17.502*V65/(240.97+V65))/(DX65+DY65)-DS65)</f>
        <v>0</v>
      </c>
      <c r="S65">
        <f>1/((DL65+1)/(P65/1.6)+1/(Q65/1.37)) + DL65/((DL65+1)/(P65/1.6) + DL65/(Q65/1.37))</f>
        <v>0</v>
      </c>
      <c r="T65">
        <f>(DG65*DJ65)</f>
        <v>0</v>
      </c>
      <c r="U65">
        <f>(DZ65+(T65+2*0.95*5.67E-8*(((DZ65+$B$9)+273)^4-(DZ65+273)^4)-44100*I65)/(1.84*29.3*Q65+8*0.95*5.67E-8*(DZ65+273)^3))</f>
        <v>0</v>
      </c>
      <c r="V65">
        <f>($C$9*EA65+$D$9*EB65+$E$9*U65)</f>
        <v>0</v>
      </c>
      <c r="W65">
        <f>0.61365*exp(17.502*V65/(240.97+V65))</f>
        <v>0</v>
      </c>
      <c r="X65">
        <f>(Y65/Z65*100)</f>
        <v>0</v>
      </c>
      <c r="Y65">
        <f>DS65*(DX65+DY65)/1000</f>
        <v>0</v>
      </c>
      <c r="Z65">
        <f>0.61365*exp(17.502*DZ65/(240.97+DZ65))</f>
        <v>0</v>
      </c>
      <c r="AA65">
        <f>(W65-DS65*(DX65+DY65)/1000)</f>
        <v>0</v>
      </c>
      <c r="AB65">
        <f>(-I65*44100)</f>
        <v>0</v>
      </c>
      <c r="AC65">
        <f>2*29.3*Q65*0.92*(DZ65-V65)</f>
        <v>0</v>
      </c>
      <c r="AD65">
        <f>2*0.95*5.67E-8*(((DZ65+$B$9)+273)^4-(V65+273)^4)</f>
        <v>0</v>
      </c>
      <c r="AE65">
        <f>T65+AD65+AB65+AC65</f>
        <v>0</v>
      </c>
      <c r="AF65">
        <f>DW65*AT65*(DR65-DQ65*(1000-AT65*DT65)/(1000-AT65*DS65))/(100*DK65)</f>
        <v>0</v>
      </c>
      <c r="AG65">
        <f>1000*DW65*AT65*(DS65-DT65)/(100*DK65*(1000-AT65*DS65))</f>
        <v>0</v>
      </c>
      <c r="AH65">
        <f>(AI65 - AJ65 - DX65*1E3/(8.314*(DZ65+273.15)) * AL65/DW65 * AK65) * DW65/(100*DK65) * (1000 - DT65)/1000</f>
        <v>0</v>
      </c>
      <c r="AI65">
        <v>407.1835818181818</v>
      </c>
      <c r="AJ65">
        <v>407.0803030303029</v>
      </c>
      <c r="AK65">
        <v>-0.003187433152462142</v>
      </c>
      <c r="AL65">
        <v>64.21704553234227</v>
      </c>
      <c r="AM65">
        <f>(AO65 - AN65 + DX65*1E3/(8.314*(DZ65+273.15)) * AQ65/DW65 * AP65) * DW65/(100*DK65) * 1000/(1000 - AO65)</f>
        <v>0</v>
      </c>
      <c r="AN65">
        <v>17.35644787878788</v>
      </c>
      <c r="AO65">
        <v>17.43828787878788</v>
      </c>
      <c r="AP65">
        <v>5.75608299743935E-05</v>
      </c>
      <c r="AQ65">
        <v>102.1624717515026</v>
      </c>
      <c r="AR65">
        <v>2</v>
      </c>
      <c r="AS65">
        <v>0</v>
      </c>
      <c r="AT65">
        <f>IF(AR65*$H$15&gt;=AV65,1.0,(AV65/(AV65-AR65*$H$15)))</f>
        <v>0</v>
      </c>
      <c r="AU65">
        <f>(AT65-1)*100</f>
        <v>0</v>
      </c>
      <c r="AV65">
        <f>MAX(0,($B$15+$C$15*EE65)/(1+$D$15*EE65)*DX65/(DZ65+273)*$E$15)</f>
        <v>0</v>
      </c>
      <c r="AW65" t="s">
        <v>437</v>
      </c>
      <c r="AX65" t="s">
        <v>437</v>
      </c>
      <c r="AY65">
        <v>0</v>
      </c>
      <c r="AZ65">
        <v>0</v>
      </c>
      <c r="BA65">
        <f>1-AY65/AZ65</f>
        <v>0</v>
      </c>
      <c r="BB65">
        <v>0</v>
      </c>
      <c r="BC65" t="s">
        <v>437</v>
      </c>
      <c r="BD65" t="s">
        <v>437</v>
      </c>
      <c r="BE65">
        <v>0</v>
      </c>
      <c r="BF65">
        <v>0</v>
      </c>
      <c r="BG65">
        <f>1-BE65/BF65</f>
        <v>0</v>
      </c>
      <c r="BH65">
        <v>0.5</v>
      </c>
      <c r="BI65">
        <f>DH65</f>
        <v>0</v>
      </c>
      <c r="BJ65">
        <f>K65</f>
        <v>0</v>
      </c>
      <c r="BK65">
        <f>BG65*BH65*BI65</f>
        <v>0</v>
      </c>
      <c r="BL65">
        <f>(BJ65-BB65)/BI65</f>
        <v>0</v>
      </c>
      <c r="BM65">
        <f>(AZ65-BF65)/BF65</f>
        <v>0</v>
      </c>
      <c r="BN65">
        <f>AY65/(BA65+AY65/BF65)</f>
        <v>0</v>
      </c>
      <c r="BO65" t="s">
        <v>437</v>
      </c>
      <c r="BP65">
        <v>0</v>
      </c>
      <c r="BQ65">
        <f>IF(BP65&lt;&gt;0, BP65, BN65)</f>
        <v>0</v>
      </c>
      <c r="BR65">
        <f>1-BQ65/BF65</f>
        <v>0</v>
      </c>
      <c r="BS65">
        <f>(BF65-BE65)/(BF65-BQ65)</f>
        <v>0</v>
      </c>
      <c r="BT65">
        <f>(AZ65-BF65)/(AZ65-BQ65)</f>
        <v>0</v>
      </c>
      <c r="BU65">
        <f>(BF65-BE65)/(BF65-AY65)</f>
        <v>0</v>
      </c>
      <c r="BV65">
        <f>(AZ65-BF65)/(AZ65-AY65)</f>
        <v>0</v>
      </c>
      <c r="BW65">
        <f>(BS65*BQ65/BE65)</f>
        <v>0</v>
      </c>
      <c r="BX65">
        <f>(1-BW65)</f>
        <v>0</v>
      </c>
      <c r="DG65">
        <f>$B$13*EF65+$C$13*EG65+$F$13*ER65*(1-EU65)</f>
        <v>0</v>
      </c>
      <c r="DH65">
        <f>DG65*DI65</f>
        <v>0</v>
      </c>
      <c r="DI65">
        <f>($B$13*$D$11+$C$13*$D$11+$F$13*((FE65+EW65)/MAX(FE65+EW65+FF65, 0.1)*$I$11+FF65/MAX(FE65+EW65+FF65, 0.1)*$J$11))/($B$13+$C$13+$F$13)</f>
        <v>0</v>
      </c>
      <c r="DJ65">
        <f>($B$13*$K$11+$C$13*$K$11+$F$13*((FE65+EW65)/MAX(FE65+EW65+FF65, 0.1)*$P$11+FF65/MAX(FE65+EW65+FF65, 0.1)*$Q$11))/($B$13+$C$13+$F$13)</f>
        <v>0</v>
      </c>
      <c r="DK65">
        <v>5.66</v>
      </c>
      <c r="DL65">
        <v>0.5</v>
      </c>
      <c r="DM65" t="s">
        <v>438</v>
      </c>
      <c r="DN65">
        <v>2</v>
      </c>
      <c r="DO65" t="b">
        <v>1</v>
      </c>
      <c r="DP65">
        <v>1765306430</v>
      </c>
      <c r="DQ65">
        <v>399.8873225806452</v>
      </c>
      <c r="DR65">
        <v>400.1654516129032</v>
      </c>
      <c r="DS65">
        <v>17.42585161290323</v>
      </c>
      <c r="DT65">
        <v>17.3604</v>
      </c>
      <c r="DU65">
        <v>399.8333225806452</v>
      </c>
      <c r="DV65">
        <v>17.35485161290323</v>
      </c>
      <c r="DW65">
        <v>500.0185483870968</v>
      </c>
      <c r="DX65">
        <v>89.95316129032258</v>
      </c>
      <c r="DY65">
        <v>0.09997872903225806</v>
      </c>
      <c r="DZ65">
        <v>24.76755483870968</v>
      </c>
      <c r="EA65">
        <v>24.99759677419355</v>
      </c>
      <c r="EB65">
        <v>999.9000000000003</v>
      </c>
      <c r="EC65">
        <v>0</v>
      </c>
      <c r="ED65">
        <v>0</v>
      </c>
      <c r="EE65">
        <v>10003.88548387097</v>
      </c>
      <c r="EF65">
        <v>0</v>
      </c>
      <c r="EG65">
        <v>9.221194838709678</v>
      </c>
      <c r="EH65">
        <v>-0.1438845387096774</v>
      </c>
      <c r="EI65">
        <v>407.1160322580645</v>
      </c>
      <c r="EJ65">
        <v>407.235064516129</v>
      </c>
      <c r="EK65">
        <v>0.06606231935483872</v>
      </c>
      <c r="EL65">
        <v>400.1654516129032</v>
      </c>
      <c r="EM65">
        <v>17.3604</v>
      </c>
      <c r="EN65">
        <v>1.567565483870968</v>
      </c>
      <c r="EO65">
        <v>1.561622903225806</v>
      </c>
      <c r="EP65">
        <v>13.64360967741935</v>
      </c>
      <c r="EQ65">
        <v>13.58523225806452</v>
      </c>
      <c r="ER65">
        <v>799.9803870967742</v>
      </c>
      <c r="ES65">
        <v>0.9500071612903226</v>
      </c>
      <c r="ET65">
        <v>0.0499929193548387</v>
      </c>
      <c r="EU65">
        <v>0</v>
      </c>
      <c r="EV65">
        <v>837.8894193548388</v>
      </c>
      <c r="EW65">
        <v>5.000779999999999</v>
      </c>
      <c r="EX65">
        <v>6321.561290322578</v>
      </c>
      <c r="EY65">
        <v>6463.272580645162</v>
      </c>
      <c r="EZ65">
        <v>36.69741935483871</v>
      </c>
      <c r="FA65">
        <v>39.143</v>
      </c>
      <c r="FB65">
        <v>38.52793548387096</v>
      </c>
      <c r="FC65">
        <v>38.91503225806451</v>
      </c>
      <c r="FD65">
        <v>38.25977419354838</v>
      </c>
      <c r="FE65">
        <v>755.2361290322581</v>
      </c>
      <c r="FF65">
        <v>39.74</v>
      </c>
      <c r="FG65">
        <v>0</v>
      </c>
      <c r="FH65">
        <v>1765306437.5</v>
      </c>
      <c r="FI65">
        <v>0</v>
      </c>
      <c r="FJ65">
        <v>837.89924</v>
      </c>
      <c r="FK65">
        <v>0.4772307602248099</v>
      </c>
      <c r="FL65">
        <v>-6.296923141583526</v>
      </c>
      <c r="FM65">
        <v>6321.5856</v>
      </c>
      <c r="FN65">
        <v>15</v>
      </c>
      <c r="FO65">
        <v>1765306459</v>
      </c>
      <c r="FP65" t="s">
        <v>586</v>
      </c>
      <c r="FQ65">
        <v>1765306459</v>
      </c>
      <c r="FR65">
        <v>1765306455</v>
      </c>
      <c r="FS65">
        <v>48</v>
      </c>
      <c r="FT65">
        <v>-0.135</v>
      </c>
      <c r="FU65">
        <v>0.001</v>
      </c>
      <c r="FV65">
        <v>0.054</v>
      </c>
      <c r="FW65">
        <v>0.07099999999999999</v>
      </c>
      <c r="FX65">
        <v>400</v>
      </c>
      <c r="FY65">
        <v>17</v>
      </c>
      <c r="FZ65">
        <v>0.55</v>
      </c>
      <c r="GA65">
        <v>0.13</v>
      </c>
      <c r="GB65">
        <v>-0.111526544</v>
      </c>
      <c r="GC65">
        <v>-0.4825445126454033</v>
      </c>
      <c r="GD65">
        <v>0.07050112827902749</v>
      </c>
      <c r="GE65">
        <v>1</v>
      </c>
      <c r="GF65">
        <v>837.8935</v>
      </c>
      <c r="GG65">
        <v>0.168235288007642</v>
      </c>
      <c r="GH65">
        <v>0.2265411597454708</v>
      </c>
      <c r="GI65">
        <v>1</v>
      </c>
      <c r="GJ65">
        <v>0.06901808499999999</v>
      </c>
      <c r="GK65">
        <v>0.01220763377110681</v>
      </c>
      <c r="GL65">
        <v>0.01412813032142877</v>
      </c>
      <c r="GM65">
        <v>1</v>
      </c>
      <c r="GN65">
        <v>3</v>
      </c>
      <c r="GO65">
        <v>3</v>
      </c>
      <c r="GP65" t="s">
        <v>440</v>
      </c>
      <c r="GQ65">
        <v>3.10829</v>
      </c>
      <c r="GR65">
        <v>2.79176</v>
      </c>
      <c r="GS65">
        <v>0.08444790000000001</v>
      </c>
      <c r="GT65">
        <v>0.0845462</v>
      </c>
      <c r="GU65">
        <v>0.08608689999999999</v>
      </c>
      <c r="GV65">
        <v>0.0865747</v>
      </c>
      <c r="GW65">
        <v>24011.6</v>
      </c>
      <c r="GX65">
        <v>21801.2</v>
      </c>
      <c r="GY65">
        <v>26785.1</v>
      </c>
      <c r="GZ65">
        <v>24022.6</v>
      </c>
      <c r="HA65">
        <v>39124</v>
      </c>
      <c r="HB65">
        <v>32386.8</v>
      </c>
      <c r="HC65">
        <v>46750.4</v>
      </c>
      <c r="HD65">
        <v>37991.2</v>
      </c>
      <c r="HE65">
        <v>1.88025</v>
      </c>
      <c r="HF65">
        <v>1.83525</v>
      </c>
      <c r="HG65">
        <v>0.0684299</v>
      </c>
      <c r="HH65">
        <v>0</v>
      </c>
      <c r="HI65">
        <v>23.8808</v>
      </c>
      <c r="HJ65">
        <v>999.9</v>
      </c>
      <c r="HK65">
        <v>36.5</v>
      </c>
      <c r="HL65">
        <v>33.1</v>
      </c>
      <c r="HM65">
        <v>20.6134</v>
      </c>
      <c r="HN65">
        <v>61.3938</v>
      </c>
      <c r="HO65">
        <v>28.145</v>
      </c>
      <c r="HP65">
        <v>1</v>
      </c>
      <c r="HQ65">
        <v>0.053811</v>
      </c>
      <c r="HR65">
        <v>1.12596</v>
      </c>
      <c r="HS65">
        <v>20.2903</v>
      </c>
      <c r="HT65">
        <v>5.22148</v>
      </c>
      <c r="HU65">
        <v>11.9767</v>
      </c>
      <c r="HV65">
        <v>4.9652</v>
      </c>
      <c r="HW65">
        <v>3.2759</v>
      </c>
      <c r="HX65">
        <v>9999</v>
      </c>
      <c r="HY65">
        <v>9999</v>
      </c>
      <c r="HZ65">
        <v>9999</v>
      </c>
      <c r="IA65">
        <v>999.9</v>
      </c>
      <c r="IB65">
        <v>1.86388</v>
      </c>
      <c r="IC65">
        <v>1.86007</v>
      </c>
      <c r="ID65">
        <v>1.85838</v>
      </c>
      <c r="IE65">
        <v>1.85974</v>
      </c>
      <c r="IF65">
        <v>1.85989</v>
      </c>
      <c r="IG65">
        <v>1.85838</v>
      </c>
      <c r="IH65">
        <v>1.85745</v>
      </c>
      <c r="II65">
        <v>1.85242</v>
      </c>
      <c r="IJ65">
        <v>0</v>
      </c>
      <c r="IK65">
        <v>0</v>
      </c>
      <c r="IL65">
        <v>0</v>
      </c>
      <c r="IM65">
        <v>0</v>
      </c>
      <c r="IN65" t="s">
        <v>441</v>
      </c>
      <c r="IO65" t="s">
        <v>442</v>
      </c>
      <c r="IP65" t="s">
        <v>443</v>
      </c>
      <c r="IQ65" t="s">
        <v>443</v>
      </c>
      <c r="IR65" t="s">
        <v>443</v>
      </c>
      <c r="IS65" t="s">
        <v>443</v>
      </c>
      <c r="IT65">
        <v>0</v>
      </c>
      <c r="IU65">
        <v>100</v>
      </c>
      <c r="IV65">
        <v>100</v>
      </c>
      <c r="IW65">
        <v>0.054</v>
      </c>
      <c r="IX65">
        <v>0.07099999999999999</v>
      </c>
      <c r="IY65">
        <v>-0.09084814735200533</v>
      </c>
      <c r="IZ65">
        <v>0.0001583678016168383</v>
      </c>
      <c r="JA65">
        <v>1.526473431467286E-06</v>
      </c>
      <c r="JB65">
        <v>-4.446382740029455E-10</v>
      </c>
      <c r="JC65">
        <v>-0.04595771840862543</v>
      </c>
      <c r="JD65">
        <v>-0.009941991807247691</v>
      </c>
      <c r="JE65">
        <v>0.001256427533001032</v>
      </c>
      <c r="JF65">
        <v>-1.689728105039484E-05</v>
      </c>
      <c r="JG65">
        <v>2</v>
      </c>
      <c r="JH65">
        <v>1984</v>
      </c>
      <c r="JI65">
        <v>0</v>
      </c>
      <c r="JJ65">
        <v>25</v>
      </c>
      <c r="JK65">
        <v>1.5</v>
      </c>
      <c r="JL65">
        <v>1.5</v>
      </c>
      <c r="JM65">
        <v>1.09619</v>
      </c>
      <c r="JN65">
        <v>2.63794</v>
      </c>
      <c r="JO65">
        <v>1.49658</v>
      </c>
      <c r="JP65">
        <v>2.34741</v>
      </c>
      <c r="JQ65">
        <v>1.54785</v>
      </c>
      <c r="JR65">
        <v>2.40967</v>
      </c>
      <c r="JS65">
        <v>36.6706</v>
      </c>
      <c r="JT65">
        <v>24.14</v>
      </c>
      <c r="JU65">
        <v>18</v>
      </c>
      <c r="JV65">
        <v>476.602</v>
      </c>
      <c r="JW65">
        <v>475.992</v>
      </c>
      <c r="JX65">
        <v>23.0442</v>
      </c>
      <c r="JY65">
        <v>27.8302</v>
      </c>
      <c r="JZ65">
        <v>30.0001</v>
      </c>
      <c r="KA65">
        <v>28.0406</v>
      </c>
      <c r="KB65">
        <v>28.0311</v>
      </c>
      <c r="KC65">
        <v>22.0537</v>
      </c>
      <c r="KD65">
        <v>15.6389</v>
      </c>
      <c r="KE65">
        <v>21.6162</v>
      </c>
      <c r="KF65">
        <v>23.0432</v>
      </c>
      <c r="KG65">
        <v>400</v>
      </c>
      <c r="KH65">
        <v>17.3636</v>
      </c>
      <c r="KI65">
        <v>102.234</v>
      </c>
      <c r="KJ65">
        <v>91.6348</v>
      </c>
    </row>
    <row r="66" spans="1:296">
      <c r="A66">
        <v>48</v>
      </c>
      <c r="B66">
        <v>1765306520</v>
      </c>
      <c r="C66">
        <v>9087</v>
      </c>
      <c r="D66" t="s">
        <v>587</v>
      </c>
      <c r="E66" t="s">
        <v>588</v>
      </c>
      <c r="F66">
        <v>5</v>
      </c>
      <c r="G66" t="s">
        <v>567</v>
      </c>
      <c r="H66">
        <v>1765306512</v>
      </c>
      <c r="I66">
        <f>(J66)/1000</f>
        <v>0</v>
      </c>
      <c r="J66">
        <f>IF(DO66, AM66, AG66)</f>
        <v>0</v>
      </c>
      <c r="K66">
        <f>IF(DO66, AH66, AF66)</f>
        <v>0</v>
      </c>
      <c r="L66">
        <f>DQ66 - IF(AT66&gt;1, K66*DK66*100.0/(AV66), 0)</f>
        <v>0</v>
      </c>
      <c r="M66">
        <f>((S66-I66/2)*L66-K66)/(S66+I66/2)</f>
        <v>0</v>
      </c>
      <c r="N66">
        <f>M66*(DX66+DY66)/1000.0</f>
        <v>0</v>
      </c>
      <c r="O66">
        <f>(DQ66 - IF(AT66&gt;1, K66*DK66*100.0/(AV66), 0))*(DX66+DY66)/1000.0</f>
        <v>0</v>
      </c>
      <c r="P66">
        <f>2.0/((1/R66-1/Q66)+SIGN(R66)*SQRT((1/R66-1/Q66)*(1/R66-1/Q66) + 4*DL66/((DL66+1)*(DL66+1))*(2*1/R66*1/Q66-1/Q66*1/Q66)))</f>
        <v>0</v>
      </c>
      <c r="Q66">
        <f>IF(LEFT(DM66,1)&lt;&gt;"0",IF(LEFT(DM66,1)="1",3.0,DN66),$D$5+$E$5*(EE66*DX66/($K$5*1000))+$F$5*(EE66*DX66/($K$5*1000))*MAX(MIN(DK66,$J$5),$I$5)*MAX(MIN(DK66,$J$5),$I$5)+$G$5*MAX(MIN(DK66,$J$5),$I$5)*(EE66*DX66/($K$5*1000))+$H$5*(EE66*DX66/($K$5*1000))*(EE66*DX66/($K$5*1000)))</f>
        <v>0</v>
      </c>
      <c r="R66">
        <f>I66*(1000-(1000*0.61365*exp(17.502*V66/(240.97+V66))/(DX66+DY66)+DS66)/2)/(1000*0.61365*exp(17.502*V66/(240.97+V66))/(DX66+DY66)-DS66)</f>
        <v>0</v>
      </c>
      <c r="S66">
        <f>1/((DL66+1)/(P66/1.6)+1/(Q66/1.37)) + DL66/((DL66+1)/(P66/1.6) + DL66/(Q66/1.37))</f>
        <v>0</v>
      </c>
      <c r="T66">
        <f>(DG66*DJ66)</f>
        <v>0</v>
      </c>
      <c r="U66">
        <f>(DZ66+(T66+2*0.95*5.67E-8*(((DZ66+$B$9)+273)^4-(DZ66+273)^4)-44100*I66)/(1.84*29.3*Q66+8*0.95*5.67E-8*(DZ66+273)^3))</f>
        <v>0</v>
      </c>
      <c r="V66">
        <f>($C$9*EA66+$D$9*EB66+$E$9*U66)</f>
        <v>0</v>
      </c>
      <c r="W66">
        <f>0.61365*exp(17.502*V66/(240.97+V66))</f>
        <v>0</v>
      </c>
      <c r="X66">
        <f>(Y66/Z66*100)</f>
        <v>0</v>
      </c>
      <c r="Y66">
        <f>DS66*(DX66+DY66)/1000</f>
        <v>0</v>
      </c>
      <c r="Z66">
        <f>0.61365*exp(17.502*DZ66/(240.97+DZ66))</f>
        <v>0</v>
      </c>
      <c r="AA66">
        <f>(W66-DS66*(DX66+DY66)/1000)</f>
        <v>0</v>
      </c>
      <c r="AB66">
        <f>(-I66*44100)</f>
        <v>0</v>
      </c>
      <c r="AC66">
        <f>2*29.3*Q66*0.92*(DZ66-V66)</f>
        <v>0</v>
      </c>
      <c r="AD66">
        <f>2*0.95*5.67E-8*(((DZ66+$B$9)+273)^4-(V66+273)^4)</f>
        <v>0</v>
      </c>
      <c r="AE66">
        <f>T66+AD66+AB66+AC66</f>
        <v>0</v>
      </c>
      <c r="AF66">
        <f>DW66*AT66*(DR66-DQ66*(1000-AT66*DT66)/(1000-AT66*DS66))/(100*DK66)</f>
        <v>0</v>
      </c>
      <c r="AG66">
        <f>1000*DW66*AT66*(DS66-DT66)/(100*DK66*(1000-AT66*DS66))</f>
        <v>0</v>
      </c>
      <c r="AH66">
        <f>(AI66 - AJ66 - DX66*1E3/(8.314*(DZ66+273.15)) * AL66/DW66 * AK66) * DW66/(100*DK66) * (1000 - DT66)/1000</f>
        <v>0</v>
      </c>
      <c r="AI66">
        <v>407.2030424242423</v>
      </c>
      <c r="AJ66">
        <v>406.7822242424241</v>
      </c>
      <c r="AK66">
        <v>-0.009707964062377197</v>
      </c>
      <c r="AL66">
        <v>64.30759517469514</v>
      </c>
      <c r="AM66">
        <f>(AO66 - AN66 + DX66*1E3/(8.314*(DZ66+273.15)) * AQ66/DW66 * AP66) * DW66/(100*DK66) * 1000/(1000 - AO66)</f>
        <v>0</v>
      </c>
      <c r="AN66">
        <v>17.31854424242423</v>
      </c>
      <c r="AO66">
        <v>17.41737636363636</v>
      </c>
      <c r="AP66">
        <v>-9.296135962882949E-06</v>
      </c>
      <c r="AQ66">
        <v>102.2392825675439</v>
      </c>
      <c r="AR66">
        <v>2</v>
      </c>
      <c r="AS66">
        <v>0</v>
      </c>
      <c r="AT66">
        <f>IF(AR66*$H$15&gt;=AV66,1.0,(AV66/(AV66-AR66*$H$15)))</f>
        <v>0</v>
      </c>
      <c r="AU66">
        <f>(AT66-1)*100</f>
        <v>0</v>
      </c>
      <c r="AV66">
        <f>MAX(0,($B$15+$C$15*EE66)/(1+$D$15*EE66)*DX66/(DZ66+273)*$E$15)</f>
        <v>0</v>
      </c>
      <c r="AW66" t="s">
        <v>437</v>
      </c>
      <c r="AX66" t="s">
        <v>437</v>
      </c>
      <c r="AY66">
        <v>0</v>
      </c>
      <c r="AZ66">
        <v>0</v>
      </c>
      <c r="BA66">
        <f>1-AY66/AZ66</f>
        <v>0</v>
      </c>
      <c r="BB66">
        <v>0</v>
      </c>
      <c r="BC66" t="s">
        <v>437</v>
      </c>
      <c r="BD66" t="s">
        <v>437</v>
      </c>
      <c r="BE66">
        <v>0</v>
      </c>
      <c r="BF66">
        <v>0</v>
      </c>
      <c r="BG66">
        <f>1-BE66/BF66</f>
        <v>0</v>
      </c>
      <c r="BH66">
        <v>0.5</v>
      </c>
      <c r="BI66">
        <f>DH66</f>
        <v>0</v>
      </c>
      <c r="BJ66">
        <f>K66</f>
        <v>0</v>
      </c>
      <c r="BK66">
        <f>BG66*BH66*BI66</f>
        <v>0</v>
      </c>
      <c r="BL66">
        <f>(BJ66-BB66)/BI66</f>
        <v>0</v>
      </c>
      <c r="BM66">
        <f>(AZ66-BF66)/BF66</f>
        <v>0</v>
      </c>
      <c r="BN66">
        <f>AY66/(BA66+AY66/BF66)</f>
        <v>0</v>
      </c>
      <c r="BO66" t="s">
        <v>437</v>
      </c>
      <c r="BP66">
        <v>0</v>
      </c>
      <c r="BQ66">
        <f>IF(BP66&lt;&gt;0, BP66, BN66)</f>
        <v>0</v>
      </c>
      <c r="BR66">
        <f>1-BQ66/BF66</f>
        <v>0</v>
      </c>
      <c r="BS66">
        <f>(BF66-BE66)/(BF66-BQ66)</f>
        <v>0</v>
      </c>
      <c r="BT66">
        <f>(AZ66-BF66)/(AZ66-BQ66)</f>
        <v>0</v>
      </c>
      <c r="BU66">
        <f>(BF66-BE66)/(BF66-AY66)</f>
        <v>0</v>
      </c>
      <c r="BV66">
        <f>(AZ66-BF66)/(AZ66-AY66)</f>
        <v>0</v>
      </c>
      <c r="BW66">
        <f>(BS66*BQ66/BE66)</f>
        <v>0</v>
      </c>
      <c r="BX66">
        <f>(1-BW66)</f>
        <v>0</v>
      </c>
      <c r="DG66">
        <f>$B$13*EF66+$C$13*EG66+$F$13*ER66*(1-EU66)</f>
        <v>0</v>
      </c>
      <c r="DH66">
        <f>DG66*DI66</f>
        <v>0</v>
      </c>
      <c r="DI66">
        <f>($B$13*$D$11+$C$13*$D$11+$F$13*((FE66+EW66)/MAX(FE66+EW66+FF66, 0.1)*$I$11+FF66/MAX(FE66+EW66+FF66, 0.1)*$J$11))/($B$13+$C$13+$F$13)</f>
        <v>0</v>
      </c>
      <c r="DJ66">
        <f>($B$13*$K$11+$C$13*$K$11+$F$13*((FE66+EW66)/MAX(FE66+EW66+FF66, 0.1)*$P$11+FF66/MAX(FE66+EW66+FF66, 0.1)*$Q$11))/($B$13+$C$13+$F$13)</f>
        <v>0</v>
      </c>
      <c r="DK66">
        <v>5.66</v>
      </c>
      <c r="DL66">
        <v>0.5</v>
      </c>
      <c r="DM66" t="s">
        <v>438</v>
      </c>
      <c r="DN66">
        <v>2</v>
      </c>
      <c r="DO66" t="b">
        <v>1</v>
      </c>
      <c r="DP66">
        <v>1765306512</v>
      </c>
      <c r="DQ66">
        <v>399.7302580645161</v>
      </c>
      <c r="DR66">
        <v>400.0953870967742</v>
      </c>
      <c r="DS66">
        <v>17.41992258064517</v>
      </c>
      <c r="DT66">
        <v>17.32642258064516</v>
      </c>
      <c r="DU66">
        <v>399.7282580645161</v>
      </c>
      <c r="DV66">
        <v>17.34892258064517</v>
      </c>
      <c r="DW66">
        <v>500.0309677419356</v>
      </c>
      <c r="DX66">
        <v>89.9481548387097</v>
      </c>
      <c r="DY66">
        <v>0.100079764516129</v>
      </c>
      <c r="DZ66">
        <v>24.74802258064516</v>
      </c>
      <c r="EA66">
        <v>24.99314838709677</v>
      </c>
      <c r="EB66">
        <v>999.9000000000003</v>
      </c>
      <c r="EC66">
        <v>0</v>
      </c>
      <c r="ED66">
        <v>0</v>
      </c>
      <c r="EE66">
        <v>9995.38258064516</v>
      </c>
      <c r="EF66">
        <v>0</v>
      </c>
      <c r="EG66">
        <v>9.178109354838709</v>
      </c>
      <c r="EH66">
        <v>-0.3143782580645161</v>
      </c>
      <c r="EI66">
        <v>406.8693225806452</v>
      </c>
      <c r="EJ66">
        <v>407.1498064516129</v>
      </c>
      <c r="EK66">
        <v>0.09524049354838711</v>
      </c>
      <c r="EL66">
        <v>400.0953870967742</v>
      </c>
      <c r="EM66">
        <v>17.32642258064516</v>
      </c>
      <c r="EN66">
        <v>1.567047419354839</v>
      </c>
      <c r="EO66">
        <v>1.558480322580645</v>
      </c>
      <c r="EP66">
        <v>13.63852580645161</v>
      </c>
      <c r="EQ66">
        <v>13.5542935483871</v>
      </c>
      <c r="ER66">
        <v>800.024064516129</v>
      </c>
      <c r="ES66">
        <v>0.9500096774193548</v>
      </c>
      <c r="ET66">
        <v>0.04999044838709676</v>
      </c>
      <c r="EU66">
        <v>0</v>
      </c>
      <c r="EV66">
        <v>838.838</v>
      </c>
      <c r="EW66">
        <v>5.000779999999999</v>
      </c>
      <c r="EX66">
        <v>6318.830645161291</v>
      </c>
      <c r="EY66">
        <v>6463.634193548385</v>
      </c>
      <c r="EZ66">
        <v>36.23151612903225</v>
      </c>
      <c r="FA66">
        <v>38.65900000000001</v>
      </c>
      <c r="FB66">
        <v>37.76383870967741</v>
      </c>
      <c r="FC66">
        <v>38.29006451612901</v>
      </c>
      <c r="FD66">
        <v>37.77609677419355</v>
      </c>
      <c r="FE66">
        <v>755.2800000000002</v>
      </c>
      <c r="FF66">
        <v>39.74</v>
      </c>
      <c r="FG66">
        <v>0</v>
      </c>
      <c r="FH66">
        <v>1765306519.7</v>
      </c>
      <c r="FI66">
        <v>0</v>
      </c>
      <c r="FJ66">
        <v>838.820846153846</v>
      </c>
      <c r="FK66">
        <v>-0.3020170959751161</v>
      </c>
      <c r="FL66">
        <v>-3.995897310757484</v>
      </c>
      <c r="FM66">
        <v>6318.703846153847</v>
      </c>
      <c r="FN66">
        <v>15</v>
      </c>
      <c r="FO66">
        <v>1765306537</v>
      </c>
      <c r="FP66" t="s">
        <v>589</v>
      </c>
      <c r="FQ66">
        <v>1765306536</v>
      </c>
      <c r="FR66">
        <v>1765306537</v>
      </c>
      <c r="FS66">
        <v>49</v>
      </c>
      <c r="FT66">
        <v>-0.051</v>
      </c>
      <c r="FU66">
        <v>0</v>
      </c>
      <c r="FV66">
        <v>0.002</v>
      </c>
      <c r="FW66">
        <v>0.07099999999999999</v>
      </c>
      <c r="FX66">
        <v>400</v>
      </c>
      <c r="FY66">
        <v>17</v>
      </c>
      <c r="FZ66">
        <v>0.31</v>
      </c>
      <c r="GA66">
        <v>0.17</v>
      </c>
      <c r="GB66">
        <v>-0.3139275853658536</v>
      </c>
      <c r="GC66">
        <v>-0.3059133658536586</v>
      </c>
      <c r="GD66">
        <v>0.0627050528060813</v>
      </c>
      <c r="GE66">
        <v>1</v>
      </c>
      <c r="GF66">
        <v>838.8041470588234</v>
      </c>
      <c r="GG66">
        <v>0.4381207020339705</v>
      </c>
      <c r="GH66">
        <v>0.2310867079885787</v>
      </c>
      <c r="GI66">
        <v>1</v>
      </c>
      <c r="GJ66">
        <v>0.09435611219512195</v>
      </c>
      <c r="GK66">
        <v>0.02294749965156806</v>
      </c>
      <c r="GL66">
        <v>0.002315464820342024</v>
      </c>
      <c r="GM66">
        <v>1</v>
      </c>
      <c r="GN66">
        <v>3</v>
      </c>
      <c r="GO66">
        <v>3</v>
      </c>
      <c r="GP66" t="s">
        <v>440</v>
      </c>
      <c r="GQ66">
        <v>3.10828</v>
      </c>
      <c r="GR66">
        <v>2.7916</v>
      </c>
      <c r="GS66">
        <v>0.0844114</v>
      </c>
      <c r="GT66">
        <v>0.0845351</v>
      </c>
      <c r="GU66">
        <v>0.08599809999999999</v>
      </c>
      <c r="GV66">
        <v>0.0864272</v>
      </c>
      <c r="GW66">
        <v>24011.5</v>
      </c>
      <c r="GX66">
        <v>21801.4</v>
      </c>
      <c r="GY66">
        <v>26784</v>
      </c>
      <c r="GZ66">
        <v>24022.6</v>
      </c>
      <c r="HA66">
        <v>39126.4</v>
      </c>
      <c r="HB66">
        <v>32391.9</v>
      </c>
      <c r="HC66">
        <v>46748.7</v>
      </c>
      <c r="HD66">
        <v>37991</v>
      </c>
      <c r="HE66">
        <v>1.87993</v>
      </c>
      <c r="HF66">
        <v>1.8354</v>
      </c>
      <c r="HG66">
        <v>0.0685379</v>
      </c>
      <c r="HH66">
        <v>0</v>
      </c>
      <c r="HI66">
        <v>23.8718</v>
      </c>
      <c r="HJ66">
        <v>999.9</v>
      </c>
      <c r="HK66">
        <v>36.5</v>
      </c>
      <c r="HL66">
        <v>33</v>
      </c>
      <c r="HM66">
        <v>20.5027</v>
      </c>
      <c r="HN66">
        <v>61.2338</v>
      </c>
      <c r="HO66">
        <v>27.8365</v>
      </c>
      <c r="HP66">
        <v>1</v>
      </c>
      <c r="HQ66">
        <v>0.0549873</v>
      </c>
      <c r="HR66">
        <v>1.0654</v>
      </c>
      <c r="HS66">
        <v>20.2906</v>
      </c>
      <c r="HT66">
        <v>5.22163</v>
      </c>
      <c r="HU66">
        <v>11.9787</v>
      </c>
      <c r="HV66">
        <v>4.96535</v>
      </c>
      <c r="HW66">
        <v>3.2757</v>
      </c>
      <c r="HX66">
        <v>9999</v>
      </c>
      <c r="HY66">
        <v>9999</v>
      </c>
      <c r="HZ66">
        <v>9999</v>
      </c>
      <c r="IA66">
        <v>999.9</v>
      </c>
      <c r="IB66">
        <v>1.86389</v>
      </c>
      <c r="IC66">
        <v>1.86005</v>
      </c>
      <c r="ID66">
        <v>1.85838</v>
      </c>
      <c r="IE66">
        <v>1.85974</v>
      </c>
      <c r="IF66">
        <v>1.85989</v>
      </c>
      <c r="IG66">
        <v>1.85837</v>
      </c>
      <c r="IH66">
        <v>1.85745</v>
      </c>
      <c r="II66">
        <v>1.85241</v>
      </c>
      <c r="IJ66">
        <v>0</v>
      </c>
      <c r="IK66">
        <v>0</v>
      </c>
      <c r="IL66">
        <v>0</v>
      </c>
      <c r="IM66">
        <v>0</v>
      </c>
      <c r="IN66" t="s">
        <v>441</v>
      </c>
      <c r="IO66" t="s">
        <v>442</v>
      </c>
      <c r="IP66" t="s">
        <v>443</v>
      </c>
      <c r="IQ66" t="s">
        <v>443</v>
      </c>
      <c r="IR66" t="s">
        <v>443</v>
      </c>
      <c r="IS66" t="s">
        <v>443</v>
      </c>
      <c r="IT66">
        <v>0</v>
      </c>
      <c r="IU66">
        <v>100</v>
      </c>
      <c r="IV66">
        <v>100</v>
      </c>
      <c r="IW66">
        <v>0.002</v>
      </c>
      <c r="IX66">
        <v>0.07099999999999999</v>
      </c>
      <c r="IY66">
        <v>-0.2259372008625086</v>
      </c>
      <c r="IZ66">
        <v>0.0001583678016168383</v>
      </c>
      <c r="JA66">
        <v>1.526473431467286E-06</v>
      </c>
      <c r="JB66">
        <v>-4.446382740029455E-10</v>
      </c>
      <c r="JC66">
        <v>-0.04469031663502102</v>
      </c>
      <c r="JD66">
        <v>-0.009941991807247691</v>
      </c>
      <c r="JE66">
        <v>0.001256427533001032</v>
      </c>
      <c r="JF66">
        <v>-1.689728105039484E-05</v>
      </c>
      <c r="JG66">
        <v>2</v>
      </c>
      <c r="JH66">
        <v>1984</v>
      </c>
      <c r="JI66">
        <v>0</v>
      </c>
      <c r="JJ66">
        <v>25</v>
      </c>
      <c r="JK66">
        <v>1</v>
      </c>
      <c r="JL66">
        <v>1.1</v>
      </c>
      <c r="JM66">
        <v>1.09375</v>
      </c>
      <c r="JN66">
        <v>2.62695</v>
      </c>
      <c r="JO66">
        <v>1.49658</v>
      </c>
      <c r="JP66">
        <v>2.34741</v>
      </c>
      <c r="JQ66">
        <v>1.54907</v>
      </c>
      <c r="JR66">
        <v>2.40234</v>
      </c>
      <c r="JS66">
        <v>36.6233</v>
      </c>
      <c r="JT66">
        <v>24.14</v>
      </c>
      <c r="JU66">
        <v>18</v>
      </c>
      <c r="JV66">
        <v>476.595</v>
      </c>
      <c r="JW66">
        <v>476.301</v>
      </c>
      <c r="JX66">
        <v>23.1087</v>
      </c>
      <c r="JY66">
        <v>27.846</v>
      </c>
      <c r="JZ66">
        <v>30.0001</v>
      </c>
      <c r="KA66">
        <v>28.0643</v>
      </c>
      <c r="KB66">
        <v>28.0572</v>
      </c>
      <c r="KC66">
        <v>21.9959</v>
      </c>
      <c r="KD66">
        <v>15.6389</v>
      </c>
      <c r="KE66">
        <v>21.9866</v>
      </c>
      <c r="KF66">
        <v>23.1108</v>
      </c>
      <c r="KG66">
        <v>400</v>
      </c>
      <c r="KH66">
        <v>17.366</v>
      </c>
      <c r="KI66">
        <v>102.23</v>
      </c>
      <c r="KJ66">
        <v>91.6344</v>
      </c>
    </row>
    <row r="67" spans="1:296">
      <c r="A67">
        <v>49</v>
      </c>
      <c r="B67">
        <v>1765306616</v>
      </c>
      <c r="C67">
        <v>9183</v>
      </c>
      <c r="D67" t="s">
        <v>590</v>
      </c>
      <c r="E67" t="s">
        <v>591</v>
      </c>
      <c r="F67">
        <v>5</v>
      </c>
      <c r="G67" t="s">
        <v>567</v>
      </c>
      <c r="H67">
        <v>1765306608</v>
      </c>
      <c r="I67">
        <f>(J67)/1000</f>
        <v>0</v>
      </c>
      <c r="J67">
        <f>IF(DO67, AM67, AG67)</f>
        <v>0</v>
      </c>
      <c r="K67">
        <f>IF(DO67, AH67, AF67)</f>
        <v>0</v>
      </c>
      <c r="L67">
        <f>DQ67 - IF(AT67&gt;1, K67*DK67*100.0/(AV67), 0)</f>
        <v>0</v>
      </c>
      <c r="M67">
        <f>((S67-I67/2)*L67-K67)/(S67+I67/2)</f>
        <v>0</v>
      </c>
      <c r="N67">
        <f>M67*(DX67+DY67)/1000.0</f>
        <v>0</v>
      </c>
      <c r="O67">
        <f>(DQ67 - IF(AT67&gt;1, K67*DK67*100.0/(AV67), 0))*(DX67+DY67)/1000.0</f>
        <v>0</v>
      </c>
      <c r="P67">
        <f>2.0/((1/R67-1/Q67)+SIGN(R67)*SQRT((1/R67-1/Q67)*(1/R67-1/Q67) + 4*DL67/((DL67+1)*(DL67+1))*(2*1/R67*1/Q67-1/Q67*1/Q67)))</f>
        <v>0</v>
      </c>
      <c r="Q67">
        <f>IF(LEFT(DM67,1)&lt;&gt;"0",IF(LEFT(DM67,1)="1",3.0,DN67),$D$5+$E$5*(EE67*DX67/($K$5*1000))+$F$5*(EE67*DX67/($K$5*1000))*MAX(MIN(DK67,$J$5),$I$5)*MAX(MIN(DK67,$J$5),$I$5)+$G$5*MAX(MIN(DK67,$J$5),$I$5)*(EE67*DX67/($K$5*1000))+$H$5*(EE67*DX67/($K$5*1000))*(EE67*DX67/($K$5*1000)))</f>
        <v>0</v>
      </c>
      <c r="R67">
        <f>I67*(1000-(1000*0.61365*exp(17.502*V67/(240.97+V67))/(DX67+DY67)+DS67)/2)/(1000*0.61365*exp(17.502*V67/(240.97+V67))/(DX67+DY67)-DS67)</f>
        <v>0</v>
      </c>
      <c r="S67">
        <f>1/((DL67+1)/(P67/1.6)+1/(Q67/1.37)) + DL67/((DL67+1)/(P67/1.6) + DL67/(Q67/1.37))</f>
        <v>0</v>
      </c>
      <c r="T67">
        <f>(DG67*DJ67)</f>
        <v>0</v>
      </c>
      <c r="U67">
        <f>(DZ67+(T67+2*0.95*5.67E-8*(((DZ67+$B$9)+273)^4-(DZ67+273)^4)-44100*I67)/(1.84*29.3*Q67+8*0.95*5.67E-8*(DZ67+273)^3))</f>
        <v>0</v>
      </c>
      <c r="V67">
        <f>($C$9*EA67+$D$9*EB67+$E$9*U67)</f>
        <v>0</v>
      </c>
      <c r="W67">
        <f>0.61365*exp(17.502*V67/(240.97+V67))</f>
        <v>0</v>
      </c>
      <c r="X67">
        <f>(Y67/Z67*100)</f>
        <v>0</v>
      </c>
      <c r="Y67">
        <f>DS67*(DX67+DY67)/1000</f>
        <v>0</v>
      </c>
      <c r="Z67">
        <f>0.61365*exp(17.502*DZ67/(240.97+DZ67))</f>
        <v>0</v>
      </c>
      <c r="AA67">
        <f>(W67-DS67*(DX67+DY67)/1000)</f>
        <v>0</v>
      </c>
      <c r="AB67">
        <f>(-I67*44100)</f>
        <v>0</v>
      </c>
      <c r="AC67">
        <f>2*29.3*Q67*0.92*(DZ67-V67)</f>
        <v>0</v>
      </c>
      <c r="AD67">
        <f>2*0.95*5.67E-8*(((DZ67+$B$9)+273)^4-(V67+273)^4)</f>
        <v>0</v>
      </c>
      <c r="AE67">
        <f>T67+AD67+AB67+AC67</f>
        <v>0</v>
      </c>
      <c r="AF67">
        <f>DW67*AT67*(DR67-DQ67*(1000-AT67*DT67)/(1000-AT67*DS67))/(100*DK67)</f>
        <v>0</v>
      </c>
      <c r="AG67">
        <f>1000*DW67*AT67*(DS67-DT67)/(100*DK67*(1000-AT67*DS67))</f>
        <v>0</v>
      </c>
      <c r="AH67">
        <f>(AI67 - AJ67 - DX67*1E3/(8.314*(DZ67+273.15)) * AL67/DW67 * AK67) * DW67/(100*DK67) * (1000 - DT67)/1000</f>
        <v>0</v>
      </c>
      <c r="AI67">
        <v>610.5395941363486</v>
      </c>
      <c r="AJ67">
        <v>609.7282666666669</v>
      </c>
      <c r="AK67">
        <v>0.001406927247837226</v>
      </c>
      <c r="AL67">
        <v>65.84671411839201</v>
      </c>
      <c r="AM67">
        <f>(AO67 - AN67 + DX67*1E3/(8.314*(DZ67+273.15)) * AQ67/DW67 * AP67) * DW67/(100*DK67) * 1000/(1000 - AO67)</f>
        <v>0</v>
      </c>
      <c r="AN67">
        <v>17.31357908022313</v>
      </c>
      <c r="AO67">
        <v>17.41011696969696</v>
      </c>
      <c r="AP67">
        <v>-7.852977012692048E-06</v>
      </c>
      <c r="AQ67">
        <v>108.5237501859876</v>
      </c>
      <c r="AR67">
        <v>2</v>
      </c>
      <c r="AS67">
        <v>0</v>
      </c>
      <c r="AT67">
        <f>IF(AR67*$H$15&gt;=AV67,1.0,(AV67/(AV67-AR67*$H$15)))</f>
        <v>0</v>
      </c>
      <c r="AU67">
        <f>(AT67-1)*100</f>
        <v>0</v>
      </c>
      <c r="AV67">
        <f>MAX(0,($B$15+$C$15*EE67)/(1+$D$15*EE67)*DX67/(DZ67+273)*$E$15)</f>
        <v>0</v>
      </c>
      <c r="AW67" t="s">
        <v>437</v>
      </c>
      <c r="AX67" t="s">
        <v>437</v>
      </c>
      <c r="AY67">
        <v>0</v>
      </c>
      <c r="AZ67">
        <v>0</v>
      </c>
      <c r="BA67">
        <f>1-AY67/AZ67</f>
        <v>0</v>
      </c>
      <c r="BB67">
        <v>0</v>
      </c>
      <c r="BC67" t="s">
        <v>437</v>
      </c>
      <c r="BD67" t="s">
        <v>437</v>
      </c>
      <c r="BE67">
        <v>0</v>
      </c>
      <c r="BF67">
        <v>0</v>
      </c>
      <c r="BG67">
        <f>1-BE67/BF67</f>
        <v>0</v>
      </c>
      <c r="BH67">
        <v>0.5</v>
      </c>
      <c r="BI67">
        <f>DH67</f>
        <v>0</v>
      </c>
      <c r="BJ67">
        <f>K67</f>
        <v>0</v>
      </c>
      <c r="BK67">
        <f>BG67*BH67*BI67</f>
        <v>0</v>
      </c>
      <c r="BL67">
        <f>(BJ67-BB67)/BI67</f>
        <v>0</v>
      </c>
      <c r="BM67">
        <f>(AZ67-BF67)/BF67</f>
        <v>0</v>
      </c>
      <c r="BN67">
        <f>AY67/(BA67+AY67/BF67)</f>
        <v>0</v>
      </c>
      <c r="BO67" t="s">
        <v>437</v>
      </c>
      <c r="BP67">
        <v>0</v>
      </c>
      <c r="BQ67">
        <f>IF(BP67&lt;&gt;0, BP67, BN67)</f>
        <v>0</v>
      </c>
      <c r="BR67">
        <f>1-BQ67/BF67</f>
        <v>0</v>
      </c>
      <c r="BS67">
        <f>(BF67-BE67)/(BF67-BQ67)</f>
        <v>0</v>
      </c>
      <c r="BT67">
        <f>(AZ67-BF67)/(AZ67-BQ67)</f>
        <v>0</v>
      </c>
      <c r="BU67">
        <f>(BF67-BE67)/(BF67-AY67)</f>
        <v>0</v>
      </c>
      <c r="BV67">
        <f>(AZ67-BF67)/(AZ67-AY67)</f>
        <v>0</v>
      </c>
      <c r="BW67">
        <f>(BS67*BQ67/BE67)</f>
        <v>0</v>
      </c>
      <c r="BX67">
        <f>(1-BW67)</f>
        <v>0</v>
      </c>
      <c r="DG67">
        <f>$B$13*EF67+$C$13*EG67+$F$13*ER67*(1-EU67)</f>
        <v>0</v>
      </c>
      <c r="DH67">
        <f>DG67*DI67</f>
        <v>0</v>
      </c>
      <c r="DI67">
        <f>($B$13*$D$11+$C$13*$D$11+$F$13*((FE67+EW67)/MAX(FE67+EW67+FF67, 0.1)*$I$11+FF67/MAX(FE67+EW67+FF67, 0.1)*$J$11))/($B$13+$C$13+$F$13)</f>
        <v>0</v>
      </c>
      <c r="DJ67">
        <f>($B$13*$K$11+$C$13*$K$11+$F$13*((FE67+EW67)/MAX(FE67+EW67+FF67, 0.1)*$P$11+FF67/MAX(FE67+EW67+FF67, 0.1)*$Q$11))/($B$13+$C$13+$F$13)</f>
        <v>0</v>
      </c>
      <c r="DK67">
        <v>5.66</v>
      </c>
      <c r="DL67">
        <v>0.5</v>
      </c>
      <c r="DM67" t="s">
        <v>438</v>
      </c>
      <c r="DN67">
        <v>2</v>
      </c>
      <c r="DO67" t="b">
        <v>1</v>
      </c>
      <c r="DP67">
        <v>1765306608</v>
      </c>
      <c r="DQ67">
        <v>599.290741935484</v>
      </c>
      <c r="DR67">
        <v>600.0117096774193</v>
      </c>
      <c r="DS67">
        <v>17.41507096774194</v>
      </c>
      <c r="DT67">
        <v>17.3171</v>
      </c>
      <c r="DU67">
        <v>598.799741935484</v>
      </c>
      <c r="DV67">
        <v>17.34207096774194</v>
      </c>
      <c r="DW67">
        <v>500.0081612903226</v>
      </c>
      <c r="DX67">
        <v>89.94381935483872</v>
      </c>
      <c r="DY67">
        <v>0.09999535483870972</v>
      </c>
      <c r="DZ67">
        <v>24.73847419354839</v>
      </c>
      <c r="EA67">
        <v>24.99179032258064</v>
      </c>
      <c r="EB67">
        <v>999.9000000000003</v>
      </c>
      <c r="EC67">
        <v>0</v>
      </c>
      <c r="ED67">
        <v>0</v>
      </c>
      <c r="EE67">
        <v>9996.189354838709</v>
      </c>
      <c r="EF67">
        <v>0</v>
      </c>
      <c r="EG67">
        <v>9.22682612903226</v>
      </c>
      <c r="EH67">
        <v>-0.9421721612903227</v>
      </c>
      <c r="EI67">
        <v>609.6872258064515</v>
      </c>
      <c r="EJ67">
        <v>610.5852903225807</v>
      </c>
      <c r="EK67">
        <v>0.09784156451612901</v>
      </c>
      <c r="EL67">
        <v>600.0117096774193</v>
      </c>
      <c r="EM67">
        <v>17.3171</v>
      </c>
      <c r="EN67">
        <v>1.566365806451613</v>
      </c>
      <c r="EO67">
        <v>1.557566129032258</v>
      </c>
      <c r="EP67">
        <v>13.63184193548387</v>
      </c>
      <c r="EQ67">
        <v>13.54527096774193</v>
      </c>
      <c r="ER67">
        <v>799.981064516129</v>
      </c>
      <c r="ES67">
        <v>0.9500035161290323</v>
      </c>
      <c r="ET67">
        <v>0.04999653870967742</v>
      </c>
      <c r="EU67">
        <v>0</v>
      </c>
      <c r="EV67">
        <v>838.3414838709676</v>
      </c>
      <c r="EW67">
        <v>5.000779999999999</v>
      </c>
      <c r="EX67">
        <v>6305.419677419355</v>
      </c>
      <c r="EY67">
        <v>6463.270645161289</v>
      </c>
      <c r="EZ67">
        <v>35.78809677419354</v>
      </c>
      <c r="FA67">
        <v>38.262</v>
      </c>
      <c r="FB67">
        <v>37.29412903225806</v>
      </c>
      <c r="FC67">
        <v>37.85658064516129</v>
      </c>
      <c r="FD67">
        <v>37.33032258064515</v>
      </c>
      <c r="FE67">
        <v>755.2348387096775</v>
      </c>
      <c r="FF67">
        <v>39.75</v>
      </c>
      <c r="FG67">
        <v>0</v>
      </c>
      <c r="FH67">
        <v>1765306615.7</v>
      </c>
      <c r="FI67">
        <v>0</v>
      </c>
      <c r="FJ67">
        <v>838.3523076923076</v>
      </c>
      <c r="FK67">
        <v>0.5756581075856348</v>
      </c>
      <c r="FL67">
        <v>0.8355555400360721</v>
      </c>
      <c r="FM67">
        <v>6305.353076923077</v>
      </c>
      <c r="FN67">
        <v>15</v>
      </c>
      <c r="FO67">
        <v>1765306636</v>
      </c>
      <c r="FP67" t="s">
        <v>592</v>
      </c>
      <c r="FQ67">
        <v>1765306636</v>
      </c>
      <c r="FR67">
        <v>1765306634</v>
      </c>
      <c r="FS67">
        <v>50</v>
      </c>
      <c r="FT67">
        <v>0.22</v>
      </c>
      <c r="FU67">
        <v>0.002</v>
      </c>
      <c r="FV67">
        <v>0.491</v>
      </c>
      <c r="FW67">
        <v>0.073</v>
      </c>
      <c r="FX67">
        <v>600</v>
      </c>
      <c r="FY67">
        <v>17</v>
      </c>
      <c r="FZ67">
        <v>0.57</v>
      </c>
      <c r="GA67">
        <v>0.19</v>
      </c>
      <c r="GB67">
        <v>-0.957110475</v>
      </c>
      <c r="GC67">
        <v>0.4370681313320824</v>
      </c>
      <c r="GD67">
        <v>0.05739571764295117</v>
      </c>
      <c r="GE67">
        <v>1</v>
      </c>
      <c r="GF67">
        <v>838.3182352941176</v>
      </c>
      <c r="GG67">
        <v>0.5595721867940028</v>
      </c>
      <c r="GH67">
        <v>0.2221598601462596</v>
      </c>
      <c r="GI67">
        <v>1</v>
      </c>
      <c r="GJ67">
        <v>0.09781851000000001</v>
      </c>
      <c r="GK67">
        <v>0.001307230018761671</v>
      </c>
      <c r="GL67">
        <v>0.0005850016935018226</v>
      </c>
      <c r="GM67">
        <v>1</v>
      </c>
      <c r="GN67">
        <v>3</v>
      </c>
      <c r="GO67">
        <v>3</v>
      </c>
      <c r="GP67" t="s">
        <v>440</v>
      </c>
      <c r="GQ67">
        <v>3.10821</v>
      </c>
      <c r="GR67">
        <v>2.79167</v>
      </c>
      <c r="GS67">
        <v>0.113478</v>
      </c>
      <c r="GT67">
        <v>0.1137</v>
      </c>
      <c r="GU67">
        <v>0.0859655</v>
      </c>
      <c r="GV67">
        <v>0.0864043</v>
      </c>
      <c r="GW67">
        <v>23248.8</v>
      </c>
      <c r="GX67">
        <v>21106.4</v>
      </c>
      <c r="GY67">
        <v>26783.4</v>
      </c>
      <c r="GZ67">
        <v>24022</v>
      </c>
      <c r="HA67">
        <v>39130</v>
      </c>
      <c r="HB67">
        <v>32395.9</v>
      </c>
      <c r="HC67">
        <v>46747</v>
      </c>
      <c r="HD67">
        <v>37991.2</v>
      </c>
      <c r="HE67">
        <v>1.88</v>
      </c>
      <c r="HF67">
        <v>1.8363</v>
      </c>
      <c r="HG67">
        <v>0.0675581</v>
      </c>
      <c r="HH67">
        <v>0</v>
      </c>
      <c r="HI67">
        <v>23.8856</v>
      </c>
      <c r="HJ67">
        <v>999.9</v>
      </c>
      <c r="HK67">
        <v>36.5</v>
      </c>
      <c r="HL67">
        <v>33</v>
      </c>
      <c r="HM67">
        <v>20.5024</v>
      </c>
      <c r="HN67">
        <v>60.9338</v>
      </c>
      <c r="HO67">
        <v>28.0569</v>
      </c>
      <c r="HP67">
        <v>1</v>
      </c>
      <c r="HQ67">
        <v>0.0560696</v>
      </c>
      <c r="HR67">
        <v>1.03055</v>
      </c>
      <c r="HS67">
        <v>20.2912</v>
      </c>
      <c r="HT67">
        <v>5.22163</v>
      </c>
      <c r="HU67">
        <v>11.9791</v>
      </c>
      <c r="HV67">
        <v>4.96545</v>
      </c>
      <c r="HW67">
        <v>3.27578</v>
      </c>
      <c r="HX67">
        <v>9999</v>
      </c>
      <c r="HY67">
        <v>9999</v>
      </c>
      <c r="HZ67">
        <v>9999</v>
      </c>
      <c r="IA67">
        <v>999.9</v>
      </c>
      <c r="IB67">
        <v>1.86387</v>
      </c>
      <c r="IC67">
        <v>1.86005</v>
      </c>
      <c r="ID67">
        <v>1.85838</v>
      </c>
      <c r="IE67">
        <v>1.85974</v>
      </c>
      <c r="IF67">
        <v>1.85989</v>
      </c>
      <c r="IG67">
        <v>1.85837</v>
      </c>
      <c r="IH67">
        <v>1.85745</v>
      </c>
      <c r="II67">
        <v>1.85242</v>
      </c>
      <c r="IJ67">
        <v>0</v>
      </c>
      <c r="IK67">
        <v>0</v>
      </c>
      <c r="IL67">
        <v>0</v>
      </c>
      <c r="IM67">
        <v>0</v>
      </c>
      <c r="IN67" t="s">
        <v>441</v>
      </c>
      <c r="IO67" t="s">
        <v>442</v>
      </c>
      <c r="IP67" t="s">
        <v>443</v>
      </c>
      <c r="IQ67" t="s">
        <v>443</v>
      </c>
      <c r="IR67" t="s">
        <v>443</v>
      </c>
      <c r="IS67" t="s">
        <v>443</v>
      </c>
      <c r="IT67">
        <v>0</v>
      </c>
      <c r="IU67">
        <v>100</v>
      </c>
      <c r="IV67">
        <v>100</v>
      </c>
      <c r="IW67">
        <v>0.491</v>
      </c>
      <c r="IX67">
        <v>0.073</v>
      </c>
      <c r="IY67">
        <v>-0.2770002232053001</v>
      </c>
      <c r="IZ67">
        <v>0.0001583678016168383</v>
      </c>
      <c r="JA67">
        <v>1.526473431467286E-06</v>
      </c>
      <c r="JB67">
        <v>-4.446382740029455E-10</v>
      </c>
      <c r="JC67">
        <v>-0.04445196534002417</v>
      </c>
      <c r="JD67">
        <v>-0.009941991807247691</v>
      </c>
      <c r="JE67">
        <v>0.001256427533001032</v>
      </c>
      <c r="JF67">
        <v>-1.689728105039484E-05</v>
      </c>
      <c r="JG67">
        <v>2</v>
      </c>
      <c r="JH67">
        <v>1984</v>
      </c>
      <c r="JI67">
        <v>0</v>
      </c>
      <c r="JJ67">
        <v>25</v>
      </c>
      <c r="JK67">
        <v>1.3</v>
      </c>
      <c r="JL67">
        <v>1.3</v>
      </c>
      <c r="JM67">
        <v>1.51367</v>
      </c>
      <c r="JN67">
        <v>2.64648</v>
      </c>
      <c r="JO67">
        <v>1.49658</v>
      </c>
      <c r="JP67">
        <v>2.34741</v>
      </c>
      <c r="JQ67">
        <v>1.54907</v>
      </c>
      <c r="JR67">
        <v>2.40601</v>
      </c>
      <c r="JS67">
        <v>36.5759</v>
      </c>
      <c r="JT67">
        <v>24.1313</v>
      </c>
      <c r="JU67">
        <v>18</v>
      </c>
      <c r="JV67">
        <v>476.818</v>
      </c>
      <c r="JW67">
        <v>477.07</v>
      </c>
      <c r="JX67">
        <v>23.1349</v>
      </c>
      <c r="JY67">
        <v>27.861</v>
      </c>
      <c r="JZ67">
        <v>30.0001</v>
      </c>
      <c r="KA67">
        <v>28.0882</v>
      </c>
      <c r="KB67">
        <v>28.0808</v>
      </c>
      <c r="KC67">
        <v>30.4103</v>
      </c>
      <c r="KD67">
        <v>15.6389</v>
      </c>
      <c r="KE67">
        <v>22.3592</v>
      </c>
      <c r="KF67">
        <v>23.1384</v>
      </c>
      <c r="KG67">
        <v>600</v>
      </c>
      <c r="KH67">
        <v>17.3652</v>
      </c>
      <c r="KI67">
        <v>102.227</v>
      </c>
      <c r="KJ67">
        <v>91.6339</v>
      </c>
    </row>
    <row r="68" spans="1:296">
      <c r="A68">
        <v>50</v>
      </c>
      <c r="B68">
        <v>1765306709</v>
      </c>
      <c r="C68">
        <v>9276</v>
      </c>
      <c r="D68" t="s">
        <v>593</v>
      </c>
      <c r="E68" t="s">
        <v>594</v>
      </c>
      <c r="F68">
        <v>5</v>
      </c>
      <c r="G68" t="s">
        <v>567</v>
      </c>
      <c r="H68">
        <v>1765306701</v>
      </c>
      <c r="I68">
        <f>(J68)/1000</f>
        <v>0</v>
      </c>
      <c r="J68">
        <f>IF(DO68, AM68, AG68)</f>
        <v>0</v>
      </c>
      <c r="K68">
        <f>IF(DO68, AH68, AF68)</f>
        <v>0</v>
      </c>
      <c r="L68">
        <f>DQ68 - IF(AT68&gt;1, K68*DK68*100.0/(AV68), 0)</f>
        <v>0</v>
      </c>
      <c r="M68">
        <f>((S68-I68/2)*L68-K68)/(S68+I68/2)</f>
        <v>0</v>
      </c>
      <c r="N68">
        <f>M68*(DX68+DY68)/1000.0</f>
        <v>0</v>
      </c>
      <c r="O68">
        <f>(DQ68 - IF(AT68&gt;1, K68*DK68*100.0/(AV68), 0))*(DX68+DY68)/1000.0</f>
        <v>0</v>
      </c>
      <c r="P68">
        <f>2.0/((1/R68-1/Q68)+SIGN(R68)*SQRT((1/R68-1/Q68)*(1/R68-1/Q68) + 4*DL68/((DL68+1)*(DL68+1))*(2*1/R68*1/Q68-1/Q68*1/Q68)))</f>
        <v>0</v>
      </c>
      <c r="Q68">
        <f>IF(LEFT(DM68,1)&lt;&gt;"0",IF(LEFT(DM68,1)="1",3.0,DN68),$D$5+$E$5*(EE68*DX68/($K$5*1000))+$F$5*(EE68*DX68/($K$5*1000))*MAX(MIN(DK68,$J$5),$I$5)*MAX(MIN(DK68,$J$5),$I$5)+$G$5*MAX(MIN(DK68,$J$5),$I$5)*(EE68*DX68/($K$5*1000))+$H$5*(EE68*DX68/($K$5*1000))*(EE68*DX68/($K$5*1000)))</f>
        <v>0</v>
      </c>
      <c r="R68">
        <f>I68*(1000-(1000*0.61365*exp(17.502*V68/(240.97+V68))/(DX68+DY68)+DS68)/2)/(1000*0.61365*exp(17.502*V68/(240.97+V68))/(DX68+DY68)-DS68)</f>
        <v>0</v>
      </c>
      <c r="S68">
        <f>1/((DL68+1)/(P68/1.6)+1/(Q68/1.37)) + DL68/((DL68+1)/(P68/1.6) + DL68/(Q68/1.37))</f>
        <v>0</v>
      </c>
      <c r="T68">
        <f>(DG68*DJ68)</f>
        <v>0</v>
      </c>
      <c r="U68">
        <f>(DZ68+(T68+2*0.95*5.67E-8*(((DZ68+$B$9)+273)^4-(DZ68+273)^4)-44100*I68)/(1.84*29.3*Q68+8*0.95*5.67E-8*(DZ68+273)^3))</f>
        <v>0</v>
      </c>
      <c r="V68">
        <f>($C$9*EA68+$D$9*EB68+$E$9*U68)</f>
        <v>0</v>
      </c>
      <c r="W68">
        <f>0.61365*exp(17.502*V68/(240.97+V68))</f>
        <v>0</v>
      </c>
      <c r="X68">
        <f>(Y68/Z68*100)</f>
        <v>0</v>
      </c>
      <c r="Y68">
        <f>DS68*(DX68+DY68)/1000</f>
        <v>0</v>
      </c>
      <c r="Z68">
        <f>0.61365*exp(17.502*DZ68/(240.97+DZ68))</f>
        <v>0</v>
      </c>
      <c r="AA68">
        <f>(W68-DS68*(DX68+DY68)/1000)</f>
        <v>0</v>
      </c>
      <c r="AB68">
        <f>(-I68*44100)</f>
        <v>0</v>
      </c>
      <c r="AC68">
        <f>2*29.3*Q68*0.92*(DZ68-V68)</f>
        <v>0</v>
      </c>
      <c r="AD68">
        <f>2*0.95*5.67E-8*(((DZ68+$B$9)+273)^4-(V68+273)^4)</f>
        <v>0</v>
      </c>
      <c r="AE68">
        <f>T68+AD68+AB68+AC68</f>
        <v>0</v>
      </c>
      <c r="AF68">
        <f>DW68*AT68*(DR68-DQ68*(1000-AT68*DT68)/(1000-AT68*DS68))/(100*DK68)</f>
        <v>0</v>
      </c>
      <c r="AG68">
        <f>1000*DW68*AT68*(DS68-DT68)/(100*DK68*(1000-AT68*DS68))</f>
        <v>0</v>
      </c>
      <c r="AH68">
        <f>(AI68 - AJ68 - DX68*1E3/(8.314*(DZ68+273.15)) * AL68/DW68 * AK68) * DW68/(100*DK68) * (1000 - DT68)/1000</f>
        <v>0</v>
      </c>
      <c r="AI68">
        <v>814.1715878787882</v>
      </c>
      <c r="AJ68">
        <v>812.9963212121207</v>
      </c>
      <c r="AK68">
        <v>-0.02044264023712734</v>
      </c>
      <c r="AL68">
        <v>64.42836301936282</v>
      </c>
      <c r="AM68">
        <f>(AO68 - AN68 + DX68*1E3/(8.314*(DZ68+273.15)) * AQ68/DW68 * AP68) * DW68/(100*DK68) * 1000/(1000 - AO68)</f>
        <v>0</v>
      </c>
      <c r="AN68">
        <v>17.28883878787878</v>
      </c>
      <c r="AO68">
        <v>17.39627515151514</v>
      </c>
      <c r="AP68">
        <v>-2.853497379819748E-05</v>
      </c>
      <c r="AQ68">
        <v>102.3584854857099</v>
      </c>
      <c r="AR68">
        <v>2</v>
      </c>
      <c r="AS68">
        <v>0</v>
      </c>
      <c r="AT68">
        <f>IF(AR68*$H$15&gt;=AV68,1.0,(AV68/(AV68-AR68*$H$15)))</f>
        <v>0</v>
      </c>
      <c r="AU68">
        <f>(AT68-1)*100</f>
        <v>0</v>
      </c>
      <c r="AV68">
        <f>MAX(0,($B$15+$C$15*EE68)/(1+$D$15*EE68)*DX68/(DZ68+273)*$E$15)</f>
        <v>0</v>
      </c>
      <c r="AW68" t="s">
        <v>437</v>
      </c>
      <c r="AX68" t="s">
        <v>437</v>
      </c>
      <c r="AY68">
        <v>0</v>
      </c>
      <c r="AZ68">
        <v>0</v>
      </c>
      <c r="BA68">
        <f>1-AY68/AZ68</f>
        <v>0</v>
      </c>
      <c r="BB68">
        <v>0</v>
      </c>
      <c r="BC68" t="s">
        <v>437</v>
      </c>
      <c r="BD68" t="s">
        <v>437</v>
      </c>
      <c r="BE68">
        <v>0</v>
      </c>
      <c r="BF68">
        <v>0</v>
      </c>
      <c r="BG68">
        <f>1-BE68/BF68</f>
        <v>0</v>
      </c>
      <c r="BH68">
        <v>0.5</v>
      </c>
      <c r="BI68">
        <f>DH68</f>
        <v>0</v>
      </c>
      <c r="BJ68">
        <f>K68</f>
        <v>0</v>
      </c>
      <c r="BK68">
        <f>BG68*BH68*BI68</f>
        <v>0</v>
      </c>
      <c r="BL68">
        <f>(BJ68-BB68)/BI68</f>
        <v>0</v>
      </c>
      <c r="BM68">
        <f>(AZ68-BF68)/BF68</f>
        <v>0</v>
      </c>
      <c r="BN68">
        <f>AY68/(BA68+AY68/BF68)</f>
        <v>0</v>
      </c>
      <c r="BO68" t="s">
        <v>437</v>
      </c>
      <c r="BP68">
        <v>0</v>
      </c>
      <c r="BQ68">
        <f>IF(BP68&lt;&gt;0, BP68, BN68)</f>
        <v>0</v>
      </c>
      <c r="BR68">
        <f>1-BQ68/BF68</f>
        <v>0</v>
      </c>
      <c r="BS68">
        <f>(BF68-BE68)/(BF68-BQ68)</f>
        <v>0</v>
      </c>
      <c r="BT68">
        <f>(AZ68-BF68)/(AZ68-BQ68)</f>
        <v>0</v>
      </c>
      <c r="BU68">
        <f>(BF68-BE68)/(BF68-AY68)</f>
        <v>0</v>
      </c>
      <c r="BV68">
        <f>(AZ68-BF68)/(AZ68-AY68)</f>
        <v>0</v>
      </c>
      <c r="BW68">
        <f>(BS68*BQ68/BE68)</f>
        <v>0</v>
      </c>
      <c r="BX68">
        <f>(1-BW68)</f>
        <v>0</v>
      </c>
      <c r="DG68">
        <f>$B$13*EF68+$C$13*EG68+$F$13*ER68*(1-EU68)</f>
        <v>0</v>
      </c>
      <c r="DH68">
        <f>DG68*DI68</f>
        <v>0</v>
      </c>
      <c r="DI68">
        <f>($B$13*$D$11+$C$13*$D$11+$F$13*((FE68+EW68)/MAX(FE68+EW68+FF68, 0.1)*$I$11+FF68/MAX(FE68+EW68+FF68, 0.1)*$J$11))/($B$13+$C$13+$F$13)</f>
        <v>0</v>
      </c>
      <c r="DJ68">
        <f>($B$13*$K$11+$C$13*$K$11+$F$13*((FE68+EW68)/MAX(FE68+EW68+FF68, 0.1)*$P$11+FF68/MAX(FE68+EW68+FF68, 0.1)*$Q$11))/($B$13+$C$13+$F$13)</f>
        <v>0</v>
      </c>
      <c r="DK68">
        <v>5.66</v>
      </c>
      <c r="DL68">
        <v>0.5</v>
      </c>
      <c r="DM68" t="s">
        <v>438</v>
      </c>
      <c r="DN68">
        <v>2</v>
      </c>
      <c r="DO68" t="b">
        <v>1</v>
      </c>
      <c r="DP68">
        <v>1765306701</v>
      </c>
      <c r="DQ68">
        <v>798.8612258064516</v>
      </c>
      <c r="DR68">
        <v>800.048516129032</v>
      </c>
      <c r="DS68">
        <v>17.40313225806452</v>
      </c>
      <c r="DT68">
        <v>17.29402903225807</v>
      </c>
      <c r="DU68">
        <v>798.0022258064515</v>
      </c>
      <c r="DV68">
        <v>17.33013225806452</v>
      </c>
      <c r="DW68">
        <v>499.9927096774193</v>
      </c>
      <c r="DX68">
        <v>89.9453870967742</v>
      </c>
      <c r="DY68">
        <v>0.0999856387096774</v>
      </c>
      <c r="DZ68">
        <v>24.73856129032258</v>
      </c>
      <c r="EA68">
        <v>24.99935806451613</v>
      </c>
      <c r="EB68">
        <v>999.9000000000003</v>
      </c>
      <c r="EC68">
        <v>0</v>
      </c>
      <c r="ED68">
        <v>0</v>
      </c>
      <c r="EE68">
        <v>9995.147419354838</v>
      </c>
      <c r="EF68">
        <v>0</v>
      </c>
      <c r="EG68">
        <v>9.167829999999999</v>
      </c>
      <c r="EH68">
        <v>-1.230901612903226</v>
      </c>
      <c r="EI68">
        <v>812.967387096774</v>
      </c>
      <c r="EJ68">
        <v>814.1280322580644</v>
      </c>
      <c r="EK68">
        <v>0.1111054838709677</v>
      </c>
      <c r="EL68">
        <v>800.048516129032</v>
      </c>
      <c r="EM68">
        <v>17.29402903225807</v>
      </c>
      <c r="EN68">
        <v>1.565511290322581</v>
      </c>
      <c r="EO68">
        <v>1.555517741935484</v>
      </c>
      <c r="EP68">
        <v>13.62345806451613</v>
      </c>
      <c r="EQ68">
        <v>13.52507419354839</v>
      </c>
      <c r="ER68">
        <v>800.0425161290323</v>
      </c>
      <c r="ES68">
        <v>0.950005935483871</v>
      </c>
      <c r="ET68">
        <v>0.04999415806451613</v>
      </c>
      <c r="EU68">
        <v>0</v>
      </c>
      <c r="EV68">
        <v>837.7091290322579</v>
      </c>
      <c r="EW68">
        <v>5.000779999999999</v>
      </c>
      <c r="EX68">
        <v>6295.070322580645</v>
      </c>
      <c r="EY68">
        <v>6463.774838709677</v>
      </c>
      <c r="EZ68">
        <v>35.47748387096773</v>
      </c>
      <c r="FA68">
        <v>38.02999999999999</v>
      </c>
      <c r="FB68">
        <v>36.95735483870968</v>
      </c>
      <c r="FC68">
        <v>37.60641935483871</v>
      </c>
      <c r="FD68">
        <v>37.05419354838709</v>
      </c>
      <c r="FE68">
        <v>755.2941935483872</v>
      </c>
      <c r="FF68">
        <v>39.75</v>
      </c>
      <c r="FG68">
        <v>0</v>
      </c>
      <c r="FH68">
        <v>1765306708.7</v>
      </c>
      <c r="FI68">
        <v>0</v>
      </c>
      <c r="FJ68">
        <v>837.69872</v>
      </c>
      <c r="FK68">
        <v>0.2191538674395264</v>
      </c>
      <c r="FL68">
        <v>3.926923025259657</v>
      </c>
      <c r="FM68">
        <v>6294.6964</v>
      </c>
      <c r="FN68">
        <v>15</v>
      </c>
      <c r="FO68">
        <v>1765306734</v>
      </c>
      <c r="FP68" t="s">
        <v>595</v>
      </c>
      <c r="FQ68">
        <v>1765306734</v>
      </c>
      <c r="FR68">
        <v>1765306726</v>
      </c>
      <c r="FS68">
        <v>51</v>
      </c>
      <c r="FT68">
        <v>0.042</v>
      </c>
      <c r="FU68">
        <v>0.001</v>
      </c>
      <c r="FV68">
        <v>0.859</v>
      </c>
      <c r="FW68">
        <v>0.073</v>
      </c>
      <c r="FX68">
        <v>800</v>
      </c>
      <c r="FY68">
        <v>17</v>
      </c>
      <c r="FZ68">
        <v>0.66</v>
      </c>
      <c r="GA68">
        <v>0.29</v>
      </c>
      <c r="GB68">
        <v>-1.246806</v>
      </c>
      <c r="GC68">
        <v>0.498055384615386</v>
      </c>
      <c r="GD68">
        <v>0.06596790703819547</v>
      </c>
      <c r="GE68">
        <v>1</v>
      </c>
      <c r="GF68">
        <v>837.6891764705881</v>
      </c>
      <c r="GG68">
        <v>0.6921314007899201</v>
      </c>
      <c r="GH68">
        <v>0.2340396485500359</v>
      </c>
      <c r="GI68">
        <v>1</v>
      </c>
      <c r="GJ68">
        <v>0.113559725</v>
      </c>
      <c r="GK68">
        <v>-0.05253308442776725</v>
      </c>
      <c r="GL68">
        <v>0.005187658060182359</v>
      </c>
      <c r="GM68">
        <v>1</v>
      </c>
      <c r="GN68">
        <v>3</v>
      </c>
      <c r="GO68">
        <v>3</v>
      </c>
      <c r="GP68" t="s">
        <v>440</v>
      </c>
      <c r="GQ68">
        <v>3.10824</v>
      </c>
      <c r="GR68">
        <v>2.79176</v>
      </c>
      <c r="GS68">
        <v>0.138084</v>
      </c>
      <c r="GT68">
        <v>0.138382</v>
      </c>
      <c r="GU68">
        <v>0.08590440000000001</v>
      </c>
      <c r="GV68">
        <v>0.086309</v>
      </c>
      <c r="GW68">
        <v>22603.5</v>
      </c>
      <c r="GX68">
        <v>20518.7</v>
      </c>
      <c r="GY68">
        <v>26783.2</v>
      </c>
      <c r="GZ68">
        <v>24022</v>
      </c>
      <c r="HA68">
        <v>39135.2</v>
      </c>
      <c r="HB68">
        <v>32401.6</v>
      </c>
      <c r="HC68">
        <v>46746.3</v>
      </c>
      <c r="HD68">
        <v>37991</v>
      </c>
      <c r="HE68">
        <v>1.88002</v>
      </c>
      <c r="HF68">
        <v>1.83685</v>
      </c>
      <c r="HG68">
        <v>0.067424</v>
      </c>
      <c r="HH68">
        <v>0</v>
      </c>
      <c r="HI68">
        <v>23.8896</v>
      </c>
      <c r="HJ68">
        <v>999.9</v>
      </c>
      <c r="HK68">
        <v>36.5</v>
      </c>
      <c r="HL68">
        <v>32.9</v>
      </c>
      <c r="HM68">
        <v>20.3865</v>
      </c>
      <c r="HN68">
        <v>61.3838</v>
      </c>
      <c r="HO68">
        <v>27.9127</v>
      </c>
      <c r="HP68">
        <v>1</v>
      </c>
      <c r="HQ68">
        <v>0.056875</v>
      </c>
      <c r="HR68">
        <v>1.04623</v>
      </c>
      <c r="HS68">
        <v>20.291</v>
      </c>
      <c r="HT68">
        <v>5.22163</v>
      </c>
      <c r="HU68">
        <v>11.9796</v>
      </c>
      <c r="HV68">
        <v>4.9653</v>
      </c>
      <c r="HW68">
        <v>3.2759</v>
      </c>
      <c r="HX68">
        <v>9999</v>
      </c>
      <c r="HY68">
        <v>9999</v>
      </c>
      <c r="HZ68">
        <v>9999</v>
      </c>
      <c r="IA68">
        <v>999.9</v>
      </c>
      <c r="IB68">
        <v>1.86389</v>
      </c>
      <c r="IC68">
        <v>1.86005</v>
      </c>
      <c r="ID68">
        <v>1.85837</v>
      </c>
      <c r="IE68">
        <v>1.85974</v>
      </c>
      <c r="IF68">
        <v>1.85989</v>
      </c>
      <c r="IG68">
        <v>1.85837</v>
      </c>
      <c r="IH68">
        <v>1.85745</v>
      </c>
      <c r="II68">
        <v>1.85241</v>
      </c>
      <c r="IJ68">
        <v>0</v>
      </c>
      <c r="IK68">
        <v>0</v>
      </c>
      <c r="IL68">
        <v>0</v>
      </c>
      <c r="IM68">
        <v>0</v>
      </c>
      <c r="IN68" t="s">
        <v>441</v>
      </c>
      <c r="IO68" t="s">
        <v>442</v>
      </c>
      <c r="IP68" t="s">
        <v>443</v>
      </c>
      <c r="IQ68" t="s">
        <v>443</v>
      </c>
      <c r="IR68" t="s">
        <v>443</v>
      </c>
      <c r="IS68" t="s">
        <v>443</v>
      </c>
      <c r="IT68">
        <v>0</v>
      </c>
      <c r="IU68">
        <v>100</v>
      </c>
      <c r="IV68">
        <v>100</v>
      </c>
      <c r="IW68">
        <v>0.859</v>
      </c>
      <c r="IX68">
        <v>0.073</v>
      </c>
      <c r="IY68">
        <v>-0.05715105919357921</v>
      </c>
      <c r="IZ68">
        <v>0.0001583678016168383</v>
      </c>
      <c r="JA68">
        <v>1.526473431467286E-06</v>
      </c>
      <c r="JB68">
        <v>-4.446382740029455E-10</v>
      </c>
      <c r="JC68">
        <v>-0.04210106063240628</v>
      </c>
      <c r="JD68">
        <v>-0.009941991807247691</v>
      </c>
      <c r="JE68">
        <v>0.001256427533001032</v>
      </c>
      <c r="JF68">
        <v>-1.689728105039484E-05</v>
      </c>
      <c r="JG68">
        <v>2</v>
      </c>
      <c r="JH68">
        <v>1984</v>
      </c>
      <c r="JI68">
        <v>0</v>
      </c>
      <c r="JJ68">
        <v>25</v>
      </c>
      <c r="JK68">
        <v>1.2</v>
      </c>
      <c r="JL68">
        <v>1.2</v>
      </c>
      <c r="JM68">
        <v>1.9104</v>
      </c>
      <c r="JN68">
        <v>2.63672</v>
      </c>
      <c r="JO68">
        <v>1.49658</v>
      </c>
      <c r="JP68">
        <v>2.34741</v>
      </c>
      <c r="JQ68">
        <v>1.54907</v>
      </c>
      <c r="JR68">
        <v>2.34253</v>
      </c>
      <c r="JS68">
        <v>36.5287</v>
      </c>
      <c r="JT68">
        <v>24.1313</v>
      </c>
      <c r="JU68">
        <v>18</v>
      </c>
      <c r="JV68">
        <v>476.976</v>
      </c>
      <c r="JW68">
        <v>477.597</v>
      </c>
      <c r="JX68">
        <v>23.146</v>
      </c>
      <c r="JY68">
        <v>27.8752</v>
      </c>
      <c r="JZ68">
        <v>30.0001</v>
      </c>
      <c r="KA68">
        <v>28.1072</v>
      </c>
      <c r="KB68">
        <v>28.1021</v>
      </c>
      <c r="KC68">
        <v>38.3493</v>
      </c>
      <c r="KD68">
        <v>15.8376</v>
      </c>
      <c r="KE68">
        <v>22.7307</v>
      </c>
      <c r="KF68">
        <v>23.153</v>
      </c>
      <c r="KG68">
        <v>800</v>
      </c>
      <c r="KH68">
        <v>17.2709</v>
      </c>
      <c r="KI68">
        <v>102.225</v>
      </c>
      <c r="KJ68">
        <v>91.6336</v>
      </c>
    </row>
    <row r="69" spans="1:296">
      <c r="A69">
        <v>51</v>
      </c>
      <c r="B69">
        <v>1765306825</v>
      </c>
      <c r="C69">
        <v>9392</v>
      </c>
      <c r="D69" t="s">
        <v>596</v>
      </c>
      <c r="E69" t="s">
        <v>597</v>
      </c>
      <c r="F69">
        <v>5</v>
      </c>
      <c r="G69" t="s">
        <v>567</v>
      </c>
      <c r="H69">
        <v>1765306817</v>
      </c>
      <c r="I69">
        <f>(J69)/1000</f>
        <v>0</v>
      </c>
      <c r="J69">
        <f>IF(DO69, AM69, AG69)</f>
        <v>0</v>
      </c>
      <c r="K69">
        <f>IF(DO69, AH69, AF69)</f>
        <v>0</v>
      </c>
      <c r="L69">
        <f>DQ69 - IF(AT69&gt;1, K69*DK69*100.0/(AV69), 0)</f>
        <v>0</v>
      </c>
      <c r="M69">
        <f>((S69-I69/2)*L69-K69)/(S69+I69/2)</f>
        <v>0</v>
      </c>
      <c r="N69">
        <f>M69*(DX69+DY69)/1000.0</f>
        <v>0</v>
      </c>
      <c r="O69">
        <f>(DQ69 - IF(AT69&gt;1, K69*DK69*100.0/(AV69), 0))*(DX69+DY69)/1000.0</f>
        <v>0</v>
      </c>
      <c r="P69">
        <f>2.0/((1/R69-1/Q69)+SIGN(R69)*SQRT((1/R69-1/Q69)*(1/R69-1/Q69) + 4*DL69/((DL69+1)*(DL69+1))*(2*1/R69*1/Q69-1/Q69*1/Q69)))</f>
        <v>0</v>
      </c>
      <c r="Q69">
        <f>IF(LEFT(DM69,1)&lt;&gt;"0",IF(LEFT(DM69,1)="1",3.0,DN69),$D$5+$E$5*(EE69*DX69/($K$5*1000))+$F$5*(EE69*DX69/($K$5*1000))*MAX(MIN(DK69,$J$5),$I$5)*MAX(MIN(DK69,$J$5),$I$5)+$G$5*MAX(MIN(DK69,$J$5),$I$5)*(EE69*DX69/($K$5*1000))+$H$5*(EE69*DX69/($K$5*1000))*(EE69*DX69/($K$5*1000)))</f>
        <v>0</v>
      </c>
      <c r="R69">
        <f>I69*(1000-(1000*0.61365*exp(17.502*V69/(240.97+V69))/(DX69+DY69)+DS69)/2)/(1000*0.61365*exp(17.502*V69/(240.97+V69))/(DX69+DY69)-DS69)</f>
        <v>0</v>
      </c>
      <c r="S69">
        <f>1/((DL69+1)/(P69/1.6)+1/(Q69/1.37)) + DL69/((DL69+1)/(P69/1.6) + DL69/(Q69/1.37))</f>
        <v>0</v>
      </c>
      <c r="T69">
        <f>(DG69*DJ69)</f>
        <v>0</v>
      </c>
      <c r="U69">
        <f>(DZ69+(T69+2*0.95*5.67E-8*(((DZ69+$B$9)+273)^4-(DZ69+273)^4)-44100*I69)/(1.84*29.3*Q69+8*0.95*5.67E-8*(DZ69+273)^3))</f>
        <v>0</v>
      </c>
      <c r="V69">
        <f>($C$9*EA69+$D$9*EB69+$E$9*U69)</f>
        <v>0</v>
      </c>
      <c r="W69">
        <f>0.61365*exp(17.502*V69/(240.97+V69))</f>
        <v>0</v>
      </c>
      <c r="X69">
        <f>(Y69/Z69*100)</f>
        <v>0</v>
      </c>
      <c r="Y69">
        <f>DS69*(DX69+DY69)/1000</f>
        <v>0</v>
      </c>
      <c r="Z69">
        <f>0.61365*exp(17.502*DZ69/(240.97+DZ69))</f>
        <v>0</v>
      </c>
      <c r="AA69">
        <f>(W69-DS69*(DX69+DY69)/1000)</f>
        <v>0</v>
      </c>
      <c r="AB69">
        <f>(-I69*44100)</f>
        <v>0</v>
      </c>
      <c r="AC69">
        <f>2*29.3*Q69*0.92*(DZ69-V69)</f>
        <v>0</v>
      </c>
      <c r="AD69">
        <f>2*0.95*5.67E-8*(((DZ69+$B$9)+273)^4-(V69+273)^4)</f>
        <v>0</v>
      </c>
      <c r="AE69">
        <f>T69+AD69+AB69+AC69</f>
        <v>0</v>
      </c>
      <c r="AF69">
        <f>DW69*AT69*(DR69-DQ69*(1000-AT69*DT69)/(1000-AT69*DS69))/(100*DK69)</f>
        <v>0</v>
      </c>
      <c r="AG69">
        <f>1000*DW69*AT69*(DS69-DT69)/(100*DK69*(1000-AT69*DS69))</f>
        <v>0</v>
      </c>
      <c r="AH69">
        <f>(AI69 - AJ69 - DX69*1E3/(8.314*(DZ69+273.15)) * AL69/DW69 * AK69) * DW69/(100*DK69) * (1000 - DT69)/1000</f>
        <v>0</v>
      </c>
      <c r="AI69">
        <v>1017.620039969734</v>
      </c>
      <c r="AJ69">
        <v>1016.40909090909</v>
      </c>
      <c r="AK69">
        <v>-0.0004187522146512999</v>
      </c>
      <c r="AL69">
        <v>65.84330180826019</v>
      </c>
      <c r="AM69">
        <f>(AO69 - AN69 + DX69*1E3/(8.314*(DZ69+273.15)) * AQ69/DW69 * AP69) * DW69/(100*DK69) * 1000/(1000 - AO69)</f>
        <v>0</v>
      </c>
      <c r="AN69">
        <v>17.32340931350554</v>
      </c>
      <c r="AO69">
        <v>17.41137333333334</v>
      </c>
      <c r="AP69">
        <v>5.785000460771182E-05</v>
      </c>
      <c r="AQ69">
        <v>108.4524203134283</v>
      </c>
      <c r="AR69">
        <v>1</v>
      </c>
      <c r="AS69">
        <v>0</v>
      </c>
      <c r="AT69">
        <f>IF(AR69*$H$15&gt;=AV69,1.0,(AV69/(AV69-AR69*$H$15)))</f>
        <v>0</v>
      </c>
      <c r="AU69">
        <f>(AT69-1)*100</f>
        <v>0</v>
      </c>
      <c r="AV69">
        <f>MAX(0,($B$15+$C$15*EE69)/(1+$D$15*EE69)*DX69/(DZ69+273)*$E$15)</f>
        <v>0</v>
      </c>
      <c r="AW69" t="s">
        <v>437</v>
      </c>
      <c r="AX69" t="s">
        <v>437</v>
      </c>
      <c r="AY69">
        <v>0</v>
      </c>
      <c r="AZ69">
        <v>0</v>
      </c>
      <c r="BA69">
        <f>1-AY69/AZ69</f>
        <v>0</v>
      </c>
      <c r="BB69">
        <v>0</v>
      </c>
      <c r="BC69" t="s">
        <v>437</v>
      </c>
      <c r="BD69" t="s">
        <v>437</v>
      </c>
      <c r="BE69">
        <v>0</v>
      </c>
      <c r="BF69">
        <v>0</v>
      </c>
      <c r="BG69">
        <f>1-BE69/BF69</f>
        <v>0</v>
      </c>
      <c r="BH69">
        <v>0.5</v>
      </c>
      <c r="BI69">
        <f>DH69</f>
        <v>0</v>
      </c>
      <c r="BJ69">
        <f>K69</f>
        <v>0</v>
      </c>
      <c r="BK69">
        <f>BG69*BH69*BI69</f>
        <v>0</v>
      </c>
      <c r="BL69">
        <f>(BJ69-BB69)/BI69</f>
        <v>0</v>
      </c>
      <c r="BM69">
        <f>(AZ69-BF69)/BF69</f>
        <v>0</v>
      </c>
      <c r="BN69">
        <f>AY69/(BA69+AY69/BF69)</f>
        <v>0</v>
      </c>
      <c r="BO69" t="s">
        <v>437</v>
      </c>
      <c r="BP69">
        <v>0</v>
      </c>
      <c r="BQ69">
        <f>IF(BP69&lt;&gt;0, BP69, BN69)</f>
        <v>0</v>
      </c>
      <c r="BR69">
        <f>1-BQ69/BF69</f>
        <v>0</v>
      </c>
      <c r="BS69">
        <f>(BF69-BE69)/(BF69-BQ69)</f>
        <v>0</v>
      </c>
      <c r="BT69">
        <f>(AZ69-BF69)/(AZ69-BQ69)</f>
        <v>0</v>
      </c>
      <c r="BU69">
        <f>(BF69-BE69)/(BF69-AY69)</f>
        <v>0</v>
      </c>
      <c r="BV69">
        <f>(AZ69-BF69)/(AZ69-AY69)</f>
        <v>0</v>
      </c>
      <c r="BW69">
        <f>(BS69*BQ69/BE69)</f>
        <v>0</v>
      </c>
      <c r="BX69">
        <f>(1-BW69)</f>
        <v>0</v>
      </c>
      <c r="DG69">
        <f>$B$13*EF69+$C$13*EG69+$F$13*ER69*(1-EU69)</f>
        <v>0</v>
      </c>
      <c r="DH69">
        <f>DG69*DI69</f>
        <v>0</v>
      </c>
      <c r="DI69">
        <f>($B$13*$D$11+$C$13*$D$11+$F$13*((FE69+EW69)/MAX(FE69+EW69+FF69, 0.1)*$I$11+FF69/MAX(FE69+EW69+FF69, 0.1)*$J$11))/($B$13+$C$13+$F$13)</f>
        <v>0</v>
      </c>
      <c r="DJ69">
        <f>($B$13*$K$11+$C$13*$K$11+$F$13*((FE69+EW69)/MAX(FE69+EW69+FF69, 0.1)*$P$11+FF69/MAX(FE69+EW69+FF69, 0.1)*$Q$11))/($B$13+$C$13+$F$13)</f>
        <v>0</v>
      </c>
      <c r="DK69">
        <v>5.66</v>
      </c>
      <c r="DL69">
        <v>0.5</v>
      </c>
      <c r="DM69" t="s">
        <v>438</v>
      </c>
      <c r="DN69">
        <v>2</v>
      </c>
      <c r="DO69" t="b">
        <v>1</v>
      </c>
      <c r="DP69">
        <v>1765306817</v>
      </c>
      <c r="DQ69">
        <v>998.5434838709677</v>
      </c>
      <c r="DR69">
        <v>999.9728064516128</v>
      </c>
      <c r="DS69">
        <v>17.39407741935484</v>
      </c>
      <c r="DT69">
        <v>17.31743870967742</v>
      </c>
      <c r="DU69">
        <v>997.5234838709678</v>
      </c>
      <c r="DV69">
        <v>17.31807741935484</v>
      </c>
      <c r="DW69">
        <v>500.0031612903226</v>
      </c>
      <c r="DX69">
        <v>89.94230967741936</v>
      </c>
      <c r="DY69">
        <v>0.1000007741935484</v>
      </c>
      <c r="DZ69">
        <v>24.74367741935484</v>
      </c>
      <c r="EA69">
        <v>24.99734193548387</v>
      </c>
      <c r="EB69">
        <v>999.9000000000003</v>
      </c>
      <c r="EC69">
        <v>0</v>
      </c>
      <c r="ED69">
        <v>0</v>
      </c>
      <c r="EE69">
        <v>10000.9535483871</v>
      </c>
      <c r="EF69">
        <v>0</v>
      </c>
      <c r="EG69">
        <v>9.257917419354836</v>
      </c>
      <c r="EH69">
        <v>-1.228856451612903</v>
      </c>
      <c r="EI69">
        <v>1016.423548387097</v>
      </c>
      <c r="EJ69">
        <v>1017.595806451613</v>
      </c>
      <c r="EK69">
        <v>0.07605669354838708</v>
      </c>
      <c r="EL69">
        <v>999.9728064516128</v>
      </c>
      <c r="EM69">
        <v>17.31743870967742</v>
      </c>
      <c r="EN69">
        <v>1.564409032258064</v>
      </c>
      <c r="EO69">
        <v>1.557569677419355</v>
      </c>
      <c r="EP69">
        <v>13.61262903225806</v>
      </c>
      <c r="EQ69">
        <v>13.54530967741935</v>
      </c>
      <c r="ER69">
        <v>800.0218064516131</v>
      </c>
      <c r="ES69">
        <v>0.9500056451612902</v>
      </c>
      <c r="ET69">
        <v>0.0499946064516129</v>
      </c>
      <c r="EU69">
        <v>0</v>
      </c>
      <c r="EV69">
        <v>834.5799032258066</v>
      </c>
      <c r="EW69">
        <v>5.000779999999999</v>
      </c>
      <c r="EX69">
        <v>6302.670645161291</v>
      </c>
      <c r="EY69">
        <v>6463.607096774193</v>
      </c>
      <c r="EZ69">
        <v>36.70138709677418</v>
      </c>
      <c r="FA69">
        <v>40.37877419354838</v>
      </c>
      <c r="FB69">
        <v>39.09851612903225</v>
      </c>
      <c r="FC69">
        <v>40.4514193548387</v>
      </c>
      <c r="FD69">
        <v>38.99164516129031</v>
      </c>
      <c r="FE69">
        <v>755.2745161290322</v>
      </c>
      <c r="FF69">
        <v>39.75</v>
      </c>
      <c r="FG69">
        <v>0</v>
      </c>
      <c r="FH69">
        <v>1765306824.5</v>
      </c>
      <c r="FI69">
        <v>0</v>
      </c>
      <c r="FJ69">
        <v>834.5895769230769</v>
      </c>
      <c r="FK69">
        <v>-1.638598299516697</v>
      </c>
      <c r="FL69">
        <v>-1.908717877072875</v>
      </c>
      <c r="FM69">
        <v>6302.595</v>
      </c>
      <c r="FN69">
        <v>15</v>
      </c>
      <c r="FO69">
        <v>1765306842</v>
      </c>
      <c r="FP69" t="s">
        <v>598</v>
      </c>
      <c r="FQ69">
        <v>1765306841.5</v>
      </c>
      <c r="FR69">
        <v>1765306842</v>
      </c>
      <c r="FS69">
        <v>52</v>
      </c>
      <c r="FT69">
        <v>-0.203</v>
      </c>
      <c r="FU69">
        <v>0.002</v>
      </c>
      <c r="FV69">
        <v>1.02</v>
      </c>
      <c r="FW69">
        <v>0.076</v>
      </c>
      <c r="FX69">
        <v>1000</v>
      </c>
      <c r="FY69">
        <v>17</v>
      </c>
      <c r="FZ69">
        <v>0.78</v>
      </c>
      <c r="GA69">
        <v>0.23</v>
      </c>
      <c r="GB69">
        <v>-1.23248</v>
      </c>
      <c r="GC69">
        <v>0.04463639774859283</v>
      </c>
      <c r="GD69">
        <v>0.061061289619529</v>
      </c>
      <c r="GE69">
        <v>1</v>
      </c>
      <c r="GF69">
        <v>834.703205882353</v>
      </c>
      <c r="GG69">
        <v>-1.80319327790912</v>
      </c>
      <c r="GH69">
        <v>0.2694030197013755</v>
      </c>
      <c r="GI69">
        <v>0</v>
      </c>
      <c r="GJ69">
        <v>0.0827776325</v>
      </c>
      <c r="GK69">
        <v>-0.08378432757973731</v>
      </c>
      <c r="GL69">
        <v>0.01523061420945307</v>
      </c>
      <c r="GM69">
        <v>1</v>
      </c>
      <c r="GN69">
        <v>2</v>
      </c>
      <c r="GO69">
        <v>3</v>
      </c>
      <c r="GP69" t="s">
        <v>453</v>
      </c>
      <c r="GQ69">
        <v>3.10823</v>
      </c>
      <c r="GR69">
        <v>2.79165</v>
      </c>
      <c r="GS69">
        <v>0.159689</v>
      </c>
      <c r="GT69">
        <v>0.160024</v>
      </c>
      <c r="GU69">
        <v>0.0859533</v>
      </c>
      <c r="GV69">
        <v>0.0864268</v>
      </c>
      <c r="GW69">
        <v>22037.1</v>
      </c>
      <c r="GX69">
        <v>20003.9</v>
      </c>
      <c r="GY69">
        <v>26783.2</v>
      </c>
      <c r="GZ69">
        <v>24022.6</v>
      </c>
      <c r="HA69">
        <v>39135.8</v>
      </c>
      <c r="HB69">
        <v>32400.9</v>
      </c>
      <c r="HC69">
        <v>46746.3</v>
      </c>
      <c r="HD69">
        <v>37992.5</v>
      </c>
      <c r="HE69">
        <v>1.8802</v>
      </c>
      <c r="HF69">
        <v>1.83763</v>
      </c>
      <c r="HG69">
        <v>0.07033349999999999</v>
      </c>
      <c r="HH69">
        <v>0</v>
      </c>
      <c r="HI69">
        <v>23.8499</v>
      </c>
      <c r="HJ69">
        <v>999.9</v>
      </c>
      <c r="HK69">
        <v>36.6</v>
      </c>
      <c r="HL69">
        <v>32.9</v>
      </c>
      <c r="HM69">
        <v>20.4442</v>
      </c>
      <c r="HN69">
        <v>61.3338</v>
      </c>
      <c r="HO69">
        <v>27.9167</v>
      </c>
      <c r="HP69">
        <v>1</v>
      </c>
      <c r="HQ69">
        <v>0.0574848</v>
      </c>
      <c r="HR69">
        <v>1.06276</v>
      </c>
      <c r="HS69">
        <v>20.2928</v>
      </c>
      <c r="HT69">
        <v>5.22073</v>
      </c>
      <c r="HU69">
        <v>11.9794</v>
      </c>
      <c r="HV69">
        <v>4.96485</v>
      </c>
      <c r="HW69">
        <v>3.2758</v>
      </c>
      <c r="HX69">
        <v>9999</v>
      </c>
      <c r="HY69">
        <v>9999</v>
      </c>
      <c r="HZ69">
        <v>9999</v>
      </c>
      <c r="IA69">
        <v>999.9</v>
      </c>
      <c r="IB69">
        <v>1.86387</v>
      </c>
      <c r="IC69">
        <v>1.86006</v>
      </c>
      <c r="ID69">
        <v>1.85837</v>
      </c>
      <c r="IE69">
        <v>1.85974</v>
      </c>
      <c r="IF69">
        <v>1.85989</v>
      </c>
      <c r="IG69">
        <v>1.85837</v>
      </c>
      <c r="IH69">
        <v>1.85744</v>
      </c>
      <c r="II69">
        <v>1.85241</v>
      </c>
      <c r="IJ69">
        <v>0</v>
      </c>
      <c r="IK69">
        <v>0</v>
      </c>
      <c r="IL69">
        <v>0</v>
      </c>
      <c r="IM69">
        <v>0</v>
      </c>
      <c r="IN69" t="s">
        <v>441</v>
      </c>
      <c r="IO69" t="s">
        <v>442</v>
      </c>
      <c r="IP69" t="s">
        <v>443</v>
      </c>
      <c r="IQ69" t="s">
        <v>443</v>
      </c>
      <c r="IR69" t="s">
        <v>443</v>
      </c>
      <c r="IS69" t="s">
        <v>443</v>
      </c>
      <c r="IT69">
        <v>0</v>
      </c>
      <c r="IU69">
        <v>100</v>
      </c>
      <c r="IV69">
        <v>100</v>
      </c>
      <c r="IW69">
        <v>1.02</v>
      </c>
      <c r="IX69">
        <v>0.076</v>
      </c>
      <c r="IY69">
        <v>-0.01519614752976983</v>
      </c>
      <c r="IZ69">
        <v>0.0001583678016168383</v>
      </c>
      <c r="JA69">
        <v>1.526473431467286E-06</v>
      </c>
      <c r="JB69">
        <v>-4.446382740029455E-10</v>
      </c>
      <c r="JC69">
        <v>-0.04147647209044171</v>
      </c>
      <c r="JD69">
        <v>-0.009941991807247691</v>
      </c>
      <c r="JE69">
        <v>0.001256427533001032</v>
      </c>
      <c r="JF69">
        <v>-1.689728105039484E-05</v>
      </c>
      <c r="JG69">
        <v>2</v>
      </c>
      <c r="JH69">
        <v>1984</v>
      </c>
      <c r="JI69">
        <v>0</v>
      </c>
      <c r="JJ69">
        <v>25</v>
      </c>
      <c r="JK69">
        <v>1.5</v>
      </c>
      <c r="JL69">
        <v>1.6</v>
      </c>
      <c r="JM69">
        <v>2.28882</v>
      </c>
      <c r="JN69">
        <v>2.63184</v>
      </c>
      <c r="JO69">
        <v>1.49658</v>
      </c>
      <c r="JP69">
        <v>2.34741</v>
      </c>
      <c r="JQ69">
        <v>1.54907</v>
      </c>
      <c r="JR69">
        <v>2.36572</v>
      </c>
      <c r="JS69">
        <v>36.4578</v>
      </c>
      <c r="JT69">
        <v>24.14</v>
      </c>
      <c r="JU69">
        <v>18</v>
      </c>
      <c r="JV69">
        <v>477.184</v>
      </c>
      <c r="JW69">
        <v>478.23</v>
      </c>
      <c r="JX69">
        <v>23.1837</v>
      </c>
      <c r="JY69">
        <v>27.8847</v>
      </c>
      <c r="JZ69">
        <v>30.0001</v>
      </c>
      <c r="KA69">
        <v>28.1214</v>
      </c>
      <c r="KB69">
        <v>28.1188</v>
      </c>
      <c r="KC69">
        <v>45.9325</v>
      </c>
      <c r="KD69">
        <v>15.8376</v>
      </c>
      <c r="KE69">
        <v>23.5145</v>
      </c>
      <c r="KF69">
        <v>23.1633</v>
      </c>
      <c r="KG69">
        <v>1000</v>
      </c>
      <c r="KH69">
        <v>17.2735</v>
      </c>
      <c r="KI69">
        <v>102.225</v>
      </c>
      <c r="KJ69">
        <v>91.6365</v>
      </c>
    </row>
    <row r="70" spans="1:296">
      <c r="A70">
        <v>52</v>
      </c>
      <c r="B70">
        <v>1765306918</v>
      </c>
      <c r="C70">
        <v>9485</v>
      </c>
      <c r="D70" t="s">
        <v>599</v>
      </c>
      <c r="E70" t="s">
        <v>600</v>
      </c>
      <c r="F70">
        <v>5</v>
      </c>
      <c r="G70" t="s">
        <v>567</v>
      </c>
      <c r="H70">
        <v>1765306910</v>
      </c>
      <c r="I70">
        <f>(J70)/1000</f>
        <v>0</v>
      </c>
      <c r="J70">
        <f>IF(DO70, AM70, AG70)</f>
        <v>0</v>
      </c>
      <c r="K70">
        <f>IF(DO70, AH70, AF70)</f>
        <v>0</v>
      </c>
      <c r="L70">
        <f>DQ70 - IF(AT70&gt;1, K70*DK70*100.0/(AV70), 0)</f>
        <v>0</v>
      </c>
      <c r="M70">
        <f>((S70-I70/2)*L70-K70)/(S70+I70/2)</f>
        <v>0</v>
      </c>
      <c r="N70">
        <f>M70*(DX70+DY70)/1000.0</f>
        <v>0</v>
      </c>
      <c r="O70">
        <f>(DQ70 - IF(AT70&gt;1, K70*DK70*100.0/(AV70), 0))*(DX70+DY70)/1000.0</f>
        <v>0</v>
      </c>
      <c r="P70">
        <f>2.0/((1/R70-1/Q70)+SIGN(R70)*SQRT((1/R70-1/Q70)*(1/R70-1/Q70) + 4*DL70/((DL70+1)*(DL70+1))*(2*1/R70*1/Q70-1/Q70*1/Q70)))</f>
        <v>0</v>
      </c>
      <c r="Q70">
        <f>IF(LEFT(DM70,1)&lt;&gt;"0",IF(LEFT(DM70,1)="1",3.0,DN70),$D$5+$E$5*(EE70*DX70/($K$5*1000))+$F$5*(EE70*DX70/($K$5*1000))*MAX(MIN(DK70,$J$5),$I$5)*MAX(MIN(DK70,$J$5),$I$5)+$G$5*MAX(MIN(DK70,$J$5),$I$5)*(EE70*DX70/($K$5*1000))+$H$5*(EE70*DX70/($K$5*1000))*(EE70*DX70/($K$5*1000)))</f>
        <v>0</v>
      </c>
      <c r="R70">
        <f>I70*(1000-(1000*0.61365*exp(17.502*V70/(240.97+V70))/(DX70+DY70)+DS70)/2)/(1000*0.61365*exp(17.502*V70/(240.97+V70))/(DX70+DY70)-DS70)</f>
        <v>0</v>
      </c>
      <c r="S70">
        <f>1/((DL70+1)/(P70/1.6)+1/(Q70/1.37)) + DL70/((DL70+1)/(P70/1.6) + DL70/(Q70/1.37))</f>
        <v>0</v>
      </c>
      <c r="T70">
        <f>(DG70*DJ70)</f>
        <v>0</v>
      </c>
      <c r="U70">
        <f>(DZ70+(T70+2*0.95*5.67E-8*(((DZ70+$B$9)+273)^4-(DZ70+273)^4)-44100*I70)/(1.84*29.3*Q70+8*0.95*5.67E-8*(DZ70+273)^3))</f>
        <v>0</v>
      </c>
      <c r="V70">
        <f>($C$9*EA70+$D$9*EB70+$E$9*U70)</f>
        <v>0</v>
      </c>
      <c r="W70">
        <f>0.61365*exp(17.502*V70/(240.97+V70))</f>
        <v>0</v>
      </c>
      <c r="X70">
        <f>(Y70/Z70*100)</f>
        <v>0</v>
      </c>
      <c r="Y70">
        <f>DS70*(DX70+DY70)/1000</f>
        <v>0</v>
      </c>
      <c r="Z70">
        <f>0.61365*exp(17.502*DZ70/(240.97+DZ70))</f>
        <v>0</v>
      </c>
      <c r="AA70">
        <f>(W70-DS70*(DX70+DY70)/1000)</f>
        <v>0</v>
      </c>
      <c r="AB70">
        <f>(-I70*44100)</f>
        <v>0</v>
      </c>
      <c r="AC70">
        <f>2*29.3*Q70*0.92*(DZ70-V70)</f>
        <v>0</v>
      </c>
      <c r="AD70">
        <f>2*0.95*5.67E-8*(((DZ70+$B$9)+273)^4-(V70+273)^4)</f>
        <v>0</v>
      </c>
      <c r="AE70">
        <f>T70+AD70+AB70+AC70</f>
        <v>0</v>
      </c>
      <c r="AF70">
        <f>DW70*AT70*(DR70-DQ70*(1000-AT70*DT70)/(1000-AT70*DS70))/(100*DK70)</f>
        <v>0</v>
      </c>
      <c r="AG70">
        <f>1000*DW70*AT70*(DS70-DT70)/(100*DK70*(1000-AT70*DS70))</f>
        <v>0</v>
      </c>
      <c r="AH70">
        <f>(AI70 - AJ70 - DX70*1E3/(8.314*(DZ70+273.15)) * AL70/DW70 * AK70) * DW70/(100*DK70) * (1000 - DT70)/1000</f>
        <v>0</v>
      </c>
      <c r="AI70">
        <v>1221.136849800213</v>
      </c>
      <c r="AJ70">
        <v>1219.161454545455</v>
      </c>
      <c r="AK70">
        <v>-0.003128860076056489</v>
      </c>
      <c r="AL70">
        <v>65.84817219906724</v>
      </c>
      <c r="AM70">
        <f>(AO70 - AN70 + DX70*1E3/(8.314*(DZ70+273.15)) * AQ70/DW70 * AP70) * DW70/(100*DK70) * 1000/(1000 - AO70)</f>
        <v>0</v>
      </c>
      <c r="AN70">
        <v>17.26593142063767</v>
      </c>
      <c r="AO70">
        <v>17.3786</v>
      </c>
      <c r="AP70">
        <v>-6.59142188367304E-06</v>
      </c>
      <c r="AQ70">
        <v>108.5555249567574</v>
      </c>
      <c r="AR70">
        <v>1</v>
      </c>
      <c r="AS70">
        <v>0</v>
      </c>
      <c r="AT70">
        <f>IF(AR70*$H$15&gt;=AV70,1.0,(AV70/(AV70-AR70*$H$15)))</f>
        <v>0</v>
      </c>
      <c r="AU70">
        <f>(AT70-1)*100</f>
        <v>0</v>
      </c>
      <c r="AV70">
        <f>MAX(0,($B$15+$C$15*EE70)/(1+$D$15*EE70)*DX70/(DZ70+273)*$E$15)</f>
        <v>0</v>
      </c>
      <c r="AW70" t="s">
        <v>437</v>
      </c>
      <c r="AX70" t="s">
        <v>437</v>
      </c>
      <c r="AY70">
        <v>0</v>
      </c>
      <c r="AZ70">
        <v>0</v>
      </c>
      <c r="BA70">
        <f>1-AY70/AZ70</f>
        <v>0</v>
      </c>
      <c r="BB70">
        <v>0</v>
      </c>
      <c r="BC70" t="s">
        <v>437</v>
      </c>
      <c r="BD70" t="s">
        <v>437</v>
      </c>
      <c r="BE70">
        <v>0</v>
      </c>
      <c r="BF70">
        <v>0</v>
      </c>
      <c r="BG70">
        <f>1-BE70/BF70</f>
        <v>0</v>
      </c>
      <c r="BH70">
        <v>0.5</v>
      </c>
      <c r="BI70">
        <f>DH70</f>
        <v>0</v>
      </c>
      <c r="BJ70">
        <f>K70</f>
        <v>0</v>
      </c>
      <c r="BK70">
        <f>BG70*BH70*BI70</f>
        <v>0</v>
      </c>
      <c r="BL70">
        <f>(BJ70-BB70)/BI70</f>
        <v>0</v>
      </c>
      <c r="BM70">
        <f>(AZ70-BF70)/BF70</f>
        <v>0</v>
      </c>
      <c r="BN70">
        <f>AY70/(BA70+AY70/BF70)</f>
        <v>0</v>
      </c>
      <c r="BO70" t="s">
        <v>437</v>
      </c>
      <c r="BP70">
        <v>0</v>
      </c>
      <c r="BQ70">
        <f>IF(BP70&lt;&gt;0, BP70, BN70)</f>
        <v>0</v>
      </c>
      <c r="BR70">
        <f>1-BQ70/BF70</f>
        <v>0</v>
      </c>
      <c r="BS70">
        <f>(BF70-BE70)/(BF70-BQ70)</f>
        <v>0</v>
      </c>
      <c r="BT70">
        <f>(AZ70-BF70)/(AZ70-BQ70)</f>
        <v>0</v>
      </c>
      <c r="BU70">
        <f>(BF70-BE70)/(BF70-AY70)</f>
        <v>0</v>
      </c>
      <c r="BV70">
        <f>(AZ70-BF70)/(AZ70-AY70)</f>
        <v>0</v>
      </c>
      <c r="BW70">
        <f>(BS70*BQ70/BE70)</f>
        <v>0</v>
      </c>
      <c r="BX70">
        <f>(1-BW70)</f>
        <v>0</v>
      </c>
      <c r="DG70">
        <f>$B$13*EF70+$C$13*EG70+$F$13*ER70*(1-EU70)</f>
        <v>0</v>
      </c>
      <c r="DH70">
        <f>DG70*DI70</f>
        <v>0</v>
      </c>
      <c r="DI70">
        <f>($B$13*$D$11+$C$13*$D$11+$F$13*((FE70+EW70)/MAX(FE70+EW70+FF70, 0.1)*$I$11+FF70/MAX(FE70+EW70+FF70, 0.1)*$J$11))/($B$13+$C$13+$F$13)</f>
        <v>0</v>
      </c>
      <c r="DJ70">
        <f>($B$13*$K$11+$C$13*$K$11+$F$13*((FE70+EW70)/MAX(FE70+EW70+FF70, 0.1)*$P$11+FF70/MAX(FE70+EW70+FF70, 0.1)*$Q$11))/($B$13+$C$13+$F$13)</f>
        <v>0</v>
      </c>
      <c r="DK70">
        <v>5.66</v>
      </c>
      <c r="DL70">
        <v>0.5</v>
      </c>
      <c r="DM70" t="s">
        <v>438</v>
      </c>
      <c r="DN70">
        <v>2</v>
      </c>
      <c r="DO70" t="b">
        <v>1</v>
      </c>
      <c r="DP70">
        <v>1765306910</v>
      </c>
      <c r="DQ70">
        <v>1198.076225806451</v>
      </c>
      <c r="DR70">
        <v>1199.985161290323</v>
      </c>
      <c r="DS70">
        <v>17.38433225806451</v>
      </c>
      <c r="DT70">
        <v>17.27018709677419</v>
      </c>
      <c r="DU70">
        <v>1196.593225806452</v>
      </c>
      <c r="DV70">
        <v>17.30933225806452</v>
      </c>
      <c r="DW70">
        <v>499.9883225806451</v>
      </c>
      <c r="DX70">
        <v>89.92992903225804</v>
      </c>
      <c r="DY70">
        <v>0.09991085806451613</v>
      </c>
      <c r="DZ70">
        <v>24.78554838709678</v>
      </c>
      <c r="EA70">
        <v>25.01128709677419</v>
      </c>
      <c r="EB70">
        <v>999.9000000000003</v>
      </c>
      <c r="EC70">
        <v>0</v>
      </c>
      <c r="ED70">
        <v>0</v>
      </c>
      <c r="EE70">
        <v>10002.46225806452</v>
      </c>
      <c r="EF70">
        <v>0</v>
      </c>
      <c r="EG70">
        <v>9.289249999999997</v>
      </c>
      <c r="EH70">
        <v>-1.997144193548387</v>
      </c>
      <c r="EI70">
        <v>1219.185161290323</v>
      </c>
      <c r="EJ70">
        <v>1221.072903225807</v>
      </c>
      <c r="EK70">
        <v>0.1164738709677419</v>
      </c>
      <c r="EL70">
        <v>1199.985161290323</v>
      </c>
      <c r="EM70">
        <v>17.27018709677419</v>
      </c>
      <c r="EN70">
        <v>1.563581290322581</v>
      </c>
      <c r="EO70">
        <v>1.553106774193548</v>
      </c>
      <c r="EP70">
        <v>13.6045</v>
      </c>
      <c r="EQ70">
        <v>13.50124838709677</v>
      </c>
      <c r="ER70">
        <v>800.0392903225804</v>
      </c>
      <c r="ES70">
        <v>0.9499952258064515</v>
      </c>
      <c r="ET70">
        <v>0.05000510322580645</v>
      </c>
      <c r="EU70">
        <v>0</v>
      </c>
      <c r="EV70">
        <v>831.4372258064516</v>
      </c>
      <c r="EW70">
        <v>5.000779999999999</v>
      </c>
      <c r="EX70">
        <v>6297.412903225808</v>
      </c>
      <c r="EY70">
        <v>6463.726129032258</v>
      </c>
      <c r="EZ70">
        <v>37.47348387096774</v>
      </c>
      <c r="FA70">
        <v>41.05419354838708</v>
      </c>
      <c r="FB70">
        <v>39.4292258064516</v>
      </c>
      <c r="FC70">
        <v>41.51996774193547</v>
      </c>
      <c r="FD70">
        <v>39.41096774193547</v>
      </c>
      <c r="FE70">
        <v>755.2829032258064</v>
      </c>
      <c r="FF70">
        <v>39.7558064516129</v>
      </c>
      <c r="FG70">
        <v>0</v>
      </c>
      <c r="FH70">
        <v>1765306917.5</v>
      </c>
      <c r="FI70">
        <v>0</v>
      </c>
      <c r="FJ70">
        <v>831.44772</v>
      </c>
      <c r="FK70">
        <v>0.1418461315179619</v>
      </c>
      <c r="FL70">
        <v>-21.63846146776422</v>
      </c>
      <c r="FM70">
        <v>6296.914000000001</v>
      </c>
      <c r="FN70">
        <v>15</v>
      </c>
      <c r="FO70">
        <v>1765306941.5</v>
      </c>
      <c r="FP70" t="s">
        <v>601</v>
      </c>
      <c r="FQ70">
        <v>1765306941.5</v>
      </c>
      <c r="FR70">
        <v>1765306934</v>
      </c>
      <c r="FS70">
        <v>53</v>
      </c>
      <c r="FT70">
        <v>0.08500000000000001</v>
      </c>
      <c r="FU70">
        <v>0</v>
      </c>
      <c r="FV70">
        <v>1.483</v>
      </c>
      <c r="FW70">
        <v>0.075</v>
      </c>
      <c r="FX70">
        <v>1200</v>
      </c>
      <c r="FY70">
        <v>17</v>
      </c>
      <c r="FZ70">
        <v>1.28</v>
      </c>
      <c r="GA70">
        <v>0.14</v>
      </c>
      <c r="GB70">
        <v>-2.02346725</v>
      </c>
      <c r="GC70">
        <v>0.3025718949343375</v>
      </c>
      <c r="GD70">
        <v>0.08041233319545889</v>
      </c>
      <c r="GE70">
        <v>1</v>
      </c>
      <c r="GF70">
        <v>831.4843235294118</v>
      </c>
      <c r="GG70">
        <v>-0.4533078780587269</v>
      </c>
      <c r="GH70">
        <v>0.205304898166295</v>
      </c>
      <c r="GI70">
        <v>1</v>
      </c>
      <c r="GJ70">
        <v>0.118564325</v>
      </c>
      <c r="GK70">
        <v>-0.04020104690431538</v>
      </c>
      <c r="GL70">
        <v>0.004226218063396044</v>
      </c>
      <c r="GM70">
        <v>1</v>
      </c>
      <c r="GN70">
        <v>3</v>
      </c>
      <c r="GO70">
        <v>3</v>
      </c>
      <c r="GP70" t="s">
        <v>440</v>
      </c>
      <c r="GQ70">
        <v>3.1083</v>
      </c>
      <c r="GR70">
        <v>2.79177</v>
      </c>
      <c r="GS70">
        <v>0.179028</v>
      </c>
      <c r="GT70">
        <v>0.179444</v>
      </c>
      <c r="GU70">
        <v>0.085817</v>
      </c>
      <c r="GV70">
        <v>0.0862079</v>
      </c>
      <c r="GW70">
        <v>21531.2</v>
      </c>
      <c r="GX70">
        <v>19542.5</v>
      </c>
      <c r="GY70">
        <v>26784.4</v>
      </c>
      <c r="GZ70">
        <v>24023.6</v>
      </c>
      <c r="HA70">
        <v>39145.8</v>
      </c>
      <c r="HB70">
        <v>32412.4</v>
      </c>
      <c r="HC70">
        <v>46748.4</v>
      </c>
      <c r="HD70">
        <v>37994.4</v>
      </c>
      <c r="HE70">
        <v>1.8805</v>
      </c>
      <c r="HF70">
        <v>1.83862</v>
      </c>
      <c r="HG70">
        <v>0.0724979</v>
      </c>
      <c r="HH70">
        <v>0</v>
      </c>
      <c r="HI70">
        <v>23.8211</v>
      </c>
      <c r="HJ70">
        <v>999.9</v>
      </c>
      <c r="HK70">
        <v>36.7</v>
      </c>
      <c r="HL70">
        <v>32.8</v>
      </c>
      <c r="HM70">
        <v>20.3863</v>
      </c>
      <c r="HN70">
        <v>61.1238</v>
      </c>
      <c r="HO70">
        <v>27.7003</v>
      </c>
      <c r="HP70">
        <v>1</v>
      </c>
      <c r="HQ70">
        <v>0.0561636</v>
      </c>
      <c r="HR70">
        <v>1.13288</v>
      </c>
      <c r="HS70">
        <v>20.2904</v>
      </c>
      <c r="HT70">
        <v>5.22058</v>
      </c>
      <c r="HU70">
        <v>11.9779</v>
      </c>
      <c r="HV70">
        <v>4.9649</v>
      </c>
      <c r="HW70">
        <v>3.2759</v>
      </c>
      <c r="HX70">
        <v>9999</v>
      </c>
      <c r="HY70">
        <v>9999</v>
      </c>
      <c r="HZ70">
        <v>9999</v>
      </c>
      <c r="IA70">
        <v>999.9</v>
      </c>
      <c r="IB70">
        <v>1.8639</v>
      </c>
      <c r="IC70">
        <v>1.86007</v>
      </c>
      <c r="ID70">
        <v>1.85837</v>
      </c>
      <c r="IE70">
        <v>1.85974</v>
      </c>
      <c r="IF70">
        <v>1.85988</v>
      </c>
      <c r="IG70">
        <v>1.85837</v>
      </c>
      <c r="IH70">
        <v>1.85744</v>
      </c>
      <c r="II70">
        <v>1.8524</v>
      </c>
      <c r="IJ70">
        <v>0</v>
      </c>
      <c r="IK70">
        <v>0</v>
      </c>
      <c r="IL70">
        <v>0</v>
      </c>
      <c r="IM70">
        <v>0</v>
      </c>
      <c r="IN70" t="s">
        <v>441</v>
      </c>
      <c r="IO70" t="s">
        <v>442</v>
      </c>
      <c r="IP70" t="s">
        <v>443</v>
      </c>
      <c r="IQ70" t="s">
        <v>443</v>
      </c>
      <c r="IR70" t="s">
        <v>443</v>
      </c>
      <c r="IS70" t="s">
        <v>443</v>
      </c>
      <c r="IT70">
        <v>0</v>
      </c>
      <c r="IU70">
        <v>100</v>
      </c>
      <c r="IV70">
        <v>100</v>
      </c>
      <c r="IW70">
        <v>1.483</v>
      </c>
      <c r="IX70">
        <v>0.075</v>
      </c>
      <c r="IY70">
        <v>-0.2187684459728652</v>
      </c>
      <c r="IZ70">
        <v>0.0001583678016168383</v>
      </c>
      <c r="JA70">
        <v>1.526473431467286E-06</v>
      </c>
      <c r="JB70">
        <v>-4.446382740029455E-10</v>
      </c>
      <c r="JC70">
        <v>-0.03939120922491858</v>
      </c>
      <c r="JD70">
        <v>-0.009941991807247691</v>
      </c>
      <c r="JE70">
        <v>0.001256427533001032</v>
      </c>
      <c r="JF70">
        <v>-1.689728105039484E-05</v>
      </c>
      <c r="JG70">
        <v>2</v>
      </c>
      <c r="JH70">
        <v>1984</v>
      </c>
      <c r="JI70">
        <v>0</v>
      </c>
      <c r="JJ70">
        <v>25</v>
      </c>
      <c r="JK70">
        <v>1.3</v>
      </c>
      <c r="JL70">
        <v>1.3</v>
      </c>
      <c r="JM70">
        <v>2.65015</v>
      </c>
      <c r="JN70">
        <v>2.61353</v>
      </c>
      <c r="JO70">
        <v>1.49658</v>
      </c>
      <c r="JP70">
        <v>2.34741</v>
      </c>
      <c r="JQ70">
        <v>1.54907</v>
      </c>
      <c r="JR70">
        <v>2.41699</v>
      </c>
      <c r="JS70">
        <v>36.4107</v>
      </c>
      <c r="JT70">
        <v>24.14</v>
      </c>
      <c r="JU70">
        <v>18</v>
      </c>
      <c r="JV70">
        <v>477.375</v>
      </c>
      <c r="JW70">
        <v>478.91</v>
      </c>
      <c r="JX70">
        <v>23.0809</v>
      </c>
      <c r="JY70">
        <v>27.8752</v>
      </c>
      <c r="JZ70">
        <v>30</v>
      </c>
      <c r="KA70">
        <v>28.1239</v>
      </c>
      <c r="KB70">
        <v>28.1235</v>
      </c>
      <c r="KC70">
        <v>53.1872</v>
      </c>
      <c r="KD70">
        <v>16.1091</v>
      </c>
      <c r="KE70">
        <v>23.8894</v>
      </c>
      <c r="KF70">
        <v>23.072</v>
      </c>
      <c r="KG70">
        <v>1200</v>
      </c>
      <c r="KH70">
        <v>17.277</v>
      </c>
      <c r="KI70">
        <v>102.23</v>
      </c>
      <c r="KJ70">
        <v>91.64100000000001</v>
      </c>
    </row>
    <row r="71" spans="1:296">
      <c r="A71">
        <v>53</v>
      </c>
      <c r="B71">
        <v>1765307020</v>
      </c>
      <c r="C71">
        <v>9587</v>
      </c>
      <c r="D71" t="s">
        <v>602</v>
      </c>
      <c r="E71" t="s">
        <v>603</v>
      </c>
      <c r="F71">
        <v>5</v>
      </c>
      <c r="G71" t="s">
        <v>567</v>
      </c>
      <c r="H71">
        <v>1765307012.25</v>
      </c>
      <c r="I71">
        <f>(J71)/1000</f>
        <v>0</v>
      </c>
      <c r="J71">
        <f>IF(DO71, AM71, AG71)</f>
        <v>0</v>
      </c>
      <c r="K71">
        <f>IF(DO71, AH71, AF71)</f>
        <v>0</v>
      </c>
      <c r="L71">
        <f>DQ71 - IF(AT71&gt;1, K71*DK71*100.0/(AV71), 0)</f>
        <v>0</v>
      </c>
      <c r="M71">
        <f>((S71-I71/2)*L71-K71)/(S71+I71/2)</f>
        <v>0</v>
      </c>
      <c r="N71">
        <f>M71*(DX71+DY71)/1000.0</f>
        <v>0</v>
      </c>
      <c r="O71">
        <f>(DQ71 - IF(AT71&gt;1, K71*DK71*100.0/(AV71), 0))*(DX71+DY71)/1000.0</f>
        <v>0</v>
      </c>
      <c r="P71">
        <f>2.0/((1/R71-1/Q71)+SIGN(R71)*SQRT((1/R71-1/Q71)*(1/R71-1/Q71) + 4*DL71/((DL71+1)*(DL71+1))*(2*1/R71*1/Q71-1/Q71*1/Q71)))</f>
        <v>0</v>
      </c>
      <c r="Q71">
        <f>IF(LEFT(DM71,1)&lt;&gt;"0",IF(LEFT(DM71,1)="1",3.0,DN71),$D$5+$E$5*(EE71*DX71/($K$5*1000))+$F$5*(EE71*DX71/($K$5*1000))*MAX(MIN(DK71,$J$5),$I$5)*MAX(MIN(DK71,$J$5),$I$5)+$G$5*MAX(MIN(DK71,$J$5),$I$5)*(EE71*DX71/($K$5*1000))+$H$5*(EE71*DX71/($K$5*1000))*(EE71*DX71/($K$5*1000)))</f>
        <v>0</v>
      </c>
      <c r="R71">
        <f>I71*(1000-(1000*0.61365*exp(17.502*V71/(240.97+V71))/(DX71+DY71)+DS71)/2)/(1000*0.61365*exp(17.502*V71/(240.97+V71))/(DX71+DY71)-DS71)</f>
        <v>0</v>
      </c>
      <c r="S71">
        <f>1/((DL71+1)/(P71/1.6)+1/(Q71/1.37)) + DL71/((DL71+1)/(P71/1.6) + DL71/(Q71/1.37))</f>
        <v>0</v>
      </c>
      <c r="T71">
        <f>(DG71*DJ71)</f>
        <v>0</v>
      </c>
      <c r="U71">
        <f>(DZ71+(T71+2*0.95*5.67E-8*(((DZ71+$B$9)+273)^4-(DZ71+273)^4)-44100*I71)/(1.84*29.3*Q71+8*0.95*5.67E-8*(DZ71+273)^3))</f>
        <v>0</v>
      </c>
      <c r="V71">
        <f>($C$9*EA71+$D$9*EB71+$E$9*U71)</f>
        <v>0</v>
      </c>
      <c r="W71">
        <f>0.61365*exp(17.502*V71/(240.97+V71))</f>
        <v>0</v>
      </c>
      <c r="X71">
        <f>(Y71/Z71*100)</f>
        <v>0</v>
      </c>
      <c r="Y71">
        <f>DS71*(DX71+DY71)/1000</f>
        <v>0</v>
      </c>
      <c r="Z71">
        <f>0.61365*exp(17.502*DZ71/(240.97+DZ71))</f>
        <v>0</v>
      </c>
      <c r="AA71">
        <f>(W71-DS71*(DX71+DY71)/1000)</f>
        <v>0</v>
      </c>
      <c r="AB71">
        <f>(-I71*44100)</f>
        <v>0</v>
      </c>
      <c r="AC71">
        <f>2*29.3*Q71*0.92*(DZ71-V71)</f>
        <v>0</v>
      </c>
      <c r="AD71">
        <f>2*0.95*5.67E-8*(((DZ71+$B$9)+273)^4-(V71+273)^4)</f>
        <v>0</v>
      </c>
      <c r="AE71">
        <f>T71+AD71+AB71+AC71</f>
        <v>0</v>
      </c>
      <c r="AF71">
        <f>DW71*AT71*(DR71-DQ71*(1000-AT71*DT71)/(1000-AT71*DS71))/(100*DK71)</f>
        <v>0</v>
      </c>
      <c r="AG71">
        <f>1000*DW71*AT71*(DS71-DT71)/(100*DK71*(1000-AT71*DS71))</f>
        <v>0</v>
      </c>
      <c r="AH71">
        <f>(AI71 - AJ71 - DX71*1E3/(8.314*(DZ71+273.15)) * AL71/DW71 * AK71) * DW71/(100*DK71) * (1000 - DT71)/1000</f>
        <v>0</v>
      </c>
      <c r="AI71">
        <v>1526.422303030302</v>
      </c>
      <c r="AJ71">
        <v>1523.806606060607</v>
      </c>
      <c r="AK71">
        <v>0.006911366502513271</v>
      </c>
      <c r="AL71">
        <v>64.62773896392275</v>
      </c>
      <c r="AM71">
        <f>(AO71 - AN71 + DX71*1E3/(8.314*(DZ71+273.15)) * AQ71/DW71 * AP71) * DW71/(100*DK71) * 1000/(1000 - AO71)</f>
        <v>0</v>
      </c>
      <c r="AN71">
        <v>17.31775272727272</v>
      </c>
      <c r="AO71">
        <v>17.41465272727272</v>
      </c>
      <c r="AP71">
        <v>3.070117230537412E-06</v>
      </c>
      <c r="AQ71">
        <v>102.6141323724824</v>
      </c>
      <c r="AR71">
        <v>1</v>
      </c>
      <c r="AS71">
        <v>0</v>
      </c>
      <c r="AT71">
        <f>IF(AR71*$H$15&gt;=AV71,1.0,(AV71/(AV71-AR71*$H$15)))</f>
        <v>0</v>
      </c>
      <c r="AU71">
        <f>(AT71-1)*100</f>
        <v>0</v>
      </c>
      <c r="AV71">
        <f>MAX(0,($B$15+$C$15*EE71)/(1+$D$15*EE71)*DX71/(DZ71+273)*$E$15)</f>
        <v>0</v>
      </c>
      <c r="AW71" t="s">
        <v>437</v>
      </c>
      <c r="AX71" t="s">
        <v>437</v>
      </c>
      <c r="AY71">
        <v>0</v>
      </c>
      <c r="AZ71">
        <v>0</v>
      </c>
      <c r="BA71">
        <f>1-AY71/AZ71</f>
        <v>0</v>
      </c>
      <c r="BB71">
        <v>0</v>
      </c>
      <c r="BC71" t="s">
        <v>437</v>
      </c>
      <c r="BD71" t="s">
        <v>437</v>
      </c>
      <c r="BE71">
        <v>0</v>
      </c>
      <c r="BF71">
        <v>0</v>
      </c>
      <c r="BG71">
        <f>1-BE71/BF71</f>
        <v>0</v>
      </c>
      <c r="BH71">
        <v>0.5</v>
      </c>
      <c r="BI71">
        <f>DH71</f>
        <v>0</v>
      </c>
      <c r="BJ71">
        <f>K71</f>
        <v>0</v>
      </c>
      <c r="BK71">
        <f>BG71*BH71*BI71</f>
        <v>0</v>
      </c>
      <c r="BL71">
        <f>(BJ71-BB71)/BI71</f>
        <v>0</v>
      </c>
      <c r="BM71">
        <f>(AZ71-BF71)/BF71</f>
        <v>0</v>
      </c>
      <c r="BN71">
        <f>AY71/(BA71+AY71/BF71)</f>
        <v>0</v>
      </c>
      <c r="BO71" t="s">
        <v>437</v>
      </c>
      <c r="BP71">
        <v>0</v>
      </c>
      <c r="BQ71">
        <f>IF(BP71&lt;&gt;0, BP71, BN71)</f>
        <v>0</v>
      </c>
      <c r="BR71">
        <f>1-BQ71/BF71</f>
        <v>0</v>
      </c>
      <c r="BS71">
        <f>(BF71-BE71)/(BF71-BQ71)</f>
        <v>0</v>
      </c>
      <c r="BT71">
        <f>(AZ71-BF71)/(AZ71-BQ71)</f>
        <v>0</v>
      </c>
      <c r="BU71">
        <f>(BF71-BE71)/(BF71-AY71)</f>
        <v>0</v>
      </c>
      <c r="BV71">
        <f>(AZ71-BF71)/(AZ71-AY71)</f>
        <v>0</v>
      </c>
      <c r="BW71">
        <f>(BS71*BQ71/BE71)</f>
        <v>0</v>
      </c>
      <c r="BX71">
        <f>(1-BW71)</f>
        <v>0</v>
      </c>
      <c r="DG71">
        <f>$B$13*EF71+$C$13*EG71+$F$13*ER71*(1-EU71)</f>
        <v>0</v>
      </c>
      <c r="DH71">
        <f>DG71*DI71</f>
        <v>0</v>
      </c>
      <c r="DI71">
        <f>($B$13*$D$11+$C$13*$D$11+$F$13*((FE71+EW71)/MAX(FE71+EW71+FF71, 0.1)*$I$11+FF71/MAX(FE71+EW71+FF71, 0.1)*$J$11))/($B$13+$C$13+$F$13)</f>
        <v>0</v>
      </c>
      <c r="DJ71">
        <f>($B$13*$K$11+$C$13*$K$11+$F$13*((FE71+EW71)/MAX(FE71+EW71+FF71, 0.1)*$P$11+FF71/MAX(FE71+EW71+FF71, 0.1)*$Q$11))/($B$13+$C$13+$F$13)</f>
        <v>0</v>
      </c>
      <c r="DK71">
        <v>5.66</v>
      </c>
      <c r="DL71">
        <v>0.5</v>
      </c>
      <c r="DM71" t="s">
        <v>438</v>
      </c>
      <c r="DN71">
        <v>2</v>
      </c>
      <c r="DO71" t="b">
        <v>1</v>
      </c>
      <c r="DP71">
        <v>1765307012.25</v>
      </c>
      <c r="DQ71">
        <v>1497.575333333334</v>
      </c>
      <c r="DR71">
        <v>1499.99</v>
      </c>
      <c r="DS71">
        <v>17.40382333333333</v>
      </c>
      <c r="DT71">
        <v>17.31436</v>
      </c>
      <c r="DU71">
        <v>1495.306333333334</v>
      </c>
      <c r="DV71">
        <v>17.32582333333333</v>
      </c>
      <c r="DW71">
        <v>500.0054333333334</v>
      </c>
      <c r="DX71">
        <v>89.93937000000001</v>
      </c>
      <c r="DY71">
        <v>0.10003392</v>
      </c>
      <c r="DZ71">
        <v>24.77678333333334</v>
      </c>
      <c r="EA71">
        <v>24.99628666666667</v>
      </c>
      <c r="EB71">
        <v>999.9000000000002</v>
      </c>
      <c r="EC71">
        <v>0</v>
      </c>
      <c r="ED71">
        <v>0</v>
      </c>
      <c r="EE71">
        <v>9994.645333333332</v>
      </c>
      <c r="EF71">
        <v>0</v>
      </c>
      <c r="EG71">
        <v>9.228540000000002</v>
      </c>
      <c r="EH71">
        <v>-2.654326333333333</v>
      </c>
      <c r="EI71">
        <v>1523.855333333333</v>
      </c>
      <c r="EJ71">
        <v>1526.418</v>
      </c>
      <c r="EK71">
        <v>0.08917712999999999</v>
      </c>
      <c r="EL71">
        <v>1499.99</v>
      </c>
      <c r="EM71">
        <v>17.31436</v>
      </c>
      <c r="EN71">
        <v>1.565263333333333</v>
      </c>
      <c r="EO71">
        <v>1.557241</v>
      </c>
      <c r="EP71">
        <v>13.62101333333333</v>
      </c>
      <c r="EQ71">
        <v>13.54208666666667</v>
      </c>
      <c r="ER71">
        <v>800.0088999999999</v>
      </c>
      <c r="ES71">
        <v>0.9500081333333334</v>
      </c>
      <c r="ET71">
        <v>0.04999196333333333</v>
      </c>
      <c r="EU71">
        <v>0</v>
      </c>
      <c r="EV71">
        <v>830.7195333333333</v>
      </c>
      <c r="EW71">
        <v>5.00078</v>
      </c>
      <c r="EX71">
        <v>6273.170666666666</v>
      </c>
      <c r="EY71">
        <v>6463.507333333333</v>
      </c>
      <c r="EZ71">
        <v>36.6914</v>
      </c>
      <c r="FA71">
        <v>39.1914</v>
      </c>
      <c r="FB71">
        <v>38.34973333333333</v>
      </c>
      <c r="FC71">
        <v>39.02466666666665</v>
      </c>
      <c r="FD71">
        <v>38.2456</v>
      </c>
      <c r="FE71">
        <v>755.2639999999999</v>
      </c>
      <c r="FF71">
        <v>39.74033333333333</v>
      </c>
      <c r="FG71">
        <v>0</v>
      </c>
      <c r="FH71">
        <v>1765307019.5</v>
      </c>
      <c r="FI71">
        <v>0</v>
      </c>
      <c r="FJ71">
        <v>830.7445200000002</v>
      </c>
      <c r="FK71">
        <v>0.2799230783824725</v>
      </c>
      <c r="FL71">
        <v>-6.367692232566271</v>
      </c>
      <c r="FM71">
        <v>6273.063999999999</v>
      </c>
      <c r="FN71">
        <v>15</v>
      </c>
      <c r="FO71">
        <v>1765307049.5</v>
      </c>
      <c r="FP71" t="s">
        <v>604</v>
      </c>
      <c r="FQ71">
        <v>1765307049.5</v>
      </c>
      <c r="FR71">
        <v>1765307037</v>
      </c>
      <c r="FS71">
        <v>54</v>
      </c>
      <c r="FT71">
        <v>0.234</v>
      </c>
      <c r="FU71">
        <v>0.002</v>
      </c>
      <c r="FV71">
        <v>2.269</v>
      </c>
      <c r="FW71">
        <v>0.078</v>
      </c>
      <c r="FX71">
        <v>1500</v>
      </c>
      <c r="FY71">
        <v>17</v>
      </c>
      <c r="FZ71">
        <v>0.54</v>
      </c>
      <c r="GA71">
        <v>0.13</v>
      </c>
      <c r="GB71">
        <v>-2.671818</v>
      </c>
      <c r="GC71">
        <v>0.4623669793621107</v>
      </c>
      <c r="GD71">
        <v>0.06408714540373912</v>
      </c>
      <c r="GE71">
        <v>1</v>
      </c>
      <c r="GF71">
        <v>830.724794117647</v>
      </c>
      <c r="GG71">
        <v>0.3435446962987233</v>
      </c>
      <c r="GH71">
        <v>0.244103856803973</v>
      </c>
      <c r="GI71">
        <v>1</v>
      </c>
      <c r="GJ71">
        <v>0.094521145</v>
      </c>
      <c r="GK71">
        <v>-0.06114782589118228</v>
      </c>
      <c r="GL71">
        <v>0.01058637402900422</v>
      </c>
      <c r="GM71">
        <v>1</v>
      </c>
      <c r="GN71">
        <v>3</v>
      </c>
      <c r="GO71">
        <v>3</v>
      </c>
      <c r="GP71" t="s">
        <v>440</v>
      </c>
      <c r="GQ71">
        <v>3.10839</v>
      </c>
      <c r="GR71">
        <v>2.79151</v>
      </c>
      <c r="GS71">
        <v>0.204885</v>
      </c>
      <c r="GT71">
        <v>0.205409</v>
      </c>
      <c r="GU71">
        <v>0.0859519</v>
      </c>
      <c r="GV71">
        <v>0.0864032</v>
      </c>
      <c r="GW71">
        <v>20853</v>
      </c>
      <c r="GX71">
        <v>18924.4</v>
      </c>
      <c r="GY71">
        <v>26783.8</v>
      </c>
      <c r="GZ71">
        <v>24023.5</v>
      </c>
      <c r="HA71">
        <v>39142.7</v>
      </c>
      <c r="HB71">
        <v>32408.4</v>
      </c>
      <c r="HC71">
        <v>46747.8</v>
      </c>
      <c r="HD71">
        <v>37994.8</v>
      </c>
      <c r="HE71">
        <v>1.88115</v>
      </c>
      <c r="HF71">
        <v>1.84035</v>
      </c>
      <c r="HG71">
        <v>0.0730716</v>
      </c>
      <c r="HH71">
        <v>0</v>
      </c>
      <c r="HI71">
        <v>23.7881</v>
      </c>
      <c r="HJ71">
        <v>999.9</v>
      </c>
      <c r="HK71">
        <v>36.8</v>
      </c>
      <c r="HL71">
        <v>32.8</v>
      </c>
      <c r="HM71">
        <v>20.4418</v>
      </c>
      <c r="HN71">
        <v>61.7238</v>
      </c>
      <c r="HO71">
        <v>27.8446</v>
      </c>
      <c r="HP71">
        <v>1</v>
      </c>
      <c r="HQ71">
        <v>0.0549263</v>
      </c>
      <c r="HR71">
        <v>1.02472</v>
      </c>
      <c r="HS71">
        <v>20.2906</v>
      </c>
      <c r="HT71">
        <v>5.21834</v>
      </c>
      <c r="HU71">
        <v>11.9787</v>
      </c>
      <c r="HV71">
        <v>4.9647</v>
      </c>
      <c r="HW71">
        <v>3.27518</v>
      </c>
      <c r="HX71">
        <v>9999</v>
      </c>
      <c r="HY71">
        <v>9999</v>
      </c>
      <c r="HZ71">
        <v>9999</v>
      </c>
      <c r="IA71">
        <v>999.9</v>
      </c>
      <c r="IB71">
        <v>1.86389</v>
      </c>
      <c r="IC71">
        <v>1.86007</v>
      </c>
      <c r="ID71">
        <v>1.85838</v>
      </c>
      <c r="IE71">
        <v>1.85974</v>
      </c>
      <c r="IF71">
        <v>1.85985</v>
      </c>
      <c r="IG71">
        <v>1.85837</v>
      </c>
      <c r="IH71">
        <v>1.85743</v>
      </c>
      <c r="II71">
        <v>1.85241</v>
      </c>
      <c r="IJ71">
        <v>0</v>
      </c>
      <c r="IK71">
        <v>0</v>
      </c>
      <c r="IL71">
        <v>0</v>
      </c>
      <c r="IM71">
        <v>0</v>
      </c>
      <c r="IN71" t="s">
        <v>441</v>
      </c>
      <c r="IO71" t="s">
        <v>442</v>
      </c>
      <c r="IP71" t="s">
        <v>443</v>
      </c>
      <c r="IQ71" t="s">
        <v>443</v>
      </c>
      <c r="IR71" t="s">
        <v>443</v>
      </c>
      <c r="IS71" t="s">
        <v>443</v>
      </c>
      <c r="IT71">
        <v>0</v>
      </c>
      <c r="IU71">
        <v>100</v>
      </c>
      <c r="IV71">
        <v>100</v>
      </c>
      <c r="IW71">
        <v>2.269</v>
      </c>
      <c r="IX71">
        <v>0.078</v>
      </c>
      <c r="IY71">
        <v>-0.1343130067585449</v>
      </c>
      <c r="IZ71">
        <v>0.0001583678016168383</v>
      </c>
      <c r="JA71">
        <v>1.526473431467286E-06</v>
      </c>
      <c r="JB71">
        <v>-4.446382740029455E-10</v>
      </c>
      <c r="JC71">
        <v>-0.03932124181001137</v>
      </c>
      <c r="JD71">
        <v>-0.009941991807247691</v>
      </c>
      <c r="JE71">
        <v>0.001256427533001032</v>
      </c>
      <c r="JF71">
        <v>-1.689728105039484E-05</v>
      </c>
      <c r="JG71">
        <v>2</v>
      </c>
      <c r="JH71">
        <v>1984</v>
      </c>
      <c r="JI71">
        <v>0</v>
      </c>
      <c r="JJ71">
        <v>25</v>
      </c>
      <c r="JK71">
        <v>1.3</v>
      </c>
      <c r="JL71">
        <v>1.4</v>
      </c>
      <c r="JM71">
        <v>3.16528</v>
      </c>
      <c r="JN71">
        <v>2.60864</v>
      </c>
      <c r="JO71">
        <v>1.49658</v>
      </c>
      <c r="JP71">
        <v>2.34741</v>
      </c>
      <c r="JQ71">
        <v>1.54907</v>
      </c>
      <c r="JR71">
        <v>2.47192</v>
      </c>
      <c r="JS71">
        <v>36.34</v>
      </c>
      <c r="JT71">
        <v>24.1488</v>
      </c>
      <c r="JU71">
        <v>18</v>
      </c>
      <c r="JV71">
        <v>477.676</v>
      </c>
      <c r="JW71">
        <v>479.96</v>
      </c>
      <c r="JX71">
        <v>23.1299</v>
      </c>
      <c r="JY71">
        <v>27.8563</v>
      </c>
      <c r="JZ71">
        <v>29.9999</v>
      </c>
      <c r="KA71">
        <v>28.1143</v>
      </c>
      <c r="KB71">
        <v>28.1164</v>
      </c>
      <c r="KC71">
        <v>63.5038</v>
      </c>
      <c r="KD71">
        <v>16.1091</v>
      </c>
      <c r="KE71">
        <v>24.6564</v>
      </c>
      <c r="KF71">
        <v>23.1235</v>
      </c>
      <c r="KG71">
        <v>1500</v>
      </c>
      <c r="KH71">
        <v>17.3202</v>
      </c>
      <c r="KI71">
        <v>102.228</v>
      </c>
      <c r="KJ71">
        <v>91.6413</v>
      </c>
    </row>
    <row r="72" spans="1:296">
      <c r="A72">
        <v>54</v>
      </c>
      <c r="B72">
        <v>1765307140.5</v>
      </c>
      <c r="C72">
        <v>9707.5</v>
      </c>
      <c r="D72" t="s">
        <v>605</v>
      </c>
      <c r="E72" t="s">
        <v>606</v>
      </c>
      <c r="F72">
        <v>5</v>
      </c>
      <c r="G72" t="s">
        <v>567</v>
      </c>
      <c r="H72">
        <v>1765307132.5</v>
      </c>
      <c r="I72">
        <f>(J72)/1000</f>
        <v>0</v>
      </c>
      <c r="J72">
        <f>IF(DO72, AM72, AG72)</f>
        <v>0</v>
      </c>
      <c r="K72">
        <f>IF(DO72, AH72, AF72)</f>
        <v>0</v>
      </c>
      <c r="L72">
        <f>DQ72 - IF(AT72&gt;1, K72*DK72*100.0/(AV72), 0)</f>
        <v>0</v>
      </c>
      <c r="M72">
        <f>((S72-I72/2)*L72-K72)/(S72+I72/2)</f>
        <v>0</v>
      </c>
      <c r="N72">
        <f>M72*(DX72+DY72)/1000.0</f>
        <v>0</v>
      </c>
      <c r="O72">
        <f>(DQ72 - IF(AT72&gt;1, K72*DK72*100.0/(AV72), 0))*(DX72+DY72)/1000.0</f>
        <v>0</v>
      </c>
      <c r="P72">
        <f>2.0/((1/R72-1/Q72)+SIGN(R72)*SQRT((1/R72-1/Q72)*(1/R72-1/Q72) + 4*DL72/((DL72+1)*(DL72+1))*(2*1/R72*1/Q72-1/Q72*1/Q72)))</f>
        <v>0</v>
      </c>
      <c r="Q72">
        <f>IF(LEFT(DM72,1)&lt;&gt;"0",IF(LEFT(DM72,1)="1",3.0,DN72),$D$5+$E$5*(EE72*DX72/($K$5*1000))+$F$5*(EE72*DX72/($K$5*1000))*MAX(MIN(DK72,$J$5),$I$5)*MAX(MIN(DK72,$J$5),$I$5)+$G$5*MAX(MIN(DK72,$J$5),$I$5)*(EE72*DX72/($K$5*1000))+$H$5*(EE72*DX72/($K$5*1000))*(EE72*DX72/($K$5*1000)))</f>
        <v>0</v>
      </c>
      <c r="R72">
        <f>I72*(1000-(1000*0.61365*exp(17.502*V72/(240.97+V72))/(DX72+DY72)+DS72)/2)/(1000*0.61365*exp(17.502*V72/(240.97+V72))/(DX72+DY72)-DS72)</f>
        <v>0</v>
      </c>
      <c r="S72">
        <f>1/((DL72+1)/(P72/1.6)+1/(Q72/1.37)) + DL72/((DL72+1)/(P72/1.6) + DL72/(Q72/1.37))</f>
        <v>0</v>
      </c>
      <c r="T72">
        <f>(DG72*DJ72)</f>
        <v>0</v>
      </c>
      <c r="U72">
        <f>(DZ72+(T72+2*0.95*5.67E-8*(((DZ72+$B$9)+273)^4-(DZ72+273)^4)-44100*I72)/(1.84*29.3*Q72+8*0.95*5.67E-8*(DZ72+273)^3))</f>
        <v>0</v>
      </c>
      <c r="V72">
        <f>($C$9*EA72+$D$9*EB72+$E$9*U72)</f>
        <v>0</v>
      </c>
      <c r="W72">
        <f>0.61365*exp(17.502*V72/(240.97+V72))</f>
        <v>0</v>
      </c>
      <c r="X72">
        <f>(Y72/Z72*100)</f>
        <v>0</v>
      </c>
      <c r="Y72">
        <f>DS72*(DX72+DY72)/1000</f>
        <v>0</v>
      </c>
      <c r="Z72">
        <f>0.61365*exp(17.502*DZ72/(240.97+DZ72))</f>
        <v>0</v>
      </c>
      <c r="AA72">
        <f>(W72-DS72*(DX72+DY72)/1000)</f>
        <v>0</v>
      </c>
      <c r="AB72">
        <f>(-I72*44100)</f>
        <v>0</v>
      </c>
      <c r="AC72">
        <f>2*29.3*Q72*0.92*(DZ72-V72)</f>
        <v>0</v>
      </c>
      <c r="AD72">
        <f>2*0.95*5.67E-8*(((DZ72+$B$9)+273)^4-(V72+273)^4)</f>
        <v>0</v>
      </c>
      <c r="AE72">
        <f>T72+AD72+AB72+AC72</f>
        <v>0</v>
      </c>
      <c r="AF72">
        <f>DW72*AT72*(DR72-DQ72*(1000-AT72*DT72)/(1000-AT72*DS72))/(100*DK72)</f>
        <v>0</v>
      </c>
      <c r="AG72">
        <f>1000*DW72*AT72*(DS72-DT72)/(100*DK72*(1000-AT72*DS72))</f>
        <v>0</v>
      </c>
      <c r="AH72">
        <f>(AI72 - AJ72 - DX72*1E3/(8.314*(DZ72+273.15)) * AL72/DW72 * AK72) * DW72/(100*DK72) * (1000 - DT72)/1000</f>
        <v>0</v>
      </c>
      <c r="AI72">
        <v>407.0398088302248</v>
      </c>
      <c r="AJ72">
        <v>407.3193212121212</v>
      </c>
      <c r="AK72">
        <v>-0.0009642290652053365</v>
      </c>
      <c r="AL72">
        <v>65.85023189383818</v>
      </c>
      <c r="AM72">
        <f>(AO72 - AN72 + DX72*1E3/(8.314*(DZ72+273.15)) * AQ72/DW72 * AP72) * DW72/(100*DK72) * 1000/(1000 - AO72)</f>
        <v>0</v>
      </c>
      <c r="AN72">
        <v>17.35566836220894</v>
      </c>
      <c r="AO72">
        <v>17.45366181818182</v>
      </c>
      <c r="AP72">
        <v>4.739911387108086E-05</v>
      </c>
      <c r="AQ72">
        <v>108.4682023490603</v>
      </c>
      <c r="AR72">
        <v>1</v>
      </c>
      <c r="AS72">
        <v>0</v>
      </c>
      <c r="AT72">
        <f>IF(AR72*$H$15&gt;=AV72,1.0,(AV72/(AV72-AR72*$H$15)))</f>
        <v>0</v>
      </c>
      <c r="AU72">
        <f>(AT72-1)*100</f>
        <v>0</v>
      </c>
      <c r="AV72">
        <f>MAX(0,($B$15+$C$15*EE72)/(1+$D$15*EE72)*DX72/(DZ72+273)*$E$15)</f>
        <v>0</v>
      </c>
      <c r="AW72" t="s">
        <v>437</v>
      </c>
      <c r="AX72" t="s">
        <v>437</v>
      </c>
      <c r="AY72">
        <v>0</v>
      </c>
      <c r="AZ72">
        <v>0</v>
      </c>
      <c r="BA72">
        <f>1-AY72/AZ72</f>
        <v>0</v>
      </c>
      <c r="BB72">
        <v>0</v>
      </c>
      <c r="BC72" t="s">
        <v>437</v>
      </c>
      <c r="BD72" t="s">
        <v>437</v>
      </c>
      <c r="BE72">
        <v>0</v>
      </c>
      <c r="BF72">
        <v>0</v>
      </c>
      <c r="BG72">
        <f>1-BE72/BF72</f>
        <v>0</v>
      </c>
      <c r="BH72">
        <v>0.5</v>
      </c>
      <c r="BI72">
        <f>DH72</f>
        <v>0</v>
      </c>
      <c r="BJ72">
        <f>K72</f>
        <v>0</v>
      </c>
      <c r="BK72">
        <f>BG72*BH72*BI72</f>
        <v>0</v>
      </c>
      <c r="BL72">
        <f>(BJ72-BB72)/BI72</f>
        <v>0</v>
      </c>
      <c r="BM72">
        <f>(AZ72-BF72)/BF72</f>
        <v>0</v>
      </c>
      <c r="BN72">
        <f>AY72/(BA72+AY72/BF72)</f>
        <v>0</v>
      </c>
      <c r="BO72" t="s">
        <v>437</v>
      </c>
      <c r="BP72">
        <v>0</v>
      </c>
      <c r="BQ72">
        <f>IF(BP72&lt;&gt;0, BP72, BN72)</f>
        <v>0</v>
      </c>
      <c r="BR72">
        <f>1-BQ72/BF72</f>
        <v>0</v>
      </c>
      <c r="BS72">
        <f>(BF72-BE72)/(BF72-BQ72)</f>
        <v>0</v>
      </c>
      <c r="BT72">
        <f>(AZ72-BF72)/(AZ72-BQ72)</f>
        <v>0</v>
      </c>
      <c r="BU72">
        <f>(BF72-BE72)/(BF72-AY72)</f>
        <v>0</v>
      </c>
      <c r="BV72">
        <f>(AZ72-BF72)/(AZ72-AY72)</f>
        <v>0</v>
      </c>
      <c r="BW72">
        <f>(BS72*BQ72/BE72)</f>
        <v>0</v>
      </c>
      <c r="BX72">
        <f>(1-BW72)</f>
        <v>0</v>
      </c>
      <c r="DG72">
        <f>$B$13*EF72+$C$13*EG72+$F$13*ER72*(1-EU72)</f>
        <v>0</v>
      </c>
      <c r="DH72">
        <f>DG72*DI72</f>
        <v>0</v>
      </c>
      <c r="DI72">
        <f>($B$13*$D$11+$C$13*$D$11+$F$13*((FE72+EW72)/MAX(FE72+EW72+FF72, 0.1)*$I$11+FF72/MAX(FE72+EW72+FF72, 0.1)*$J$11))/($B$13+$C$13+$F$13)</f>
        <v>0</v>
      </c>
      <c r="DJ72">
        <f>($B$13*$K$11+$C$13*$K$11+$F$13*((FE72+EW72)/MAX(FE72+EW72+FF72, 0.1)*$P$11+FF72/MAX(FE72+EW72+FF72, 0.1)*$Q$11))/($B$13+$C$13+$F$13)</f>
        <v>0</v>
      </c>
      <c r="DK72">
        <v>5.66</v>
      </c>
      <c r="DL72">
        <v>0.5</v>
      </c>
      <c r="DM72" t="s">
        <v>438</v>
      </c>
      <c r="DN72">
        <v>2</v>
      </c>
      <c r="DO72" t="b">
        <v>1</v>
      </c>
      <c r="DP72">
        <v>1765307132.5</v>
      </c>
      <c r="DQ72">
        <v>399.9155806451612</v>
      </c>
      <c r="DR72">
        <v>399.9760000000001</v>
      </c>
      <c r="DS72">
        <v>17.43704516129032</v>
      </c>
      <c r="DT72">
        <v>17.35127096774194</v>
      </c>
      <c r="DU72">
        <v>399.8855806451612</v>
      </c>
      <c r="DV72">
        <v>17.36404516129032</v>
      </c>
      <c r="DW72">
        <v>500.0111290322581</v>
      </c>
      <c r="DX72">
        <v>89.93337096774194</v>
      </c>
      <c r="DY72">
        <v>0.1000314548387097</v>
      </c>
      <c r="DZ72">
        <v>24.75976129032258</v>
      </c>
      <c r="EA72">
        <v>24.9907064516129</v>
      </c>
      <c r="EB72">
        <v>999.9000000000003</v>
      </c>
      <c r="EC72">
        <v>0</v>
      </c>
      <c r="ED72">
        <v>0</v>
      </c>
      <c r="EE72">
        <v>9994.576774193549</v>
      </c>
      <c r="EF72">
        <v>0</v>
      </c>
      <c r="EG72">
        <v>9.289249999999997</v>
      </c>
      <c r="EH72">
        <v>0.2897939677419354</v>
      </c>
      <c r="EI72">
        <v>407.3722258064516</v>
      </c>
      <c r="EJ72">
        <v>407.0387096774194</v>
      </c>
      <c r="EK72">
        <v>0.09310353548387094</v>
      </c>
      <c r="EL72">
        <v>399.9760000000001</v>
      </c>
      <c r="EM72">
        <v>17.35127096774194</v>
      </c>
      <c r="EN72">
        <v>1.568831290322581</v>
      </c>
      <c r="EO72">
        <v>1.560459032258064</v>
      </c>
      <c r="EP72">
        <v>13.65602580645161</v>
      </c>
      <c r="EQ72">
        <v>13.57378387096774</v>
      </c>
      <c r="ER72">
        <v>800.01</v>
      </c>
      <c r="ES72">
        <v>0.9500052903225809</v>
      </c>
      <c r="ET72">
        <v>0.04999486451612903</v>
      </c>
      <c r="EU72">
        <v>0</v>
      </c>
      <c r="EV72">
        <v>837.3197096774195</v>
      </c>
      <c r="EW72">
        <v>5.000779999999999</v>
      </c>
      <c r="EX72">
        <v>6301.354193548387</v>
      </c>
      <c r="EY72">
        <v>6463.51</v>
      </c>
      <c r="EZ72">
        <v>35.93509677419355</v>
      </c>
      <c r="FA72">
        <v>38.34451612903224</v>
      </c>
      <c r="FB72">
        <v>37.4312258064516</v>
      </c>
      <c r="FC72">
        <v>38.00574193548386</v>
      </c>
      <c r="FD72">
        <v>37.51603225806452</v>
      </c>
      <c r="FE72">
        <v>755.2635483870969</v>
      </c>
      <c r="FF72">
        <v>39.75</v>
      </c>
      <c r="FG72">
        <v>0</v>
      </c>
      <c r="FH72">
        <v>1765307140.1</v>
      </c>
      <c r="FI72">
        <v>0</v>
      </c>
      <c r="FJ72">
        <v>837.3664615384616</v>
      </c>
      <c r="FK72">
        <v>1.906461525380236</v>
      </c>
      <c r="FL72">
        <v>-1.702905973652742</v>
      </c>
      <c r="FM72">
        <v>6301.558076923077</v>
      </c>
      <c r="FN72">
        <v>15</v>
      </c>
      <c r="FO72">
        <v>1765307162</v>
      </c>
      <c r="FP72" t="s">
        <v>607</v>
      </c>
      <c r="FQ72">
        <v>1765307162</v>
      </c>
      <c r="FR72">
        <v>1765307156.5</v>
      </c>
      <c r="FS72">
        <v>55</v>
      </c>
      <c r="FT72">
        <v>-0.35</v>
      </c>
      <c r="FU72">
        <v>-0.006</v>
      </c>
      <c r="FV72">
        <v>0.03</v>
      </c>
      <c r="FW72">
        <v>0.073</v>
      </c>
      <c r="FX72">
        <v>400</v>
      </c>
      <c r="FY72">
        <v>17</v>
      </c>
      <c r="FZ72">
        <v>0.7</v>
      </c>
      <c r="GA72">
        <v>0.28</v>
      </c>
      <c r="GB72">
        <v>0.33491825</v>
      </c>
      <c r="GC72">
        <v>-0.8474293958724212</v>
      </c>
      <c r="GD72">
        <v>0.09835282688127221</v>
      </c>
      <c r="GE72">
        <v>0</v>
      </c>
      <c r="GF72">
        <v>837.2923235294119</v>
      </c>
      <c r="GG72">
        <v>1.214102363627169</v>
      </c>
      <c r="GH72">
        <v>0.2516384802459371</v>
      </c>
      <c r="GI72">
        <v>0</v>
      </c>
      <c r="GJ72">
        <v>0.093214925</v>
      </c>
      <c r="GK72">
        <v>0.003679337335834769</v>
      </c>
      <c r="GL72">
        <v>0.003133521456265298</v>
      </c>
      <c r="GM72">
        <v>1</v>
      </c>
      <c r="GN72">
        <v>1</v>
      </c>
      <c r="GO72">
        <v>3</v>
      </c>
      <c r="GP72" t="s">
        <v>469</v>
      </c>
      <c r="GQ72">
        <v>3.1083</v>
      </c>
      <c r="GR72">
        <v>2.79156</v>
      </c>
      <c r="GS72">
        <v>0.0844227</v>
      </c>
      <c r="GT72">
        <v>0.0844829</v>
      </c>
      <c r="GU72">
        <v>0.08608730000000001</v>
      </c>
      <c r="GV72">
        <v>0.0865403</v>
      </c>
      <c r="GW72">
        <v>24013.5</v>
      </c>
      <c r="GX72">
        <v>21806.1</v>
      </c>
      <c r="GY72">
        <v>26786.4</v>
      </c>
      <c r="GZ72">
        <v>24026.3</v>
      </c>
      <c r="HA72">
        <v>39126</v>
      </c>
      <c r="HB72">
        <v>32394.3</v>
      </c>
      <c r="HC72">
        <v>46752.9</v>
      </c>
      <c r="HD72">
        <v>37998.6</v>
      </c>
      <c r="HE72">
        <v>1.88055</v>
      </c>
      <c r="HF72">
        <v>1.8388</v>
      </c>
      <c r="HG72">
        <v>0.0743791</v>
      </c>
      <c r="HH72">
        <v>0</v>
      </c>
      <c r="HI72">
        <v>23.7678</v>
      </c>
      <c r="HJ72">
        <v>999.9</v>
      </c>
      <c r="HK72">
        <v>37</v>
      </c>
      <c r="HL72">
        <v>32.7</v>
      </c>
      <c r="HM72">
        <v>20.437</v>
      </c>
      <c r="HN72">
        <v>61.4838</v>
      </c>
      <c r="HO72">
        <v>27.8926</v>
      </c>
      <c r="HP72">
        <v>1</v>
      </c>
      <c r="HQ72">
        <v>0.0506479</v>
      </c>
      <c r="HR72">
        <v>0.908698</v>
      </c>
      <c r="HS72">
        <v>20.2922</v>
      </c>
      <c r="HT72">
        <v>5.22223</v>
      </c>
      <c r="HU72">
        <v>11.9785</v>
      </c>
      <c r="HV72">
        <v>4.96535</v>
      </c>
      <c r="HW72">
        <v>3.27585</v>
      </c>
      <c r="HX72">
        <v>9999</v>
      </c>
      <c r="HY72">
        <v>9999</v>
      </c>
      <c r="HZ72">
        <v>9999</v>
      </c>
      <c r="IA72">
        <v>999.9</v>
      </c>
      <c r="IB72">
        <v>1.86388</v>
      </c>
      <c r="IC72">
        <v>1.86006</v>
      </c>
      <c r="ID72">
        <v>1.85838</v>
      </c>
      <c r="IE72">
        <v>1.85974</v>
      </c>
      <c r="IF72">
        <v>1.85987</v>
      </c>
      <c r="IG72">
        <v>1.85837</v>
      </c>
      <c r="IH72">
        <v>1.85745</v>
      </c>
      <c r="II72">
        <v>1.85241</v>
      </c>
      <c r="IJ72">
        <v>0</v>
      </c>
      <c r="IK72">
        <v>0</v>
      </c>
      <c r="IL72">
        <v>0</v>
      </c>
      <c r="IM72">
        <v>0</v>
      </c>
      <c r="IN72" t="s">
        <v>441</v>
      </c>
      <c r="IO72" t="s">
        <v>442</v>
      </c>
      <c r="IP72" t="s">
        <v>443</v>
      </c>
      <c r="IQ72" t="s">
        <v>443</v>
      </c>
      <c r="IR72" t="s">
        <v>443</v>
      </c>
      <c r="IS72" t="s">
        <v>443</v>
      </c>
      <c r="IT72">
        <v>0</v>
      </c>
      <c r="IU72">
        <v>100</v>
      </c>
      <c r="IV72">
        <v>100</v>
      </c>
      <c r="IW72">
        <v>0.03</v>
      </c>
      <c r="IX72">
        <v>0.073</v>
      </c>
      <c r="IY72">
        <v>0.1012865482987132</v>
      </c>
      <c r="IZ72">
        <v>0.0001583678016168383</v>
      </c>
      <c r="JA72">
        <v>1.526473431467286E-06</v>
      </c>
      <c r="JB72">
        <v>-4.446382740029455E-10</v>
      </c>
      <c r="JC72">
        <v>-0.03738638616458737</v>
      </c>
      <c r="JD72">
        <v>-0.009941991807247691</v>
      </c>
      <c r="JE72">
        <v>0.001256427533001032</v>
      </c>
      <c r="JF72">
        <v>-1.689728105039484E-05</v>
      </c>
      <c r="JG72">
        <v>2</v>
      </c>
      <c r="JH72">
        <v>1984</v>
      </c>
      <c r="JI72">
        <v>0</v>
      </c>
      <c r="JJ72">
        <v>25</v>
      </c>
      <c r="JK72">
        <v>1.5</v>
      </c>
      <c r="JL72">
        <v>1.7</v>
      </c>
      <c r="JM72">
        <v>1.09131</v>
      </c>
      <c r="JN72">
        <v>2.6062</v>
      </c>
      <c r="JO72">
        <v>1.49658</v>
      </c>
      <c r="JP72">
        <v>2.34741</v>
      </c>
      <c r="JQ72">
        <v>1.54907</v>
      </c>
      <c r="JR72">
        <v>2.48291</v>
      </c>
      <c r="JS72">
        <v>36.2694</v>
      </c>
      <c r="JT72">
        <v>24.1488</v>
      </c>
      <c r="JU72">
        <v>18</v>
      </c>
      <c r="JV72">
        <v>477.142</v>
      </c>
      <c r="JW72">
        <v>478.789</v>
      </c>
      <c r="JX72">
        <v>23.1991</v>
      </c>
      <c r="JY72">
        <v>27.8171</v>
      </c>
      <c r="JZ72">
        <v>29.9999</v>
      </c>
      <c r="KA72">
        <v>28.0892</v>
      </c>
      <c r="KB72">
        <v>28.095</v>
      </c>
      <c r="KC72">
        <v>21.9427</v>
      </c>
      <c r="KD72">
        <v>15.5367</v>
      </c>
      <c r="KE72">
        <v>25.4043</v>
      </c>
      <c r="KF72">
        <v>23.2066</v>
      </c>
      <c r="KG72">
        <v>400</v>
      </c>
      <c r="KH72">
        <v>17.3166</v>
      </c>
      <c r="KI72">
        <v>102.239</v>
      </c>
      <c r="KJ72">
        <v>91.6511</v>
      </c>
    </row>
    <row r="73" spans="1:296">
      <c r="A73">
        <v>55</v>
      </c>
      <c r="B73">
        <v>1765307888</v>
      </c>
      <c r="C73">
        <v>10455</v>
      </c>
      <c r="D73" t="s">
        <v>608</v>
      </c>
      <c r="E73" t="s">
        <v>609</v>
      </c>
      <c r="F73">
        <v>5</v>
      </c>
      <c r="G73" t="s">
        <v>610</v>
      </c>
      <c r="H73">
        <v>1765307880</v>
      </c>
      <c r="I73">
        <f>(J73)/1000</f>
        <v>0</v>
      </c>
      <c r="J73">
        <f>IF(DO73, AM73, AG73)</f>
        <v>0</v>
      </c>
      <c r="K73">
        <f>IF(DO73, AH73, AF73)</f>
        <v>0</v>
      </c>
      <c r="L73">
        <f>DQ73 - IF(AT73&gt;1, K73*DK73*100.0/(AV73), 0)</f>
        <v>0</v>
      </c>
      <c r="M73">
        <f>((S73-I73/2)*L73-K73)/(S73+I73/2)</f>
        <v>0</v>
      </c>
      <c r="N73">
        <f>M73*(DX73+DY73)/1000.0</f>
        <v>0</v>
      </c>
      <c r="O73">
        <f>(DQ73 - IF(AT73&gt;1, K73*DK73*100.0/(AV73), 0))*(DX73+DY73)/1000.0</f>
        <v>0</v>
      </c>
      <c r="P73">
        <f>2.0/((1/R73-1/Q73)+SIGN(R73)*SQRT((1/R73-1/Q73)*(1/R73-1/Q73) + 4*DL73/((DL73+1)*(DL73+1))*(2*1/R73*1/Q73-1/Q73*1/Q73)))</f>
        <v>0</v>
      </c>
      <c r="Q73">
        <f>IF(LEFT(DM73,1)&lt;&gt;"0",IF(LEFT(DM73,1)="1",3.0,DN73),$D$5+$E$5*(EE73*DX73/($K$5*1000))+$F$5*(EE73*DX73/($K$5*1000))*MAX(MIN(DK73,$J$5),$I$5)*MAX(MIN(DK73,$J$5),$I$5)+$G$5*MAX(MIN(DK73,$J$5),$I$5)*(EE73*DX73/($K$5*1000))+$H$5*(EE73*DX73/($K$5*1000))*(EE73*DX73/($K$5*1000)))</f>
        <v>0</v>
      </c>
      <c r="R73">
        <f>I73*(1000-(1000*0.61365*exp(17.502*V73/(240.97+V73))/(DX73+DY73)+DS73)/2)/(1000*0.61365*exp(17.502*V73/(240.97+V73))/(DX73+DY73)-DS73)</f>
        <v>0</v>
      </c>
      <c r="S73">
        <f>1/((DL73+1)/(P73/1.6)+1/(Q73/1.37)) + DL73/((DL73+1)/(P73/1.6) + DL73/(Q73/1.37))</f>
        <v>0</v>
      </c>
      <c r="T73">
        <f>(DG73*DJ73)</f>
        <v>0</v>
      </c>
      <c r="U73">
        <f>(DZ73+(T73+2*0.95*5.67E-8*(((DZ73+$B$9)+273)^4-(DZ73+273)^4)-44100*I73)/(1.84*29.3*Q73+8*0.95*5.67E-8*(DZ73+273)^3))</f>
        <v>0</v>
      </c>
      <c r="V73">
        <f>($C$9*EA73+$D$9*EB73+$E$9*U73)</f>
        <v>0</v>
      </c>
      <c r="W73">
        <f>0.61365*exp(17.502*V73/(240.97+V73))</f>
        <v>0</v>
      </c>
      <c r="X73">
        <f>(Y73/Z73*100)</f>
        <v>0</v>
      </c>
      <c r="Y73">
        <f>DS73*(DX73+DY73)/1000</f>
        <v>0</v>
      </c>
      <c r="Z73">
        <f>0.61365*exp(17.502*DZ73/(240.97+DZ73))</f>
        <v>0</v>
      </c>
      <c r="AA73">
        <f>(W73-DS73*(DX73+DY73)/1000)</f>
        <v>0</v>
      </c>
      <c r="AB73">
        <f>(-I73*44100)</f>
        <v>0</v>
      </c>
      <c r="AC73">
        <f>2*29.3*Q73*0.92*(DZ73-V73)</f>
        <v>0</v>
      </c>
      <c r="AD73">
        <f>2*0.95*5.67E-8*(((DZ73+$B$9)+273)^4-(V73+273)^4)</f>
        <v>0</v>
      </c>
      <c r="AE73">
        <f>T73+AD73+AB73+AC73</f>
        <v>0</v>
      </c>
      <c r="AF73">
        <f>DW73*AT73*(DR73-DQ73*(1000-AT73*DT73)/(1000-AT73*DS73))/(100*DK73)</f>
        <v>0</v>
      </c>
      <c r="AG73">
        <f>1000*DW73*AT73*(DS73-DT73)/(100*DK73*(1000-AT73*DS73))</f>
        <v>0</v>
      </c>
      <c r="AH73">
        <f>(AI73 - AJ73 - DX73*1E3/(8.314*(DZ73+273.15)) * AL73/DW73 * AK73) * DW73/(100*DK73) * (1000 - DT73)/1000</f>
        <v>0</v>
      </c>
      <c r="AI73">
        <v>407.1176686459717</v>
      </c>
      <c r="AJ73">
        <v>407.0431999999999</v>
      </c>
      <c r="AK73">
        <v>0.001051297339475259</v>
      </c>
      <c r="AL73">
        <v>65.86385753248274</v>
      </c>
      <c r="AM73">
        <f>(AO73 - AN73 + DX73*1E3/(8.314*(DZ73+273.15)) * AQ73/DW73 * AP73) * DW73/(100*DK73) * 1000/(1000 - AO73)</f>
        <v>0</v>
      </c>
      <c r="AN73">
        <v>17.39985804261438</v>
      </c>
      <c r="AO73">
        <v>17.46078671328672</v>
      </c>
      <c r="AP73">
        <v>-1.441191302925835E-06</v>
      </c>
      <c r="AQ73">
        <v>108.9872526050714</v>
      </c>
      <c r="AR73">
        <v>0</v>
      </c>
      <c r="AS73">
        <v>0</v>
      </c>
      <c r="AT73">
        <f>IF(AR73*$H$15&gt;=AV73,1.0,(AV73/(AV73-AR73*$H$15)))</f>
        <v>0</v>
      </c>
      <c r="AU73">
        <f>(AT73-1)*100</f>
        <v>0</v>
      </c>
      <c r="AV73">
        <f>MAX(0,($B$15+$C$15*EE73)/(1+$D$15*EE73)*DX73/(DZ73+273)*$E$15)</f>
        <v>0</v>
      </c>
      <c r="AW73" t="s">
        <v>437</v>
      </c>
      <c r="AX73" t="s">
        <v>437</v>
      </c>
      <c r="AY73">
        <v>0</v>
      </c>
      <c r="AZ73">
        <v>0</v>
      </c>
      <c r="BA73">
        <f>1-AY73/AZ73</f>
        <v>0</v>
      </c>
      <c r="BB73">
        <v>0</v>
      </c>
      <c r="BC73" t="s">
        <v>437</v>
      </c>
      <c r="BD73" t="s">
        <v>437</v>
      </c>
      <c r="BE73">
        <v>0</v>
      </c>
      <c r="BF73">
        <v>0</v>
      </c>
      <c r="BG73">
        <f>1-BE73/BF73</f>
        <v>0</v>
      </c>
      <c r="BH73">
        <v>0.5</v>
      </c>
      <c r="BI73">
        <f>DH73</f>
        <v>0</v>
      </c>
      <c r="BJ73">
        <f>K73</f>
        <v>0</v>
      </c>
      <c r="BK73">
        <f>BG73*BH73*BI73</f>
        <v>0</v>
      </c>
      <c r="BL73">
        <f>(BJ73-BB73)/BI73</f>
        <v>0</v>
      </c>
      <c r="BM73">
        <f>(AZ73-BF73)/BF73</f>
        <v>0</v>
      </c>
      <c r="BN73">
        <f>AY73/(BA73+AY73/BF73)</f>
        <v>0</v>
      </c>
      <c r="BO73" t="s">
        <v>437</v>
      </c>
      <c r="BP73">
        <v>0</v>
      </c>
      <c r="BQ73">
        <f>IF(BP73&lt;&gt;0, BP73, BN73)</f>
        <v>0</v>
      </c>
      <c r="BR73">
        <f>1-BQ73/BF73</f>
        <v>0</v>
      </c>
      <c r="BS73">
        <f>(BF73-BE73)/(BF73-BQ73)</f>
        <v>0</v>
      </c>
      <c r="BT73">
        <f>(AZ73-BF73)/(AZ73-BQ73)</f>
        <v>0</v>
      </c>
      <c r="BU73">
        <f>(BF73-BE73)/(BF73-AY73)</f>
        <v>0</v>
      </c>
      <c r="BV73">
        <f>(AZ73-BF73)/(AZ73-AY73)</f>
        <v>0</v>
      </c>
      <c r="BW73">
        <f>(BS73*BQ73/BE73)</f>
        <v>0</v>
      </c>
      <c r="BX73">
        <f>(1-BW73)</f>
        <v>0</v>
      </c>
      <c r="DG73">
        <f>$B$13*EF73+$C$13*EG73+$F$13*ER73*(1-EU73)</f>
        <v>0</v>
      </c>
      <c r="DH73">
        <f>DG73*DI73</f>
        <v>0</v>
      </c>
      <c r="DI73">
        <f>($B$13*$D$11+$C$13*$D$11+$F$13*((FE73+EW73)/MAX(FE73+EW73+FF73, 0.1)*$I$11+FF73/MAX(FE73+EW73+FF73, 0.1)*$J$11))/($B$13+$C$13+$F$13)</f>
        <v>0</v>
      </c>
      <c r="DJ73">
        <f>($B$13*$K$11+$C$13*$K$11+$F$13*((FE73+EW73)/MAX(FE73+EW73+FF73, 0.1)*$P$11+FF73/MAX(FE73+EW73+FF73, 0.1)*$Q$11))/($B$13+$C$13+$F$13)</f>
        <v>0</v>
      </c>
      <c r="DK73">
        <v>5.66</v>
      </c>
      <c r="DL73">
        <v>0.5</v>
      </c>
      <c r="DM73" t="s">
        <v>438</v>
      </c>
      <c r="DN73">
        <v>2</v>
      </c>
      <c r="DO73" t="b">
        <v>1</v>
      </c>
      <c r="DP73">
        <v>1765307880</v>
      </c>
      <c r="DQ73">
        <v>399.9184516129031</v>
      </c>
      <c r="DR73">
        <v>400.001</v>
      </c>
      <c r="DS73">
        <v>17.46302903225806</v>
      </c>
      <c r="DT73">
        <v>17.40111290322581</v>
      </c>
      <c r="DU73">
        <v>399.8544516129031</v>
      </c>
      <c r="DV73">
        <v>17.38702903225806</v>
      </c>
      <c r="DW73">
        <v>499.9924516129032</v>
      </c>
      <c r="DX73">
        <v>89.86911935483872</v>
      </c>
      <c r="DY73">
        <v>0.1000110096774194</v>
      </c>
      <c r="DZ73">
        <v>24.81656129032259</v>
      </c>
      <c r="EA73">
        <v>25.00644516129032</v>
      </c>
      <c r="EB73">
        <v>999.9000000000003</v>
      </c>
      <c r="EC73">
        <v>0</v>
      </c>
      <c r="ED73">
        <v>0</v>
      </c>
      <c r="EE73">
        <v>9992.417741935484</v>
      </c>
      <c r="EF73">
        <v>0</v>
      </c>
      <c r="EG73">
        <v>9.835680000000004</v>
      </c>
      <c r="EH73">
        <v>-0.1164028677419355</v>
      </c>
      <c r="EI73">
        <v>406.9913548387098</v>
      </c>
      <c r="EJ73">
        <v>407.0847419354838</v>
      </c>
      <c r="EK73">
        <v>0.06067484838709677</v>
      </c>
      <c r="EL73">
        <v>400.001</v>
      </c>
      <c r="EM73">
        <v>17.40111290322581</v>
      </c>
      <c r="EN73">
        <v>1.569274838709677</v>
      </c>
      <c r="EO73">
        <v>1.563823225806452</v>
      </c>
      <c r="EP73">
        <v>13.66036129032258</v>
      </c>
      <c r="EQ73">
        <v>13.60687419354839</v>
      </c>
      <c r="ER73">
        <v>800.0252580645162</v>
      </c>
      <c r="ES73">
        <v>0.9499895806451614</v>
      </c>
      <c r="ET73">
        <v>0.05001047741935483</v>
      </c>
      <c r="EU73">
        <v>0</v>
      </c>
      <c r="EV73">
        <v>676.2544516129033</v>
      </c>
      <c r="EW73">
        <v>5.000779999999999</v>
      </c>
      <c r="EX73">
        <v>5119.572580645162</v>
      </c>
      <c r="EY73">
        <v>6463.60064516129</v>
      </c>
      <c r="EZ73">
        <v>37.34045161290322</v>
      </c>
      <c r="FA73">
        <v>40.58645161290322</v>
      </c>
      <c r="FB73">
        <v>39.07635483870967</v>
      </c>
      <c r="FC73">
        <v>40.89087096774193</v>
      </c>
      <c r="FD73">
        <v>39.07835483870968</v>
      </c>
      <c r="FE73">
        <v>755.2648387096773</v>
      </c>
      <c r="FF73">
        <v>39.75935483870968</v>
      </c>
      <c r="FG73">
        <v>0</v>
      </c>
      <c r="FH73">
        <v>1765307887.1</v>
      </c>
      <c r="FI73">
        <v>0</v>
      </c>
      <c r="FJ73">
        <v>676.2575599999999</v>
      </c>
      <c r="FK73">
        <v>1.176153844172657</v>
      </c>
      <c r="FL73">
        <v>-10.0469231046324</v>
      </c>
      <c r="FM73">
        <v>5119.3804</v>
      </c>
      <c r="FN73">
        <v>15</v>
      </c>
      <c r="FO73">
        <v>1765307905</v>
      </c>
      <c r="FP73" t="s">
        <v>611</v>
      </c>
      <c r="FQ73">
        <v>1765307905</v>
      </c>
      <c r="FR73">
        <v>1765307905</v>
      </c>
      <c r="FS73">
        <v>56</v>
      </c>
      <c r="FT73">
        <v>0.034</v>
      </c>
      <c r="FU73">
        <v>0.002</v>
      </c>
      <c r="FV73">
        <v>0.064</v>
      </c>
      <c r="FW73">
        <v>0.076</v>
      </c>
      <c r="FX73">
        <v>400</v>
      </c>
      <c r="FY73">
        <v>17</v>
      </c>
      <c r="FZ73">
        <v>0.41</v>
      </c>
      <c r="GA73">
        <v>0.25</v>
      </c>
      <c r="GB73">
        <v>-0.1176042707317073</v>
      </c>
      <c r="GC73">
        <v>-0.01482988222996522</v>
      </c>
      <c r="GD73">
        <v>0.0317239563635006</v>
      </c>
      <c r="GE73">
        <v>1</v>
      </c>
      <c r="GF73">
        <v>676.2169411764706</v>
      </c>
      <c r="GG73">
        <v>0.9741176430329177</v>
      </c>
      <c r="GH73">
        <v>0.2283905248339079</v>
      </c>
      <c r="GI73">
        <v>1</v>
      </c>
      <c r="GJ73">
        <v>0.05828848048780487</v>
      </c>
      <c r="GK73">
        <v>0.04608955609756099</v>
      </c>
      <c r="GL73">
        <v>0.004896748486656273</v>
      </c>
      <c r="GM73">
        <v>1</v>
      </c>
      <c r="GN73">
        <v>3</v>
      </c>
      <c r="GO73">
        <v>3</v>
      </c>
      <c r="GP73" t="s">
        <v>440</v>
      </c>
      <c r="GQ73">
        <v>3.10814</v>
      </c>
      <c r="GR73">
        <v>2.79135</v>
      </c>
      <c r="GS73">
        <v>0.08445850000000001</v>
      </c>
      <c r="GT73">
        <v>0.0845096</v>
      </c>
      <c r="GU73">
        <v>0.086146</v>
      </c>
      <c r="GV73">
        <v>0.08670899999999999</v>
      </c>
      <c r="GW73">
        <v>24033.9</v>
      </c>
      <c r="GX73">
        <v>21821.3</v>
      </c>
      <c r="GY73">
        <v>26808.7</v>
      </c>
      <c r="GZ73">
        <v>24042.1</v>
      </c>
      <c r="HA73">
        <v>39155</v>
      </c>
      <c r="HB73">
        <v>32407.1</v>
      </c>
      <c r="HC73">
        <v>46791.4</v>
      </c>
      <c r="HD73">
        <v>38021</v>
      </c>
      <c r="HE73">
        <v>1.8873</v>
      </c>
      <c r="HF73">
        <v>1.84827</v>
      </c>
      <c r="HG73">
        <v>0.0866465</v>
      </c>
      <c r="HH73">
        <v>0</v>
      </c>
      <c r="HI73">
        <v>23.5796</v>
      </c>
      <c r="HJ73">
        <v>999.9</v>
      </c>
      <c r="HK73">
        <v>38</v>
      </c>
      <c r="HL73">
        <v>32.3</v>
      </c>
      <c r="HM73">
        <v>20.5369</v>
      </c>
      <c r="HN73">
        <v>61.3838</v>
      </c>
      <c r="HO73">
        <v>28.0769</v>
      </c>
      <c r="HP73">
        <v>1</v>
      </c>
      <c r="HQ73">
        <v>0.0149873</v>
      </c>
      <c r="HR73">
        <v>0.62305</v>
      </c>
      <c r="HS73">
        <v>20.2926</v>
      </c>
      <c r="HT73">
        <v>5.21939</v>
      </c>
      <c r="HU73">
        <v>11.9769</v>
      </c>
      <c r="HV73">
        <v>4.96515</v>
      </c>
      <c r="HW73">
        <v>3.27533</v>
      </c>
      <c r="HX73">
        <v>9999</v>
      </c>
      <c r="HY73">
        <v>9999</v>
      </c>
      <c r="HZ73">
        <v>9999</v>
      </c>
      <c r="IA73">
        <v>999.9</v>
      </c>
      <c r="IB73">
        <v>1.86388</v>
      </c>
      <c r="IC73">
        <v>1.86005</v>
      </c>
      <c r="ID73">
        <v>1.85838</v>
      </c>
      <c r="IE73">
        <v>1.85972</v>
      </c>
      <c r="IF73">
        <v>1.85988</v>
      </c>
      <c r="IG73">
        <v>1.85837</v>
      </c>
      <c r="IH73">
        <v>1.85744</v>
      </c>
      <c r="II73">
        <v>1.85237</v>
      </c>
      <c r="IJ73">
        <v>0</v>
      </c>
      <c r="IK73">
        <v>0</v>
      </c>
      <c r="IL73">
        <v>0</v>
      </c>
      <c r="IM73">
        <v>0</v>
      </c>
      <c r="IN73" t="s">
        <v>441</v>
      </c>
      <c r="IO73" t="s">
        <v>442</v>
      </c>
      <c r="IP73" t="s">
        <v>443</v>
      </c>
      <c r="IQ73" t="s">
        <v>443</v>
      </c>
      <c r="IR73" t="s">
        <v>443</v>
      </c>
      <c r="IS73" t="s">
        <v>443</v>
      </c>
      <c r="IT73">
        <v>0</v>
      </c>
      <c r="IU73">
        <v>100</v>
      </c>
      <c r="IV73">
        <v>100</v>
      </c>
      <c r="IW73">
        <v>0.064</v>
      </c>
      <c r="IX73">
        <v>0.076</v>
      </c>
      <c r="IY73">
        <v>-0.2488963582497914</v>
      </c>
      <c r="IZ73">
        <v>0.0001583678016168383</v>
      </c>
      <c r="JA73">
        <v>1.526473431467286E-06</v>
      </c>
      <c r="JB73">
        <v>-4.446382740029455E-10</v>
      </c>
      <c r="JC73">
        <v>-0.04339397435145792</v>
      </c>
      <c r="JD73">
        <v>-0.009941991807247691</v>
      </c>
      <c r="JE73">
        <v>0.001256427533001032</v>
      </c>
      <c r="JF73">
        <v>-1.689728105039484E-05</v>
      </c>
      <c r="JG73">
        <v>2</v>
      </c>
      <c r="JH73">
        <v>1984</v>
      </c>
      <c r="JI73">
        <v>0</v>
      </c>
      <c r="JJ73">
        <v>25</v>
      </c>
      <c r="JK73">
        <v>12.1</v>
      </c>
      <c r="JL73">
        <v>12.2</v>
      </c>
      <c r="JM73">
        <v>1.09253</v>
      </c>
      <c r="JN73">
        <v>2.61963</v>
      </c>
      <c r="JO73">
        <v>1.49658</v>
      </c>
      <c r="JP73">
        <v>2.34741</v>
      </c>
      <c r="JQ73">
        <v>1.54907</v>
      </c>
      <c r="JR73">
        <v>2.34009</v>
      </c>
      <c r="JS73">
        <v>35.8711</v>
      </c>
      <c r="JT73">
        <v>24.1313</v>
      </c>
      <c r="JU73">
        <v>18</v>
      </c>
      <c r="JV73">
        <v>478.131</v>
      </c>
      <c r="JW73">
        <v>481.852</v>
      </c>
      <c r="JX73">
        <v>23.3827</v>
      </c>
      <c r="JY73">
        <v>27.3712</v>
      </c>
      <c r="JZ73">
        <v>29.9997</v>
      </c>
      <c r="KA73">
        <v>27.7093</v>
      </c>
      <c r="KB73">
        <v>27.7296</v>
      </c>
      <c r="KC73">
        <v>21.9593</v>
      </c>
      <c r="KD73">
        <v>16.6971</v>
      </c>
      <c r="KE73">
        <v>30.7182</v>
      </c>
      <c r="KF73">
        <v>23.3782</v>
      </c>
      <c r="KG73">
        <v>400</v>
      </c>
      <c r="KH73">
        <v>17.3646</v>
      </c>
      <c r="KI73">
        <v>102.323</v>
      </c>
      <c r="KJ73">
        <v>91.7076</v>
      </c>
    </row>
    <row r="74" spans="1:296">
      <c r="A74">
        <v>56</v>
      </c>
      <c r="B74">
        <v>1765307981</v>
      </c>
      <c r="C74">
        <v>10548</v>
      </c>
      <c r="D74" t="s">
        <v>612</v>
      </c>
      <c r="E74" t="s">
        <v>613</v>
      </c>
      <c r="F74">
        <v>5</v>
      </c>
      <c r="G74" t="s">
        <v>610</v>
      </c>
      <c r="H74">
        <v>1765307973</v>
      </c>
      <c r="I74">
        <f>(J74)/1000</f>
        <v>0</v>
      </c>
      <c r="J74">
        <f>IF(DO74, AM74, AG74)</f>
        <v>0</v>
      </c>
      <c r="K74">
        <f>IF(DO74, AH74, AF74)</f>
        <v>0</v>
      </c>
      <c r="L74">
        <f>DQ74 - IF(AT74&gt;1, K74*DK74*100.0/(AV74), 0)</f>
        <v>0</v>
      </c>
      <c r="M74">
        <f>((S74-I74/2)*L74-K74)/(S74+I74/2)</f>
        <v>0</v>
      </c>
      <c r="N74">
        <f>M74*(DX74+DY74)/1000.0</f>
        <v>0</v>
      </c>
      <c r="O74">
        <f>(DQ74 - IF(AT74&gt;1, K74*DK74*100.0/(AV74), 0))*(DX74+DY74)/1000.0</f>
        <v>0</v>
      </c>
      <c r="P74">
        <f>2.0/((1/R74-1/Q74)+SIGN(R74)*SQRT((1/R74-1/Q74)*(1/R74-1/Q74) + 4*DL74/((DL74+1)*(DL74+1))*(2*1/R74*1/Q74-1/Q74*1/Q74)))</f>
        <v>0</v>
      </c>
      <c r="Q74">
        <f>IF(LEFT(DM74,1)&lt;&gt;"0",IF(LEFT(DM74,1)="1",3.0,DN74),$D$5+$E$5*(EE74*DX74/($K$5*1000))+$F$5*(EE74*DX74/($K$5*1000))*MAX(MIN(DK74,$J$5),$I$5)*MAX(MIN(DK74,$J$5),$I$5)+$G$5*MAX(MIN(DK74,$J$5),$I$5)*(EE74*DX74/($K$5*1000))+$H$5*(EE74*DX74/($K$5*1000))*(EE74*DX74/($K$5*1000)))</f>
        <v>0</v>
      </c>
      <c r="R74">
        <f>I74*(1000-(1000*0.61365*exp(17.502*V74/(240.97+V74))/(DX74+DY74)+DS74)/2)/(1000*0.61365*exp(17.502*V74/(240.97+V74))/(DX74+DY74)-DS74)</f>
        <v>0</v>
      </c>
      <c r="S74">
        <f>1/((DL74+1)/(P74/1.6)+1/(Q74/1.37)) + DL74/((DL74+1)/(P74/1.6) + DL74/(Q74/1.37))</f>
        <v>0</v>
      </c>
      <c r="T74">
        <f>(DG74*DJ74)</f>
        <v>0</v>
      </c>
      <c r="U74">
        <f>(DZ74+(T74+2*0.95*5.67E-8*(((DZ74+$B$9)+273)^4-(DZ74+273)^4)-44100*I74)/(1.84*29.3*Q74+8*0.95*5.67E-8*(DZ74+273)^3))</f>
        <v>0</v>
      </c>
      <c r="V74">
        <f>($C$9*EA74+$D$9*EB74+$E$9*U74)</f>
        <v>0</v>
      </c>
      <c r="W74">
        <f>0.61365*exp(17.502*V74/(240.97+V74))</f>
        <v>0</v>
      </c>
      <c r="X74">
        <f>(Y74/Z74*100)</f>
        <v>0</v>
      </c>
      <c r="Y74">
        <f>DS74*(DX74+DY74)/1000</f>
        <v>0</v>
      </c>
      <c r="Z74">
        <f>0.61365*exp(17.502*DZ74/(240.97+DZ74))</f>
        <v>0</v>
      </c>
      <c r="AA74">
        <f>(W74-DS74*(DX74+DY74)/1000)</f>
        <v>0</v>
      </c>
      <c r="AB74">
        <f>(-I74*44100)</f>
        <v>0</v>
      </c>
      <c r="AC74">
        <f>2*29.3*Q74*0.92*(DZ74-V74)</f>
        <v>0</v>
      </c>
      <c r="AD74">
        <f>2*0.95*5.67E-8*(((DZ74+$B$9)+273)^4-(V74+273)^4)</f>
        <v>0</v>
      </c>
      <c r="AE74">
        <f>T74+AD74+AB74+AC74</f>
        <v>0</v>
      </c>
      <c r="AF74">
        <f>DW74*AT74*(DR74-DQ74*(1000-AT74*DT74)/(1000-AT74*DS74))/(100*DK74)</f>
        <v>0</v>
      </c>
      <c r="AG74">
        <f>1000*DW74*AT74*(DS74-DT74)/(100*DK74*(1000-AT74*DS74))</f>
        <v>0</v>
      </c>
      <c r="AH74">
        <f>(AI74 - AJ74 - DX74*1E3/(8.314*(DZ74+273.15)) * AL74/DW74 * AK74) * DW74/(100*DK74) * (1000 - DT74)/1000</f>
        <v>0</v>
      </c>
      <c r="AI74">
        <v>305.3182252620878</v>
      </c>
      <c r="AJ74">
        <v>305.3970848484847</v>
      </c>
      <c r="AK74">
        <v>0.0004085032516507632</v>
      </c>
      <c r="AL74">
        <v>65.863510872951</v>
      </c>
      <c r="AM74">
        <f>(AO74 - AN74 + DX74*1E3/(8.314*(DZ74+273.15)) * AQ74/DW74 * AP74) * DW74/(100*DK74) * 1000/(1000 - AO74)</f>
        <v>0</v>
      </c>
      <c r="AN74">
        <v>17.39875637034031</v>
      </c>
      <c r="AO74">
        <v>17.45635524475526</v>
      </c>
      <c r="AP74">
        <v>7.631494068470467E-05</v>
      </c>
      <c r="AQ74">
        <v>108.9770817649138</v>
      </c>
      <c r="AR74">
        <v>1</v>
      </c>
      <c r="AS74">
        <v>0</v>
      </c>
      <c r="AT74">
        <f>IF(AR74*$H$15&gt;=AV74,1.0,(AV74/(AV74-AR74*$H$15)))</f>
        <v>0</v>
      </c>
      <c r="AU74">
        <f>(AT74-1)*100</f>
        <v>0</v>
      </c>
      <c r="AV74">
        <f>MAX(0,($B$15+$C$15*EE74)/(1+$D$15*EE74)*DX74/(DZ74+273)*$E$15)</f>
        <v>0</v>
      </c>
      <c r="AW74" t="s">
        <v>437</v>
      </c>
      <c r="AX74" t="s">
        <v>437</v>
      </c>
      <c r="AY74">
        <v>0</v>
      </c>
      <c r="AZ74">
        <v>0</v>
      </c>
      <c r="BA74">
        <f>1-AY74/AZ74</f>
        <v>0</v>
      </c>
      <c r="BB74">
        <v>0</v>
      </c>
      <c r="BC74" t="s">
        <v>437</v>
      </c>
      <c r="BD74" t="s">
        <v>437</v>
      </c>
      <c r="BE74">
        <v>0</v>
      </c>
      <c r="BF74">
        <v>0</v>
      </c>
      <c r="BG74">
        <f>1-BE74/BF74</f>
        <v>0</v>
      </c>
      <c r="BH74">
        <v>0.5</v>
      </c>
      <c r="BI74">
        <f>DH74</f>
        <v>0</v>
      </c>
      <c r="BJ74">
        <f>K74</f>
        <v>0</v>
      </c>
      <c r="BK74">
        <f>BG74*BH74*BI74</f>
        <v>0</v>
      </c>
      <c r="BL74">
        <f>(BJ74-BB74)/BI74</f>
        <v>0</v>
      </c>
      <c r="BM74">
        <f>(AZ74-BF74)/BF74</f>
        <v>0</v>
      </c>
      <c r="BN74">
        <f>AY74/(BA74+AY74/BF74)</f>
        <v>0</v>
      </c>
      <c r="BO74" t="s">
        <v>437</v>
      </c>
      <c r="BP74">
        <v>0</v>
      </c>
      <c r="BQ74">
        <f>IF(BP74&lt;&gt;0, BP74, BN74)</f>
        <v>0</v>
      </c>
      <c r="BR74">
        <f>1-BQ74/BF74</f>
        <v>0</v>
      </c>
      <c r="BS74">
        <f>(BF74-BE74)/(BF74-BQ74)</f>
        <v>0</v>
      </c>
      <c r="BT74">
        <f>(AZ74-BF74)/(AZ74-BQ74)</f>
        <v>0</v>
      </c>
      <c r="BU74">
        <f>(BF74-BE74)/(BF74-AY74)</f>
        <v>0</v>
      </c>
      <c r="BV74">
        <f>(AZ74-BF74)/(AZ74-AY74)</f>
        <v>0</v>
      </c>
      <c r="BW74">
        <f>(BS74*BQ74/BE74)</f>
        <v>0</v>
      </c>
      <c r="BX74">
        <f>(1-BW74)</f>
        <v>0</v>
      </c>
      <c r="DG74">
        <f>$B$13*EF74+$C$13*EG74+$F$13*ER74*(1-EU74)</f>
        <v>0</v>
      </c>
      <c r="DH74">
        <f>DG74*DI74</f>
        <v>0</v>
      </c>
      <c r="DI74">
        <f>($B$13*$D$11+$C$13*$D$11+$F$13*((FE74+EW74)/MAX(FE74+EW74+FF74, 0.1)*$I$11+FF74/MAX(FE74+EW74+FF74, 0.1)*$J$11))/($B$13+$C$13+$F$13)</f>
        <v>0</v>
      </c>
      <c r="DJ74">
        <f>($B$13*$K$11+$C$13*$K$11+$F$13*((FE74+EW74)/MAX(FE74+EW74+FF74, 0.1)*$P$11+FF74/MAX(FE74+EW74+FF74, 0.1)*$Q$11))/($B$13+$C$13+$F$13)</f>
        <v>0</v>
      </c>
      <c r="DK74">
        <v>5.66</v>
      </c>
      <c r="DL74">
        <v>0.5</v>
      </c>
      <c r="DM74" t="s">
        <v>438</v>
      </c>
      <c r="DN74">
        <v>2</v>
      </c>
      <c r="DO74" t="b">
        <v>1</v>
      </c>
      <c r="DP74">
        <v>1765307973</v>
      </c>
      <c r="DQ74">
        <v>300.0295161290322</v>
      </c>
      <c r="DR74">
        <v>299.9917096774193</v>
      </c>
      <c r="DS74">
        <v>17.43360967741935</v>
      </c>
      <c r="DT74">
        <v>17.38867419354839</v>
      </c>
      <c r="DU74">
        <v>300.1235161290322</v>
      </c>
      <c r="DV74">
        <v>17.36160967741935</v>
      </c>
      <c r="DW74">
        <v>500.0030322580644</v>
      </c>
      <c r="DX74">
        <v>89.8562129032258</v>
      </c>
      <c r="DY74">
        <v>0.09997030322580645</v>
      </c>
      <c r="DZ74">
        <v>24.79896774193549</v>
      </c>
      <c r="EA74">
        <v>24.98264838709677</v>
      </c>
      <c r="EB74">
        <v>999.9000000000003</v>
      </c>
      <c r="EC74">
        <v>0</v>
      </c>
      <c r="ED74">
        <v>0</v>
      </c>
      <c r="EE74">
        <v>10001.01387096774</v>
      </c>
      <c r="EF74">
        <v>0</v>
      </c>
      <c r="EG74">
        <v>9.835680000000004</v>
      </c>
      <c r="EH74">
        <v>0.08972759354838709</v>
      </c>
      <c r="EI74">
        <v>305.4070322580646</v>
      </c>
      <c r="EJ74">
        <v>305.3003548387097</v>
      </c>
      <c r="EK74">
        <v>0.04945533225806451</v>
      </c>
      <c r="EL74">
        <v>299.9917096774193</v>
      </c>
      <c r="EM74">
        <v>17.38867419354839</v>
      </c>
      <c r="EN74">
        <v>1.566923548387097</v>
      </c>
      <c r="EO74">
        <v>1.562479354838709</v>
      </c>
      <c r="EP74">
        <v>13.63730967741936</v>
      </c>
      <c r="EQ74">
        <v>13.59367419354839</v>
      </c>
      <c r="ER74">
        <v>800.0230967741934</v>
      </c>
      <c r="ES74">
        <v>0.9500102580645162</v>
      </c>
      <c r="ET74">
        <v>0.04998967741935483</v>
      </c>
      <c r="EU74">
        <v>0</v>
      </c>
      <c r="EV74">
        <v>677.2229677419356</v>
      </c>
      <c r="EW74">
        <v>5.000779999999999</v>
      </c>
      <c r="EX74">
        <v>5105.28193548387</v>
      </c>
      <c r="EY74">
        <v>6463.628709677419</v>
      </c>
      <c r="EZ74">
        <v>36.38683870967742</v>
      </c>
      <c r="FA74">
        <v>38.82848387096774</v>
      </c>
      <c r="FB74">
        <v>37.93722580645159</v>
      </c>
      <c r="FC74">
        <v>38.536</v>
      </c>
      <c r="FD74">
        <v>37.95745161290323</v>
      </c>
      <c r="FE74">
        <v>755.2803225806451</v>
      </c>
      <c r="FF74">
        <v>39.74193548387097</v>
      </c>
      <c r="FG74">
        <v>0</v>
      </c>
      <c r="FH74">
        <v>1765307980.7</v>
      </c>
      <c r="FI74">
        <v>0</v>
      </c>
      <c r="FJ74">
        <v>677.22908</v>
      </c>
      <c r="FK74">
        <v>0.3540000098493827</v>
      </c>
      <c r="FL74">
        <v>-5.538461508805393</v>
      </c>
      <c r="FM74">
        <v>5105.1084</v>
      </c>
      <c r="FN74">
        <v>15</v>
      </c>
      <c r="FO74">
        <v>1765308000</v>
      </c>
      <c r="FP74" t="s">
        <v>614</v>
      </c>
      <c r="FQ74">
        <v>1765308000</v>
      </c>
      <c r="FR74">
        <v>1765307997</v>
      </c>
      <c r="FS74">
        <v>57</v>
      </c>
      <c r="FT74">
        <v>-0.052</v>
      </c>
      <c r="FU74">
        <v>-0.004</v>
      </c>
      <c r="FV74">
        <v>-0.094</v>
      </c>
      <c r="FW74">
        <v>0.07199999999999999</v>
      </c>
      <c r="FX74">
        <v>300</v>
      </c>
      <c r="FY74">
        <v>17</v>
      </c>
      <c r="FZ74">
        <v>0.8</v>
      </c>
      <c r="GA74">
        <v>0.18</v>
      </c>
      <c r="GB74">
        <v>0.100256335</v>
      </c>
      <c r="GC74">
        <v>-0.2833434799249536</v>
      </c>
      <c r="GD74">
        <v>0.03417316328594376</v>
      </c>
      <c r="GE74">
        <v>1</v>
      </c>
      <c r="GF74">
        <v>677.1986470588236</v>
      </c>
      <c r="GG74">
        <v>0.5157219305039061</v>
      </c>
      <c r="GH74">
        <v>0.1902453342324885</v>
      </c>
      <c r="GI74">
        <v>1</v>
      </c>
      <c r="GJ74">
        <v>0.0554122425</v>
      </c>
      <c r="GK74">
        <v>-0.09140904652908062</v>
      </c>
      <c r="GL74">
        <v>0.01401859324058387</v>
      </c>
      <c r="GM74">
        <v>1</v>
      </c>
      <c r="GN74">
        <v>3</v>
      </c>
      <c r="GO74">
        <v>3</v>
      </c>
      <c r="GP74" t="s">
        <v>440</v>
      </c>
      <c r="GQ74">
        <v>3.10813</v>
      </c>
      <c r="GR74">
        <v>2.79167</v>
      </c>
      <c r="GS74">
        <v>0.06742479999999999</v>
      </c>
      <c r="GT74">
        <v>0.0674245</v>
      </c>
      <c r="GU74">
        <v>0.0861383</v>
      </c>
      <c r="GV74">
        <v>0.08671769999999999</v>
      </c>
      <c r="GW74">
        <v>24485.3</v>
      </c>
      <c r="GX74">
        <v>22231.3</v>
      </c>
      <c r="GY74">
        <v>26813</v>
      </c>
      <c r="GZ74">
        <v>24044.7</v>
      </c>
      <c r="HA74">
        <v>39159.3</v>
      </c>
      <c r="HB74">
        <v>32407.8</v>
      </c>
      <c r="HC74">
        <v>46798.8</v>
      </c>
      <c r="HD74">
        <v>38024.4</v>
      </c>
      <c r="HE74">
        <v>1.8871</v>
      </c>
      <c r="HF74">
        <v>1.8498</v>
      </c>
      <c r="HG74">
        <v>0.087738</v>
      </c>
      <c r="HH74">
        <v>0</v>
      </c>
      <c r="HI74">
        <v>23.5345</v>
      </c>
      <c r="HJ74">
        <v>999.9</v>
      </c>
      <c r="HK74">
        <v>38.1</v>
      </c>
      <c r="HL74">
        <v>32.2</v>
      </c>
      <c r="HM74">
        <v>20.4762</v>
      </c>
      <c r="HN74">
        <v>61.0538</v>
      </c>
      <c r="HO74">
        <v>28.2812</v>
      </c>
      <c r="HP74">
        <v>1</v>
      </c>
      <c r="HQ74">
        <v>0.00766768</v>
      </c>
      <c r="HR74">
        <v>0.431032</v>
      </c>
      <c r="HS74">
        <v>20.2939</v>
      </c>
      <c r="HT74">
        <v>5.22238</v>
      </c>
      <c r="HU74">
        <v>11.9767</v>
      </c>
      <c r="HV74">
        <v>4.9656</v>
      </c>
      <c r="HW74">
        <v>3.27593</v>
      </c>
      <c r="HX74">
        <v>9999</v>
      </c>
      <c r="HY74">
        <v>9999</v>
      </c>
      <c r="HZ74">
        <v>9999</v>
      </c>
      <c r="IA74">
        <v>999.9</v>
      </c>
      <c r="IB74">
        <v>1.86386</v>
      </c>
      <c r="IC74">
        <v>1.86005</v>
      </c>
      <c r="ID74">
        <v>1.85837</v>
      </c>
      <c r="IE74">
        <v>1.8597</v>
      </c>
      <c r="IF74">
        <v>1.85984</v>
      </c>
      <c r="IG74">
        <v>1.85836</v>
      </c>
      <c r="IH74">
        <v>1.85744</v>
      </c>
      <c r="II74">
        <v>1.85237</v>
      </c>
      <c r="IJ74">
        <v>0</v>
      </c>
      <c r="IK74">
        <v>0</v>
      </c>
      <c r="IL74">
        <v>0</v>
      </c>
      <c r="IM74">
        <v>0</v>
      </c>
      <c r="IN74" t="s">
        <v>441</v>
      </c>
      <c r="IO74" t="s">
        <v>442</v>
      </c>
      <c r="IP74" t="s">
        <v>443</v>
      </c>
      <c r="IQ74" t="s">
        <v>443</v>
      </c>
      <c r="IR74" t="s">
        <v>443</v>
      </c>
      <c r="IS74" t="s">
        <v>443</v>
      </c>
      <c r="IT74">
        <v>0</v>
      </c>
      <c r="IU74">
        <v>100</v>
      </c>
      <c r="IV74">
        <v>100</v>
      </c>
      <c r="IW74">
        <v>-0.094</v>
      </c>
      <c r="IX74">
        <v>0.07199999999999999</v>
      </c>
      <c r="IY74">
        <v>-0.2151735712974031</v>
      </c>
      <c r="IZ74">
        <v>0.0001583678016168383</v>
      </c>
      <c r="JA74">
        <v>1.526473431467286E-06</v>
      </c>
      <c r="JB74">
        <v>-4.446382740029455E-10</v>
      </c>
      <c r="JC74">
        <v>-0.04116507515983425</v>
      </c>
      <c r="JD74">
        <v>-0.009941991807247691</v>
      </c>
      <c r="JE74">
        <v>0.001256427533001032</v>
      </c>
      <c r="JF74">
        <v>-1.689728105039484E-05</v>
      </c>
      <c r="JG74">
        <v>2</v>
      </c>
      <c r="JH74">
        <v>1984</v>
      </c>
      <c r="JI74">
        <v>0</v>
      </c>
      <c r="JJ74">
        <v>25</v>
      </c>
      <c r="JK74">
        <v>1.3</v>
      </c>
      <c r="JL74">
        <v>1.3</v>
      </c>
      <c r="JM74">
        <v>0.8703610000000001</v>
      </c>
      <c r="JN74">
        <v>2.61597</v>
      </c>
      <c r="JO74">
        <v>1.49658</v>
      </c>
      <c r="JP74">
        <v>2.34863</v>
      </c>
      <c r="JQ74">
        <v>1.54907</v>
      </c>
      <c r="JR74">
        <v>2.45239</v>
      </c>
      <c r="JS74">
        <v>35.8244</v>
      </c>
      <c r="JT74">
        <v>24.14</v>
      </c>
      <c r="JU74">
        <v>18</v>
      </c>
      <c r="JV74">
        <v>477.352</v>
      </c>
      <c r="JW74">
        <v>482.126</v>
      </c>
      <c r="JX74">
        <v>23.4849</v>
      </c>
      <c r="JY74">
        <v>27.2763</v>
      </c>
      <c r="JZ74">
        <v>29.9997</v>
      </c>
      <c r="KA74">
        <v>27.6221</v>
      </c>
      <c r="KB74">
        <v>27.6448</v>
      </c>
      <c r="KC74">
        <v>17.5034</v>
      </c>
      <c r="KD74">
        <v>16.6971</v>
      </c>
      <c r="KE74">
        <v>31.1104</v>
      </c>
      <c r="KF74">
        <v>23.5012</v>
      </c>
      <c r="KG74">
        <v>300</v>
      </c>
      <c r="KH74">
        <v>17.4001</v>
      </c>
      <c r="KI74">
        <v>102.34</v>
      </c>
      <c r="KJ74">
        <v>91.7165</v>
      </c>
    </row>
    <row r="75" spans="1:296">
      <c r="A75">
        <v>57</v>
      </c>
      <c r="B75">
        <v>1765308080.5</v>
      </c>
      <c r="C75">
        <v>10647.5</v>
      </c>
      <c r="D75" t="s">
        <v>615</v>
      </c>
      <c r="E75" t="s">
        <v>616</v>
      </c>
      <c r="F75">
        <v>5</v>
      </c>
      <c r="G75" t="s">
        <v>610</v>
      </c>
      <c r="H75">
        <v>1765308072.75</v>
      </c>
      <c r="I75">
        <f>(J75)/1000</f>
        <v>0</v>
      </c>
      <c r="J75">
        <f>IF(DO75, AM75, AG75)</f>
        <v>0</v>
      </c>
      <c r="K75">
        <f>IF(DO75, AH75, AF75)</f>
        <v>0</v>
      </c>
      <c r="L75">
        <f>DQ75 - IF(AT75&gt;1, K75*DK75*100.0/(AV75), 0)</f>
        <v>0</v>
      </c>
      <c r="M75">
        <f>((S75-I75/2)*L75-K75)/(S75+I75/2)</f>
        <v>0</v>
      </c>
      <c r="N75">
        <f>M75*(DX75+DY75)/1000.0</f>
        <v>0</v>
      </c>
      <c r="O75">
        <f>(DQ75 - IF(AT75&gt;1, K75*DK75*100.0/(AV75), 0))*(DX75+DY75)/1000.0</f>
        <v>0</v>
      </c>
      <c r="P75">
        <f>2.0/((1/R75-1/Q75)+SIGN(R75)*SQRT((1/R75-1/Q75)*(1/R75-1/Q75) + 4*DL75/((DL75+1)*(DL75+1))*(2*1/R75*1/Q75-1/Q75*1/Q75)))</f>
        <v>0</v>
      </c>
      <c r="Q75">
        <f>IF(LEFT(DM75,1)&lt;&gt;"0",IF(LEFT(DM75,1)="1",3.0,DN75),$D$5+$E$5*(EE75*DX75/($K$5*1000))+$F$5*(EE75*DX75/($K$5*1000))*MAX(MIN(DK75,$J$5),$I$5)*MAX(MIN(DK75,$J$5),$I$5)+$G$5*MAX(MIN(DK75,$J$5),$I$5)*(EE75*DX75/($K$5*1000))+$H$5*(EE75*DX75/($K$5*1000))*(EE75*DX75/($K$5*1000)))</f>
        <v>0</v>
      </c>
      <c r="R75">
        <f>I75*(1000-(1000*0.61365*exp(17.502*V75/(240.97+V75))/(DX75+DY75)+DS75)/2)/(1000*0.61365*exp(17.502*V75/(240.97+V75))/(DX75+DY75)-DS75)</f>
        <v>0</v>
      </c>
      <c r="S75">
        <f>1/((DL75+1)/(P75/1.6)+1/(Q75/1.37)) + DL75/((DL75+1)/(P75/1.6) + DL75/(Q75/1.37))</f>
        <v>0</v>
      </c>
      <c r="T75">
        <f>(DG75*DJ75)</f>
        <v>0</v>
      </c>
      <c r="U75">
        <f>(DZ75+(T75+2*0.95*5.67E-8*(((DZ75+$B$9)+273)^4-(DZ75+273)^4)-44100*I75)/(1.84*29.3*Q75+8*0.95*5.67E-8*(DZ75+273)^3))</f>
        <v>0</v>
      </c>
      <c r="V75">
        <f>($C$9*EA75+$D$9*EB75+$E$9*U75)</f>
        <v>0</v>
      </c>
      <c r="W75">
        <f>0.61365*exp(17.502*V75/(240.97+V75))</f>
        <v>0</v>
      </c>
      <c r="X75">
        <f>(Y75/Z75*100)</f>
        <v>0</v>
      </c>
      <c r="Y75">
        <f>DS75*(DX75+DY75)/1000</f>
        <v>0</v>
      </c>
      <c r="Z75">
        <f>0.61365*exp(17.502*DZ75/(240.97+DZ75))</f>
        <v>0</v>
      </c>
      <c r="AA75">
        <f>(W75-DS75*(DX75+DY75)/1000)</f>
        <v>0</v>
      </c>
      <c r="AB75">
        <f>(-I75*44100)</f>
        <v>0</v>
      </c>
      <c r="AC75">
        <f>2*29.3*Q75*0.92*(DZ75-V75)</f>
        <v>0</v>
      </c>
      <c r="AD75">
        <f>2*0.95*5.67E-8*(((DZ75+$B$9)+273)^4-(V75+273)^4)</f>
        <v>0</v>
      </c>
      <c r="AE75">
        <f>T75+AD75+AB75+AC75</f>
        <v>0</v>
      </c>
      <c r="AF75">
        <f>DW75*AT75*(DR75-DQ75*(1000-AT75*DT75)/(1000-AT75*DS75))/(100*DK75)</f>
        <v>0</v>
      </c>
      <c r="AG75">
        <f>1000*DW75*AT75*(DS75-DT75)/(100*DK75*(1000-AT75*DS75))</f>
        <v>0</v>
      </c>
      <c r="AH75">
        <f>(AI75 - AJ75 - DX75*1E3/(8.314*(DZ75+273.15)) * AL75/DW75 * AK75) * DW75/(100*DK75) * (1000 - DT75)/1000</f>
        <v>0</v>
      </c>
      <c r="AI75">
        <v>203.5261513038365</v>
      </c>
      <c r="AJ75">
        <v>203.6191090909091</v>
      </c>
      <c r="AK75">
        <v>-6.841899471770143E-05</v>
      </c>
      <c r="AL75">
        <v>65.86418629442531</v>
      </c>
      <c r="AM75">
        <f>(AO75 - AN75 + DX75*1E3/(8.314*(DZ75+273.15)) * AQ75/DW75 * AP75) * DW75/(100*DK75) * 1000/(1000 - AO75)</f>
        <v>0</v>
      </c>
      <c r="AN75">
        <v>17.4123477018784</v>
      </c>
      <c r="AO75">
        <v>17.4719097902098</v>
      </c>
      <c r="AP75">
        <v>8.009696223696852E-06</v>
      </c>
      <c r="AQ75">
        <v>109.0019446523105</v>
      </c>
      <c r="AR75">
        <v>1</v>
      </c>
      <c r="AS75">
        <v>0</v>
      </c>
      <c r="AT75">
        <f>IF(AR75*$H$15&gt;=AV75,1.0,(AV75/(AV75-AR75*$H$15)))</f>
        <v>0</v>
      </c>
      <c r="AU75">
        <f>(AT75-1)*100</f>
        <v>0</v>
      </c>
      <c r="AV75">
        <f>MAX(0,($B$15+$C$15*EE75)/(1+$D$15*EE75)*DX75/(DZ75+273)*$E$15)</f>
        <v>0</v>
      </c>
      <c r="AW75" t="s">
        <v>437</v>
      </c>
      <c r="AX75" t="s">
        <v>437</v>
      </c>
      <c r="AY75">
        <v>0</v>
      </c>
      <c r="AZ75">
        <v>0</v>
      </c>
      <c r="BA75">
        <f>1-AY75/AZ75</f>
        <v>0</v>
      </c>
      <c r="BB75">
        <v>0</v>
      </c>
      <c r="BC75" t="s">
        <v>437</v>
      </c>
      <c r="BD75" t="s">
        <v>437</v>
      </c>
      <c r="BE75">
        <v>0</v>
      </c>
      <c r="BF75">
        <v>0</v>
      </c>
      <c r="BG75">
        <f>1-BE75/BF75</f>
        <v>0</v>
      </c>
      <c r="BH75">
        <v>0.5</v>
      </c>
      <c r="BI75">
        <f>DH75</f>
        <v>0</v>
      </c>
      <c r="BJ75">
        <f>K75</f>
        <v>0</v>
      </c>
      <c r="BK75">
        <f>BG75*BH75*BI75</f>
        <v>0</v>
      </c>
      <c r="BL75">
        <f>(BJ75-BB75)/BI75</f>
        <v>0</v>
      </c>
      <c r="BM75">
        <f>(AZ75-BF75)/BF75</f>
        <v>0</v>
      </c>
      <c r="BN75">
        <f>AY75/(BA75+AY75/BF75)</f>
        <v>0</v>
      </c>
      <c r="BO75" t="s">
        <v>437</v>
      </c>
      <c r="BP75">
        <v>0</v>
      </c>
      <c r="BQ75">
        <f>IF(BP75&lt;&gt;0, BP75, BN75)</f>
        <v>0</v>
      </c>
      <c r="BR75">
        <f>1-BQ75/BF75</f>
        <v>0</v>
      </c>
      <c r="BS75">
        <f>(BF75-BE75)/(BF75-BQ75)</f>
        <v>0</v>
      </c>
      <c r="BT75">
        <f>(AZ75-BF75)/(AZ75-BQ75)</f>
        <v>0</v>
      </c>
      <c r="BU75">
        <f>(BF75-BE75)/(BF75-AY75)</f>
        <v>0</v>
      </c>
      <c r="BV75">
        <f>(AZ75-BF75)/(AZ75-AY75)</f>
        <v>0</v>
      </c>
      <c r="BW75">
        <f>(BS75*BQ75/BE75)</f>
        <v>0</v>
      </c>
      <c r="BX75">
        <f>(1-BW75)</f>
        <v>0</v>
      </c>
      <c r="DG75">
        <f>$B$13*EF75+$C$13*EG75+$F$13*ER75*(1-EU75)</f>
        <v>0</v>
      </c>
      <c r="DH75">
        <f>DG75*DI75</f>
        <v>0</v>
      </c>
      <c r="DI75">
        <f>($B$13*$D$11+$C$13*$D$11+$F$13*((FE75+EW75)/MAX(FE75+EW75+FF75, 0.1)*$I$11+FF75/MAX(FE75+EW75+FF75, 0.1)*$J$11))/($B$13+$C$13+$F$13)</f>
        <v>0</v>
      </c>
      <c r="DJ75">
        <f>($B$13*$K$11+$C$13*$K$11+$F$13*((FE75+EW75)/MAX(FE75+EW75+FF75, 0.1)*$P$11+FF75/MAX(FE75+EW75+FF75, 0.1)*$Q$11))/($B$13+$C$13+$F$13)</f>
        <v>0</v>
      </c>
      <c r="DK75">
        <v>5.66</v>
      </c>
      <c r="DL75">
        <v>0.5</v>
      </c>
      <c r="DM75" t="s">
        <v>438</v>
      </c>
      <c r="DN75">
        <v>2</v>
      </c>
      <c r="DO75" t="b">
        <v>1</v>
      </c>
      <c r="DP75">
        <v>1765308072.75</v>
      </c>
      <c r="DQ75">
        <v>200.1364333333333</v>
      </c>
      <c r="DR75">
        <v>199.9898333333334</v>
      </c>
      <c r="DS75">
        <v>17.47013666666667</v>
      </c>
      <c r="DT75">
        <v>17.41233</v>
      </c>
      <c r="DU75">
        <v>200.2404333333333</v>
      </c>
      <c r="DV75">
        <v>17.39613666666667</v>
      </c>
      <c r="DW75">
        <v>500.0056333333333</v>
      </c>
      <c r="DX75">
        <v>89.84851333333333</v>
      </c>
      <c r="DY75">
        <v>0.09999085666666668</v>
      </c>
      <c r="DZ75">
        <v>24.79334</v>
      </c>
      <c r="EA75">
        <v>24.99949333333334</v>
      </c>
      <c r="EB75">
        <v>999.9000000000002</v>
      </c>
      <c r="EC75">
        <v>0</v>
      </c>
      <c r="ED75">
        <v>0</v>
      </c>
      <c r="EE75">
        <v>10004.314</v>
      </c>
      <c r="EF75">
        <v>0</v>
      </c>
      <c r="EG75">
        <v>10.34749566666667</v>
      </c>
      <c r="EH75">
        <v>0.07260537466666667</v>
      </c>
      <c r="EI75">
        <v>203.6195666666666</v>
      </c>
      <c r="EJ75">
        <v>203.5338333333333</v>
      </c>
      <c r="EK75">
        <v>0.05697459999999999</v>
      </c>
      <c r="EL75">
        <v>199.9898333333334</v>
      </c>
      <c r="EM75">
        <v>17.41233</v>
      </c>
      <c r="EN75">
        <v>1.569591</v>
      </c>
      <c r="EO75">
        <v>1.564472333333333</v>
      </c>
      <c r="EP75">
        <v>13.66346</v>
      </c>
      <c r="EQ75">
        <v>13.61324333333333</v>
      </c>
      <c r="ER75">
        <v>800.0217333333334</v>
      </c>
      <c r="ES75">
        <v>0.9500131333333336</v>
      </c>
      <c r="ET75">
        <v>0.04998677</v>
      </c>
      <c r="EU75">
        <v>0</v>
      </c>
      <c r="EV75">
        <v>678.6168000000001</v>
      </c>
      <c r="EW75">
        <v>5.00078</v>
      </c>
      <c r="EX75">
        <v>5098.663</v>
      </c>
      <c r="EY75">
        <v>6463.622333333334</v>
      </c>
      <c r="EZ75">
        <v>35.6831</v>
      </c>
      <c r="FA75">
        <v>38.03943333333333</v>
      </c>
      <c r="FB75">
        <v>37.4498</v>
      </c>
      <c r="FC75">
        <v>37.63096666666665</v>
      </c>
      <c r="FD75">
        <v>37.38103333333333</v>
      </c>
      <c r="FE75">
        <v>755.2806666666667</v>
      </c>
      <c r="FF75">
        <v>39.73833333333334</v>
      </c>
      <c r="FG75">
        <v>0</v>
      </c>
      <c r="FH75">
        <v>1765308079.7</v>
      </c>
      <c r="FI75">
        <v>0</v>
      </c>
      <c r="FJ75">
        <v>678.6244999999999</v>
      </c>
      <c r="FK75">
        <v>0.4429743671324324</v>
      </c>
      <c r="FL75">
        <v>-3.939145305052596</v>
      </c>
      <c r="FM75">
        <v>5098.693076923077</v>
      </c>
      <c r="FN75">
        <v>15</v>
      </c>
      <c r="FO75">
        <v>1765308097.1</v>
      </c>
      <c r="FP75" t="s">
        <v>617</v>
      </c>
      <c r="FQ75">
        <v>1765308095.1</v>
      </c>
      <c r="FR75">
        <v>1765308097.1</v>
      </c>
      <c r="FS75">
        <v>58</v>
      </c>
      <c r="FT75">
        <v>0.074</v>
      </c>
      <c r="FU75">
        <v>0.002</v>
      </c>
      <c r="FV75">
        <v>-0.104</v>
      </c>
      <c r="FW75">
        <v>0.074</v>
      </c>
      <c r="FX75">
        <v>200</v>
      </c>
      <c r="FY75">
        <v>17</v>
      </c>
      <c r="FZ75">
        <v>0.62</v>
      </c>
      <c r="GA75">
        <v>0.11</v>
      </c>
      <c r="GB75">
        <v>0.08148231560975609</v>
      </c>
      <c r="GC75">
        <v>-0.07342504264808364</v>
      </c>
      <c r="GD75">
        <v>0.03509068100606701</v>
      </c>
      <c r="GE75">
        <v>1</v>
      </c>
      <c r="GF75">
        <v>678.5973235294118</v>
      </c>
      <c r="GG75">
        <v>0.5483728074949327</v>
      </c>
      <c r="GH75">
        <v>0.2259333218384491</v>
      </c>
      <c r="GI75">
        <v>1</v>
      </c>
      <c r="GJ75">
        <v>0.05306839268292683</v>
      </c>
      <c r="GK75">
        <v>0.06454602648083636</v>
      </c>
      <c r="GL75">
        <v>0.006830732549237654</v>
      </c>
      <c r="GM75">
        <v>1</v>
      </c>
      <c r="GN75">
        <v>3</v>
      </c>
      <c r="GO75">
        <v>3</v>
      </c>
      <c r="GP75" t="s">
        <v>440</v>
      </c>
      <c r="GQ75">
        <v>3.10838</v>
      </c>
      <c r="GR75">
        <v>2.79171</v>
      </c>
      <c r="GS75">
        <v>0.0480267</v>
      </c>
      <c r="GT75">
        <v>0.0479796</v>
      </c>
      <c r="GU75">
        <v>0.0862203</v>
      </c>
      <c r="GV75">
        <v>0.086771</v>
      </c>
      <c r="GW75">
        <v>24999.1</v>
      </c>
      <c r="GX75">
        <v>22697.4</v>
      </c>
      <c r="GY75">
        <v>26817.4</v>
      </c>
      <c r="GZ75">
        <v>24046.9</v>
      </c>
      <c r="HA75">
        <v>39159.9</v>
      </c>
      <c r="HB75">
        <v>32406.8</v>
      </c>
      <c r="HC75">
        <v>46806.8</v>
      </c>
      <c r="HD75">
        <v>38027.9</v>
      </c>
      <c r="HE75">
        <v>1.8883</v>
      </c>
      <c r="HF75">
        <v>1.85128</v>
      </c>
      <c r="HG75">
        <v>0.0870973</v>
      </c>
      <c r="HH75">
        <v>0</v>
      </c>
      <c r="HI75">
        <v>23.5626</v>
      </c>
      <c r="HJ75">
        <v>999.9</v>
      </c>
      <c r="HK75">
        <v>38.3</v>
      </c>
      <c r="HL75">
        <v>32.2</v>
      </c>
      <c r="HM75">
        <v>20.5851</v>
      </c>
      <c r="HN75">
        <v>60.7538</v>
      </c>
      <c r="HO75">
        <v>28.0128</v>
      </c>
      <c r="HP75">
        <v>1</v>
      </c>
      <c r="HQ75">
        <v>-9.40041E-05</v>
      </c>
      <c r="HR75">
        <v>0.398459</v>
      </c>
      <c r="HS75">
        <v>20.2962</v>
      </c>
      <c r="HT75">
        <v>5.22193</v>
      </c>
      <c r="HU75">
        <v>11.9763</v>
      </c>
      <c r="HV75">
        <v>4.9657</v>
      </c>
      <c r="HW75">
        <v>3.27598</v>
      </c>
      <c r="HX75">
        <v>9999</v>
      </c>
      <c r="HY75">
        <v>9999</v>
      </c>
      <c r="HZ75">
        <v>9999</v>
      </c>
      <c r="IA75">
        <v>999.9</v>
      </c>
      <c r="IB75">
        <v>1.86392</v>
      </c>
      <c r="IC75">
        <v>1.86005</v>
      </c>
      <c r="ID75">
        <v>1.85837</v>
      </c>
      <c r="IE75">
        <v>1.85971</v>
      </c>
      <c r="IF75">
        <v>1.85988</v>
      </c>
      <c r="IG75">
        <v>1.85837</v>
      </c>
      <c r="IH75">
        <v>1.85745</v>
      </c>
      <c r="II75">
        <v>1.85241</v>
      </c>
      <c r="IJ75">
        <v>0</v>
      </c>
      <c r="IK75">
        <v>0</v>
      </c>
      <c r="IL75">
        <v>0</v>
      </c>
      <c r="IM75">
        <v>0</v>
      </c>
      <c r="IN75" t="s">
        <v>441</v>
      </c>
      <c r="IO75" t="s">
        <v>442</v>
      </c>
      <c r="IP75" t="s">
        <v>443</v>
      </c>
      <c r="IQ75" t="s">
        <v>443</v>
      </c>
      <c r="IR75" t="s">
        <v>443</v>
      </c>
      <c r="IS75" t="s">
        <v>443</v>
      </c>
      <c r="IT75">
        <v>0</v>
      </c>
      <c r="IU75">
        <v>100</v>
      </c>
      <c r="IV75">
        <v>100</v>
      </c>
      <c r="IW75">
        <v>-0.104</v>
      </c>
      <c r="IX75">
        <v>0.074</v>
      </c>
      <c r="IY75">
        <v>-0.2673716122814468</v>
      </c>
      <c r="IZ75">
        <v>0.0001583678016168383</v>
      </c>
      <c r="JA75">
        <v>1.526473431467286E-06</v>
      </c>
      <c r="JB75">
        <v>-4.446382740029455E-10</v>
      </c>
      <c r="JC75">
        <v>-0.04514639051318432</v>
      </c>
      <c r="JD75">
        <v>-0.009941991807247691</v>
      </c>
      <c r="JE75">
        <v>0.001256427533001032</v>
      </c>
      <c r="JF75">
        <v>-1.689728105039484E-05</v>
      </c>
      <c r="JG75">
        <v>2</v>
      </c>
      <c r="JH75">
        <v>1984</v>
      </c>
      <c r="JI75">
        <v>0</v>
      </c>
      <c r="JJ75">
        <v>25</v>
      </c>
      <c r="JK75">
        <v>1.3</v>
      </c>
      <c r="JL75">
        <v>1.4</v>
      </c>
      <c r="JM75">
        <v>0.637207</v>
      </c>
      <c r="JN75">
        <v>2.62207</v>
      </c>
      <c r="JO75">
        <v>1.49658</v>
      </c>
      <c r="JP75">
        <v>2.34863</v>
      </c>
      <c r="JQ75">
        <v>1.54907</v>
      </c>
      <c r="JR75">
        <v>2.45239</v>
      </c>
      <c r="JS75">
        <v>35.7544</v>
      </c>
      <c r="JT75">
        <v>24.1488</v>
      </c>
      <c r="JU75">
        <v>18</v>
      </c>
      <c r="JV75">
        <v>477.314</v>
      </c>
      <c r="JW75">
        <v>482.295</v>
      </c>
      <c r="JX75">
        <v>23.4721</v>
      </c>
      <c r="JY75">
        <v>27.1756</v>
      </c>
      <c r="JZ75">
        <v>29.9998</v>
      </c>
      <c r="KA75">
        <v>27.527</v>
      </c>
      <c r="KB75">
        <v>27.5516</v>
      </c>
      <c r="KC75">
        <v>12.8523</v>
      </c>
      <c r="KD75">
        <v>16.6971</v>
      </c>
      <c r="KE75">
        <v>31.4811</v>
      </c>
      <c r="KF75">
        <v>23.4862</v>
      </c>
      <c r="KG75">
        <v>200</v>
      </c>
      <c r="KH75">
        <v>17.403</v>
      </c>
      <c r="KI75">
        <v>102.357</v>
      </c>
      <c r="KJ75">
        <v>91.7248</v>
      </c>
    </row>
    <row r="76" spans="1:296">
      <c r="A76">
        <v>58</v>
      </c>
      <c r="B76">
        <v>1765308178.6</v>
      </c>
      <c r="C76">
        <v>10745.59999990463</v>
      </c>
      <c r="D76" t="s">
        <v>618</v>
      </c>
      <c r="E76" t="s">
        <v>619</v>
      </c>
      <c r="F76">
        <v>5</v>
      </c>
      <c r="G76" t="s">
        <v>610</v>
      </c>
      <c r="H76">
        <v>1765308170.849999</v>
      </c>
      <c r="I76">
        <f>(J76)/1000</f>
        <v>0</v>
      </c>
      <c r="J76">
        <f>IF(DO76, AM76, AG76)</f>
        <v>0</v>
      </c>
      <c r="K76">
        <f>IF(DO76, AH76, AF76)</f>
        <v>0</v>
      </c>
      <c r="L76">
        <f>DQ76 - IF(AT76&gt;1, K76*DK76*100.0/(AV76), 0)</f>
        <v>0</v>
      </c>
      <c r="M76">
        <f>((S76-I76/2)*L76-K76)/(S76+I76/2)</f>
        <v>0</v>
      </c>
      <c r="N76">
        <f>M76*(DX76+DY76)/1000.0</f>
        <v>0</v>
      </c>
      <c r="O76">
        <f>(DQ76 - IF(AT76&gt;1, K76*DK76*100.0/(AV76), 0))*(DX76+DY76)/1000.0</f>
        <v>0</v>
      </c>
      <c r="P76">
        <f>2.0/((1/R76-1/Q76)+SIGN(R76)*SQRT((1/R76-1/Q76)*(1/R76-1/Q76) + 4*DL76/((DL76+1)*(DL76+1))*(2*1/R76*1/Q76-1/Q76*1/Q76)))</f>
        <v>0</v>
      </c>
      <c r="Q76">
        <f>IF(LEFT(DM76,1)&lt;&gt;"0",IF(LEFT(DM76,1)="1",3.0,DN76),$D$5+$E$5*(EE76*DX76/($K$5*1000))+$F$5*(EE76*DX76/($K$5*1000))*MAX(MIN(DK76,$J$5),$I$5)*MAX(MIN(DK76,$J$5),$I$5)+$G$5*MAX(MIN(DK76,$J$5),$I$5)*(EE76*DX76/($K$5*1000))+$H$5*(EE76*DX76/($K$5*1000))*(EE76*DX76/($K$5*1000)))</f>
        <v>0</v>
      </c>
      <c r="R76">
        <f>I76*(1000-(1000*0.61365*exp(17.502*V76/(240.97+V76))/(DX76+DY76)+DS76)/2)/(1000*0.61365*exp(17.502*V76/(240.97+V76))/(DX76+DY76)-DS76)</f>
        <v>0</v>
      </c>
      <c r="S76">
        <f>1/((DL76+1)/(P76/1.6)+1/(Q76/1.37)) + DL76/((DL76+1)/(P76/1.6) + DL76/(Q76/1.37))</f>
        <v>0</v>
      </c>
      <c r="T76">
        <f>(DG76*DJ76)</f>
        <v>0</v>
      </c>
      <c r="U76">
        <f>(DZ76+(T76+2*0.95*5.67E-8*(((DZ76+$B$9)+273)^4-(DZ76+273)^4)-44100*I76)/(1.84*29.3*Q76+8*0.95*5.67E-8*(DZ76+273)^3))</f>
        <v>0</v>
      </c>
      <c r="V76">
        <f>($C$9*EA76+$D$9*EB76+$E$9*U76)</f>
        <v>0</v>
      </c>
      <c r="W76">
        <f>0.61365*exp(17.502*V76/(240.97+V76))</f>
        <v>0</v>
      </c>
      <c r="X76">
        <f>(Y76/Z76*100)</f>
        <v>0</v>
      </c>
      <c r="Y76">
        <f>DS76*(DX76+DY76)/1000</f>
        <v>0</v>
      </c>
      <c r="Z76">
        <f>0.61365*exp(17.502*DZ76/(240.97+DZ76))</f>
        <v>0</v>
      </c>
      <c r="AA76">
        <f>(W76-DS76*(DX76+DY76)/1000)</f>
        <v>0</v>
      </c>
      <c r="AB76">
        <f>(-I76*44100)</f>
        <v>0</v>
      </c>
      <c r="AC76">
        <f>2*29.3*Q76*0.92*(DZ76-V76)</f>
        <v>0</v>
      </c>
      <c r="AD76">
        <f>2*0.95*5.67E-8*(((DZ76+$B$9)+273)^4-(V76+273)^4)</f>
        <v>0</v>
      </c>
      <c r="AE76">
        <f>T76+AD76+AB76+AC76</f>
        <v>0</v>
      </c>
      <c r="AF76">
        <f>DW76*AT76*(DR76-DQ76*(1000-AT76*DT76)/(1000-AT76*DS76))/(100*DK76)</f>
        <v>0</v>
      </c>
      <c r="AG76">
        <f>1000*DW76*AT76*(DS76-DT76)/(100*DK76*(1000-AT76*DS76))</f>
        <v>0</v>
      </c>
      <c r="AH76">
        <f>(AI76 - AJ76 - DX76*1E3/(8.314*(DZ76+273.15)) * AL76/DW76 * AK76) * DW76/(100*DK76) * (1000 - DT76)/1000</f>
        <v>0</v>
      </c>
      <c r="AI76">
        <v>101.8003074335245</v>
      </c>
      <c r="AJ76">
        <v>101.9374303030303</v>
      </c>
      <c r="AK76">
        <v>-0.0004680360566492962</v>
      </c>
      <c r="AL76">
        <v>65.4783127418488</v>
      </c>
      <c r="AM76">
        <f>(AO76 - AN76 + DX76*1E3/(8.314*(DZ76+273.15)) * AQ76/DW76 * AP76) * DW76/(100*DK76) * 1000/(1000 - AO76)</f>
        <v>0</v>
      </c>
      <c r="AN76">
        <v>17.41663212121212</v>
      </c>
      <c r="AO76">
        <v>17.48436242424242</v>
      </c>
      <c r="AP76">
        <v>-6.024579447491215E-06</v>
      </c>
      <c r="AQ76">
        <v>105.0534006873048</v>
      </c>
      <c r="AR76">
        <v>1</v>
      </c>
      <c r="AS76">
        <v>0</v>
      </c>
      <c r="AT76">
        <f>IF(AR76*$H$15&gt;=AV76,1.0,(AV76/(AV76-AR76*$H$15)))</f>
        <v>0</v>
      </c>
      <c r="AU76">
        <f>(AT76-1)*100</f>
        <v>0</v>
      </c>
      <c r="AV76">
        <f>MAX(0,($B$15+$C$15*EE76)/(1+$D$15*EE76)*DX76/(DZ76+273)*$E$15)</f>
        <v>0</v>
      </c>
      <c r="AW76" t="s">
        <v>437</v>
      </c>
      <c r="AX76" t="s">
        <v>437</v>
      </c>
      <c r="AY76">
        <v>0</v>
      </c>
      <c r="AZ76">
        <v>0</v>
      </c>
      <c r="BA76">
        <f>1-AY76/AZ76</f>
        <v>0</v>
      </c>
      <c r="BB76">
        <v>0</v>
      </c>
      <c r="BC76" t="s">
        <v>437</v>
      </c>
      <c r="BD76" t="s">
        <v>437</v>
      </c>
      <c r="BE76">
        <v>0</v>
      </c>
      <c r="BF76">
        <v>0</v>
      </c>
      <c r="BG76">
        <f>1-BE76/BF76</f>
        <v>0</v>
      </c>
      <c r="BH76">
        <v>0.5</v>
      </c>
      <c r="BI76">
        <f>DH76</f>
        <v>0</v>
      </c>
      <c r="BJ76">
        <f>K76</f>
        <v>0</v>
      </c>
      <c r="BK76">
        <f>BG76*BH76*BI76</f>
        <v>0</v>
      </c>
      <c r="BL76">
        <f>(BJ76-BB76)/BI76</f>
        <v>0</v>
      </c>
      <c r="BM76">
        <f>(AZ76-BF76)/BF76</f>
        <v>0</v>
      </c>
      <c r="BN76">
        <f>AY76/(BA76+AY76/BF76)</f>
        <v>0</v>
      </c>
      <c r="BO76" t="s">
        <v>437</v>
      </c>
      <c r="BP76">
        <v>0</v>
      </c>
      <c r="BQ76">
        <f>IF(BP76&lt;&gt;0, BP76, BN76)</f>
        <v>0</v>
      </c>
      <c r="BR76">
        <f>1-BQ76/BF76</f>
        <v>0</v>
      </c>
      <c r="BS76">
        <f>(BF76-BE76)/(BF76-BQ76)</f>
        <v>0</v>
      </c>
      <c r="BT76">
        <f>(AZ76-BF76)/(AZ76-BQ76)</f>
        <v>0</v>
      </c>
      <c r="BU76">
        <f>(BF76-BE76)/(BF76-AY76)</f>
        <v>0</v>
      </c>
      <c r="BV76">
        <f>(AZ76-BF76)/(AZ76-AY76)</f>
        <v>0</v>
      </c>
      <c r="BW76">
        <f>(BS76*BQ76/BE76)</f>
        <v>0</v>
      </c>
      <c r="BX76">
        <f>(1-BW76)</f>
        <v>0</v>
      </c>
      <c r="DG76">
        <f>$B$13*EF76+$C$13*EG76+$F$13*ER76*(1-EU76)</f>
        <v>0</v>
      </c>
      <c r="DH76">
        <f>DG76*DI76</f>
        <v>0</v>
      </c>
      <c r="DI76">
        <f>($B$13*$D$11+$C$13*$D$11+$F$13*((FE76+EW76)/MAX(FE76+EW76+FF76, 0.1)*$I$11+FF76/MAX(FE76+EW76+FF76, 0.1)*$J$11))/($B$13+$C$13+$F$13)</f>
        <v>0</v>
      </c>
      <c r="DJ76">
        <f>($B$13*$K$11+$C$13*$K$11+$F$13*((FE76+EW76)/MAX(FE76+EW76+FF76, 0.1)*$P$11+FF76/MAX(FE76+EW76+FF76, 0.1)*$Q$11))/($B$13+$C$13+$F$13)</f>
        <v>0</v>
      </c>
      <c r="DK76">
        <v>5.66</v>
      </c>
      <c r="DL76">
        <v>0.5</v>
      </c>
      <c r="DM76" t="s">
        <v>438</v>
      </c>
      <c r="DN76">
        <v>2</v>
      </c>
      <c r="DO76" t="b">
        <v>1</v>
      </c>
      <c r="DP76">
        <v>1765308170.849999</v>
      </c>
      <c r="DQ76">
        <v>100.2257333333334</v>
      </c>
      <c r="DR76">
        <v>100.0094433333333</v>
      </c>
      <c r="DS76">
        <v>17.48084</v>
      </c>
      <c r="DT76">
        <v>17.42053666666667</v>
      </c>
      <c r="DU76">
        <v>100.3237333333334</v>
      </c>
      <c r="DV76">
        <v>17.40784</v>
      </c>
      <c r="DW76">
        <v>500.0062333333333</v>
      </c>
      <c r="DX76">
        <v>89.84211666666667</v>
      </c>
      <c r="DY76">
        <v>0.09999703</v>
      </c>
      <c r="DZ76">
        <v>24.79614666666667</v>
      </c>
      <c r="EA76">
        <v>25.00971333333333</v>
      </c>
      <c r="EB76">
        <v>999.9000000000002</v>
      </c>
      <c r="EC76">
        <v>0</v>
      </c>
      <c r="ED76">
        <v>0</v>
      </c>
      <c r="EE76">
        <v>10003.858</v>
      </c>
      <c r="EF76">
        <v>0</v>
      </c>
      <c r="EG76">
        <v>9.831633333333338</v>
      </c>
      <c r="EH76">
        <v>0.1518286933333333</v>
      </c>
      <c r="EI76">
        <v>101.9434666666667</v>
      </c>
      <c r="EJ76">
        <v>101.7825333333333</v>
      </c>
      <c r="EK76">
        <v>0.06255945333333332</v>
      </c>
      <c r="EL76">
        <v>100.0094433333333</v>
      </c>
      <c r="EM76">
        <v>17.42053666666667</v>
      </c>
      <c r="EN76">
        <v>1.570718</v>
      </c>
      <c r="EO76">
        <v>1.565097666666666</v>
      </c>
      <c r="EP76">
        <v>13.6745</v>
      </c>
      <c r="EQ76">
        <v>13.61939</v>
      </c>
      <c r="ER76">
        <v>800.0138666666666</v>
      </c>
      <c r="ES76">
        <v>0.9500126666666666</v>
      </c>
      <c r="ET76">
        <v>0.04998706666666668</v>
      </c>
      <c r="EU76">
        <v>0</v>
      </c>
      <c r="EV76">
        <v>677.163</v>
      </c>
      <c r="EW76">
        <v>5.00078</v>
      </c>
      <c r="EX76">
        <v>5111.962</v>
      </c>
      <c r="EY76">
        <v>6463.558000000001</v>
      </c>
      <c r="EZ76">
        <v>36.78313333333332</v>
      </c>
      <c r="FA76">
        <v>40.20813333333332</v>
      </c>
      <c r="FB76">
        <v>38.93306666666665</v>
      </c>
      <c r="FC76">
        <v>40.24979999999999</v>
      </c>
      <c r="FD76">
        <v>39.06653333333334</v>
      </c>
      <c r="FE76">
        <v>755.2733333333332</v>
      </c>
      <c r="FF76">
        <v>39.74</v>
      </c>
      <c r="FG76">
        <v>0</v>
      </c>
      <c r="FH76">
        <v>1765308178.1</v>
      </c>
      <c r="FI76">
        <v>0</v>
      </c>
      <c r="FJ76">
        <v>677.162423076923</v>
      </c>
      <c r="FK76">
        <v>0.730290588550365</v>
      </c>
      <c r="FL76">
        <v>10.6864957387992</v>
      </c>
      <c r="FM76">
        <v>5111.973076923077</v>
      </c>
      <c r="FN76">
        <v>15</v>
      </c>
      <c r="FO76">
        <v>1765308197.6</v>
      </c>
      <c r="FP76" t="s">
        <v>620</v>
      </c>
      <c r="FQ76">
        <v>1765308197.6</v>
      </c>
      <c r="FR76">
        <v>1765308194.6</v>
      </c>
      <c r="FS76">
        <v>59</v>
      </c>
      <c r="FT76">
        <v>0.065</v>
      </c>
      <c r="FU76">
        <v>-0.001</v>
      </c>
      <c r="FV76">
        <v>-0.098</v>
      </c>
      <c r="FW76">
        <v>0.073</v>
      </c>
      <c r="FX76">
        <v>100</v>
      </c>
      <c r="FY76">
        <v>17</v>
      </c>
      <c r="FZ76">
        <v>0.31</v>
      </c>
      <c r="GA76">
        <v>0.22</v>
      </c>
      <c r="GB76">
        <v>0.1838527512195122</v>
      </c>
      <c r="GC76">
        <v>-0.4009503135888498</v>
      </c>
      <c r="GD76">
        <v>0.0587920066675532</v>
      </c>
      <c r="GE76">
        <v>1</v>
      </c>
      <c r="GF76">
        <v>677.2505294117645</v>
      </c>
      <c r="GG76">
        <v>-0.981176476551225</v>
      </c>
      <c r="GH76">
        <v>0.2679570021800173</v>
      </c>
      <c r="GI76">
        <v>1</v>
      </c>
      <c r="GJ76">
        <v>0.05867870487804878</v>
      </c>
      <c r="GK76">
        <v>0.06471382369337982</v>
      </c>
      <c r="GL76">
        <v>0.006580285894187615</v>
      </c>
      <c r="GM76">
        <v>1</v>
      </c>
      <c r="GN76">
        <v>3</v>
      </c>
      <c r="GO76">
        <v>3</v>
      </c>
      <c r="GP76" t="s">
        <v>440</v>
      </c>
      <c r="GQ76">
        <v>3.10825</v>
      </c>
      <c r="GR76">
        <v>2.7917</v>
      </c>
      <c r="GS76">
        <v>0.025613</v>
      </c>
      <c r="GT76">
        <v>0.0255185</v>
      </c>
      <c r="GU76">
        <v>0.0862651</v>
      </c>
      <c r="GV76">
        <v>0.086807</v>
      </c>
      <c r="GW76">
        <v>25591.4</v>
      </c>
      <c r="GX76">
        <v>23235</v>
      </c>
      <c r="GY76">
        <v>26820.9</v>
      </c>
      <c r="GZ76">
        <v>24048.5</v>
      </c>
      <c r="HA76">
        <v>39159.8</v>
      </c>
      <c r="HB76">
        <v>32404.7</v>
      </c>
      <c r="HC76">
        <v>46812.6</v>
      </c>
      <c r="HD76">
        <v>38029.7</v>
      </c>
      <c r="HE76">
        <v>1.88988</v>
      </c>
      <c r="HF76">
        <v>1.85282</v>
      </c>
      <c r="HG76">
        <v>0.08717179999999999</v>
      </c>
      <c r="HH76">
        <v>0</v>
      </c>
      <c r="HI76">
        <v>23.5785</v>
      </c>
      <c r="HJ76">
        <v>999.9</v>
      </c>
      <c r="HK76">
        <v>38.4</v>
      </c>
      <c r="HL76">
        <v>32.1</v>
      </c>
      <c r="HM76">
        <v>20.5268</v>
      </c>
      <c r="HN76">
        <v>61.5574</v>
      </c>
      <c r="HO76">
        <v>28.0609</v>
      </c>
      <c r="HP76">
        <v>1</v>
      </c>
      <c r="HQ76">
        <v>-0.00738313</v>
      </c>
      <c r="HR76">
        <v>0.519499</v>
      </c>
      <c r="HS76">
        <v>20.2955</v>
      </c>
      <c r="HT76">
        <v>5.22253</v>
      </c>
      <c r="HU76">
        <v>11.9748</v>
      </c>
      <c r="HV76">
        <v>4.9656</v>
      </c>
      <c r="HW76">
        <v>3.2759</v>
      </c>
      <c r="HX76">
        <v>9999</v>
      </c>
      <c r="HY76">
        <v>9999</v>
      </c>
      <c r="HZ76">
        <v>9999</v>
      </c>
      <c r="IA76">
        <v>999.9</v>
      </c>
      <c r="IB76">
        <v>1.86392</v>
      </c>
      <c r="IC76">
        <v>1.86005</v>
      </c>
      <c r="ID76">
        <v>1.85838</v>
      </c>
      <c r="IE76">
        <v>1.85972</v>
      </c>
      <c r="IF76">
        <v>1.85989</v>
      </c>
      <c r="IG76">
        <v>1.85838</v>
      </c>
      <c r="IH76">
        <v>1.85745</v>
      </c>
      <c r="II76">
        <v>1.85238</v>
      </c>
      <c r="IJ76">
        <v>0</v>
      </c>
      <c r="IK76">
        <v>0</v>
      </c>
      <c r="IL76">
        <v>0</v>
      </c>
      <c r="IM76">
        <v>0</v>
      </c>
      <c r="IN76" t="s">
        <v>441</v>
      </c>
      <c r="IO76" t="s">
        <v>442</v>
      </c>
      <c r="IP76" t="s">
        <v>443</v>
      </c>
      <c r="IQ76" t="s">
        <v>443</v>
      </c>
      <c r="IR76" t="s">
        <v>443</v>
      </c>
      <c r="IS76" t="s">
        <v>443</v>
      </c>
      <c r="IT76">
        <v>0</v>
      </c>
      <c r="IU76">
        <v>100</v>
      </c>
      <c r="IV76">
        <v>100</v>
      </c>
      <c r="IW76">
        <v>-0.098</v>
      </c>
      <c r="IX76">
        <v>0.073</v>
      </c>
      <c r="IY76">
        <v>-0.1932641111391953</v>
      </c>
      <c r="IZ76">
        <v>0.0001583678016168383</v>
      </c>
      <c r="JA76">
        <v>1.526473431467286E-06</v>
      </c>
      <c r="JB76">
        <v>-4.446382740029455E-10</v>
      </c>
      <c r="JC76">
        <v>-0.04328566859351567</v>
      </c>
      <c r="JD76">
        <v>-0.009941991807247691</v>
      </c>
      <c r="JE76">
        <v>0.001256427533001032</v>
      </c>
      <c r="JF76">
        <v>-1.689728105039484E-05</v>
      </c>
      <c r="JG76">
        <v>2</v>
      </c>
      <c r="JH76">
        <v>1984</v>
      </c>
      <c r="JI76">
        <v>0</v>
      </c>
      <c r="JJ76">
        <v>25</v>
      </c>
      <c r="JK76">
        <v>1.4</v>
      </c>
      <c r="JL76">
        <v>1.4</v>
      </c>
      <c r="JM76">
        <v>0.395508</v>
      </c>
      <c r="JN76">
        <v>2.64038</v>
      </c>
      <c r="JO76">
        <v>1.49658</v>
      </c>
      <c r="JP76">
        <v>2.34863</v>
      </c>
      <c r="JQ76">
        <v>1.54907</v>
      </c>
      <c r="JR76">
        <v>2.43164</v>
      </c>
      <c r="JS76">
        <v>35.6845</v>
      </c>
      <c r="JT76">
        <v>24.1488</v>
      </c>
      <c r="JU76">
        <v>18</v>
      </c>
      <c r="JV76">
        <v>477.558</v>
      </c>
      <c r="JW76">
        <v>482.579</v>
      </c>
      <c r="JX76">
        <v>23.4645</v>
      </c>
      <c r="JY76">
        <v>27.0905</v>
      </c>
      <c r="JZ76">
        <v>29.9998</v>
      </c>
      <c r="KA76">
        <v>27.4411</v>
      </c>
      <c r="KB76">
        <v>27.4665</v>
      </c>
      <c r="KC76">
        <v>8.010809999999999</v>
      </c>
      <c r="KD76">
        <v>16.6971</v>
      </c>
      <c r="KE76">
        <v>31.8815</v>
      </c>
      <c r="KF76">
        <v>23.4644</v>
      </c>
      <c r="KG76">
        <v>100</v>
      </c>
      <c r="KH76">
        <v>17.3923</v>
      </c>
      <c r="KI76">
        <v>102.37</v>
      </c>
      <c r="KJ76">
        <v>91.7299</v>
      </c>
    </row>
    <row r="77" spans="1:296">
      <c r="A77">
        <v>59</v>
      </c>
      <c r="B77">
        <v>1765308276.6</v>
      </c>
      <c r="C77">
        <v>10843.59999990463</v>
      </c>
      <c r="D77" t="s">
        <v>621</v>
      </c>
      <c r="E77" t="s">
        <v>622</v>
      </c>
      <c r="F77">
        <v>5</v>
      </c>
      <c r="G77" t="s">
        <v>610</v>
      </c>
      <c r="H77">
        <v>1765308268.599999</v>
      </c>
      <c r="I77">
        <f>(J77)/1000</f>
        <v>0</v>
      </c>
      <c r="J77">
        <f>IF(DO77, AM77, AG77)</f>
        <v>0</v>
      </c>
      <c r="K77">
        <f>IF(DO77, AH77, AF77)</f>
        <v>0</v>
      </c>
      <c r="L77">
        <f>DQ77 - IF(AT77&gt;1, K77*DK77*100.0/(AV77), 0)</f>
        <v>0</v>
      </c>
      <c r="M77">
        <f>((S77-I77/2)*L77-K77)/(S77+I77/2)</f>
        <v>0</v>
      </c>
      <c r="N77">
        <f>M77*(DX77+DY77)/1000.0</f>
        <v>0</v>
      </c>
      <c r="O77">
        <f>(DQ77 - IF(AT77&gt;1, K77*DK77*100.0/(AV77), 0))*(DX77+DY77)/1000.0</f>
        <v>0</v>
      </c>
      <c r="P77">
        <f>2.0/((1/R77-1/Q77)+SIGN(R77)*SQRT((1/R77-1/Q77)*(1/R77-1/Q77) + 4*DL77/((DL77+1)*(DL77+1))*(2*1/R77*1/Q77-1/Q77*1/Q77)))</f>
        <v>0</v>
      </c>
      <c r="Q77">
        <f>IF(LEFT(DM77,1)&lt;&gt;"0",IF(LEFT(DM77,1)="1",3.0,DN77),$D$5+$E$5*(EE77*DX77/($K$5*1000))+$F$5*(EE77*DX77/($K$5*1000))*MAX(MIN(DK77,$J$5),$I$5)*MAX(MIN(DK77,$J$5),$I$5)+$G$5*MAX(MIN(DK77,$J$5),$I$5)*(EE77*DX77/($K$5*1000))+$H$5*(EE77*DX77/($K$5*1000))*(EE77*DX77/($K$5*1000)))</f>
        <v>0</v>
      </c>
      <c r="R77">
        <f>I77*(1000-(1000*0.61365*exp(17.502*V77/(240.97+V77))/(DX77+DY77)+DS77)/2)/(1000*0.61365*exp(17.502*V77/(240.97+V77))/(DX77+DY77)-DS77)</f>
        <v>0</v>
      </c>
      <c r="S77">
        <f>1/((DL77+1)/(P77/1.6)+1/(Q77/1.37)) + DL77/((DL77+1)/(P77/1.6) + DL77/(Q77/1.37))</f>
        <v>0</v>
      </c>
      <c r="T77">
        <f>(DG77*DJ77)</f>
        <v>0</v>
      </c>
      <c r="U77">
        <f>(DZ77+(T77+2*0.95*5.67E-8*(((DZ77+$B$9)+273)^4-(DZ77+273)^4)-44100*I77)/(1.84*29.3*Q77+8*0.95*5.67E-8*(DZ77+273)^3))</f>
        <v>0</v>
      </c>
      <c r="V77">
        <f>($C$9*EA77+$D$9*EB77+$E$9*U77)</f>
        <v>0</v>
      </c>
      <c r="W77">
        <f>0.61365*exp(17.502*V77/(240.97+V77))</f>
        <v>0</v>
      </c>
      <c r="X77">
        <f>(Y77/Z77*100)</f>
        <v>0</v>
      </c>
      <c r="Y77">
        <f>DS77*(DX77+DY77)/1000</f>
        <v>0</v>
      </c>
      <c r="Z77">
        <f>0.61365*exp(17.502*DZ77/(240.97+DZ77))</f>
        <v>0</v>
      </c>
      <c r="AA77">
        <f>(W77-DS77*(DX77+DY77)/1000)</f>
        <v>0</v>
      </c>
      <c r="AB77">
        <f>(-I77*44100)</f>
        <v>0</v>
      </c>
      <c r="AC77">
        <f>2*29.3*Q77*0.92*(DZ77-V77)</f>
        <v>0</v>
      </c>
      <c r="AD77">
        <f>2*0.95*5.67E-8*(((DZ77+$B$9)+273)^4-(V77+273)^4)</f>
        <v>0</v>
      </c>
      <c r="AE77">
        <f>T77+AD77+AB77+AC77</f>
        <v>0</v>
      </c>
      <c r="AF77">
        <f>DW77*AT77*(DR77-DQ77*(1000-AT77*DT77)/(1000-AT77*DS77))/(100*DK77)</f>
        <v>0</v>
      </c>
      <c r="AG77">
        <f>1000*DW77*AT77*(DS77-DT77)/(100*DK77*(1000-AT77*DS77))</f>
        <v>0</v>
      </c>
      <c r="AH77">
        <f>(AI77 - AJ77 - DX77*1E3/(8.314*(DZ77+273.15)) * AL77/DW77 * AK77) * DW77/(100*DK77) * (1000 - DT77)/1000</f>
        <v>0</v>
      </c>
      <c r="AI77">
        <v>50.85839620379908</v>
      </c>
      <c r="AJ77">
        <v>51.09255333333332</v>
      </c>
      <c r="AK77">
        <v>-0.0009816831257103483</v>
      </c>
      <c r="AL77">
        <v>65.35659560509465</v>
      </c>
      <c r="AM77">
        <f>(AO77 - AN77 + DX77*1E3/(8.314*(DZ77+273.15)) * AQ77/DW77 * AP77) * DW77/(100*DK77) * 1000/(1000 - AO77)</f>
        <v>0</v>
      </c>
      <c r="AN77">
        <v>17.38120121212121</v>
      </c>
      <c r="AO77">
        <v>17.45211878787879</v>
      </c>
      <c r="AP77">
        <v>-1.507094757128502E-05</v>
      </c>
      <c r="AQ77">
        <v>104.5416774320736</v>
      </c>
      <c r="AR77">
        <v>1</v>
      </c>
      <c r="AS77">
        <v>0</v>
      </c>
      <c r="AT77">
        <f>IF(AR77*$H$15&gt;=AV77,1.0,(AV77/(AV77-AR77*$H$15)))</f>
        <v>0</v>
      </c>
      <c r="AU77">
        <f>(AT77-1)*100</f>
        <v>0</v>
      </c>
      <c r="AV77">
        <f>MAX(0,($B$15+$C$15*EE77)/(1+$D$15*EE77)*DX77/(DZ77+273)*$E$15)</f>
        <v>0</v>
      </c>
      <c r="AW77" t="s">
        <v>437</v>
      </c>
      <c r="AX77" t="s">
        <v>437</v>
      </c>
      <c r="AY77">
        <v>0</v>
      </c>
      <c r="AZ77">
        <v>0</v>
      </c>
      <c r="BA77">
        <f>1-AY77/AZ77</f>
        <v>0</v>
      </c>
      <c r="BB77">
        <v>0</v>
      </c>
      <c r="BC77" t="s">
        <v>437</v>
      </c>
      <c r="BD77" t="s">
        <v>437</v>
      </c>
      <c r="BE77">
        <v>0</v>
      </c>
      <c r="BF77">
        <v>0</v>
      </c>
      <c r="BG77">
        <f>1-BE77/BF77</f>
        <v>0</v>
      </c>
      <c r="BH77">
        <v>0.5</v>
      </c>
      <c r="BI77">
        <f>DH77</f>
        <v>0</v>
      </c>
      <c r="BJ77">
        <f>K77</f>
        <v>0</v>
      </c>
      <c r="BK77">
        <f>BG77*BH77*BI77</f>
        <v>0</v>
      </c>
      <c r="BL77">
        <f>(BJ77-BB77)/BI77</f>
        <v>0</v>
      </c>
      <c r="BM77">
        <f>(AZ77-BF77)/BF77</f>
        <v>0</v>
      </c>
      <c r="BN77">
        <f>AY77/(BA77+AY77/BF77)</f>
        <v>0</v>
      </c>
      <c r="BO77" t="s">
        <v>437</v>
      </c>
      <c r="BP77">
        <v>0</v>
      </c>
      <c r="BQ77">
        <f>IF(BP77&lt;&gt;0, BP77, BN77)</f>
        <v>0</v>
      </c>
      <c r="BR77">
        <f>1-BQ77/BF77</f>
        <v>0</v>
      </c>
      <c r="BS77">
        <f>(BF77-BE77)/(BF77-BQ77)</f>
        <v>0</v>
      </c>
      <c r="BT77">
        <f>(AZ77-BF77)/(AZ77-BQ77)</f>
        <v>0</v>
      </c>
      <c r="BU77">
        <f>(BF77-BE77)/(BF77-AY77)</f>
        <v>0</v>
      </c>
      <c r="BV77">
        <f>(AZ77-BF77)/(AZ77-AY77)</f>
        <v>0</v>
      </c>
      <c r="BW77">
        <f>(BS77*BQ77/BE77)</f>
        <v>0</v>
      </c>
      <c r="BX77">
        <f>(1-BW77)</f>
        <v>0</v>
      </c>
      <c r="DG77">
        <f>$B$13*EF77+$C$13*EG77+$F$13*ER77*(1-EU77)</f>
        <v>0</v>
      </c>
      <c r="DH77">
        <f>DG77*DI77</f>
        <v>0</v>
      </c>
      <c r="DI77">
        <f>($B$13*$D$11+$C$13*$D$11+$F$13*((FE77+EW77)/MAX(FE77+EW77+FF77, 0.1)*$I$11+FF77/MAX(FE77+EW77+FF77, 0.1)*$J$11))/($B$13+$C$13+$F$13)</f>
        <v>0</v>
      </c>
      <c r="DJ77">
        <f>($B$13*$K$11+$C$13*$K$11+$F$13*((FE77+EW77)/MAX(FE77+EW77+FF77, 0.1)*$P$11+FF77/MAX(FE77+EW77+FF77, 0.1)*$Q$11))/($B$13+$C$13+$F$13)</f>
        <v>0</v>
      </c>
      <c r="DK77">
        <v>5.66</v>
      </c>
      <c r="DL77">
        <v>0.5</v>
      </c>
      <c r="DM77" t="s">
        <v>438</v>
      </c>
      <c r="DN77">
        <v>2</v>
      </c>
      <c r="DO77" t="b">
        <v>1</v>
      </c>
      <c r="DP77">
        <v>1765308268.599999</v>
      </c>
      <c r="DQ77">
        <v>50.22060645161291</v>
      </c>
      <c r="DR77">
        <v>49.98595806451612</v>
      </c>
      <c r="DS77">
        <v>17.4538935483871</v>
      </c>
      <c r="DT77">
        <v>17.38335806451613</v>
      </c>
      <c r="DU77">
        <v>50.34960645161291</v>
      </c>
      <c r="DV77">
        <v>17.3808935483871</v>
      </c>
      <c r="DW77">
        <v>499.9893225806451</v>
      </c>
      <c r="DX77">
        <v>89.84027419354838</v>
      </c>
      <c r="DY77">
        <v>0.09994199999999999</v>
      </c>
      <c r="DZ77">
        <v>24.82378709677419</v>
      </c>
      <c r="EA77">
        <v>25.01368064516129</v>
      </c>
      <c r="EB77">
        <v>999.9000000000003</v>
      </c>
      <c r="EC77">
        <v>0</v>
      </c>
      <c r="ED77">
        <v>0</v>
      </c>
      <c r="EE77">
        <v>10007.04580645161</v>
      </c>
      <c r="EF77">
        <v>0</v>
      </c>
      <c r="EG77">
        <v>9.836610645161288</v>
      </c>
      <c r="EH77">
        <v>0.2468732580645162</v>
      </c>
      <c r="EI77">
        <v>51.12520322580646</v>
      </c>
      <c r="EJ77">
        <v>50.87026129032257</v>
      </c>
      <c r="EK77">
        <v>0.0711545</v>
      </c>
      <c r="EL77">
        <v>49.98595806451612</v>
      </c>
      <c r="EM77">
        <v>17.38335806451613</v>
      </c>
      <c r="EN77">
        <v>1.568119032258065</v>
      </c>
      <c r="EO77">
        <v>1.561726451612903</v>
      </c>
      <c r="EP77">
        <v>13.64903225806451</v>
      </c>
      <c r="EQ77">
        <v>13.58626129032258</v>
      </c>
      <c r="ER77">
        <v>800.0335483870966</v>
      </c>
      <c r="ES77">
        <v>0.9499886451612904</v>
      </c>
      <c r="ET77">
        <v>0.05001164838709677</v>
      </c>
      <c r="EU77">
        <v>0</v>
      </c>
      <c r="EV77">
        <v>675.4644516129033</v>
      </c>
      <c r="EW77">
        <v>5.000779999999999</v>
      </c>
      <c r="EX77">
        <v>5120.146451612903</v>
      </c>
      <c r="EY77">
        <v>6463.667741935486</v>
      </c>
      <c r="EZ77">
        <v>37.69345161290322</v>
      </c>
      <c r="FA77">
        <v>41.30825806451612</v>
      </c>
      <c r="FB77">
        <v>39.68309677419354</v>
      </c>
      <c r="FC77">
        <v>41.87874193548387</v>
      </c>
      <c r="FD77">
        <v>39.88683870967741</v>
      </c>
      <c r="FE77">
        <v>755.2716129032259</v>
      </c>
      <c r="FF77">
        <v>39.76290322580645</v>
      </c>
      <c r="FG77">
        <v>0</v>
      </c>
      <c r="FH77">
        <v>1765308275.9</v>
      </c>
      <c r="FI77">
        <v>0</v>
      </c>
      <c r="FJ77">
        <v>675.4768799999999</v>
      </c>
      <c r="FK77">
        <v>-0.1497692290201752</v>
      </c>
      <c r="FL77">
        <v>10.36461536683347</v>
      </c>
      <c r="FM77">
        <v>5120.106</v>
      </c>
      <c r="FN77">
        <v>15</v>
      </c>
      <c r="FO77">
        <v>1765308295.6</v>
      </c>
      <c r="FP77" t="s">
        <v>623</v>
      </c>
      <c r="FQ77">
        <v>1765308290.6</v>
      </c>
      <c r="FR77">
        <v>1765308295.6</v>
      </c>
      <c r="FS77">
        <v>60</v>
      </c>
      <c r="FT77">
        <v>-0.012</v>
      </c>
      <c r="FU77">
        <v>0.001</v>
      </c>
      <c r="FV77">
        <v>-0.129</v>
      </c>
      <c r="FW77">
        <v>0.073</v>
      </c>
      <c r="FX77">
        <v>50</v>
      </c>
      <c r="FY77">
        <v>17</v>
      </c>
      <c r="FZ77">
        <v>0.33</v>
      </c>
      <c r="GA77">
        <v>0.19</v>
      </c>
      <c r="GB77">
        <v>0.2640421463414634</v>
      </c>
      <c r="GC77">
        <v>-0.2345860557491289</v>
      </c>
      <c r="GD77">
        <v>0.03178455979319011</v>
      </c>
      <c r="GE77">
        <v>1</v>
      </c>
      <c r="GF77">
        <v>675.5008235294118</v>
      </c>
      <c r="GG77">
        <v>-0.4966844924393827</v>
      </c>
      <c r="GH77">
        <v>0.2148662334334985</v>
      </c>
      <c r="GI77">
        <v>1</v>
      </c>
      <c r="GJ77">
        <v>0.0710355243902439</v>
      </c>
      <c r="GK77">
        <v>0.001097498257839621</v>
      </c>
      <c r="GL77">
        <v>0.001184708730032353</v>
      </c>
      <c r="GM77">
        <v>1</v>
      </c>
      <c r="GN77">
        <v>3</v>
      </c>
      <c r="GO77">
        <v>3</v>
      </c>
      <c r="GP77" t="s">
        <v>440</v>
      </c>
      <c r="GQ77">
        <v>3.10825</v>
      </c>
      <c r="GR77">
        <v>2.79171</v>
      </c>
      <c r="GS77">
        <v>0.0131827</v>
      </c>
      <c r="GT77">
        <v>0.0130791</v>
      </c>
      <c r="GU77">
        <v>0.0861664</v>
      </c>
      <c r="GV77">
        <v>0.0866893</v>
      </c>
      <c r="GW77">
        <v>25920.7</v>
      </c>
      <c r="GX77">
        <v>23533.2</v>
      </c>
      <c r="GY77">
        <v>26823.4</v>
      </c>
      <c r="GZ77">
        <v>24049.9</v>
      </c>
      <c r="HA77">
        <v>39165.8</v>
      </c>
      <c r="HB77">
        <v>32408.7</v>
      </c>
      <c r="HC77">
        <v>46816.6</v>
      </c>
      <c r="HD77">
        <v>38031</v>
      </c>
      <c r="HE77">
        <v>1.89102</v>
      </c>
      <c r="HF77">
        <v>1.85403</v>
      </c>
      <c r="HG77">
        <v>0.0867993</v>
      </c>
      <c r="HH77">
        <v>0</v>
      </c>
      <c r="HI77">
        <v>23.5859</v>
      </c>
      <c r="HJ77">
        <v>999.9</v>
      </c>
      <c r="HK77">
        <v>38.5</v>
      </c>
      <c r="HL77">
        <v>32.1</v>
      </c>
      <c r="HM77">
        <v>20.5787</v>
      </c>
      <c r="HN77">
        <v>60.8775</v>
      </c>
      <c r="HO77">
        <v>28.0609</v>
      </c>
      <c r="HP77">
        <v>1</v>
      </c>
      <c r="HQ77">
        <v>-0.0130132</v>
      </c>
      <c r="HR77">
        <v>0.6047</v>
      </c>
      <c r="HS77">
        <v>20.2934</v>
      </c>
      <c r="HT77">
        <v>5.22014</v>
      </c>
      <c r="HU77">
        <v>11.9742</v>
      </c>
      <c r="HV77">
        <v>4.96525</v>
      </c>
      <c r="HW77">
        <v>3.27585</v>
      </c>
      <c r="HX77">
        <v>9999</v>
      </c>
      <c r="HY77">
        <v>9999</v>
      </c>
      <c r="HZ77">
        <v>9999</v>
      </c>
      <c r="IA77">
        <v>999.9</v>
      </c>
      <c r="IB77">
        <v>1.86388</v>
      </c>
      <c r="IC77">
        <v>1.86005</v>
      </c>
      <c r="ID77">
        <v>1.85837</v>
      </c>
      <c r="IE77">
        <v>1.85967</v>
      </c>
      <c r="IF77">
        <v>1.85986</v>
      </c>
      <c r="IG77">
        <v>1.85836</v>
      </c>
      <c r="IH77">
        <v>1.85742</v>
      </c>
      <c r="II77">
        <v>1.8524</v>
      </c>
      <c r="IJ77">
        <v>0</v>
      </c>
      <c r="IK77">
        <v>0</v>
      </c>
      <c r="IL77">
        <v>0</v>
      </c>
      <c r="IM77">
        <v>0</v>
      </c>
      <c r="IN77" t="s">
        <v>441</v>
      </c>
      <c r="IO77" t="s">
        <v>442</v>
      </c>
      <c r="IP77" t="s">
        <v>443</v>
      </c>
      <c r="IQ77" t="s">
        <v>443</v>
      </c>
      <c r="IR77" t="s">
        <v>443</v>
      </c>
      <c r="IS77" t="s">
        <v>443</v>
      </c>
      <c r="IT77">
        <v>0</v>
      </c>
      <c r="IU77">
        <v>100</v>
      </c>
      <c r="IV77">
        <v>100</v>
      </c>
      <c r="IW77">
        <v>-0.129</v>
      </c>
      <c r="IX77">
        <v>0.073</v>
      </c>
      <c r="IY77">
        <v>-0.128567303943132</v>
      </c>
      <c r="IZ77">
        <v>0.0001583678016168383</v>
      </c>
      <c r="JA77">
        <v>1.526473431467286E-06</v>
      </c>
      <c r="JB77">
        <v>-4.446382740029455E-10</v>
      </c>
      <c r="JC77">
        <v>-0.04440891069017237</v>
      </c>
      <c r="JD77">
        <v>-0.009941991807247691</v>
      </c>
      <c r="JE77">
        <v>0.001256427533001032</v>
      </c>
      <c r="JF77">
        <v>-1.689728105039484E-05</v>
      </c>
      <c r="JG77">
        <v>2</v>
      </c>
      <c r="JH77">
        <v>1984</v>
      </c>
      <c r="JI77">
        <v>0</v>
      </c>
      <c r="JJ77">
        <v>25</v>
      </c>
      <c r="JK77">
        <v>1.3</v>
      </c>
      <c r="JL77">
        <v>1.4</v>
      </c>
      <c r="JM77">
        <v>0.273438</v>
      </c>
      <c r="JN77">
        <v>2.66357</v>
      </c>
      <c r="JO77">
        <v>1.49658</v>
      </c>
      <c r="JP77">
        <v>2.34863</v>
      </c>
      <c r="JQ77">
        <v>1.54907</v>
      </c>
      <c r="JR77">
        <v>2.43164</v>
      </c>
      <c r="JS77">
        <v>35.6148</v>
      </c>
      <c r="JT77">
        <v>24.1488</v>
      </c>
      <c r="JU77">
        <v>18</v>
      </c>
      <c r="JV77">
        <v>477.662</v>
      </c>
      <c r="JW77">
        <v>482.736</v>
      </c>
      <c r="JX77">
        <v>23.3959</v>
      </c>
      <c r="JY77">
        <v>27.0264</v>
      </c>
      <c r="JZ77">
        <v>29.9998</v>
      </c>
      <c r="KA77">
        <v>27.3689</v>
      </c>
      <c r="KB77">
        <v>27.3933</v>
      </c>
      <c r="KC77">
        <v>5.56461</v>
      </c>
      <c r="KD77">
        <v>16.6971</v>
      </c>
      <c r="KE77">
        <v>31.8815</v>
      </c>
      <c r="KF77">
        <v>23.3847</v>
      </c>
      <c r="KG77">
        <v>50</v>
      </c>
      <c r="KH77">
        <v>17.3977</v>
      </c>
      <c r="KI77">
        <v>102.379</v>
      </c>
      <c r="KJ77">
        <v>91.7338</v>
      </c>
    </row>
    <row r="78" spans="1:296">
      <c r="A78">
        <v>60</v>
      </c>
      <c r="B78">
        <v>1765308362.6</v>
      </c>
      <c r="C78">
        <v>10929.59999990463</v>
      </c>
      <c r="D78" t="s">
        <v>624</v>
      </c>
      <c r="E78" t="s">
        <v>625</v>
      </c>
      <c r="F78">
        <v>5</v>
      </c>
      <c r="G78" t="s">
        <v>610</v>
      </c>
      <c r="H78">
        <v>1765308354.599999</v>
      </c>
      <c r="I78">
        <f>(J78)/1000</f>
        <v>0</v>
      </c>
      <c r="J78">
        <f>IF(DO78, AM78, AG78)</f>
        <v>0</v>
      </c>
      <c r="K78">
        <f>IF(DO78, AH78, AF78)</f>
        <v>0</v>
      </c>
      <c r="L78">
        <f>DQ78 - IF(AT78&gt;1, K78*DK78*100.0/(AV78), 0)</f>
        <v>0</v>
      </c>
      <c r="M78">
        <f>((S78-I78/2)*L78-K78)/(S78+I78/2)</f>
        <v>0</v>
      </c>
      <c r="N78">
        <f>M78*(DX78+DY78)/1000.0</f>
        <v>0</v>
      </c>
      <c r="O78">
        <f>(DQ78 - IF(AT78&gt;1, K78*DK78*100.0/(AV78), 0))*(DX78+DY78)/1000.0</f>
        <v>0</v>
      </c>
      <c r="P78">
        <f>2.0/((1/R78-1/Q78)+SIGN(R78)*SQRT((1/R78-1/Q78)*(1/R78-1/Q78) + 4*DL78/((DL78+1)*(DL78+1))*(2*1/R78*1/Q78-1/Q78*1/Q78)))</f>
        <v>0</v>
      </c>
      <c r="Q78">
        <f>IF(LEFT(DM78,1)&lt;&gt;"0",IF(LEFT(DM78,1)="1",3.0,DN78),$D$5+$E$5*(EE78*DX78/($K$5*1000))+$F$5*(EE78*DX78/($K$5*1000))*MAX(MIN(DK78,$J$5),$I$5)*MAX(MIN(DK78,$J$5),$I$5)+$G$5*MAX(MIN(DK78,$J$5),$I$5)*(EE78*DX78/($K$5*1000))+$H$5*(EE78*DX78/($K$5*1000))*(EE78*DX78/($K$5*1000)))</f>
        <v>0</v>
      </c>
      <c r="R78">
        <f>I78*(1000-(1000*0.61365*exp(17.502*V78/(240.97+V78))/(DX78+DY78)+DS78)/2)/(1000*0.61365*exp(17.502*V78/(240.97+V78))/(DX78+DY78)-DS78)</f>
        <v>0</v>
      </c>
      <c r="S78">
        <f>1/((DL78+1)/(P78/1.6)+1/(Q78/1.37)) + DL78/((DL78+1)/(P78/1.6) + DL78/(Q78/1.37))</f>
        <v>0</v>
      </c>
      <c r="T78">
        <f>(DG78*DJ78)</f>
        <v>0</v>
      </c>
      <c r="U78">
        <f>(DZ78+(T78+2*0.95*5.67E-8*(((DZ78+$B$9)+273)^4-(DZ78+273)^4)-44100*I78)/(1.84*29.3*Q78+8*0.95*5.67E-8*(DZ78+273)^3))</f>
        <v>0</v>
      </c>
      <c r="V78">
        <f>($C$9*EA78+$D$9*EB78+$E$9*U78)</f>
        <v>0</v>
      </c>
      <c r="W78">
        <f>0.61365*exp(17.502*V78/(240.97+V78))</f>
        <v>0</v>
      </c>
      <c r="X78">
        <f>(Y78/Z78*100)</f>
        <v>0</v>
      </c>
      <c r="Y78">
        <f>DS78*(DX78+DY78)/1000</f>
        <v>0</v>
      </c>
      <c r="Z78">
        <f>0.61365*exp(17.502*DZ78/(240.97+DZ78))</f>
        <v>0</v>
      </c>
      <c r="AA78">
        <f>(W78-DS78*(DX78+DY78)/1000)</f>
        <v>0</v>
      </c>
      <c r="AB78">
        <f>(-I78*44100)</f>
        <v>0</v>
      </c>
      <c r="AC78">
        <f>2*29.3*Q78*0.92*(DZ78-V78)</f>
        <v>0</v>
      </c>
      <c r="AD78">
        <f>2*0.95*5.67E-8*(((DZ78+$B$9)+273)^4-(V78+273)^4)</f>
        <v>0</v>
      </c>
      <c r="AE78">
        <f>T78+AD78+AB78+AC78</f>
        <v>0</v>
      </c>
      <c r="AF78">
        <f>DW78*AT78*(DR78-DQ78*(1000-AT78*DT78)/(1000-AT78*DS78))/(100*DK78)</f>
        <v>0</v>
      </c>
      <c r="AG78">
        <f>1000*DW78*AT78*(DS78-DT78)/(100*DK78*(1000-AT78*DS78))</f>
        <v>0</v>
      </c>
      <c r="AH78">
        <f>(AI78 - AJ78 - DX78*1E3/(8.314*(DZ78+273.15)) * AL78/DW78 * AK78) * DW78/(100*DK78) * (1000 - DT78)/1000</f>
        <v>0</v>
      </c>
      <c r="AI78">
        <v>0.142845965850787</v>
      </c>
      <c r="AJ78">
        <v>0.4314631030303031</v>
      </c>
      <c r="AK78">
        <v>0.0001979863928086902</v>
      </c>
      <c r="AL78">
        <v>65.86469006473783</v>
      </c>
      <c r="AM78">
        <f>(AO78 - AN78 + DX78*1E3/(8.314*(DZ78+273.15)) * AQ78/DW78 * AP78) * DW78/(100*DK78) * 1000/(1000 - AO78)</f>
        <v>0</v>
      </c>
      <c r="AN78">
        <v>17.43983793888839</v>
      </c>
      <c r="AO78">
        <v>17.5037090909091</v>
      </c>
      <c r="AP78">
        <v>-1.075229167902966E-05</v>
      </c>
      <c r="AQ78">
        <v>109.0215432132186</v>
      </c>
      <c r="AR78">
        <v>1</v>
      </c>
      <c r="AS78">
        <v>0</v>
      </c>
      <c r="AT78">
        <f>IF(AR78*$H$15&gt;=AV78,1.0,(AV78/(AV78-AR78*$H$15)))</f>
        <v>0</v>
      </c>
      <c r="AU78">
        <f>(AT78-1)*100</f>
        <v>0</v>
      </c>
      <c r="AV78">
        <f>MAX(0,($B$15+$C$15*EE78)/(1+$D$15*EE78)*DX78/(DZ78+273)*$E$15)</f>
        <v>0</v>
      </c>
      <c r="AW78" t="s">
        <v>437</v>
      </c>
      <c r="AX78" t="s">
        <v>437</v>
      </c>
      <c r="AY78">
        <v>0</v>
      </c>
      <c r="AZ78">
        <v>0</v>
      </c>
      <c r="BA78">
        <f>1-AY78/AZ78</f>
        <v>0</v>
      </c>
      <c r="BB78">
        <v>0</v>
      </c>
      <c r="BC78" t="s">
        <v>437</v>
      </c>
      <c r="BD78" t="s">
        <v>437</v>
      </c>
      <c r="BE78">
        <v>0</v>
      </c>
      <c r="BF78">
        <v>0</v>
      </c>
      <c r="BG78">
        <f>1-BE78/BF78</f>
        <v>0</v>
      </c>
      <c r="BH78">
        <v>0.5</v>
      </c>
      <c r="BI78">
        <f>DH78</f>
        <v>0</v>
      </c>
      <c r="BJ78">
        <f>K78</f>
        <v>0</v>
      </c>
      <c r="BK78">
        <f>BG78*BH78*BI78</f>
        <v>0</v>
      </c>
      <c r="BL78">
        <f>(BJ78-BB78)/BI78</f>
        <v>0</v>
      </c>
      <c r="BM78">
        <f>(AZ78-BF78)/BF78</f>
        <v>0</v>
      </c>
      <c r="BN78">
        <f>AY78/(BA78+AY78/BF78)</f>
        <v>0</v>
      </c>
      <c r="BO78" t="s">
        <v>437</v>
      </c>
      <c r="BP78">
        <v>0</v>
      </c>
      <c r="BQ78">
        <f>IF(BP78&lt;&gt;0, BP78, BN78)</f>
        <v>0</v>
      </c>
      <c r="BR78">
        <f>1-BQ78/BF78</f>
        <v>0</v>
      </c>
      <c r="BS78">
        <f>(BF78-BE78)/(BF78-BQ78)</f>
        <v>0</v>
      </c>
      <c r="BT78">
        <f>(AZ78-BF78)/(AZ78-BQ78)</f>
        <v>0</v>
      </c>
      <c r="BU78">
        <f>(BF78-BE78)/(BF78-AY78)</f>
        <v>0</v>
      </c>
      <c r="BV78">
        <f>(AZ78-BF78)/(AZ78-AY78)</f>
        <v>0</v>
      </c>
      <c r="BW78">
        <f>(BS78*BQ78/BE78)</f>
        <v>0</v>
      </c>
      <c r="BX78">
        <f>(1-BW78)</f>
        <v>0</v>
      </c>
      <c r="DG78">
        <f>$B$13*EF78+$C$13*EG78+$F$13*ER78*(1-EU78)</f>
        <v>0</v>
      </c>
      <c r="DH78">
        <f>DG78*DI78</f>
        <v>0</v>
      </c>
      <c r="DI78">
        <f>($B$13*$D$11+$C$13*$D$11+$F$13*((FE78+EW78)/MAX(FE78+EW78+FF78, 0.1)*$I$11+FF78/MAX(FE78+EW78+FF78, 0.1)*$J$11))/($B$13+$C$13+$F$13)</f>
        <v>0</v>
      </c>
      <c r="DJ78">
        <f>($B$13*$K$11+$C$13*$K$11+$F$13*((FE78+EW78)/MAX(FE78+EW78+FF78, 0.1)*$P$11+FF78/MAX(FE78+EW78+FF78, 0.1)*$Q$11))/($B$13+$C$13+$F$13)</f>
        <v>0</v>
      </c>
      <c r="DK78">
        <v>5.66</v>
      </c>
      <c r="DL78">
        <v>0.5</v>
      </c>
      <c r="DM78" t="s">
        <v>438</v>
      </c>
      <c r="DN78">
        <v>2</v>
      </c>
      <c r="DO78" t="b">
        <v>1</v>
      </c>
      <c r="DP78">
        <v>1765308354.599999</v>
      </c>
      <c r="DQ78">
        <v>0.4295758387096773</v>
      </c>
      <c r="DR78">
        <v>0.1307812258064516</v>
      </c>
      <c r="DS78">
        <v>17.5041129032258</v>
      </c>
      <c r="DT78">
        <v>17.43946451612903</v>
      </c>
      <c r="DU78">
        <v>0.5725758387096773</v>
      </c>
      <c r="DV78">
        <v>17.4291129032258</v>
      </c>
      <c r="DW78">
        <v>500.016129032258</v>
      </c>
      <c r="DX78">
        <v>89.8381258064516</v>
      </c>
      <c r="DY78">
        <v>0.1000643322580645</v>
      </c>
      <c r="DZ78">
        <v>24.79612580645161</v>
      </c>
      <c r="EA78">
        <v>24.99152903225806</v>
      </c>
      <c r="EB78">
        <v>999.9000000000003</v>
      </c>
      <c r="EC78">
        <v>0</v>
      </c>
      <c r="ED78">
        <v>0</v>
      </c>
      <c r="EE78">
        <v>9992.657096774194</v>
      </c>
      <c r="EF78">
        <v>0</v>
      </c>
      <c r="EG78">
        <v>9.827846451612906</v>
      </c>
      <c r="EH78">
        <v>0.301002129032258</v>
      </c>
      <c r="EI78">
        <v>0.4394763225806452</v>
      </c>
      <c r="EJ78">
        <v>0.1331025193548387</v>
      </c>
      <c r="EK78">
        <v>0.0653217193548387</v>
      </c>
      <c r="EL78">
        <v>0.1307812258064516</v>
      </c>
      <c r="EM78">
        <v>17.43946451612903</v>
      </c>
      <c r="EN78">
        <v>1.572596774193548</v>
      </c>
      <c r="EO78">
        <v>1.566728709677419</v>
      </c>
      <c r="EP78">
        <v>13.69287741935484</v>
      </c>
      <c r="EQ78">
        <v>13.6354</v>
      </c>
      <c r="ER78">
        <v>800.0254516129032</v>
      </c>
      <c r="ES78">
        <v>0.9500135483870968</v>
      </c>
      <c r="ET78">
        <v>0.04998642258064516</v>
      </c>
      <c r="EU78">
        <v>0</v>
      </c>
      <c r="EV78">
        <v>676.5069354838711</v>
      </c>
      <c r="EW78">
        <v>5.000779999999999</v>
      </c>
      <c r="EX78">
        <v>5105.813548387096</v>
      </c>
      <c r="EY78">
        <v>6463.653225806452</v>
      </c>
      <c r="EZ78">
        <v>36.81429032258064</v>
      </c>
      <c r="FA78">
        <v>39.25377419354838</v>
      </c>
      <c r="FB78">
        <v>38.41512903225806</v>
      </c>
      <c r="FC78">
        <v>39.12070967741936</v>
      </c>
      <c r="FD78">
        <v>38.38280645161289</v>
      </c>
      <c r="FE78">
        <v>755.2835483870966</v>
      </c>
      <c r="FF78">
        <v>39.74</v>
      </c>
      <c r="FG78">
        <v>0</v>
      </c>
      <c r="FH78">
        <v>1765308362.3</v>
      </c>
      <c r="FI78">
        <v>0</v>
      </c>
      <c r="FJ78">
        <v>676.50008</v>
      </c>
      <c r="FK78">
        <v>1.201461532860436</v>
      </c>
      <c r="FL78">
        <v>-5.750000078716185</v>
      </c>
      <c r="FM78">
        <v>5105.458</v>
      </c>
      <c r="FN78">
        <v>15</v>
      </c>
      <c r="FO78">
        <v>1765308380.6</v>
      </c>
      <c r="FP78" t="s">
        <v>626</v>
      </c>
      <c r="FQ78">
        <v>1765308380.6</v>
      </c>
      <c r="FR78">
        <v>1765308378.6</v>
      </c>
      <c r="FS78">
        <v>61</v>
      </c>
      <c r="FT78">
        <v>-0.002</v>
      </c>
      <c r="FU78">
        <v>0</v>
      </c>
      <c r="FV78">
        <v>-0.143</v>
      </c>
      <c r="FW78">
        <v>0.075</v>
      </c>
      <c r="FX78">
        <v>0</v>
      </c>
      <c r="FY78">
        <v>17</v>
      </c>
      <c r="FZ78">
        <v>0.42</v>
      </c>
      <c r="GA78">
        <v>0.09</v>
      </c>
      <c r="GB78">
        <v>0.3291590731707317</v>
      </c>
      <c r="GC78">
        <v>-0.4645665783972123</v>
      </c>
      <c r="GD78">
        <v>0.05338069886701776</v>
      </c>
      <c r="GE78">
        <v>1</v>
      </c>
      <c r="GF78">
        <v>676.4419411764707</v>
      </c>
      <c r="GG78">
        <v>0.7262948755190961</v>
      </c>
      <c r="GH78">
        <v>0.2384220110713816</v>
      </c>
      <c r="GI78">
        <v>1</v>
      </c>
      <c r="GJ78">
        <v>0.06453626341463414</v>
      </c>
      <c r="GK78">
        <v>0.007588601393728123</v>
      </c>
      <c r="GL78">
        <v>0.001581048097995031</v>
      </c>
      <c r="GM78">
        <v>1</v>
      </c>
      <c r="GN78">
        <v>3</v>
      </c>
      <c r="GO78">
        <v>3</v>
      </c>
      <c r="GP78" t="s">
        <v>440</v>
      </c>
      <c r="GQ78">
        <v>3.10829</v>
      </c>
      <c r="GR78">
        <v>2.79167</v>
      </c>
      <c r="GS78">
        <v>0.000151967</v>
      </c>
      <c r="GT78">
        <v>4.11648E-05</v>
      </c>
      <c r="GU78">
        <v>0.08635519999999999</v>
      </c>
      <c r="GV78">
        <v>0.0869038</v>
      </c>
      <c r="GW78">
        <v>26265.2</v>
      </c>
      <c r="GX78">
        <v>23845.7</v>
      </c>
      <c r="GY78">
        <v>26825.3</v>
      </c>
      <c r="GZ78">
        <v>24051.1</v>
      </c>
      <c r="HA78">
        <v>39158.5</v>
      </c>
      <c r="HB78">
        <v>32400.3</v>
      </c>
      <c r="HC78">
        <v>46819.7</v>
      </c>
      <c r="HD78">
        <v>38031.8</v>
      </c>
      <c r="HE78">
        <v>1.89165</v>
      </c>
      <c r="HF78">
        <v>1.85475</v>
      </c>
      <c r="HG78">
        <v>0.0853091</v>
      </c>
      <c r="HH78">
        <v>0</v>
      </c>
      <c r="HI78">
        <v>23.588</v>
      </c>
      <c r="HJ78">
        <v>999.9</v>
      </c>
      <c r="HK78">
        <v>38.7</v>
      </c>
      <c r="HL78">
        <v>32.1</v>
      </c>
      <c r="HM78">
        <v>20.6871</v>
      </c>
      <c r="HN78">
        <v>61.4274</v>
      </c>
      <c r="HO78">
        <v>28.0288</v>
      </c>
      <c r="HP78">
        <v>1</v>
      </c>
      <c r="HQ78">
        <v>-0.0167378</v>
      </c>
      <c r="HR78">
        <v>0.522018</v>
      </c>
      <c r="HS78">
        <v>20.2939</v>
      </c>
      <c r="HT78">
        <v>5.22088</v>
      </c>
      <c r="HU78">
        <v>11.9745</v>
      </c>
      <c r="HV78">
        <v>4.9655</v>
      </c>
      <c r="HW78">
        <v>3.27583</v>
      </c>
      <c r="HX78">
        <v>9999</v>
      </c>
      <c r="HY78">
        <v>9999</v>
      </c>
      <c r="HZ78">
        <v>9999</v>
      </c>
      <c r="IA78">
        <v>999.9</v>
      </c>
      <c r="IB78">
        <v>1.86395</v>
      </c>
      <c r="IC78">
        <v>1.86012</v>
      </c>
      <c r="ID78">
        <v>1.85841</v>
      </c>
      <c r="IE78">
        <v>1.85974</v>
      </c>
      <c r="IF78">
        <v>1.85989</v>
      </c>
      <c r="IG78">
        <v>1.8584</v>
      </c>
      <c r="IH78">
        <v>1.85746</v>
      </c>
      <c r="II78">
        <v>1.85242</v>
      </c>
      <c r="IJ78">
        <v>0</v>
      </c>
      <c r="IK78">
        <v>0</v>
      </c>
      <c r="IL78">
        <v>0</v>
      </c>
      <c r="IM78">
        <v>0</v>
      </c>
      <c r="IN78" t="s">
        <v>441</v>
      </c>
      <c r="IO78" t="s">
        <v>442</v>
      </c>
      <c r="IP78" t="s">
        <v>443</v>
      </c>
      <c r="IQ78" t="s">
        <v>443</v>
      </c>
      <c r="IR78" t="s">
        <v>443</v>
      </c>
      <c r="IS78" t="s">
        <v>443</v>
      </c>
      <c r="IT78">
        <v>0</v>
      </c>
      <c r="IU78">
        <v>100</v>
      </c>
      <c r="IV78">
        <v>100</v>
      </c>
      <c r="IW78">
        <v>-0.143</v>
      </c>
      <c r="IX78">
        <v>0.075</v>
      </c>
      <c r="IY78">
        <v>-0.1408835832689731</v>
      </c>
      <c r="IZ78">
        <v>0.0001583678016168383</v>
      </c>
      <c r="JA78">
        <v>1.526473431467286E-06</v>
      </c>
      <c r="JB78">
        <v>-4.446382740029455E-10</v>
      </c>
      <c r="JC78">
        <v>-0.04324944803159621</v>
      </c>
      <c r="JD78">
        <v>-0.009941991807247691</v>
      </c>
      <c r="JE78">
        <v>0.001256427533001032</v>
      </c>
      <c r="JF78">
        <v>-1.689728105039484E-05</v>
      </c>
      <c r="JG78">
        <v>2</v>
      </c>
      <c r="JH78">
        <v>1984</v>
      </c>
      <c r="JI78">
        <v>0</v>
      </c>
      <c r="JJ78">
        <v>25</v>
      </c>
      <c r="JK78">
        <v>1.2</v>
      </c>
      <c r="JL78">
        <v>1.1</v>
      </c>
      <c r="JM78">
        <v>0.0292969</v>
      </c>
      <c r="JN78">
        <v>4.99634</v>
      </c>
      <c r="JO78">
        <v>1.49658</v>
      </c>
      <c r="JP78">
        <v>2.34741</v>
      </c>
      <c r="JQ78">
        <v>1.54907</v>
      </c>
      <c r="JR78">
        <v>2.44385</v>
      </c>
      <c r="JS78">
        <v>35.5683</v>
      </c>
      <c r="JT78">
        <v>24.1313</v>
      </c>
      <c r="JU78">
        <v>18</v>
      </c>
      <c r="JV78">
        <v>477.617</v>
      </c>
      <c r="JW78">
        <v>482.747</v>
      </c>
      <c r="JX78">
        <v>23.3884</v>
      </c>
      <c r="JY78">
        <v>26.9829</v>
      </c>
      <c r="JZ78">
        <v>29.9998</v>
      </c>
      <c r="KA78">
        <v>27.3164</v>
      </c>
      <c r="KB78">
        <v>27.3392</v>
      </c>
      <c r="KC78">
        <v>0</v>
      </c>
      <c r="KD78">
        <v>16.6971</v>
      </c>
      <c r="KE78">
        <v>32.2943</v>
      </c>
      <c r="KF78">
        <v>23.3895</v>
      </c>
      <c r="KG78">
        <v>0</v>
      </c>
      <c r="KH78">
        <v>17.4091</v>
      </c>
      <c r="KI78">
        <v>102.386</v>
      </c>
      <c r="KJ78">
        <v>91.7368</v>
      </c>
    </row>
    <row r="79" spans="1:296">
      <c r="A79">
        <v>61</v>
      </c>
      <c r="B79">
        <v>1765308470.6</v>
      </c>
      <c r="C79">
        <v>11037.59999990463</v>
      </c>
      <c r="D79" t="s">
        <v>627</v>
      </c>
      <c r="E79" t="s">
        <v>628</v>
      </c>
      <c r="F79">
        <v>5</v>
      </c>
      <c r="G79" t="s">
        <v>610</v>
      </c>
      <c r="H79">
        <v>1765308462.599999</v>
      </c>
      <c r="I79">
        <f>(J79)/1000</f>
        <v>0</v>
      </c>
      <c r="J79">
        <f>IF(DO79, AM79, AG79)</f>
        <v>0</v>
      </c>
      <c r="K79">
        <f>IF(DO79, AH79, AF79)</f>
        <v>0</v>
      </c>
      <c r="L79">
        <f>DQ79 - IF(AT79&gt;1, K79*DK79*100.0/(AV79), 0)</f>
        <v>0</v>
      </c>
      <c r="M79">
        <f>((S79-I79/2)*L79-K79)/(S79+I79/2)</f>
        <v>0</v>
      </c>
      <c r="N79">
        <f>M79*(DX79+DY79)/1000.0</f>
        <v>0</v>
      </c>
      <c r="O79">
        <f>(DQ79 - IF(AT79&gt;1, K79*DK79*100.0/(AV79), 0))*(DX79+DY79)/1000.0</f>
        <v>0</v>
      </c>
      <c r="P79">
        <f>2.0/((1/R79-1/Q79)+SIGN(R79)*SQRT((1/R79-1/Q79)*(1/R79-1/Q79) + 4*DL79/((DL79+1)*(DL79+1))*(2*1/R79*1/Q79-1/Q79*1/Q79)))</f>
        <v>0</v>
      </c>
      <c r="Q79">
        <f>IF(LEFT(DM79,1)&lt;&gt;"0",IF(LEFT(DM79,1)="1",3.0,DN79),$D$5+$E$5*(EE79*DX79/($K$5*1000))+$F$5*(EE79*DX79/($K$5*1000))*MAX(MIN(DK79,$J$5),$I$5)*MAX(MIN(DK79,$J$5),$I$5)+$G$5*MAX(MIN(DK79,$J$5),$I$5)*(EE79*DX79/($K$5*1000))+$H$5*(EE79*DX79/($K$5*1000))*(EE79*DX79/($K$5*1000)))</f>
        <v>0</v>
      </c>
      <c r="R79">
        <f>I79*(1000-(1000*0.61365*exp(17.502*V79/(240.97+V79))/(DX79+DY79)+DS79)/2)/(1000*0.61365*exp(17.502*V79/(240.97+V79))/(DX79+DY79)-DS79)</f>
        <v>0</v>
      </c>
      <c r="S79">
        <f>1/((DL79+1)/(P79/1.6)+1/(Q79/1.37)) + DL79/((DL79+1)/(P79/1.6) + DL79/(Q79/1.37))</f>
        <v>0</v>
      </c>
      <c r="T79">
        <f>(DG79*DJ79)</f>
        <v>0</v>
      </c>
      <c r="U79">
        <f>(DZ79+(T79+2*0.95*5.67E-8*(((DZ79+$B$9)+273)^4-(DZ79+273)^4)-44100*I79)/(1.84*29.3*Q79+8*0.95*5.67E-8*(DZ79+273)^3))</f>
        <v>0</v>
      </c>
      <c r="V79">
        <f>($C$9*EA79+$D$9*EB79+$E$9*U79)</f>
        <v>0</v>
      </c>
      <c r="W79">
        <f>0.61365*exp(17.502*V79/(240.97+V79))</f>
        <v>0</v>
      </c>
      <c r="X79">
        <f>(Y79/Z79*100)</f>
        <v>0</v>
      </c>
      <c r="Y79">
        <f>DS79*(DX79+DY79)/1000</f>
        <v>0</v>
      </c>
      <c r="Z79">
        <f>0.61365*exp(17.502*DZ79/(240.97+DZ79))</f>
        <v>0</v>
      </c>
      <c r="AA79">
        <f>(W79-DS79*(DX79+DY79)/1000)</f>
        <v>0</v>
      </c>
      <c r="AB79">
        <f>(-I79*44100)</f>
        <v>0</v>
      </c>
      <c r="AC79">
        <f>2*29.3*Q79*0.92*(DZ79-V79)</f>
        <v>0</v>
      </c>
      <c r="AD79">
        <f>2*0.95*5.67E-8*(((DZ79+$B$9)+273)^4-(V79+273)^4)</f>
        <v>0</v>
      </c>
      <c r="AE79">
        <f>T79+AD79+AB79+AC79</f>
        <v>0</v>
      </c>
      <c r="AF79">
        <f>DW79*AT79*(DR79-DQ79*(1000-AT79*DT79)/(1000-AT79*DS79))/(100*DK79)</f>
        <v>0</v>
      </c>
      <c r="AG79">
        <f>1000*DW79*AT79*(DS79-DT79)/(100*DK79*(1000-AT79*DS79))</f>
        <v>0</v>
      </c>
      <c r="AH79">
        <f>(AI79 - AJ79 - DX79*1E3/(8.314*(DZ79+273.15)) * AL79/DW79 * AK79) * DW79/(100*DK79) * (1000 - DT79)/1000</f>
        <v>0</v>
      </c>
      <c r="AI79">
        <v>407.1474668889607</v>
      </c>
      <c r="AJ79">
        <v>407.1743575757575</v>
      </c>
      <c r="AK79">
        <v>-0.0005483780409712532</v>
      </c>
      <c r="AL79">
        <v>65.84682728619921</v>
      </c>
      <c r="AM79">
        <f>(AO79 - AN79 + DX79*1E3/(8.314*(DZ79+273.15)) * AQ79/DW79 * AP79) * DW79/(100*DK79) * 1000/(1000 - AO79)</f>
        <v>0</v>
      </c>
      <c r="AN79">
        <v>17.36930614078379</v>
      </c>
      <c r="AO79">
        <v>17.44816181818181</v>
      </c>
      <c r="AP79">
        <v>-1.556897864702701E-05</v>
      </c>
      <c r="AQ79">
        <v>108.5248882342839</v>
      </c>
      <c r="AR79">
        <v>1</v>
      </c>
      <c r="AS79">
        <v>0</v>
      </c>
      <c r="AT79">
        <f>IF(AR79*$H$15&gt;=AV79,1.0,(AV79/(AV79-AR79*$H$15)))</f>
        <v>0</v>
      </c>
      <c r="AU79">
        <f>(AT79-1)*100</f>
        <v>0</v>
      </c>
      <c r="AV79">
        <f>MAX(0,($B$15+$C$15*EE79)/(1+$D$15*EE79)*DX79/(DZ79+273)*$E$15)</f>
        <v>0</v>
      </c>
      <c r="AW79" t="s">
        <v>437</v>
      </c>
      <c r="AX79" t="s">
        <v>437</v>
      </c>
      <c r="AY79">
        <v>0</v>
      </c>
      <c r="AZ79">
        <v>0</v>
      </c>
      <c r="BA79">
        <f>1-AY79/AZ79</f>
        <v>0</v>
      </c>
      <c r="BB79">
        <v>0</v>
      </c>
      <c r="BC79" t="s">
        <v>437</v>
      </c>
      <c r="BD79" t="s">
        <v>437</v>
      </c>
      <c r="BE79">
        <v>0</v>
      </c>
      <c r="BF79">
        <v>0</v>
      </c>
      <c r="BG79">
        <f>1-BE79/BF79</f>
        <v>0</v>
      </c>
      <c r="BH79">
        <v>0.5</v>
      </c>
      <c r="BI79">
        <f>DH79</f>
        <v>0</v>
      </c>
      <c r="BJ79">
        <f>K79</f>
        <v>0</v>
      </c>
      <c r="BK79">
        <f>BG79*BH79*BI79</f>
        <v>0</v>
      </c>
      <c r="BL79">
        <f>(BJ79-BB79)/BI79</f>
        <v>0</v>
      </c>
      <c r="BM79">
        <f>(AZ79-BF79)/BF79</f>
        <v>0</v>
      </c>
      <c r="BN79">
        <f>AY79/(BA79+AY79/BF79)</f>
        <v>0</v>
      </c>
      <c r="BO79" t="s">
        <v>437</v>
      </c>
      <c r="BP79">
        <v>0</v>
      </c>
      <c r="BQ79">
        <f>IF(BP79&lt;&gt;0, BP79, BN79)</f>
        <v>0</v>
      </c>
      <c r="BR79">
        <f>1-BQ79/BF79</f>
        <v>0</v>
      </c>
      <c r="BS79">
        <f>(BF79-BE79)/(BF79-BQ79)</f>
        <v>0</v>
      </c>
      <c r="BT79">
        <f>(AZ79-BF79)/(AZ79-BQ79)</f>
        <v>0</v>
      </c>
      <c r="BU79">
        <f>(BF79-BE79)/(BF79-AY79)</f>
        <v>0</v>
      </c>
      <c r="BV79">
        <f>(AZ79-BF79)/(AZ79-AY79)</f>
        <v>0</v>
      </c>
      <c r="BW79">
        <f>(BS79*BQ79/BE79)</f>
        <v>0</v>
      </c>
      <c r="BX79">
        <f>(1-BW79)</f>
        <v>0</v>
      </c>
      <c r="DG79">
        <f>$B$13*EF79+$C$13*EG79+$F$13*ER79*(1-EU79)</f>
        <v>0</v>
      </c>
      <c r="DH79">
        <f>DG79*DI79</f>
        <v>0</v>
      </c>
      <c r="DI79">
        <f>($B$13*$D$11+$C$13*$D$11+$F$13*((FE79+EW79)/MAX(FE79+EW79+FF79, 0.1)*$I$11+FF79/MAX(FE79+EW79+FF79, 0.1)*$J$11))/($B$13+$C$13+$F$13)</f>
        <v>0</v>
      </c>
      <c r="DJ79">
        <f>($B$13*$K$11+$C$13*$K$11+$F$13*((FE79+EW79)/MAX(FE79+EW79+FF79, 0.1)*$P$11+FF79/MAX(FE79+EW79+FF79, 0.1)*$Q$11))/($B$13+$C$13+$F$13)</f>
        <v>0</v>
      </c>
      <c r="DK79">
        <v>5.66</v>
      </c>
      <c r="DL79">
        <v>0.5</v>
      </c>
      <c r="DM79" t="s">
        <v>438</v>
      </c>
      <c r="DN79">
        <v>2</v>
      </c>
      <c r="DO79" t="b">
        <v>1</v>
      </c>
      <c r="DP79">
        <v>1765308462.599999</v>
      </c>
      <c r="DQ79">
        <v>399.9185806451612</v>
      </c>
      <c r="DR79">
        <v>400.140935483871</v>
      </c>
      <c r="DS79">
        <v>17.44887419354839</v>
      </c>
      <c r="DT79">
        <v>17.37072580645161</v>
      </c>
      <c r="DU79">
        <v>399.9655806451613</v>
      </c>
      <c r="DV79">
        <v>17.37487419354839</v>
      </c>
      <c r="DW79">
        <v>499.9935483870968</v>
      </c>
      <c r="DX79">
        <v>89.83591935483869</v>
      </c>
      <c r="DY79">
        <v>0.1000014451612903</v>
      </c>
      <c r="DZ79">
        <v>24.78540967741935</v>
      </c>
      <c r="EA79">
        <v>24.99782580645161</v>
      </c>
      <c r="EB79">
        <v>999.9000000000003</v>
      </c>
      <c r="EC79">
        <v>0</v>
      </c>
      <c r="ED79">
        <v>0</v>
      </c>
      <c r="EE79">
        <v>9996.109032258062</v>
      </c>
      <c r="EF79">
        <v>0</v>
      </c>
      <c r="EG79">
        <v>9.835680000000004</v>
      </c>
      <c r="EH79">
        <v>-0.03954881483870968</v>
      </c>
      <c r="EI79">
        <v>407.2072580645162</v>
      </c>
      <c r="EJ79">
        <v>407.2145806451613</v>
      </c>
      <c r="EK79">
        <v>0.07928098064516129</v>
      </c>
      <c r="EL79">
        <v>400.140935483871</v>
      </c>
      <c r="EM79">
        <v>17.37072580645161</v>
      </c>
      <c r="EN79">
        <v>1.567637741935484</v>
      </c>
      <c r="EO79">
        <v>1.560514516129032</v>
      </c>
      <c r="EP79">
        <v>13.64431290322581</v>
      </c>
      <c r="EQ79">
        <v>13.57432903225807</v>
      </c>
      <c r="ER79">
        <v>800.0203548387099</v>
      </c>
      <c r="ES79">
        <v>0.9500078387096776</v>
      </c>
      <c r="ET79">
        <v>0.04999197741935484</v>
      </c>
      <c r="EU79">
        <v>0</v>
      </c>
      <c r="EV79">
        <v>677.0859677419355</v>
      </c>
      <c r="EW79">
        <v>5.000779999999999</v>
      </c>
      <c r="EX79">
        <v>5092.262580645162</v>
      </c>
      <c r="EY79">
        <v>6463.60064516129</v>
      </c>
      <c r="EZ79">
        <v>35.84254838709676</v>
      </c>
      <c r="FA79">
        <v>38.19335483870967</v>
      </c>
      <c r="FB79">
        <v>37.36070967741936</v>
      </c>
      <c r="FC79">
        <v>37.7618064516129</v>
      </c>
      <c r="FD79">
        <v>37.4331935483871</v>
      </c>
      <c r="FE79">
        <v>755.2754838709675</v>
      </c>
      <c r="FF79">
        <v>39.74032258064516</v>
      </c>
      <c r="FG79">
        <v>0</v>
      </c>
      <c r="FH79">
        <v>1765308470.3</v>
      </c>
      <c r="FI79">
        <v>0</v>
      </c>
      <c r="FJ79">
        <v>677.1202000000001</v>
      </c>
      <c r="FK79">
        <v>1.170999984346353</v>
      </c>
      <c r="FL79">
        <v>-5.821538487469932</v>
      </c>
      <c r="FM79">
        <v>5091.870800000001</v>
      </c>
      <c r="FN79">
        <v>15</v>
      </c>
      <c r="FO79">
        <v>1765308487.1</v>
      </c>
      <c r="FP79" t="s">
        <v>629</v>
      </c>
      <c r="FQ79">
        <v>1765308486.6</v>
      </c>
      <c r="FR79">
        <v>1765308487.1</v>
      </c>
      <c r="FS79">
        <v>62</v>
      </c>
      <c r="FT79">
        <v>-0.183</v>
      </c>
      <c r="FU79">
        <v>0</v>
      </c>
      <c r="FV79">
        <v>-0.047</v>
      </c>
      <c r="FW79">
        <v>0.074</v>
      </c>
      <c r="FX79">
        <v>400</v>
      </c>
      <c r="FY79">
        <v>17</v>
      </c>
      <c r="FZ79">
        <v>0.79</v>
      </c>
      <c r="GA79">
        <v>0.14</v>
      </c>
      <c r="GB79">
        <v>-0.0155706587804878</v>
      </c>
      <c r="GC79">
        <v>-0.338037043066202</v>
      </c>
      <c r="GD79">
        <v>0.06069655280020023</v>
      </c>
      <c r="GE79">
        <v>1</v>
      </c>
      <c r="GF79">
        <v>677.0606764705883</v>
      </c>
      <c r="GG79">
        <v>0.5339190147103525</v>
      </c>
      <c r="GH79">
        <v>0.2241005184901337</v>
      </c>
      <c r="GI79">
        <v>1</v>
      </c>
      <c r="GJ79">
        <v>0.07920167804878049</v>
      </c>
      <c r="GK79">
        <v>0.004700782578397229</v>
      </c>
      <c r="GL79">
        <v>0.0008412031344571784</v>
      </c>
      <c r="GM79">
        <v>1</v>
      </c>
      <c r="GN79">
        <v>3</v>
      </c>
      <c r="GO79">
        <v>3</v>
      </c>
      <c r="GP79" t="s">
        <v>440</v>
      </c>
      <c r="GQ79">
        <v>3.10841</v>
      </c>
      <c r="GR79">
        <v>2.79178</v>
      </c>
      <c r="GS79">
        <v>0.0845288</v>
      </c>
      <c r="GT79">
        <v>0.084594</v>
      </c>
      <c r="GU79">
        <v>0.0861681</v>
      </c>
      <c r="GV79">
        <v>0.0866666</v>
      </c>
      <c r="GW79">
        <v>24050.7</v>
      </c>
      <c r="GX79">
        <v>21830.5</v>
      </c>
      <c r="GY79">
        <v>26828</v>
      </c>
      <c r="GZ79">
        <v>24052.7</v>
      </c>
      <c r="HA79">
        <v>39181.3</v>
      </c>
      <c r="HB79">
        <v>32419.1</v>
      </c>
      <c r="HC79">
        <v>46824.8</v>
      </c>
      <c r="HD79">
        <v>38033.8</v>
      </c>
      <c r="HE79">
        <v>1.89307</v>
      </c>
      <c r="HF79">
        <v>1.85642</v>
      </c>
      <c r="HG79">
        <v>0.0859424</v>
      </c>
      <c r="HH79">
        <v>0</v>
      </c>
      <c r="HI79">
        <v>23.5919</v>
      </c>
      <c r="HJ79">
        <v>999.9</v>
      </c>
      <c r="HK79">
        <v>38.7</v>
      </c>
      <c r="HL79">
        <v>32</v>
      </c>
      <c r="HM79">
        <v>20.5697</v>
      </c>
      <c r="HN79">
        <v>61.2774</v>
      </c>
      <c r="HO79">
        <v>28.0569</v>
      </c>
      <c r="HP79">
        <v>1</v>
      </c>
      <c r="HQ79">
        <v>-0.0212932</v>
      </c>
      <c r="HR79">
        <v>0.40433</v>
      </c>
      <c r="HS79">
        <v>20.2944</v>
      </c>
      <c r="HT79">
        <v>5.22193</v>
      </c>
      <c r="HU79">
        <v>11.9757</v>
      </c>
      <c r="HV79">
        <v>4.9656</v>
      </c>
      <c r="HW79">
        <v>3.276</v>
      </c>
      <c r="HX79">
        <v>9999</v>
      </c>
      <c r="HY79">
        <v>9999</v>
      </c>
      <c r="HZ79">
        <v>9999</v>
      </c>
      <c r="IA79">
        <v>999.9</v>
      </c>
      <c r="IB79">
        <v>1.86391</v>
      </c>
      <c r="IC79">
        <v>1.86005</v>
      </c>
      <c r="ID79">
        <v>1.85837</v>
      </c>
      <c r="IE79">
        <v>1.85969</v>
      </c>
      <c r="IF79">
        <v>1.85987</v>
      </c>
      <c r="IG79">
        <v>1.85837</v>
      </c>
      <c r="IH79">
        <v>1.85743</v>
      </c>
      <c r="II79">
        <v>1.85242</v>
      </c>
      <c r="IJ79">
        <v>0</v>
      </c>
      <c r="IK79">
        <v>0</v>
      </c>
      <c r="IL79">
        <v>0</v>
      </c>
      <c r="IM79">
        <v>0</v>
      </c>
      <c r="IN79" t="s">
        <v>441</v>
      </c>
      <c r="IO79" t="s">
        <v>442</v>
      </c>
      <c r="IP79" t="s">
        <v>443</v>
      </c>
      <c r="IQ79" t="s">
        <v>443</v>
      </c>
      <c r="IR79" t="s">
        <v>443</v>
      </c>
      <c r="IS79" t="s">
        <v>443</v>
      </c>
      <c r="IT79">
        <v>0</v>
      </c>
      <c r="IU79">
        <v>100</v>
      </c>
      <c r="IV79">
        <v>100</v>
      </c>
      <c r="IW79">
        <v>-0.047</v>
      </c>
      <c r="IX79">
        <v>0.074</v>
      </c>
      <c r="IY79">
        <v>-0.1432539511022166</v>
      </c>
      <c r="IZ79">
        <v>0.0001583678016168383</v>
      </c>
      <c r="JA79">
        <v>1.526473431467286E-06</v>
      </c>
      <c r="JB79">
        <v>-4.446382740029455E-10</v>
      </c>
      <c r="JC79">
        <v>-0.04279264819434386</v>
      </c>
      <c r="JD79">
        <v>-0.009941991807247691</v>
      </c>
      <c r="JE79">
        <v>0.001256427533001032</v>
      </c>
      <c r="JF79">
        <v>-1.689728105039484E-05</v>
      </c>
      <c r="JG79">
        <v>2</v>
      </c>
      <c r="JH79">
        <v>1984</v>
      </c>
      <c r="JI79">
        <v>0</v>
      </c>
      <c r="JJ79">
        <v>25</v>
      </c>
      <c r="JK79">
        <v>1.5</v>
      </c>
      <c r="JL79">
        <v>1.5</v>
      </c>
      <c r="JM79">
        <v>1.09741</v>
      </c>
      <c r="JN79">
        <v>2.6355</v>
      </c>
      <c r="JO79">
        <v>1.49658</v>
      </c>
      <c r="JP79">
        <v>2.34863</v>
      </c>
      <c r="JQ79">
        <v>1.54907</v>
      </c>
      <c r="JR79">
        <v>2.43408</v>
      </c>
      <c r="JS79">
        <v>35.5451</v>
      </c>
      <c r="JT79">
        <v>24.14</v>
      </c>
      <c r="JU79">
        <v>18</v>
      </c>
      <c r="JV79">
        <v>477.997</v>
      </c>
      <c r="JW79">
        <v>483.322</v>
      </c>
      <c r="JX79">
        <v>23.5472</v>
      </c>
      <c r="JY79">
        <v>26.9362</v>
      </c>
      <c r="JZ79">
        <v>29.9999</v>
      </c>
      <c r="KA79">
        <v>27.26</v>
      </c>
      <c r="KB79">
        <v>27.2796</v>
      </c>
      <c r="KC79">
        <v>22.0663</v>
      </c>
      <c r="KD79">
        <v>17.2897</v>
      </c>
      <c r="KE79">
        <v>32.2943</v>
      </c>
      <c r="KF79">
        <v>23.5446</v>
      </c>
      <c r="KG79">
        <v>400</v>
      </c>
      <c r="KH79">
        <v>17.3544</v>
      </c>
      <c r="KI79">
        <v>102.397</v>
      </c>
      <c r="KJ79">
        <v>91.74209999999999</v>
      </c>
    </row>
    <row r="80" spans="1:296">
      <c r="A80">
        <v>62</v>
      </c>
      <c r="B80">
        <v>1765308548.1</v>
      </c>
      <c r="C80">
        <v>11115.09999990463</v>
      </c>
      <c r="D80" t="s">
        <v>630</v>
      </c>
      <c r="E80" t="s">
        <v>631</v>
      </c>
      <c r="F80">
        <v>5</v>
      </c>
      <c r="G80" t="s">
        <v>610</v>
      </c>
      <c r="H80">
        <v>1765308540.099999</v>
      </c>
      <c r="I80">
        <f>(J80)/1000</f>
        <v>0</v>
      </c>
      <c r="J80">
        <f>IF(DO80, AM80, AG80)</f>
        <v>0</v>
      </c>
      <c r="K80">
        <f>IF(DO80, AH80, AF80)</f>
        <v>0</v>
      </c>
      <c r="L80">
        <f>DQ80 - IF(AT80&gt;1, K80*DK80*100.0/(AV80), 0)</f>
        <v>0</v>
      </c>
      <c r="M80">
        <f>((S80-I80/2)*L80-K80)/(S80+I80/2)</f>
        <v>0</v>
      </c>
      <c r="N80">
        <f>M80*(DX80+DY80)/1000.0</f>
        <v>0</v>
      </c>
      <c r="O80">
        <f>(DQ80 - IF(AT80&gt;1, K80*DK80*100.0/(AV80), 0))*(DX80+DY80)/1000.0</f>
        <v>0</v>
      </c>
      <c r="P80">
        <f>2.0/((1/R80-1/Q80)+SIGN(R80)*SQRT((1/R80-1/Q80)*(1/R80-1/Q80) + 4*DL80/((DL80+1)*(DL80+1))*(2*1/R80*1/Q80-1/Q80*1/Q80)))</f>
        <v>0</v>
      </c>
      <c r="Q80">
        <f>IF(LEFT(DM80,1)&lt;&gt;"0",IF(LEFT(DM80,1)="1",3.0,DN80),$D$5+$E$5*(EE80*DX80/($K$5*1000))+$F$5*(EE80*DX80/($K$5*1000))*MAX(MIN(DK80,$J$5),$I$5)*MAX(MIN(DK80,$J$5),$I$5)+$G$5*MAX(MIN(DK80,$J$5),$I$5)*(EE80*DX80/($K$5*1000))+$H$5*(EE80*DX80/($K$5*1000))*(EE80*DX80/($K$5*1000)))</f>
        <v>0</v>
      </c>
      <c r="R80">
        <f>I80*(1000-(1000*0.61365*exp(17.502*V80/(240.97+V80))/(DX80+DY80)+DS80)/2)/(1000*0.61365*exp(17.502*V80/(240.97+V80))/(DX80+DY80)-DS80)</f>
        <v>0</v>
      </c>
      <c r="S80">
        <f>1/((DL80+1)/(P80/1.6)+1/(Q80/1.37)) + DL80/((DL80+1)/(P80/1.6) + DL80/(Q80/1.37))</f>
        <v>0</v>
      </c>
      <c r="T80">
        <f>(DG80*DJ80)</f>
        <v>0</v>
      </c>
      <c r="U80">
        <f>(DZ80+(T80+2*0.95*5.67E-8*(((DZ80+$B$9)+273)^4-(DZ80+273)^4)-44100*I80)/(1.84*29.3*Q80+8*0.95*5.67E-8*(DZ80+273)^3))</f>
        <v>0</v>
      </c>
      <c r="V80">
        <f>($C$9*EA80+$D$9*EB80+$E$9*U80)</f>
        <v>0</v>
      </c>
      <c r="W80">
        <f>0.61365*exp(17.502*V80/(240.97+V80))</f>
        <v>0</v>
      </c>
      <c r="X80">
        <f>(Y80/Z80*100)</f>
        <v>0</v>
      </c>
      <c r="Y80">
        <f>DS80*(DX80+DY80)/1000</f>
        <v>0</v>
      </c>
      <c r="Z80">
        <f>0.61365*exp(17.502*DZ80/(240.97+DZ80))</f>
        <v>0</v>
      </c>
      <c r="AA80">
        <f>(W80-DS80*(DX80+DY80)/1000)</f>
        <v>0</v>
      </c>
      <c r="AB80">
        <f>(-I80*44100)</f>
        <v>0</v>
      </c>
      <c r="AC80">
        <f>2*29.3*Q80*0.92*(DZ80-V80)</f>
        <v>0</v>
      </c>
      <c r="AD80">
        <f>2*0.95*5.67E-8*(((DZ80+$B$9)+273)^4-(V80+273)^4)</f>
        <v>0</v>
      </c>
      <c r="AE80">
        <f>T80+AD80+AB80+AC80</f>
        <v>0</v>
      </c>
      <c r="AF80">
        <f>DW80*AT80*(DR80-DQ80*(1000-AT80*DT80)/(1000-AT80*DS80))/(100*DK80)</f>
        <v>0</v>
      </c>
      <c r="AG80">
        <f>1000*DW80*AT80*(DS80-DT80)/(100*DK80*(1000-AT80*DS80))</f>
        <v>0</v>
      </c>
      <c r="AH80">
        <f>(AI80 - AJ80 - DX80*1E3/(8.314*(DZ80+273.15)) * AL80/DW80 * AK80) * DW80/(100*DK80) * (1000 - DT80)/1000</f>
        <v>0</v>
      </c>
      <c r="AI80">
        <v>407.1004244710305</v>
      </c>
      <c r="AJ80">
        <v>406.9427030303028</v>
      </c>
      <c r="AK80">
        <v>0.001822555602003936</v>
      </c>
      <c r="AL80">
        <v>65.48219002201824</v>
      </c>
      <c r="AM80">
        <f>(AO80 - AN80 + DX80*1E3/(8.314*(DZ80+273.15)) * AQ80/DW80 * AP80) * DW80/(100*DK80) * 1000/(1000 - AO80)</f>
        <v>0</v>
      </c>
      <c r="AN80">
        <v>17.33789757575758</v>
      </c>
      <c r="AO80">
        <v>17.41500848484848</v>
      </c>
      <c r="AP80">
        <v>1.926887926858186E-05</v>
      </c>
      <c r="AQ80">
        <v>105.0777605419175</v>
      </c>
      <c r="AR80">
        <v>2</v>
      </c>
      <c r="AS80">
        <v>0</v>
      </c>
      <c r="AT80">
        <f>IF(AR80*$H$15&gt;=AV80,1.0,(AV80/(AV80-AR80*$H$15)))</f>
        <v>0</v>
      </c>
      <c r="AU80">
        <f>(AT80-1)*100</f>
        <v>0</v>
      </c>
      <c r="AV80">
        <f>MAX(0,($B$15+$C$15*EE80)/(1+$D$15*EE80)*DX80/(DZ80+273)*$E$15)</f>
        <v>0</v>
      </c>
      <c r="AW80" t="s">
        <v>437</v>
      </c>
      <c r="AX80" t="s">
        <v>437</v>
      </c>
      <c r="AY80">
        <v>0</v>
      </c>
      <c r="AZ80">
        <v>0</v>
      </c>
      <c r="BA80">
        <f>1-AY80/AZ80</f>
        <v>0</v>
      </c>
      <c r="BB80">
        <v>0</v>
      </c>
      <c r="BC80" t="s">
        <v>437</v>
      </c>
      <c r="BD80" t="s">
        <v>437</v>
      </c>
      <c r="BE80">
        <v>0</v>
      </c>
      <c r="BF80">
        <v>0</v>
      </c>
      <c r="BG80">
        <f>1-BE80/BF80</f>
        <v>0</v>
      </c>
      <c r="BH80">
        <v>0.5</v>
      </c>
      <c r="BI80">
        <f>DH80</f>
        <v>0</v>
      </c>
      <c r="BJ80">
        <f>K80</f>
        <v>0</v>
      </c>
      <c r="BK80">
        <f>BG80*BH80*BI80</f>
        <v>0</v>
      </c>
      <c r="BL80">
        <f>(BJ80-BB80)/BI80</f>
        <v>0</v>
      </c>
      <c r="BM80">
        <f>(AZ80-BF80)/BF80</f>
        <v>0</v>
      </c>
      <c r="BN80">
        <f>AY80/(BA80+AY80/BF80)</f>
        <v>0</v>
      </c>
      <c r="BO80" t="s">
        <v>437</v>
      </c>
      <c r="BP80">
        <v>0</v>
      </c>
      <c r="BQ80">
        <f>IF(BP80&lt;&gt;0, BP80, BN80)</f>
        <v>0</v>
      </c>
      <c r="BR80">
        <f>1-BQ80/BF80</f>
        <v>0</v>
      </c>
      <c r="BS80">
        <f>(BF80-BE80)/(BF80-BQ80)</f>
        <v>0</v>
      </c>
      <c r="BT80">
        <f>(AZ80-BF80)/(AZ80-BQ80)</f>
        <v>0</v>
      </c>
      <c r="BU80">
        <f>(BF80-BE80)/(BF80-AY80)</f>
        <v>0</v>
      </c>
      <c r="BV80">
        <f>(AZ80-BF80)/(AZ80-AY80)</f>
        <v>0</v>
      </c>
      <c r="BW80">
        <f>(BS80*BQ80/BE80)</f>
        <v>0</v>
      </c>
      <c r="BX80">
        <f>(1-BW80)</f>
        <v>0</v>
      </c>
      <c r="DG80">
        <f>$B$13*EF80+$C$13*EG80+$F$13*ER80*(1-EU80)</f>
        <v>0</v>
      </c>
      <c r="DH80">
        <f>DG80*DI80</f>
        <v>0</v>
      </c>
      <c r="DI80">
        <f>($B$13*$D$11+$C$13*$D$11+$F$13*((FE80+EW80)/MAX(FE80+EW80+FF80, 0.1)*$I$11+FF80/MAX(FE80+EW80+FF80, 0.1)*$J$11))/($B$13+$C$13+$F$13)</f>
        <v>0</v>
      </c>
      <c r="DJ80">
        <f>($B$13*$K$11+$C$13*$K$11+$F$13*((FE80+EW80)/MAX(FE80+EW80+FF80, 0.1)*$P$11+FF80/MAX(FE80+EW80+FF80, 0.1)*$Q$11))/($B$13+$C$13+$F$13)</f>
        <v>0</v>
      </c>
      <c r="DK80">
        <v>5.66</v>
      </c>
      <c r="DL80">
        <v>0.5</v>
      </c>
      <c r="DM80" t="s">
        <v>438</v>
      </c>
      <c r="DN80">
        <v>2</v>
      </c>
      <c r="DO80" t="b">
        <v>1</v>
      </c>
      <c r="DP80">
        <v>1765308540.099999</v>
      </c>
      <c r="DQ80">
        <v>399.857</v>
      </c>
      <c r="DR80">
        <v>400.0739032258064</v>
      </c>
      <c r="DS80">
        <v>17.41313225806451</v>
      </c>
      <c r="DT80">
        <v>17.3403129032258</v>
      </c>
      <c r="DU80">
        <v>399.927</v>
      </c>
      <c r="DV80">
        <v>17.34013225806451</v>
      </c>
      <c r="DW80">
        <v>500.0106451612903</v>
      </c>
      <c r="DX80">
        <v>89.83710000000001</v>
      </c>
      <c r="DY80">
        <v>0.09994971935483871</v>
      </c>
      <c r="DZ80">
        <v>24.75919354838709</v>
      </c>
      <c r="EA80">
        <v>24.98574516129032</v>
      </c>
      <c r="EB80">
        <v>999.9000000000003</v>
      </c>
      <c r="EC80">
        <v>0</v>
      </c>
      <c r="ED80">
        <v>0</v>
      </c>
      <c r="EE80">
        <v>10004.51193548387</v>
      </c>
      <c r="EF80">
        <v>0</v>
      </c>
      <c r="EG80">
        <v>9.835680000000004</v>
      </c>
      <c r="EH80">
        <v>-0.1941606774193548</v>
      </c>
      <c r="EI80">
        <v>406.9670000000001</v>
      </c>
      <c r="EJ80">
        <v>407.133741935484</v>
      </c>
      <c r="EK80">
        <v>0.07432931935483869</v>
      </c>
      <c r="EL80">
        <v>400.0739032258064</v>
      </c>
      <c r="EM80">
        <v>17.3403129032258</v>
      </c>
      <c r="EN80">
        <v>1.56448064516129</v>
      </c>
      <c r="EO80">
        <v>1.557802580645161</v>
      </c>
      <c r="EP80">
        <v>13.61333870967742</v>
      </c>
      <c r="EQ80">
        <v>13.54761612903226</v>
      </c>
      <c r="ER80">
        <v>799.9852580645162</v>
      </c>
      <c r="ES80">
        <v>0.9500019032258064</v>
      </c>
      <c r="ET80">
        <v>0.04999800645161291</v>
      </c>
      <c r="EU80">
        <v>0</v>
      </c>
      <c r="EV80">
        <v>676.9012903225808</v>
      </c>
      <c r="EW80">
        <v>5.000779999999999</v>
      </c>
      <c r="EX80">
        <v>5097.931612903225</v>
      </c>
      <c r="EY80">
        <v>6463.302258064517</v>
      </c>
      <c r="EZ80">
        <v>36.16103225806451</v>
      </c>
      <c r="FA80">
        <v>39.16106451612902</v>
      </c>
      <c r="FB80">
        <v>38.19735483870968</v>
      </c>
      <c r="FC80">
        <v>38.85251612903225</v>
      </c>
      <c r="FD80">
        <v>38.26587096774193</v>
      </c>
      <c r="FE80">
        <v>755.2361290322581</v>
      </c>
      <c r="FF80">
        <v>39.75</v>
      </c>
      <c r="FG80">
        <v>0</v>
      </c>
      <c r="FH80">
        <v>1765308547.7</v>
      </c>
      <c r="FI80">
        <v>0</v>
      </c>
      <c r="FJ80">
        <v>676.909576923077</v>
      </c>
      <c r="FK80">
        <v>-0.8504957255509976</v>
      </c>
      <c r="FL80">
        <v>6.282051281396591</v>
      </c>
      <c r="FM80">
        <v>5097.964230769231</v>
      </c>
      <c r="FN80">
        <v>15</v>
      </c>
      <c r="FO80">
        <v>1765308567.1</v>
      </c>
      <c r="FP80" t="s">
        <v>632</v>
      </c>
      <c r="FQ80">
        <v>1765308567.1</v>
      </c>
      <c r="FR80">
        <v>1765308565.1</v>
      </c>
      <c r="FS80">
        <v>63</v>
      </c>
      <c r="FT80">
        <v>-0.023</v>
      </c>
      <c r="FU80">
        <v>-0</v>
      </c>
      <c r="FV80">
        <v>-0.07000000000000001</v>
      </c>
      <c r="FW80">
        <v>0.073</v>
      </c>
      <c r="FX80">
        <v>400</v>
      </c>
      <c r="FY80">
        <v>17</v>
      </c>
      <c r="FZ80">
        <v>0.4</v>
      </c>
      <c r="GA80">
        <v>0.13</v>
      </c>
      <c r="GB80">
        <v>-0.198187275</v>
      </c>
      <c r="GC80">
        <v>-0.1259865703564721</v>
      </c>
      <c r="GD80">
        <v>0.03781118042787576</v>
      </c>
      <c r="GE80">
        <v>1</v>
      </c>
      <c r="GF80">
        <v>676.9331176470589</v>
      </c>
      <c r="GG80">
        <v>-0.7014209304536223</v>
      </c>
      <c r="GH80">
        <v>0.2448656011565562</v>
      </c>
      <c r="GI80">
        <v>1</v>
      </c>
      <c r="GJ80">
        <v>0.07380571499999999</v>
      </c>
      <c r="GK80">
        <v>0.01773109868667905</v>
      </c>
      <c r="GL80">
        <v>0.002206517933368093</v>
      </c>
      <c r="GM80">
        <v>1</v>
      </c>
      <c r="GN80">
        <v>3</v>
      </c>
      <c r="GO80">
        <v>3</v>
      </c>
      <c r="GP80" t="s">
        <v>440</v>
      </c>
      <c r="GQ80">
        <v>3.10817</v>
      </c>
      <c r="GR80">
        <v>2.79165</v>
      </c>
      <c r="GS80">
        <v>0.0845323</v>
      </c>
      <c r="GT80">
        <v>0.084589</v>
      </c>
      <c r="GU80">
        <v>0.0860556</v>
      </c>
      <c r="GV80">
        <v>0.0865662</v>
      </c>
      <c r="GW80">
        <v>24050.7</v>
      </c>
      <c r="GX80">
        <v>21830.6</v>
      </c>
      <c r="GY80">
        <v>26827.9</v>
      </c>
      <c r="GZ80">
        <v>24052.6</v>
      </c>
      <c r="HA80">
        <v>39186.2</v>
      </c>
      <c r="HB80">
        <v>32422.1</v>
      </c>
      <c r="HC80">
        <v>46824.8</v>
      </c>
      <c r="HD80">
        <v>38033.1</v>
      </c>
      <c r="HE80">
        <v>1.8916</v>
      </c>
      <c r="HF80">
        <v>1.8575</v>
      </c>
      <c r="HG80">
        <v>0.0859983</v>
      </c>
      <c r="HH80">
        <v>0</v>
      </c>
      <c r="HI80">
        <v>23.5741</v>
      </c>
      <c r="HJ80">
        <v>999.9</v>
      </c>
      <c r="HK80">
        <v>38.8</v>
      </c>
      <c r="HL80">
        <v>32</v>
      </c>
      <c r="HM80">
        <v>20.6232</v>
      </c>
      <c r="HN80">
        <v>61.1874</v>
      </c>
      <c r="HO80">
        <v>28.3013</v>
      </c>
      <c r="HP80">
        <v>1</v>
      </c>
      <c r="HQ80">
        <v>-0.0231123</v>
      </c>
      <c r="HR80">
        <v>0.380768</v>
      </c>
      <c r="HS80">
        <v>20.2964</v>
      </c>
      <c r="HT80">
        <v>5.22148</v>
      </c>
      <c r="HU80">
        <v>11.9766</v>
      </c>
      <c r="HV80">
        <v>4.96575</v>
      </c>
      <c r="HW80">
        <v>3.27598</v>
      </c>
      <c r="HX80">
        <v>9999</v>
      </c>
      <c r="HY80">
        <v>9999</v>
      </c>
      <c r="HZ80">
        <v>9999</v>
      </c>
      <c r="IA80">
        <v>999.9</v>
      </c>
      <c r="IB80">
        <v>1.86387</v>
      </c>
      <c r="IC80">
        <v>1.86005</v>
      </c>
      <c r="ID80">
        <v>1.85835</v>
      </c>
      <c r="IE80">
        <v>1.85968</v>
      </c>
      <c r="IF80">
        <v>1.85984</v>
      </c>
      <c r="IG80">
        <v>1.85836</v>
      </c>
      <c r="IH80">
        <v>1.85744</v>
      </c>
      <c r="II80">
        <v>1.85239</v>
      </c>
      <c r="IJ80">
        <v>0</v>
      </c>
      <c r="IK80">
        <v>0</v>
      </c>
      <c r="IL80">
        <v>0</v>
      </c>
      <c r="IM80">
        <v>0</v>
      </c>
      <c r="IN80" t="s">
        <v>441</v>
      </c>
      <c r="IO80" t="s">
        <v>442</v>
      </c>
      <c r="IP80" t="s">
        <v>443</v>
      </c>
      <c r="IQ80" t="s">
        <v>443</v>
      </c>
      <c r="IR80" t="s">
        <v>443</v>
      </c>
      <c r="IS80" t="s">
        <v>443</v>
      </c>
      <c r="IT80">
        <v>0</v>
      </c>
      <c r="IU80">
        <v>100</v>
      </c>
      <c r="IV80">
        <v>100</v>
      </c>
      <c r="IW80">
        <v>-0.07000000000000001</v>
      </c>
      <c r="IX80">
        <v>0.073</v>
      </c>
      <c r="IY80">
        <v>-0.326244671591794</v>
      </c>
      <c r="IZ80">
        <v>0.0001583678016168383</v>
      </c>
      <c r="JA80">
        <v>1.526473431467286E-06</v>
      </c>
      <c r="JB80">
        <v>-4.446382740029455E-10</v>
      </c>
      <c r="JC80">
        <v>-0.0427858487313714</v>
      </c>
      <c r="JD80">
        <v>-0.009941991807247691</v>
      </c>
      <c r="JE80">
        <v>0.001256427533001032</v>
      </c>
      <c r="JF80">
        <v>-1.689728105039484E-05</v>
      </c>
      <c r="JG80">
        <v>2</v>
      </c>
      <c r="JH80">
        <v>1984</v>
      </c>
      <c r="JI80">
        <v>0</v>
      </c>
      <c r="JJ80">
        <v>25</v>
      </c>
      <c r="JK80">
        <v>1</v>
      </c>
      <c r="JL80">
        <v>1</v>
      </c>
      <c r="JM80">
        <v>1.09497</v>
      </c>
      <c r="JN80">
        <v>2.63184</v>
      </c>
      <c r="JO80">
        <v>1.49658</v>
      </c>
      <c r="JP80">
        <v>2.34863</v>
      </c>
      <c r="JQ80">
        <v>1.54907</v>
      </c>
      <c r="JR80">
        <v>2.34375</v>
      </c>
      <c r="JS80">
        <v>35.4986</v>
      </c>
      <c r="JT80">
        <v>24.14</v>
      </c>
      <c r="JU80">
        <v>18</v>
      </c>
      <c r="JV80">
        <v>476.873</v>
      </c>
      <c r="JW80">
        <v>483.692</v>
      </c>
      <c r="JX80">
        <v>23.5205</v>
      </c>
      <c r="JY80">
        <v>26.9063</v>
      </c>
      <c r="JZ80">
        <v>29.9999</v>
      </c>
      <c r="KA80">
        <v>27.2232</v>
      </c>
      <c r="KB80">
        <v>27.2415</v>
      </c>
      <c r="KC80">
        <v>22.0108</v>
      </c>
      <c r="KD80">
        <v>17.2897</v>
      </c>
      <c r="KE80">
        <v>32.2943</v>
      </c>
      <c r="KF80">
        <v>23.5248</v>
      </c>
      <c r="KG80">
        <v>400</v>
      </c>
      <c r="KH80">
        <v>17.3602</v>
      </c>
      <c r="KI80">
        <v>102.397</v>
      </c>
      <c r="KJ80">
        <v>91.741</v>
      </c>
    </row>
    <row r="81" spans="1:296">
      <c r="A81">
        <v>63</v>
      </c>
      <c r="B81">
        <v>1765308658.1</v>
      </c>
      <c r="C81">
        <v>11225.09999990463</v>
      </c>
      <c r="D81" t="s">
        <v>633</v>
      </c>
      <c r="E81" t="s">
        <v>634</v>
      </c>
      <c r="F81">
        <v>5</v>
      </c>
      <c r="G81" t="s">
        <v>610</v>
      </c>
      <c r="H81">
        <v>1765308650.099999</v>
      </c>
      <c r="I81">
        <f>(J81)/1000</f>
        <v>0</v>
      </c>
      <c r="J81">
        <f>IF(DO81, AM81, AG81)</f>
        <v>0</v>
      </c>
      <c r="K81">
        <f>IF(DO81, AH81, AF81)</f>
        <v>0</v>
      </c>
      <c r="L81">
        <f>DQ81 - IF(AT81&gt;1, K81*DK81*100.0/(AV81), 0)</f>
        <v>0</v>
      </c>
      <c r="M81">
        <f>((S81-I81/2)*L81-K81)/(S81+I81/2)</f>
        <v>0</v>
      </c>
      <c r="N81">
        <f>M81*(DX81+DY81)/1000.0</f>
        <v>0</v>
      </c>
      <c r="O81">
        <f>(DQ81 - IF(AT81&gt;1, K81*DK81*100.0/(AV81), 0))*(DX81+DY81)/1000.0</f>
        <v>0</v>
      </c>
      <c r="P81">
        <f>2.0/((1/R81-1/Q81)+SIGN(R81)*SQRT((1/R81-1/Q81)*(1/R81-1/Q81) + 4*DL81/((DL81+1)*(DL81+1))*(2*1/R81*1/Q81-1/Q81*1/Q81)))</f>
        <v>0</v>
      </c>
      <c r="Q81">
        <f>IF(LEFT(DM81,1)&lt;&gt;"0",IF(LEFT(DM81,1)="1",3.0,DN81),$D$5+$E$5*(EE81*DX81/($K$5*1000))+$F$5*(EE81*DX81/($K$5*1000))*MAX(MIN(DK81,$J$5),$I$5)*MAX(MIN(DK81,$J$5),$I$5)+$G$5*MAX(MIN(DK81,$J$5),$I$5)*(EE81*DX81/($K$5*1000))+$H$5*(EE81*DX81/($K$5*1000))*(EE81*DX81/($K$5*1000)))</f>
        <v>0</v>
      </c>
      <c r="R81">
        <f>I81*(1000-(1000*0.61365*exp(17.502*V81/(240.97+V81))/(DX81+DY81)+DS81)/2)/(1000*0.61365*exp(17.502*V81/(240.97+V81))/(DX81+DY81)-DS81)</f>
        <v>0</v>
      </c>
      <c r="S81">
        <f>1/((DL81+1)/(P81/1.6)+1/(Q81/1.37)) + DL81/((DL81+1)/(P81/1.6) + DL81/(Q81/1.37))</f>
        <v>0</v>
      </c>
      <c r="T81">
        <f>(DG81*DJ81)</f>
        <v>0</v>
      </c>
      <c r="U81">
        <f>(DZ81+(T81+2*0.95*5.67E-8*(((DZ81+$B$9)+273)^4-(DZ81+273)^4)-44100*I81)/(1.84*29.3*Q81+8*0.95*5.67E-8*(DZ81+273)^3))</f>
        <v>0</v>
      </c>
      <c r="V81">
        <f>($C$9*EA81+$D$9*EB81+$E$9*U81)</f>
        <v>0</v>
      </c>
      <c r="W81">
        <f>0.61365*exp(17.502*V81/(240.97+V81))</f>
        <v>0</v>
      </c>
      <c r="X81">
        <f>(Y81/Z81*100)</f>
        <v>0</v>
      </c>
      <c r="Y81">
        <f>DS81*(DX81+DY81)/1000</f>
        <v>0</v>
      </c>
      <c r="Z81">
        <f>0.61365*exp(17.502*DZ81/(240.97+DZ81))</f>
        <v>0</v>
      </c>
      <c r="AA81">
        <f>(W81-DS81*(DX81+DY81)/1000)</f>
        <v>0</v>
      </c>
      <c r="AB81">
        <f>(-I81*44100)</f>
        <v>0</v>
      </c>
      <c r="AC81">
        <f>2*29.3*Q81*0.92*(DZ81-V81)</f>
        <v>0</v>
      </c>
      <c r="AD81">
        <f>2*0.95*5.67E-8*(((DZ81+$B$9)+273)^4-(V81+273)^4)</f>
        <v>0</v>
      </c>
      <c r="AE81">
        <f>T81+AD81+AB81+AC81</f>
        <v>0</v>
      </c>
      <c r="AF81">
        <f>DW81*AT81*(DR81-DQ81*(1000-AT81*DT81)/(1000-AT81*DS81))/(100*DK81)</f>
        <v>0</v>
      </c>
      <c r="AG81">
        <f>1000*DW81*AT81*(DS81-DT81)/(100*DK81*(1000-AT81*DS81))</f>
        <v>0</v>
      </c>
      <c r="AH81">
        <f>(AI81 - AJ81 - DX81*1E3/(8.314*(DZ81+273.15)) * AL81/DW81 * AK81) * DW81/(100*DK81) * (1000 - DT81)/1000</f>
        <v>0</v>
      </c>
      <c r="AI81">
        <v>610.6338718158712</v>
      </c>
      <c r="AJ81">
        <v>610.0862242424242</v>
      </c>
      <c r="AK81">
        <v>-0.001996971163295815</v>
      </c>
      <c r="AL81">
        <v>65.86764097121402</v>
      </c>
      <c r="AM81">
        <f>(AO81 - AN81 + DX81*1E3/(8.314*(DZ81+273.15)) * AQ81/DW81 * AP81) * DW81/(100*DK81) * 1000/(1000 - AO81)</f>
        <v>0</v>
      </c>
      <c r="AN81">
        <v>17.39101471579337</v>
      </c>
      <c r="AO81">
        <v>17.45873846153847</v>
      </c>
      <c r="AP81">
        <v>-2.486489079022437E-05</v>
      </c>
      <c r="AQ81">
        <v>109.1564974073091</v>
      </c>
      <c r="AR81">
        <v>2</v>
      </c>
      <c r="AS81">
        <v>0</v>
      </c>
      <c r="AT81">
        <f>IF(AR81*$H$15&gt;=AV81,1.0,(AV81/(AV81-AR81*$H$15)))</f>
        <v>0</v>
      </c>
      <c r="AU81">
        <f>(AT81-1)*100</f>
        <v>0</v>
      </c>
      <c r="AV81">
        <f>MAX(0,($B$15+$C$15*EE81)/(1+$D$15*EE81)*DX81/(DZ81+273)*$E$15)</f>
        <v>0</v>
      </c>
      <c r="AW81" t="s">
        <v>437</v>
      </c>
      <c r="AX81" t="s">
        <v>437</v>
      </c>
      <c r="AY81">
        <v>0</v>
      </c>
      <c r="AZ81">
        <v>0</v>
      </c>
      <c r="BA81">
        <f>1-AY81/AZ81</f>
        <v>0</v>
      </c>
      <c r="BB81">
        <v>0</v>
      </c>
      <c r="BC81" t="s">
        <v>437</v>
      </c>
      <c r="BD81" t="s">
        <v>437</v>
      </c>
      <c r="BE81">
        <v>0</v>
      </c>
      <c r="BF81">
        <v>0</v>
      </c>
      <c r="BG81">
        <f>1-BE81/BF81</f>
        <v>0</v>
      </c>
      <c r="BH81">
        <v>0.5</v>
      </c>
      <c r="BI81">
        <f>DH81</f>
        <v>0</v>
      </c>
      <c r="BJ81">
        <f>K81</f>
        <v>0</v>
      </c>
      <c r="BK81">
        <f>BG81*BH81*BI81</f>
        <v>0</v>
      </c>
      <c r="BL81">
        <f>(BJ81-BB81)/BI81</f>
        <v>0</v>
      </c>
      <c r="BM81">
        <f>(AZ81-BF81)/BF81</f>
        <v>0</v>
      </c>
      <c r="BN81">
        <f>AY81/(BA81+AY81/BF81)</f>
        <v>0</v>
      </c>
      <c r="BO81" t="s">
        <v>437</v>
      </c>
      <c r="BP81">
        <v>0</v>
      </c>
      <c r="BQ81">
        <f>IF(BP81&lt;&gt;0, BP81, BN81)</f>
        <v>0</v>
      </c>
      <c r="BR81">
        <f>1-BQ81/BF81</f>
        <v>0</v>
      </c>
      <c r="BS81">
        <f>(BF81-BE81)/(BF81-BQ81)</f>
        <v>0</v>
      </c>
      <c r="BT81">
        <f>(AZ81-BF81)/(AZ81-BQ81)</f>
        <v>0</v>
      </c>
      <c r="BU81">
        <f>(BF81-BE81)/(BF81-AY81)</f>
        <v>0</v>
      </c>
      <c r="BV81">
        <f>(AZ81-BF81)/(AZ81-AY81)</f>
        <v>0</v>
      </c>
      <c r="BW81">
        <f>(BS81*BQ81/BE81)</f>
        <v>0</v>
      </c>
      <c r="BX81">
        <f>(1-BW81)</f>
        <v>0</v>
      </c>
      <c r="DG81">
        <f>$B$13*EF81+$C$13*EG81+$F$13*ER81*(1-EU81)</f>
        <v>0</v>
      </c>
      <c r="DH81">
        <f>DG81*DI81</f>
        <v>0</v>
      </c>
      <c r="DI81">
        <f>($B$13*$D$11+$C$13*$D$11+$F$13*((FE81+EW81)/MAX(FE81+EW81+FF81, 0.1)*$I$11+FF81/MAX(FE81+EW81+FF81, 0.1)*$J$11))/($B$13+$C$13+$F$13)</f>
        <v>0</v>
      </c>
      <c r="DJ81">
        <f>($B$13*$K$11+$C$13*$K$11+$F$13*((FE81+EW81)/MAX(FE81+EW81+FF81, 0.1)*$P$11+FF81/MAX(FE81+EW81+FF81, 0.1)*$Q$11))/($B$13+$C$13+$F$13)</f>
        <v>0</v>
      </c>
      <c r="DK81">
        <v>5.66</v>
      </c>
      <c r="DL81">
        <v>0.5</v>
      </c>
      <c r="DM81" t="s">
        <v>438</v>
      </c>
      <c r="DN81">
        <v>2</v>
      </c>
      <c r="DO81" t="b">
        <v>1</v>
      </c>
      <c r="DP81">
        <v>1765308650.099999</v>
      </c>
      <c r="DQ81">
        <v>599.5998064516129</v>
      </c>
      <c r="DR81">
        <v>600.0296129032258</v>
      </c>
      <c r="DS81">
        <v>17.46157096774193</v>
      </c>
      <c r="DT81">
        <v>17.39228387096774</v>
      </c>
      <c r="DU81">
        <v>599.2318064516129</v>
      </c>
      <c r="DV81">
        <v>17.38657096774194</v>
      </c>
      <c r="DW81">
        <v>500.0040645161291</v>
      </c>
      <c r="DX81">
        <v>89.83831612903225</v>
      </c>
      <c r="DY81">
        <v>0.09997644516129031</v>
      </c>
      <c r="DZ81">
        <v>24.80493870967742</v>
      </c>
      <c r="EA81">
        <v>25.01575483870968</v>
      </c>
      <c r="EB81">
        <v>999.9000000000003</v>
      </c>
      <c r="EC81">
        <v>0</v>
      </c>
      <c r="ED81">
        <v>0</v>
      </c>
      <c r="EE81">
        <v>9998.300322580644</v>
      </c>
      <c r="EF81">
        <v>0</v>
      </c>
      <c r="EG81">
        <v>9.835680000000004</v>
      </c>
      <c r="EH81">
        <v>-0.6002649677419354</v>
      </c>
      <c r="EI81">
        <v>610.0823548387096</v>
      </c>
      <c r="EJ81">
        <v>610.6504193548387</v>
      </c>
      <c r="EK81">
        <v>0.06917043548387097</v>
      </c>
      <c r="EL81">
        <v>600.0296129032258</v>
      </c>
      <c r="EM81">
        <v>17.39228387096774</v>
      </c>
      <c r="EN81">
        <v>1.568706451612903</v>
      </c>
      <c r="EO81">
        <v>1.562492258064516</v>
      </c>
      <c r="EP81">
        <v>13.65479677419355</v>
      </c>
      <c r="EQ81">
        <v>13.59379032258065</v>
      </c>
      <c r="ER81">
        <v>799.9693870967742</v>
      </c>
      <c r="ES81">
        <v>0.9500154193548387</v>
      </c>
      <c r="ET81">
        <v>0.04998429032258065</v>
      </c>
      <c r="EU81">
        <v>0</v>
      </c>
      <c r="EV81">
        <v>674.6469032258066</v>
      </c>
      <c r="EW81">
        <v>5.000779999999999</v>
      </c>
      <c r="EX81">
        <v>5104.432258064515</v>
      </c>
      <c r="EY81">
        <v>6463.20129032258</v>
      </c>
      <c r="EZ81">
        <v>37.33241935483871</v>
      </c>
      <c r="FA81">
        <v>40.96141935483869</v>
      </c>
      <c r="FB81">
        <v>39.74574193548387</v>
      </c>
      <c r="FC81">
        <v>41.3384516129032</v>
      </c>
      <c r="FD81">
        <v>39.63683870967741</v>
      </c>
      <c r="FE81">
        <v>755.2322580645161</v>
      </c>
      <c r="FF81">
        <v>39.74</v>
      </c>
      <c r="FG81">
        <v>0</v>
      </c>
      <c r="FH81">
        <v>1765308657.5</v>
      </c>
      <c r="FI81">
        <v>0</v>
      </c>
      <c r="FJ81">
        <v>674.6417200000001</v>
      </c>
      <c r="FK81">
        <v>-0.999615377545649</v>
      </c>
      <c r="FL81">
        <v>1.506923065443295</v>
      </c>
      <c r="FM81">
        <v>5104.537600000001</v>
      </c>
      <c r="FN81">
        <v>15</v>
      </c>
      <c r="FO81">
        <v>1765308675.1</v>
      </c>
      <c r="FP81" t="s">
        <v>635</v>
      </c>
      <c r="FQ81">
        <v>1765308672.1</v>
      </c>
      <c r="FR81">
        <v>1765308675.1</v>
      </c>
      <c r="FS81">
        <v>64</v>
      </c>
      <c r="FT81">
        <v>0.17</v>
      </c>
      <c r="FU81">
        <v>0.001</v>
      </c>
      <c r="FV81">
        <v>0.368</v>
      </c>
      <c r="FW81">
        <v>0.075</v>
      </c>
      <c r="FX81">
        <v>600</v>
      </c>
      <c r="FY81">
        <v>17</v>
      </c>
      <c r="FZ81">
        <v>0.55</v>
      </c>
      <c r="GA81">
        <v>0.24</v>
      </c>
      <c r="GB81">
        <v>-0.594601425</v>
      </c>
      <c r="GC81">
        <v>0.02223472795497204</v>
      </c>
      <c r="GD81">
        <v>0.03575176147960231</v>
      </c>
      <c r="GE81">
        <v>1</v>
      </c>
      <c r="GF81">
        <v>674.7207647058825</v>
      </c>
      <c r="GG81">
        <v>-1.376745604332152</v>
      </c>
      <c r="GH81">
        <v>0.2112620423053558</v>
      </c>
      <c r="GI81">
        <v>0</v>
      </c>
      <c r="GJ81">
        <v>0.0693153</v>
      </c>
      <c r="GK81">
        <v>-0.002399624015009563</v>
      </c>
      <c r="GL81">
        <v>0.0004674965229817229</v>
      </c>
      <c r="GM81">
        <v>1</v>
      </c>
      <c r="GN81">
        <v>2</v>
      </c>
      <c r="GO81">
        <v>3</v>
      </c>
      <c r="GP81" t="s">
        <v>453</v>
      </c>
      <c r="GQ81">
        <v>3.1082</v>
      </c>
      <c r="GR81">
        <v>2.7915</v>
      </c>
      <c r="GS81">
        <v>0.11364</v>
      </c>
      <c r="GT81">
        <v>0.113811</v>
      </c>
      <c r="GU81">
        <v>0.086224</v>
      </c>
      <c r="GV81">
        <v>0.08676250000000001</v>
      </c>
      <c r="GW81">
        <v>23288.4</v>
      </c>
      <c r="GX81">
        <v>21134.7</v>
      </c>
      <c r="GY81">
        <v>26830.4</v>
      </c>
      <c r="GZ81">
        <v>24053.4</v>
      </c>
      <c r="HA81">
        <v>39185.6</v>
      </c>
      <c r="HB81">
        <v>32418.8</v>
      </c>
      <c r="HC81">
        <v>46828.6</v>
      </c>
      <c r="HD81">
        <v>38034</v>
      </c>
      <c r="HE81">
        <v>1.89193</v>
      </c>
      <c r="HF81">
        <v>1.85893</v>
      </c>
      <c r="HG81">
        <v>0.0869296</v>
      </c>
      <c r="HH81">
        <v>0</v>
      </c>
      <c r="HI81">
        <v>23.5936</v>
      </c>
      <c r="HJ81">
        <v>999.9</v>
      </c>
      <c r="HK81">
        <v>38.9</v>
      </c>
      <c r="HL81">
        <v>31.9</v>
      </c>
      <c r="HM81">
        <v>20.5583</v>
      </c>
      <c r="HN81">
        <v>61.2874</v>
      </c>
      <c r="HO81">
        <v>28.2812</v>
      </c>
      <c r="HP81">
        <v>1</v>
      </c>
      <c r="HQ81">
        <v>-0.0267937</v>
      </c>
      <c r="HR81">
        <v>0.639142</v>
      </c>
      <c r="HS81">
        <v>20.2953</v>
      </c>
      <c r="HT81">
        <v>5.22103</v>
      </c>
      <c r="HU81">
        <v>11.9769</v>
      </c>
      <c r="HV81">
        <v>4.9656</v>
      </c>
      <c r="HW81">
        <v>3.2759</v>
      </c>
      <c r="HX81">
        <v>9999</v>
      </c>
      <c r="HY81">
        <v>9999</v>
      </c>
      <c r="HZ81">
        <v>9999</v>
      </c>
      <c r="IA81">
        <v>999.9</v>
      </c>
      <c r="IB81">
        <v>1.86386</v>
      </c>
      <c r="IC81">
        <v>1.86005</v>
      </c>
      <c r="ID81">
        <v>1.85836</v>
      </c>
      <c r="IE81">
        <v>1.85969</v>
      </c>
      <c r="IF81">
        <v>1.85987</v>
      </c>
      <c r="IG81">
        <v>1.85837</v>
      </c>
      <c r="IH81">
        <v>1.85739</v>
      </c>
      <c r="II81">
        <v>1.85238</v>
      </c>
      <c r="IJ81">
        <v>0</v>
      </c>
      <c r="IK81">
        <v>0</v>
      </c>
      <c r="IL81">
        <v>0</v>
      </c>
      <c r="IM81">
        <v>0</v>
      </c>
      <c r="IN81" t="s">
        <v>441</v>
      </c>
      <c r="IO81" t="s">
        <v>442</v>
      </c>
      <c r="IP81" t="s">
        <v>443</v>
      </c>
      <c r="IQ81" t="s">
        <v>443</v>
      </c>
      <c r="IR81" t="s">
        <v>443</v>
      </c>
      <c r="IS81" t="s">
        <v>443</v>
      </c>
      <c r="IT81">
        <v>0</v>
      </c>
      <c r="IU81">
        <v>100</v>
      </c>
      <c r="IV81">
        <v>100</v>
      </c>
      <c r="IW81">
        <v>0.368</v>
      </c>
      <c r="IX81">
        <v>0.075</v>
      </c>
      <c r="IY81">
        <v>-0.3496144165883678</v>
      </c>
      <c r="IZ81">
        <v>0.0001583678016168383</v>
      </c>
      <c r="JA81">
        <v>1.526473431467286E-06</v>
      </c>
      <c r="JB81">
        <v>-4.446382740029455E-10</v>
      </c>
      <c r="JC81">
        <v>-0.0432778534699062</v>
      </c>
      <c r="JD81">
        <v>-0.009941991807247691</v>
      </c>
      <c r="JE81">
        <v>0.001256427533001032</v>
      </c>
      <c r="JF81">
        <v>-1.689728105039484E-05</v>
      </c>
      <c r="JG81">
        <v>2</v>
      </c>
      <c r="JH81">
        <v>1984</v>
      </c>
      <c r="JI81">
        <v>0</v>
      </c>
      <c r="JJ81">
        <v>25</v>
      </c>
      <c r="JK81">
        <v>1.5</v>
      </c>
      <c r="JL81">
        <v>1.6</v>
      </c>
      <c r="JM81">
        <v>1.51489</v>
      </c>
      <c r="JN81">
        <v>2.64404</v>
      </c>
      <c r="JO81">
        <v>1.49658</v>
      </c>
      <c r="JP81">
        <v>2.34741</v>
      </c>
      <c r="JQ81">
        <v>1.54907</v>
      </c>
      <c r="JR81">
        <v>2.36694</v>
      </c>
      <c r="JS81">
        <v>35.4523</v>
      </c>
      <c r="JT81">
        <v>24.14</v>
      </c>
      <c r="JU81">
        <v>18</v>
      </c>
      <c r="JV81">
        <v>476.705</v>
      </c>
      <c r="JW81">
        <v>484.204</v>
      </c>
      <c r="JX81">
        <v>23.3495</v>
      </c>
      <c r="JY81">
        <v>26.8679</v>
      </c>
      <c r="JZ81">
        <v>29.9999</v>
      </c>
      <c r="KA81">
        <v>27.1771</v>
      </c>
      <c r="KB81">
        <v>27.1936</v>
      </c>
      <c r="KC81">
        <v>30.4175</v>
      </c>
      <c r="KD81">
        <v>17.2897</v>
      </c>
      <c r="KE81">
        <v>32.6779</v>
      </c>
      <c r="KF81">
        <v>23.3372</v>
      </c>
      <c r="KG81">
        <v>600</v>
      </c>
      <c r="KH81">
        <v>17.3534</v>
      </c>
      <c r="KI81">
        <v>102.405</v>
      </c>
      <c r="KJ81">
        <v>91.7435</v>
      </c>
    </row>
    <row r="82" spans="1:296">
      <c r="A82">
        <v>64</v>
      </c>
      <c r="B82">
        <v>1765308755.6</v>
      </c>
      <c r="C82">
        <v>11322.59999990463</v>
      </c>
      <c r="D82" t="s">
        <v>636</v>
      </c>
      <c r="E82" t="s">
        <v>637</v>
      </c>
      <c r="F82">
        <v>5</v>
      </c>
      <c r="G82" t="s">
        <v>610</v>
      </c>
      <c r="H82">
        <v>1765308747.849999</v>
      </c>
      <c r="I82">
        <f>(J82)/1000</f>
        <v>0</v>
      </c>
      <c r="J82">
        <f>IF(DO82, AM82, AG82)</f>
        <v>0</v>
      </c>
      <c r="K82">
        <f>IF(DO82, AH82, AF82)</f>
        <v>0</v>
      </c>
      <c r="L82">
        <f>DQ82 - IF(AT82&gt;1, K82*DK82*100.0/(AV82), 0)</f>
        <v>0</v>
      </c>
      <c r="M82">
        <f>((S82-I82/2)*L82-K82)/(S82+I82/2)</f>
        <v>0</v>
      </c>
      <c r="N82">
        <f>M82*(DX82+DY82)/1000.0</f>
        <v>0</v>
      </c>
      <c r="O82">
        <f>(DQ82 - IF(AT82&gt;1, K82*DK82*100.0/(AV82), 0))*(DX82+DY82)/1000.0</f>
        <v>0</v>
      </c>
      <c r="P82">
        <f>2.0/((1/R82-1/Q82)+SIGN(R82)*SQRT((1/R82-1/Q82)*(1/R82-1/Q82) + 4*DL82/((DL82+1)*(DL82+1))*(2*1/R82*1/Q82-1/Q82*1/Q82)))</f>
        <v>0</v>
      </c>
      <c r="Q82">
        <f>IF(LEFT(DM82,1)&lt;&gt;"0",IF(LEFT(DM82,1)="1",3.0,DN82),$D$5+$E$5*(EE82*DX82/($K$5*1000))+$F$5*(EE82*DX82/($K$5*1000))*MAX(MIN(DK82,$J$5),$I$5)*MAX(MIN(DK82,$J$5),$I$5)+$G$5*MAX(MIN(DK82,$J$5),$I$5)*(EE82*DX82/($K$5*1000))+$H$5*(EE82*DX82/($K$5*1000))*(EE82*DX82/($K$5*1000)))</f>
        <v>0</v>
      </c>
      <c r="R82">
        <f>I82*(1000-(1000*0.61365*exp(17.502*V82/(240.97+V82))/(DX82+DY82)+DS82)/2)/(1000*0.61365*exp(17.502*V82/(240.97+V82))/(DX82+DY82)-DS82)</f>
        <v>0</v>
      </c>
      <c r="S82">
        <f>1/((DL82+1)/(P82/1.6)+1/(Q82/1.37)) + DL82/((DL82+1)/(P82/1.6) + DL82/(Q82/1.37))</f>
        <v>0</v>
      </c>
      <c r="T82">
        <f>(DG82*DJ82)</f>
        <v>0</v>
      </c>
      <c r="U82">
        <f>(DZ82+(T82+2*0.95*5.67E-8*(((DZ82+$B$9)+273)^4-(DZ82+273)^4)-44100*I82)/(1.84*29.3*Q82+8*0.95*5.67E-8*(DZ82+273)^3))</f>
        <v>0</v>
      </c>
      <c r="V82">
        <f>($C$9*EA82+$D$9*EB82+$E$9*U82)</f>
        <v>0</v>
      </c>
      <c r="W82">
        <f>0.61365*exp(17.502*V82/(240.97+V82))</f>
        <v>0</v>
      </c>
      <c r="X82">
        <f>(Y82/Z82*100)</f>
        <v>0</v>
      </c>
      <c r="Y82">
        <f>DS82*(DX82+DY82)/1000</f>
        <v>0</v>
      </c>
      <c r="Z82">
        <f>0.61365*exp(17.502*DZ82/(240.97+DZ82))</f>
        <v>0</v>
      </c>
      <c r="AA82">
        <f>(W82-DS82*(DX82+DY82)/1000)</f>
        <v>0</v>
      </c>
      <c r="AB82">
        <f>(-I82*44100)</f>
        <v>0</v>
      </c>
      <c r="AC82">
        <f>2*29.3*Q82*0.92*(DZ82-V82)</f>
        <v>0</v>
      </c>
      <c r="AD82">
        <f>2*0.95*5.67E-8*(((DZ82+$B$9)+273)^4-(V82+273)^4)</f>
        <v>0</v>
      </c>
      <c r="AE82">
        <f>T82+AD82+AB82+AC82</f>
        <v>0</v>
      </c>
      <c r="AF82">
        <f>DW82*AT82*(DR82-DQ82*(1000-AT82*DT82)/(1000-AT82*DS82))/(100*DK82)</f>
        <v>0</v>
      </c>
      <c r="AG82">
        <f>1000*DW82*AT82*(DS82-DT82)/(100*DK82*(1000-AT82*DS82))</f>
        <v>0</v>
      </c>
      <c r="AH82">
        <f>(AI82 - AJ82 - DX82*1E3/(8.314*(DZ82+273.15)) * AL82/DW82 * AK82) * DW82/(100*DK82) * (1000 - DT82)/1000</f>
        <v>0</v>
      </c>
      <c r="AI82">
        <v>814.1342885281389</v>
      </c>
      <c r="AJ82">
        <v>813.5179818181813</v>
      </c>
      <c r="AK82">
        <v>-0.004906560106633375</v>
      </c>
      <c r="AL82">
        <v>65.87</v>
      </c>
      <c r="AM82">
        <f>(AO82 - AN82 + DX82*1E3/(8.314*(DZ82+273.15)) * AQ82/DW82 * AP82) * DW82/(100*DK82) * 1000/(1000 - AO82)</f>
        <v>0</v>
      </c>
      <c r="AN82">
        <v>17.38065284455985</v>
      </c>
      <c r="AO82">
        <v>17.4492090909091</v>
      </c>
      <c r="AP82">
        <v>-1.769949393015598E-05</v>
      </c>
      <c r="AQ82">
        <v>109.2298853344326</v>
      </c>
      <c r="AR82">
        <v>2</v>
      </c>
      <c r="AS82">
        <v>0</v>
      </c>
      <c r="AT82">
        <f>IF(AR82*$H$15&gt;=AV82,1.0,(AV82/(AV82-AR82*$H$15)))</f>
        <v>0</v>
      </c>
      <c r="AU82">
        <f>(AT82-1)*100</f>
        <v>0</v>
      </c>
      <c r="AV82">
        <f>MAX(0,($B$15+$C$15*EE82)/(1+$D$15*EE82)*DX82/(DZ82+273)*$E$15)</f>
        <v>0</v>
      </c>
      <c r="AW82" t="s">
        <v>437</v>
      </c>
      <c r="AX82" t="s">
        <v>437</v>
      </c>
      <c r="AY82">
        <v>0</v>
      </c>
      <c r="AZ82">
        <v>0</v>
      </c>
      <c r="BA82">
        <f>1-AY82/AZ82</f>
        <v>0</v>
      </c>
      <c r="BB82">
        <v>0</v>
      </c>
      <c r="BC82" t="s">
        <v>437</v>
      </c>
      <c r="BD82" t="s">
        <v>437</v>
      </c>
      <c r="BE82">
        <v>0</v>
      </c>
      <c r="BF82">
        <v>0</v>
      </c>
      <c r="BG82">
        <f>1-BE82/BF82</f>
        <v>0</v>
      </c>
      <c r="BH82">
        <v>0.5</v>
      </c>
      <c r="BI82">
        <f>DH82</f>
        <v>0</v>
      </c>
      <c r="BJ82">
        <f>K82</f>
        <v>0</v>
      </c>
      <c r="BK82">
        <f>BG82*BH82*BI82</f>
        <v>0</v>
      </c>
      <c r="BL82">
        <f>(BJ82-BB82)/BI82</f>
        <v>0</v>
      </c>
      <c r="BM82">
        <f>(AZ82-BF82)/BF82</f>
        <v>0</v>
      </c>
      <c r="BN82">
        <f>AY82/(BA82+AY82/BF82)</f>
        <v>0</v>
      </c>
      <c r="BO82" t="s">
        <v>437</v>
      </c>
      <c r="BP82">
        <v>0</v>
      </c>
      <c r="BQ82">
        <f>IF(BP82&lt;&gt;0, BP82, BN82)</f>
        <v>0</v>
      </c>
      <c r="BR82">
        <f>1-BQ82/BF82</f>
        <v>0</v>
      </c>
      <c r="BS82">
        <f>(BF82-BE82)/(BF82-BQ82)</f>
        <v>0</v>
      </c>
      <c r="BT82">
        <f>(AZ82-BF82)/(AZ82-BQ82)</f>
        <v>0</v>
      </c>
      <c r="BU82">
        <f>(BF82-BE82)/(BF82-AY82)</f>
        <v>0</v>
      </c>
      <c r="BV82">
        <f>(AZ82-BF82)/(AZ82-AY82)</f>
        <v>0</v>
      </c>
      <c r="BW82">
        <f>(BS82*BQ82/BE82)</f>
        <v>0</v>
      </c>
      <c r="BX82">
        <f>(1-BW82)</f>
        <v>0</v>
      </c>
      <c r="DG82">
        <f>$B$13*EF82+$C$13*EG82+$F$13*ER82*(1-EU82)</f>
        <v>0</v>
      </c>
      <c r="DH82">
        <f>DG82*DI82</f>
        <v>0</v>
      </c>
      <c r="DI82">
        <f>($B$13*$D$11+$C$13*$D$11+$F$13*((FE82+EW82)/MAX(FE82+EW82+FF82, 0.1)*$I$11+FF82/MAX(FE82+EW82+FF82, 0.1)*$J$11))/($B$13+$C$13+$F$13)</f>
        <v>0</v>
      </c>
      <c r="DJ82">
        <f>($B$13*$K$11+$C$13*$K$11+$F$13*((FE82+EW82)/MAX(FE82+EW82+FF82, 0.1)*$P$11+FF82/MAX(FE82+EW82+FF82, 0.1)*$Q$11))/($B$13+$C$13+$F$13)</f>
        <v>0</v>
      </c>
      <c r="DK82">
        <v>5.66</v>
      </c>
      <c r="DL82">
        <v>0.5</v>
      </c>
      <c r="DM82" t="s">
        <v>438</v>
      </c>
      <c r="DN82">
        <v>2</v>
      </c>
      <c r="DO82" t="b">
        <v>1</v>
      </c>
      <c r="DP82">
        <v>1765308747.849999</v>
      </c>
      <c r="DQ82">
        <v>799.4132999999999</v>
      </c>
      <c r="DR82">
        <v>800.0176</v>
      </c>
      <c r="DS82">
        <v>17.45411666666667</v>
      </c>
      <c r="DT82">
        <v>17.38236</v>
      </c>
      <c r="DU82">
        <v>798.6193</v>
      </c>
      <c r="DV82">
        <v>17.37711666666667</v>
      </c>
      <c r="DW82">
        <v>500.0070999999999</v>
      </c>
      <c r="DX82">
        <v>89.83019666666668</v>
      </c>
      <c r="DY82">
        <v>0.09995265666666665</v>
      </c>
      <c r="DZ82">
        <v>24.80356666666667</v>
      </c>
      <c r="EA82">
        <v>25.00583333333333</v>
      </c>
      <c r="EB82">
        <v>999.9000000000002</v>
      </c>
      <c r="EC82">
        <v>0</v>
      </c>
      <c r="ED82">
        <v>0</v>
      </c>
      <c r="EE82">
        <v>10006.54066666667</v>
      </c>
      <c r="EF82">
        <v>0</v>
      </c>
      <c r="EG82">
        <v>9.835680000000002</v>
      </c>
      <c r="EH82">
        <v>-0.7045369666666664</v>
      </c>
      <c r="EI82">
        <v>813.5114</v>
      </c>
      <c r="EJ82">
        <v>814.1697333333334</v>
      </c>
      <c r="EK82">
        <v>0.07089010333333333</v>
      </c>
      <c r="EL82">
        <v>800.0176</v>
      </c>
      <c r="EM82">
        <v>17.38236</v>
      </c>
      <c r="EN82">
        <v>1.567828666666667</v>
      </c>
      <c r="EO82">
        <v>1.561459666666666</v>
      </c>
      <c r="EP82">
        <v>13.64619333333333</v>
      </c>
      <c r="EQ82">
        <v>13.58364333333333</v>
      </c>
      <c r="ER82">
        <v>800.0007333333335</v>
      </c>
      <c r="ES82">
        <v>0.9500161000000001</v>
      </c>
      <c r="ET82">
        <v>0.04998402999999999</v>
      </c>
      <c r="EU82">
        <v>0</v>
      </c>
      <c r="EV82">
        <v>673.9293999999999</v>
      </c>
      <c r="EW82">
        <v>5.00078</v>
      </c>
      <c r="EX82">
        <v>5094.444666666665</v>
      </c>
      <c r="EY82">
        <v>6463.458666666667</v>
      </c>
      <c r="EZ82">
        <v>37.16639999999999</v>
      </c>
      <c r="FA82">
        <v>39.79973333333332</v>
      </c>
      <c r="FB82">
        <v>38.83733333333333</v>
      </c>
      <c r="FC82">
        <v>39.88926666666666</v>
      </c>
      <c r="FD82">
        <v>38.80179999999999</v>
      </c>
      <c r="FE82">
        <v>755.263</v>
      </c>
      <c r="FF82">
        <v>39.74</v>
      </c>
      <c r="FG82">
        <v>0</v>
      </c>
      <c r="FH82">
        <v>1765308754.7</v>
      </c>
      <c r="FI82">
        <v>0</v>
      </c>
      <c r="FJ82">
        <v>673.9235199999999</v>
      </c>
      <c r="FK82">
        <v>0.1421538396680861</v>
      </c>
      <c r="FL82">
        <v>-10.00461541201415</v>
      </c>
      <c r="FM82">
        <v>5094.286</v>
      </c>
      <c r="FN82">
        <v>15</v>
      </c>
      <c r="FO82">
        <v>1765308774.1</v>
      </c>
      <c r="FP82" t="s">
        <v>638</v>
      </c>
      <c r="FQ82">
        <v>1765308774.1</v>
      </c>
      <c r="FR82">
        <v>1765308772.6</v>
      </c>
      <c r="FS82">
        <v>65</v>
      </c>
      <c r="FT82">
        <v>0.099</v>
      </c>
      <c r="FU82">
        <v>0.003</v>
      </c>
      <c r="FV82">
        <v>0.794</v>
      </c>
      <c r="FW82">
        <v>0.077</v>
      </c>
      <c r="FX82">
        <v>800</v>
      </c>
      <c r="FY82">
        <v>17</v>
      </c>
      <c r="FZ82">
        <v>0.45</v>
      </c>
      <c r="GA82">
        <v>0.17</v>
      </c>
      <c r="GB82">
        <v>-0.7137287317073171</v>
      </c>
      <c r="GC82">
        <v>0.4062382369337958</v>
      </c>
      <c r="GD82">
        <v>0.05862346781773319</v>
      </c>
      <c r="GE82">
        <v>1</v>
      </c>
      <c r="GF82">
        <v>673.9179411764705</v>
      </c>
      <c r="GG82">
        <v>-0.00782276534503947</v>
      </c>
      <c r="GH82">
        <v>0.2141570261138087</v>
      </c>
      <c r="GI82">
        <v>1</v>
      </c>
      <c r="GJ82">
        <v>0.07149147317073171</v>
      </c>
      <c r="GK82">
        <v>-0.007772949825783942</v>
      </c>
      <c r="GL82">
        <v>0.001286365691286584</v>
      </c>
      <c r="GM82">
        <v>1</v>
      </c>
      <c r="GN82">
        <v>3</v>
      </c>
      <c r="GO82">
        <v>3</v>
      </c>
      <c r="GP82" t="s">
        <v>440</v>
      </c>
      <c r="GQ82">
        <v>3.10821</v>
      </c>
      <c r="GR82">
        <v>2.79163</v>
      </c>
      <c r="GS82">
        <v>0.138274</v>
      </c>
      <c r="GT82">
        <v>0.138501</v>
      </c>
      <c r="GU82">
        <v>0.0861856</v>
      </c>
      <c r="GV82">
        <v>0.08673169999999999</v>
      </c>
      <c r="GW82">
        <v>22642.5</v>
      </c>
      <c r="GX82">
        <v>20546.3</v>
      </c>
      <c r="GY82">
        <v>26831.7</v>
      </c>
      <c r="GZ82">
        <v>24053.6</v>
      </c>
      <c r="HA82">
        <v>39191.5</v>
      </c>
      <c r="HB82">
        <v>32422.7</v>
      </c>
      <c r="HC82">
        <v>46830</v>
      </c>
      <c r="HD82">
        <v>38034.3</v>
      </c>
      <c r="HE82">
        <v>1.89268</v>
      </c>
      <c r="HF82">
        <v>1.8601</v>
      </c>
      <c r="HG82">
        <v>0.08560719999999999</v>
      </c>
      <c r="HH82">
        <v>0</v>
      </c>
      <c r="HI82">
        <v>23.5943</v>
      </c>
      <c r="HJ82">
        <v>999.9</v>
      </c>
      <c r="HK82">
        <v>39</v>
      </c>
      <c r="HL82">
        <v>31.9</v>
      </c>
      <c r="HM82">
        <v>20.6161</v>
      </c>
      <c r="HN82">
        <v>61.0374</v>
      </c>
      <c r="HO82">
        <v>28.2612</v>
      </c>
      <c r="HP82">
        <v>1</v>
      </c>
      <c r="HQ82">
        <v>-0.0285976</v>
      </c>
      <c r="HR82">
        <v>0.596043</v>
      </c>
      <c r="HS82">
        <v>20.2938</v>
      </c>
      <c r="HT82">
        <v>5.22298</v>
      </c>
      <c r="HU82">
        <v>11.9764</v>
      </c>
      <c r="HV82">
        <v>4.9656</v>
      </c>
      <c r="HW82">
        <v>3.27598</v>
      </c>
      <c r="HX82">
        <v>9999</v>
      </c>
      <c r="HY82">
        <v>9999</v>
      </c>
      <c r="HZ82">
        <v>9999</v>
      </c>
      <c r="IA82">
        <v>999.9</v>
      </c>
      <c r="IB82">
        <v>1.86388</v>
      </c>
      <c r="IC82">
        <v>1.86005</v>
      </c>
      <c r="ID82">
        <v>1.85837</v>
      </c>
      <c r="IE82">
        <v>1.85972</v>
      </c>
      <c r="IF82">
        <v>1.85986</v>
      </c>
      <c r="IG82">
        <v>1.85837</v>
      </c>
      <c r="IH82">
        <v>1.85742</v>
      </c>
      <c r="II82">
        <v>1.85237</v>
      </c>
      <c r="IJ82">
        <v>0</v>
      </c>
      <c r="IK82">
        <v>0</v>
      </c>
      <c r="IL82">
        <v>0</v>
      </c>
      <c r="IM82">
        <v>0</v>
      </c>
      <c r="IN82" t="s">
        <v>441</v>
      </c>
      <c r="IO82" t="s">
        <v>442</v>
      </c>
      <c r="IP82" t="s">
        <v>443</v>
      </c>
      <c r="IQ82" t="s">
        <v>443</v>
      </c>
      <c r="IR82" t="s">
        <v>443</v>
      </c>
      <c r="IS82" t="s">
        <v>443</v>
      </c>
      <c r="IT82">
        <v>0</v>
      </c>
      <c r="IU82">
        <v>100</v>
      </c>
      <c r="IV82">
        <v>100</v>
      </c>
      <c r="IW82">
        <v>0.794</v>
      </c>
      <c r="IX82">
        <v>0.077</v>
      </c>
      <c r="IY82">
        <v>-0.1798084888499324</v>
      </c>
      <c r="IZ82">
        <v>0.0001583678016168383</v>
      </c>
      <c r="JA82">
        <v>1.526473431467286E-06</v>
      </c>
      <c r="JB82">
        <v>-4.446382740029455E-10</v>
      </c>
      <c r="JC82">
        <v>-0.04183322033530348</v>
      </c>
      <c r="JD82">
        <v>-0.009941991807247691</v>
      </c>
      <c r="JE82">
        <v>0.001256427533001032</v>
      </c>
      <c r="JF82">
        <v>-1.689728105039484E-05</v>
      </c>
      <c r="JG82">
        <v>2</v>
      </c>
      <c r="JH82">
        <v>1984</v>
      </c>
      <c r="JI82">
        <v>0</v>
      </c>
      <c r="JJ82">
        <v>25</v>
      </c>
      <c r="JK82">
        <v>1.4</v>
      </c>
      <c r="JL82">
        <v>1.3</v>
      </c>
      <c r="JM82">
        <v>1.9104</v>
      </c>
      <c r="JN82">
        <v>2.63184</v>
      </c>
      <c r="JO82">
        <v>1.49658</v>
      </c>
      <c r="JP82">
        <v>2.34863</v>
      </c>
      <c r="JQ82">
        <v>1.54907</v>
      </c>
      <c r="JR82">
        <v>2.37305</v>
      </c>
      <c r="JS82">
        <v>35.4059</v>
      </c>
      <c r="JT82">
        <v>24.14</v>
      </c>
      <c r="JU82">
        <v>18</v>
      </c>
      <c r="JV82">
        <v>476.887</v>
      </c>
      <c r="JW82">
        <v>484.681</v>
      </c>
      <c r="JX82">
        <v>23.3195</v>
      </c>
      <c r="JY82">
        <v>26.8452</v>
      </c>
      <c r="JZ82">
        <v>30</v>
      </c>
      <c r="KA82">
        <v>27.1453</v>
      </c>
      <c r="KB82">
        <v>27.1607</v>
      </c>
      <c r="KC82">
        <v>38.3614</v>
      </c>
      <c r="KD82">
        <v>17.2897</v>
      </c>
      <c r="KE82">
        <v>32.6779</v>
      </c>
      <c r="KF82">
        <v>23.3224</v>
      </c>
      <c r="KG82">
        <v>800</v>
      </c>
      <c r="KH82">
        <v>17.357</v>
      </c>
      <c r="KI82">
        <v>102.409</v>
      </c>
      <c r="KJ82">
        <v>91.74420000000001</v>
      </c>
    </row>
    <row r="83" spans="1:296">
      <c r="A83">
        <v>65</v>
      </c>
      <c r="B83">
        <v>1765308849.6</v>
      </c>
      <c r="C83">
        <v>11416.59999990463</v>
      </c>
      <c r="D83" t="s">
        <v>639</v>
      </c>
      <c r="E83" t="s">
        <v>640</v>
      </c>
      <c r="F83">
        <v>5</v>
      </c>
      <c r="G83" t="s">
        <v>610</v>
      </c>
      <c r="H83">
        <v>1765308841.849999</v>
      </c>
      <c r="I83">
        <f>(J83)/1000</f>
        <v>0</v>
      </c>
      <c r="J83">
        <f>IF(DO83, AM83, AG83)</f>
        <v>0</v>
      </c>
      <c r="K83">
        <f>IF(DO83, AH83, AF83)</f>
        <v>0</v>
      </c>
      <c r="L83">
        <f>DQ83 - IF(AT83&gt;1, K83*DK83*100.0/(AV83), 0)</f>
        <v>0</v>
      </c>
      <c r="M83">
        <f>((S83-I83/2)*L83-K83)/(S83+I83/2)</f>
        <v>0</v>
      </c>
      <c r="N83">
        <f>M83*(DX83+DY83)/1000.0</f>
        <v>0</v>
      </c>
      <c r="O83">
        <f>(DQ83 - IF(AT83&gt;1, K83*DK83*100.0/(AV83), 0))*(DX83+DY83)/1000.0</f>
        <v>0</v>
      </c>
      <c r="P83">
        <f>2.0/((1/R83-1/Q83)+SIGN(R83)*SQRT((1/R83-1/Q83)*(1/R83-1/Q83) + 4*DL83/((DL83+1)*(DL83+1))*(2*1/R83*1/Q83-1/Q83*1/Q83)))</f>
        <v>0</v>
      </c>
      <c r="Q83">
        <f>IF(LEFT(DM83,1)&lt;&gt;"0",IF(LEFT(DM83,1)="1",3.0,DN83),$D$5+$E$5*(EE83*DX83/($K$5*1000))+$F$5*(EE83*DX83/($K$5*1000))*MAX(MIN(DK83,$J$5),$I$5)*MAX(MIN(DK83,$J$5),$I$5)+$G$5*MAX(MIN(DK83,$J$5),$I$5)*(EE83*DX83/($K$5*1000))+$H$5*(EE83*DX83/($K$5*1000))*(EE83*DX83/($K$5*1000)))</f>
        <v>0</v>
      </c>
      <c r="R83">
        <f>I83*(1000-(1000*0.61365*exp(17.502*V83/(240.97+V83))/(DX83+DY83)+DS83)/2)/(1000*0.61365*exp(17.502*V83/(240.97+V83))/(DX83+DY83)-DS83)</f>
        <v>0</v>
      </c>
      <c r="S83">
        <f>1/((DL83+1)/(P83/1.6)+1/(Q83/1.37)) + DL83/((DL83+1)/(P83/1.6) + DL83/(Q83/1.37))</f>
        <v>0</v>
      </c>
      <c r="T83">
        <f>(DG83*DJ83)</f>
        <v>0</v>
      </c>
      <c r="U83">
        <f>(DZ83+(T83+2*0.95*5.67E-8*(((DZ83+$B$9)+273)^4-(DZ83+273)^4)-44100*I83)/(1.84*29.3*Q83+8*0.95*5.67E-8*(DZ83+273)^3))</f>
        <v>0</v>
      </c>
      <c r="V83">
        <f>($C$9*EA83+$D$9*EB83+$E$9*U83)</f>
        <v>0</v>
      </c>
      <c r="W83">
        <f>0.61365*exp(17.502*V83/(240.97+V83))</f>
        <v>0</v>
      </c>
      <c r="X83">
        <f>(Y83/Z83*100)</f>
        <v>0</v>
      </c>
      <c r="Y83">
        <f>DS83*(DX83+DY83)/1000</f>
        <v>0</v>
      </c>
      <c r="Z83">
        <f>0.61365*exp(17.502*DZ83/(240.97+DZ83))</f>
        <v>0</v>
      </c>
      <c r="AA83">
        <f>(W83-DS83*(DX83+DY83)/1000)</f>
        <v>0</v>
      </c>
      <c r="AB83">
        <f>(-I83*44100)</f>
        <v>0</v>
      </c>
      <c r="AC83">
        <f>2*29.3*Q83*0.92*(DZ83-V83)</f>
        <v>0</v>
      </c>
      <c r="AD83">
        <f>2*0.95*5.67E-8*(((DZ83+$B$9)+273)^4-(V83+273)^4)</f>
        <v>0</v>
      </c>
      <c r="AE83">
        <f>T83+AD83+AB83+AC83</f>
        <v>0</v>
      </c>
      <c r="AF83">
        <f>DW83*AT83*(DR83-DQ83*(1000-AT83*DT83)/(1000-AT83*DS83))/(100*DK83)</f>
        <v>0</v>
      </c>
      <c r="AG83">
        <f>1000*DW83*AT83*(DS83-DT83)/(100*DK83*(1000-AT83*DS83))</f>
        <v>0</v>
      </c>
      <c r="AH83">
        <f>(AI83 - AJ83 - DX83*1E3/(8.314*(DZ83+273.15)) * AL83/DW83 * AK83) * DW83/(100*DK83) * (1000 - DT83)/1000</f>
        <v>0</v>
      </c>
      <c r="AI83">
        <v>1017.587367424242</v>
      </c>
      <c r="AJ83">
        <v>1017.27096969697</v>
      </c>
      <c r="AK83">
        <v>-0.002153679653640699</v>
      </c>
      <c r="AL83">
        <v>65.87</v>
      </c>
      <c r="AM83">
        <f>(AO83 - AN83 + DX83*1E3/(8.314*(DZ83+273.15)) * AQ83/DW83 * AP83) * DW83/(100*DK83) * 1000/(1000 - AO83)</f>
        <v>0</v>
      </c>
      <c r="AN83">
        <v>17.37714727675604</v>
      </c>
      <c r="AO83">
        <v>17.44825524475525</v>
      </c>
      <c r="AP83">
        <v>1.398694089067667E-06</v>
      </c>
      <c r="AQ83">
        <v>109.242893263724</v>
      </c>
      <c r="AR83">
        <v>2</v>
      </c>
      <c r="AS83">
        <v>0</v>
      </c>
      <c r="AT83">
        <f>IF(AR83*$H$15&gt;=AV83,1.0,(AV83/(AV83-AR83*$H$15)))</f>
        <v>0</v>
      </c>
      <c r="AU83">
        <f>(AT83-1)*100</f>
        <v>0</v>
      </c>
      <c r="AV83">
        <f>MAX(0,($B$15+$C$15*EE83)/(1+$D$15*EE83)*DX83/(DZ83+273)*$E$15)</f>
        <v>0</v>
      </c>
      <c r="AW83" t="s">
        <v>437</v>
      </c>
      <c r="AX83" t="s">
        <v>437</v>
      </c>
      <c r="AY83">
        <v>0</v>
      </c>
      <c r="AZ83">
        <v>0</v>
      </c>
      <c r="BA83">
        <f>1-AY83/AZ83</f>
        <v>0</v>
      </c>
      <c r="BB83">
        <v>0</v>
      </c>
      <c r="BC83" t="s">
        <v>437</v>
      </c>
      <c r="BD83" t="s">
        <v>437</v>
      </c>
      <c r="BE83">
        <v>0</v>
      </c>
      <c r="BF83">
        <v>0</v>
      </c>
      <c r="BG83">
        <f>1-BE83/BF83</f>
        <v>0</v>
      </c>
      <c r="BH83">
        <v>0.5</v>
      </c>
      <c r="BI83">
        <f>DH83</f>
        <v>0</v>
      </c>
      <c r="BJ83">
        <f>K83</f>
        <v>0</v>
      </c>
      <c r="BK83">
        <f>BG83*BH83*BI83</f>
        <v>0</v>
      </c>
      <c r="BL83">
        <f>(BJ83-BB83)/BI83</f>
        <v>0</v>
      </c>
      <c r="BM83">
        <f>(AZ83-BF83)/BF83</f>
        <v>0</v>
      </c>
      <c r="BN83">
        <f>AY83/(BA83+AY83/BF83)</f>
        <v>0</v>
      </c>
      <c r="BO83" t="s">
        <v>437</v>
      </c>
      <c r="BP83">
        <v>0</v>
      </c>
      <c r="BQ83">
        <f>IF(BP83&lt;&gt;0, BP83, BN83)</f>
        <v>0</v>
      </c>
      <c r="BR83">
        <f>1-BQ83/BF83</f>
        <v>0</v>
      </c>
      <c r="BS83">
        <f>(BF83-BE83)/(BF83-BQ83)</f>
        <v>0</v>
      </c>
      <c r="BT83">
        <f>(AZ83-BF83)/(AZ83-BQ83)</f>
        <v>0</v>
      </c>
      <c r="BU83">
        <f>(BF83-BE83)/(BF83-AY83)</f>
        <v>0</v>
      </c>
      <c r="BV83">
        <f>(AZ83-BF83)/(AZ83-AY83)</f>
        <v>0</v>
      </c>
      <c r="BW83">
        <f>(BS83*BQ83/BE83)</f>
        <v>0</v>
      </c>
      <c r="BX83">
        <f>(1-BW83)</f>
        <v>0</v>
      </c>
      <c r="DG83">
        <f>$B$13*EF83+$C$13*EG83+$F$13*ER83*(1-EU83)</f>
        <v>0</v>
      </c>
      <c r="DH83">
        <f>DG83*DI83</f>
        <v>0</v>
      </c>
      <c r="DI83">
        <f>($B$13*$D$11+$C$13*$D$11+$F$13*((FE83+EW83)/MAX(FE83+EW83+FF83, 0.1)*$I$11+FF83/MAX(FE83+EW83+FF83, 0.1)*$J$11))/($B$13+$C$13+$F$13)</f>
        <v>0</v>
      </c>
      <c r="DJ83">
        <f>($B$13*$K$11+$C$13*$K$11+$F$13*((FE83+EW83)/MAX(FE83+EW83+FF83, 0.1)*$P$11+FF83/MAX(FE83+EW83+FF83, 0.1)*$Q$11))/($B$13+$C$13+$F$13)</f>
        <v>0</v>
      </c>
      <c r="DK83">
        <v>5.66</v>
      </c>
      <c r="DL83">
        <v>0.5</v>
      </c>
      <c r="DM83" t="s">
        <v>438</v>
      </c>
      <c r="DN83">
        <v>2</v>
      </c>
      <c r="DO83" t="b">
        <v>1</v>
      </c>
      <c r="DP83">
        <v>1765308841.849999</v>
      </c>
      <c r="DQ83">
        <v>999.2621999999999</v>
      </c>
      <c r="DR83">
        <v>999.9600333333334</v>
      </c>
      <c r="DS83">
        <v>17.44786333333333</v>
      </c>
      <c r="DT83">
        <v>17.37738</v>
      </c>
      <c r="DU83">
        <v>998.3711999999999</v>
      </c>
      <c r="DV83">
        <v>17.37086333333333</v>
      </c>
      <c r="DW83">
        <v>499.9884666666666</v>
      </c>
      <c r="DX83">
        <v>89.81797999999999</v>
      </c>
      <c r="DY83">
        <v>0.09997265000000001</v>
      </c>
      <c r="DZ83">
        <v>24.77212</v>
      </c>
      <c r="EA83">
        <v>25.00097333333333</v>
      </c>
      <c r="EB83">
        <v>999.9000000000002</v>
      </c>
      <c r="EC83">
        <v>0</v>
      </c>
      <c r="ED83">
        <v>0</v>
      </c>
      <c r="EE83">
        <v>9997.871666666666</v>
      </c>
      <c r="EF83">
        <v>0</v>
      </c>
      <c r="EG83">
        <v>9.835680000000002</v>
      </c>
      <c r="EH83">
        <v>-0.4321858666666667</v>
      </c>
      <c r="EI83">
        <v>1017.278666666667</v>
      </c>
      <c r="EJ83">
        <v>1017.644666666667</v>
      </c>
      <c r="EK83">
        <v>0.07228297666666667</v>
      </c>
      <c r="EL83">
        <v>999.9600333333334</v>
      </c>
      <c r="EM83">
        <v>17.37738</v>
      </c>
      <c r="EN83">
        <v>1.567292</v>
      </c>
      <c r="EO83">
        <v>1.560800666666667</v>
      </c>
      <c r="EP83">
        <v>13.64094</v>
      </c>
      <c r="EQ83">
        <v>13.57714666666667</v>
      </c>
      <c r="ER83">
        <v>799.9861666666667</v>
      </c>
      <c r="ES83">
        <v>0.950004766666667</v>
      </c>
      <c r="ET83">
        <v>0.04999497666666666</v>
      </c>
      <c r="EU83">
        <v>0</v>
      </c>
      <c r="EV83">
        <v>674.8367999999999</v>
      </c>
      <c r="EW83">
        <v>5.00078</v>
      </c>
      <c r="EX83">
        <v>5081.581999999999</v>
      </c>
      <c r="EY83">
        <v>6463.316333333334</v>
      </c>
      <c r="EZ83">
        <v>36.28526666666667</v>
      </c>
      <c r="FA83">
        <v>38.57476666666666</v>
      </c>
      <c r="FB83">
        <v>37.96643333333332</v>
      </c>
      <c r="FC83">
        <v>38.27679999999999</v>
      </c>
      <c r="FD83">
        <v>37.90186666666666</v>
      </c>
      <c r="FE83">
        <v>755.24</v>
      </c>
      <c r="FF83">
        <v>39.749</v>
      </c>
      <c r="FG83">
        <v>0</v>
      </c>
      <c r="FH83">
        <v>1765308848.9</v>
      </c>
      <c r="FI83">
        <v>0</v>
      </c>
      <c r="FJ83">
        <v>674.8452307692307</v>
      </c>
      <c r="FK83">
        <v>1.352410232547419</v>
      </c>
      <c r="FL83">
        <v>1.86803419352662</v>
      </c>
      <c r="FM83">
        <v>5081.559999999999</v>
      </c>
      <c r="FN83">
        <v>15</v>
      </c>
      <c r="FO83">
        <v>1765308879.1</v>
      </c>
      <c r="FP83" t="s">
        <v>641</v>
      </c>
      <c r="FQ83">
        <v>1765308879.1</v>
      </c>
      <c r="FR83">
        <v>1765308865.6</v>
      </c>
      <c r="FS83">
        <v>66</v>
      </c>
      <c r="FT83">
        <v>-0.268</v>
      </c>
      <c r="FU83">
        <v>-0</v>
      </c>
      <c r="FV83">
        <v>0.891</v>
      </c>
      <c r="FW83">
        <v>0.077</v>
      </c>
      <c r="FX83">
        <v>1000</v>
      </c>
      <c r="FY83">
        <v>17</v>
      </c>
      <c r="FZ83">
        <v>0.57</v>
      </c>
      <c r="GA83">
        <v>0.14</v>
      </c>
      <c r="GB83">
        <v>-0.4631511219512195</v>
      </c>
      <c r="GC83">
        <v>0.4914180209059221</v>
      </c>
      <c r="GD83">
        <v>0.09860829590643219</v>
      </c>
      <c r="GE83">
        <v>1</v>
      </c>
      <c r="GF83">
        <v>674.8309117647059</v>
      </c>
      <c r="GG83">
        <v>0.5783498771937804</v>
      </c>
      <c r="GH83">
        <v>0.2674515203619883</v>
      </c>
      <c r="GI83">
        <v>1</v>
      </c>
      <c r="GJ83">
        <v>0.07245881951219511</v>
      </c>
      <c r="GK83">
        <v>-0.002960500348432011</v>
      </c>
      <c r="GL83">
        <v>0.0009148555717599635</v>
      </c>
      <c r="GM83">
        <v>1</v>
      </c>
      <c r="GN83">
        <v>3</v>
      </c>
      <c r="GO83">
        <v>3</v>
      </c>
      <c r="GP83" t="s">
        <v>440</v>
      </c>
      <c r="GQ83">
        <v>3.10826</v>
      </c>
      <c r="GR83">
        <v>2.79161</v>
      </c>
      <c r="GS83">
        <v>0.159907</v>
      </c>
      <c r="GT83">
        <v>0.160149</v>
      </c>
      <c r="GU83">
        <v>0.0861639</v>
      </c>
      <c r="GV83">
        <v>0.0867058</v>
      </c>
      <c r="GW83">
        <v>22075.1</v>
      </c>
      <c r="GX83">
        <v>20030.4</v>
      </c>
      <c r="GY83">
        <v>26832.5</v>
      </c>
      <c r="GZ83">
        <v>24053.7</v>
      </c>
      <c r="HA83">
        <v>39196.2</v>
      </c>
      <c r="HB83">
        <v>32425.8</v>
      </c>
      <c r="HC83">
        <v>46831.3</v>
      </c>
      <c r="HD83">
        <v>38034.3</v>
      </c>
      <c r="HE83">
        <v>1.89268</v>
      </c>
      <c r="HF83">
        <v>1.86103</v>
      </c>
      <c r="HG83">
        <v>0.0846758</v>
      </c>
      <c r="HH83">
        <v>0</v>
      </c>
      <c r="HI83">
        <v>23.6048</v>
      </c>
      <c r="HJ83">
        <v>999.9</v>
      </c>
      <c r="HK83">
        <v>39.1</v>
      </c>
      <c r="HL83">
        <v>31.8</v>
      </c>
      <c r="HM83">
        <v>20.5541</v>
      </c>
      <c r="HN83">
        <v>60.9974</v>
      </c>
      <c r="HO83">
        <v>28.2372</v>
      </c>
      <c r="HP83">
        <v>1</v>
      </c>
      <c r="HQ83">
        <v>-0.0298476</v>
      </c>
      <c r="HR83">
        <v>0.558755</v>
      </c>
      <c r="HS83">
        <v>20.2942</v>
      </c>
      <c r="HT83">
        <v>5.22313</v>
      </c>
      <c r="HU83">
        <v>11.9761</v>
      </c>
      <c r="HV83">
        <v>4.96565</v>
      </c>
      <c r="HW83">
        <v>3.276</v>
      </c>
      <c r="HX83">
        <v>9999</v>
      </c>
      <c r="HY83">
        <v>9999</v>
      </c>
      <c r="HZ83">
        <v>9999</v>
      </c>
      <c r="IA83">
        <v>999.9</v>
      </c>
      <c r="IB83">
        <v>1.86387</v>
      </c>
      <c r="IC83">
        <v>1.86005</v>
      </c>
      <c r="ID83">
        <v>1.85837</v>
      </c>
      <c r="IE83">
        <v>1.85968</v>
      </c>
      <c r="IF83">
        <v>1.85985</v>
      </c>
      <c r="IG83">
        <v>1.85837</v>
      </c>
      <c r="IH83">
        <v>1.85738</v>
      </c>
      <c r="II83">
        <v>1.85239</v>
      </c>
      <c r="IJ83">
        <v>0</v>
      </c>
      <c r="IK83">
        <v>0</v>
      </c>
      <c r="IL83">
        <v>0</v>
      </c>
      <c r="IM83">
        <v>0</v>
      </c>
      <c r="IN83" t="s">
        <v>441</v>
      </c>
      <c r="IO83" t="s">
        <v>442</v>
      </c>
      <c r="IP83" t="s">
        <v>443</v>
      </c>
      <c r="IQ83" t="s">
        <v>443</v>
      </c>
      <c r="IR83" t="s">
        <v>443</v>
      </c>
      <c r="IS83" t="s">
        <v>443</v>
      </c>
      <c r="IT83">
        <v>0</v>
      </c>
      <c r="IU83">
        <v>100</v>
      </c>
      <c r="IV83">
        <v>100</v>
      </c>
      <c r="IW83">
        <v>0.891</v>
      </c>
      <c r="IX83">
        <v>0.077</v>
      </c>
      <c r="IY83">
        <v>-0.08038570247845223</v>
      </c>
      <c r="IZ83">
        <v>0.0001583678016168383</v>
      </c>
      <c r="JA83">
        <v>1.526473431467286E-06</v>
      </c>
      <c r="JB83">
        <v>-4.446382740029455E-10</v>
      </c>
      <c r="JC83">
        <v>-0.0390633792703745</v>
      </c>
      <c r="JD83">
        <v>-0.009941991807247691</v>
      </c>
      <c r="JE83">
        <v>0.001256427533001032</v>
      </c>
      <c r="JF83">
        <v>-1.689728105039484E-05</v>
      </c>
      <c r="JG83">
        <v>2</v>
      </c>
      <c r="JH83">
        <v>1984</v>
      </c>
      <c r="JI83">
        <v>0</v>
      </c>
      <c r="JJ83">
        <v>25</v>
      </c>
      <c r="JK83">
        <v>1.3</v>
      </c>
      <c r="JL83">
        <v>1.3</v>
      </c>
      <c r="JM83">
        <v>2.28882</v>
      </c>
      <c r="JN83">
        <v>2.62817</v>
      </c>
      <c r="JO83">
        <v>1.49658</v>
      </c>
      <c r="JP83">
        <v>2.34863</v>
      </c>
      <c r="JQ83">
        <v>1.54907</v>
      </c>
      <c r="JR83">
        <v>2.38281</v>
      </c>
      <c r="JS83">
        <v>35.3596</v>
      </c>
      <c r="JT83">
        <v>24.14</v>
      </c>
      <c r="JU83">
        <v>18</v>
      </c>
      <c r="JV83">
        <v>476.712</v>
      </c>
      <c r="JW83">
        <v>485.062</v>
      </c>
      <c r="JX83">
        <v>23.3393</v>
      </c>
      <c r="JY83">
        <v>26.8304</v>
      </c>
      <c r="JZ83">
        <v>29.9999</v>
      </c>
      <c r="KA83">
        <v>27.1224</v>
      </c>
      <c r="KB83">
        <v>27.1352</v>
      </c>
      <c r="KC83">
        <v>45.9381</v>
      </c>
      <c r="KD83">
        <v>17.5714</v>
      </c>
      <c r="KE83">
        <v>33.0539</v>
      </c>
      <c r="KF83">
        <v>23.3426</v>
      </c>
      <c r="KG83">
        <v>1000</v>
      </c>
      <c r="KH83">
        <v>17.3614</v>
      </c>
      <c r="KI83">
        <v>102.412</v>
      </c>
      <c r="KJ83">
        <v>91.7443</v>
      </c>
    </row>
    <row r="84" spans="1:296">
      <c r="A84">
        <v>66</v>
      </c>
      <c r="B84">
        <v>1765308953.6</v>
      </c>
      <c r="C84">
        <v>11520.59999990463</v>
      </c>
      <c r="D84" t="s">
        <v>642</v>
      </c>
      <c r="E84" t="s">
        <v>643</v>
      </c>
      <c r="F84">
        <v>5</v>
      </c>
      <c r="G84" t="s">
        <v>610</v>
      </c>
      <c r="H84">
        <v>1765308945.849999</v>
      </c>
      <c r="I84">
        <f>(J84)/1000</f>
        <v>0</v>
      </c>
      <c r="J84">
        <f>IF(DO84, AM84, AG84)</f>
        <v>0</v>
      </c>
      <c r="K84">
        <f>IF(DO84, AH84, AF84)</f>
        <v>0</v>
      </c>
      <c r="L84">
        <f>DQ84 - IF(AT84&gt;1, K84*DK84*100.0/(AV84), 0)</f>
        <v>0</v>
      </c>
      <c r="M84">
        <f>((S84-I84/2)*L84-K84)/(S84+I84/2)</f>
        <v>0</v>
      </c>
      <c r="N84">
        <f>M84*(DX84+DY84)/1000.0</f>
        <v>0</v>
      </c>
      <c r="O84">
        <f>(DQ84 - IF(AT84&gt;1, K84*DK84*100.0/(AV84), 0))*(DX84+DY84)/1000.0</f>
        <v>0</v>
      </c>
      <c r="P84">
        <f>2.0/((1/R84-1/Q84)+SIGN(R84)*SQRT((1/R84-1/Q84)*(1/R84-1/Q84) + 4*DL84/((DL84+1)*(DL84+1))*(2*1/R84*1/Q84-1/Q84*1/Q84)))</f>
        <v>0</v>
      </c>
      <c r="Q84">
        <f>IF(LEFT(DM84,1)&lt;&gt;"0",IF(LEFT(DM84,1)="1",3.0,DN84),$D$5+$E$5*(EE84*DX84/($K$5*1000))+$F$5*(EE84*DX84/($K$5*1000))*MAX(MIN(DK84,$J$5),$I$5)*MAX(MIN(DK84,$J$5),$I$5)+$G$5*MAX(MIN(DK84,$J$5),$I$5)*(EE84*DX84/($K$5*1000))+$H$5*(EE84*DX84/($K$5*1000))*(EE84*DX84/($K$5*1000)))</f>
        <v>0</v>
      </c>
      <c r="R84">
        <f>I84*(1000-(1000*0.61365*exp(17.502*V84/(240.97+V84))/(DX84+DY84)+DS84)/2)/(1000*0.61365*exp(17.502*V84/(240.97+V84))/(DX84+DY84)-DS84)</f>
        <v>0</v>
      </c>
      <c r="S84">
        <f>1/((DL84+1)/(P84/1.6)+1/(Q84/1.37)) + DL84/((DL84+1)/(P84/1.6) + DL84/(Q84/1.37))</f>
        <v>0</v>
      </c>
      <c r="T84">
        <f>(DG84*DJ84)</f>
        <v>0</v>
      </c>
      <c r="U84">
        <f>(DZ84+(T84+2*0.95*5.67E-8*(((DZ84+$B$9)+273)^4-(DZ84+273)^4)-44100*I84)/(1.84*29.3*Q84+8*0.95*5.67E-8*(DZ84+273)^3))</f>
        <v>0</v>
      </c>
      <c r="V84">
        <f>($C$9*EA84+$D$9*EB84+$E$9*U84)</f>
        <v>0</v>
      </c>
      <c r="W84">
        <f>0.61365*exp(17.502*V84/(240.97+V84))</f>
        <v>0</v>
      </c>
      <c r="X84">
        <f>(Y84/Z84*100)</f>
        <v>0</v>
      </c>
      <c r="Y84">
        <f>DS84*(DX84+DY84)/1000</f>
        <v>0</v>
      </c>
      <c r="Z84">
        <f>0.61365*exp(17.502*DZ84/(240.97+DZ84))</f>
        <v>0</v>
      </c>
      <c r="AA84">
        <f>(W84-DS84*(DX84+DY84)/1000)</f>
        <v>0</v>
      </c>
      <c r="AB84">
        <f>(-I84*44100)</f>
        <v>0</v>
      </c>
      <c r="AC84">
        <f>2*29.3*Q84*0.92*(DZ84-V84)</f>
        <v>0</v>
      </c>
      <c r="AD84">
        <f>2*0.95*5.67E-8*(((DZ84+$B$9)+273)^4-(V84+273)^4)</f>
        <v>0</v>
      </c>
      <c r="AE84">
        <f>T84+AD84+AB84+AC84</f>
        <v>0</v>
      </c>
      <c r="AF84">
        <f>DW84*AT84*(DR84-DQ84*(1000-AT84*DT84)/(1000-AT84*DS84))/(100*DK84)</f>
        <v>0</v>
      </c>
      <c r="AG84">
        <f>1000*DW84*AT84*(DS84-DT84)/(100*DK84*(1000-AT84*DS84))</f>
        <v>0</v>
      </c>
      <c r="AH84">
        <f>(AI84 - AJ84 - DX84*1E3/(8.314*(DZ84+273.15)) * AL84/DW84 * AK84) * DW84/(100*DK84) * (1000 - DT84)/1000</f>
        <v>0</v>
      </c>
      <c r="AI84">
        <v>1221.165488190453</v>
      </c>
      <c r="AJ84">
        <v>1220.368606060605</v>
      </c>
      <c r="AK84">
        <v>-0.003961169688404112</v>
      </c>
      <c r="AL84">
        <v>65.57622854416174</v>
      </c>
      <c r="AM84">
        <f>(AO84 - AN84 + DX84*1E3/(8.314*(DZ84+273.15)) * AQ84/DW84 * AP84) * DW84/(100*DK84) * 1000/(1000 - AO84)</f>
        <v>0</v>
      </c>
      <c r="AN84">
        <v>17.35367757575758</v>
      </c>
      <c r="AO84">
        <v>17.42536363636363</v>
      </c>
      <c r="AP84">
        <v>-2.199775533306723E-06</v>
      </c>
      <c r="AQ84">
        <v>105.6377620716637</v>
      </c>
      <c r="AR84">
        <v>2</v>
      </c>
      <c r="AS84">
        <v>0</v>
      </c>
      <c r="AT84">
        <f>IF(AR84*$H$15&gt;=AV84,1.0,(AV84/(AV84-AR84*$H$15)))</f>
        <v>0</v>
      </c>
      <c r="AU84">
        <f>(AT84-1)*100</f>
        <v>0</v>
      </c>
      <c r="AV84">
        <f>MAX(0,($B$15+$C$15*EE84)/(1+$D$15*EE84)*DX84/(DZ84+273)*$E$15)</f>
        <v>0</v>
      </c>
      <c r="AW84" t="s">
        <v>437</v>
      </c>
      <c r="AX84" t="s">
        <v>437</v>
      </c>
      <c r="AY84">
        <v>0</v>
      </c>
      <c r="AZ84">
        <v>0</v>
      </c>
      <c r="BA84">
        <f>1-AY84/AZ84</f>
        <v>0</v>
      </c>
      <c r="BB84">
        <v>0</v>
      </c>
      <c r="BC84" t="s">
        <v>437</v>
      </c>
      <c r="BD84" t="s">
        <v>437</v>
      </c>
      <c r="BE84">
        <v>0</v>
      </c>
      <c r="BF84">
        <v>0</v>
      </c>
      <c r="BG84">
        <f>1-BE84/BF84</f>
        <v>0</v>
      </c>
      <c r="BH84">
        <v>0.5</v>
      </c>
      <c r="BI84">
        <f>DH84</f>
        <v>0</v>
      </c>
      <c r="BJ84">
        <f>K84</f>
        <v>0</v>
      </c>
      <c r="BK84">
        <f>BG84*BH84*BI84</f>
        <v>0</v>
      </c>
      <c r="BL84">
        <f>(BJ84-BB84)/BI84</f>
        <v>0</v>
      </c>
      <c r="BM84">
        <f>(AZ84-BF84)/BF84</f>
        <v>0</v>
      </c>
      <c r="BN84">
        <f>AY84/(BA84+AY84/BF84)</f>
        <v>0</v>
      </c>
      <c r="BO84" t="s">
        <v>437</v>
      </c>
      <c r="BP84">
        <v>0</v>
      </c>
      <c r="BQ84">
        <f>IF(BP84&lt;&gt;0, BP84, BN84)</f>
        <v>0</v>
      </c>
      <c r="BR84">
        <f>1-BQ84/BF84</f>
        <v>0</v>
      </c>
      <c r="BS84">
        <f>(BF84-BE84)/(BF84-BQ84)</f>
        <v>0</v>
      </c>
      <c r="BT84">
        <f>(AZ84-BF84)/(AZ84-BQ84)</f>
        <v>0</v>
      </c>
      <c r="BU84">
        <f>(BF84-BE84)/(BF84-AY84)</f>
        <v>0</v>
      </c>
      <c r="BV84">
        <f>(AZ84-BF84)/(AZ84-AY84)</f>
        <v>0</v>
      </c>
      <c r="BW84">
        <f>(BS84*BQ84/BE84)</f>
        <v>0</v>
      </c>
      <c r="BX84">
        <f>(1-BW84)</f>
        <v>0</v>
      </c>
      <c r="DG84">
        <f>$B$13*EF84+$C$13*EG84+$F$13*ER84*(1-EU84)</f>
        <v>0</v>
      </c>
      <c r="DH84">
        <f>DG84*DI84</f>
        <v>0</v>
      </c>
      <c r="DI84">
        <f>($B$13*$D$11+$C$13*$D$11+$F$13*((FE84+EW84)/MAX(FE84+EW84+FF84, 0.1)*$I$11+FF84/MAX(FE84+EW84+FF84, 0.1)*$J$11))/($B$13+$C$13+$F$13)</f>
        <v>0</v>
      </c>
      <c r="DJ84">
        <f>($B$13*$K$11+$C$13*$K$11+$F$13*((FE84+EW84)/MAX(FE84+EW84+FF84, 0.1)*$P$11+FF84/MAX(FE84+EW84+FF84, 0.1)*$Q$11))/($B$13+$C$13+$F$13)</f>
        <v>0</v>
      </c>
      <c r="DK84">
        <v>5.66</v>
      </c>
      <c r="DL84">
        <v>0.5</v>
      </c>
      <c r="DM84" t="s">
        <v>438</v>
      </c>
      <c r="DN84">
        <v>2</v>
      </c>
      <c r="DO84" t="b">
        <v>1</v>
      </c>
      <c r="DP84">
        <v>1765308945.849999</v>
      </c>
      <c r="DQ84">
        <v>1199.009333333333</v>
      </c>
      <c r="DR84">
        <v>1199.992666666667</v>
      </c>
      <c r="DS84">
        <v>17.42925666666666</v>
      </c>
      <c r="DT84">
        <v>17.3565</v>
      </c>
      <c r="DU84">
        <v>1197.811333333333</v>
      </c>
      <c r="DV84">
        <v>17.35125666666666</v>
      </c>
      <c r="DW84">
        <v>500.0105333333333</v>
      </c>
      <c r="DX84">
        <v>89.82052666666668</v>
      </c>
      <c r="DY84">
        <v>0.09998498333333333</v>
      </c>
      <c r="DZ84">
        <v>24.74708666666666</v>
      </c>
      <c r="EA84">
        <v>24.98833666666666</v>
      </c>
      <c r="EB84">
        <v>999.9000000000002</v>
      </c>
      <c r="EC84">
        <v>0</v>
      </c>
      <c r="ED84">
        <v>0</v>
      </c>
      <c r="EE84">
        <v>10004.40166666667</v>
      </c>
      <c r="EF84">
        <v>0</v>
      </c>
      <c r="EG84">
        <v>9.835680000000002</v>
      </c>
      <c r="EH84">
        <v>-0.9130328333333332</v>
      </c>
      <c r="EI84">
        <v>1220.349</v>
      </c>
      <c r="EJ84">
        <v>1221.188</v>
      </c>
      <c r="EK84">
        <v>0.07317726666666666</v>
      </c>
      <c r="EL84">
        <v>1199.992666666667</v>
      </c>
      <c r="EM84">
        <v>17.3565</v>
      </c>
      <c r="EN84">
        <v>1.565542666666666</v>
      </c>
      <c r="EO84">
        <v>1.558970333333333</v>
      </c>
      <c r="EP84">
        <v>13.62376333333333</v>
      </c>
      <c r="EQ84">
        <v>13.55912</v>
      </c>
      <c r="ER84">
        <v>799.9986666666668</v>
      </c>
      <c r="ES84">
        <v>0.9499980999999998</v>
      </c>
      <c r="ET84">
        <v>0.05000185666666666</v>
      </c>
      <c r="EU84">
        <v>0</v>
      </c>
      <c r="EV84">
        <v>675.4986666666667</v>
      </c>
      <c r="EW84">
        <v>5.00078</v>
      </c>
      <c r="EX84">
        <v>5084.010333333335</v>
      </c>
      <c r="EY84">
        <v>6463.404</v>
      </c>
      <c r="EZ84">
        <v>36.01436666666667</v>
      </c>
      <c r="FA84">
        <v>38.81219999999999</v>
      </c>
      <c r="FB84">
        <v>37.779</v>
      </c>
      <c r="FC84">
        <v>38.4768</v>
      </c>
      <c r="FD84">
        <v>38.09759999999999</v>
      </c>
      <c r="FE84">
        <v>755.2466666666667</v>
      </c>
      <c r="FF84">
        <v>39.75</v>
      </c>
      <c r="FG84">
        <v>0</v>
      </c>
      <c r="FH84">
        <v>1765308952.7</v>
      </c>
      <c r="FI84">
        <v>0</v>
      </c>
      <c r="FJ84">
        <v>675.48796</v>
      </c>
      <c r="FK84">
        <v>0.1746923270886356</v>
      </c>
      <c r="FL84">
        <v>8.048461549719445</v>
      </c>
      <c r="FM84">
        <v>5084.117999999999</v>
      </c>
      <c r="FN84">
        <v>15</v>
      </c>
      <c r="FO84">
        <v>1765308975.6</v>
      </c>
      <c r="FP84" t="s">
        <v>644</v>
      </c>
      <c r="FQ84">
        <v>1765308975.6</v>
      </c>
      <c r="FR84">
        <v>1765308973.1</v>
      </c>
      <c r="FS84">
        <v>67</v>
      </c>
      <c r="FT84">
        <v>-0.07099999999999999</v>
      </c>
      <c r="FU84">
        <v>0.001</v>
      </c>
      <c r="FV84">
        <v>1.198</v>
      </c>
      <c r="FW84">
        <v>0.078</v>
      </c>
      <c r="FX84">
        <v>1200</v>
      </c>
      <c r="FY84">
        <v>17</v>
      </c>
      <c r="FZ84">
        <v>0.35</v>
      </c>
      <c r="GA84">
        <v>0.21</v>
      </c>
      <c r="GB84">
        <v>-0.9344720487804877</v>
      </c>
      <c r="GC84">
        <v>0.4972848292682928</v>
      </c>
      <c r="GD84">
        <v>0.07808150228711185</v>
      </c>
      <c r="GE84">
        <v>1</v>
      </c>
      <c r="GF84">
        <v>675.4920882352942</v>
      </c>
      <c r="GG84">
        <v>-0.2933384236948319</v>
      </c>
      <c r="GH84">
        <v>0.2086544240727208</v>
      </c>
      <c r="GI84">
        <v>1</v>
      </c>
      <c r="GJ84">
        <v>0.07329763414634147</v>
      </c>
      <c r="GK84">
        <v>-0.002369583972125424</v>
      </c>
      <c r="GL84">
        <v>0.000680898358379416</v>
      </c>
      <c r="GM84">
        <v>1</v>
      </c>
      <c r="GN84">
        <v>3</v>
      </c>
      <c r="GO84">
        <v>3</v>
      </c>
      <c r="GP84" t="s">
        <v>440</v>
      </c>
      <c r="GQ84">
        <v>3.10831</v>
      </c>
      <c r="GR84">
        <v>2.79187</v>
      </c>
      <c r="GS84">
        <v>0.179304</v>
      </c>
      <c r="GT84">
        <v>0.179611</v>
      </c>
      <c r="GU84">
        <v>0.0860944</v>
      </c>
      <c r="GV84">
        <v>0.0866353</v>
      </c>
      <c r="GW84">
        <v>21566.1</v>
      </c>
      <c r="GX84">
        <v>19566.6</v>
      </c>
      <c r="GY84">
        <v>26832.9</v>
      </c>
      <c r="GZ84">
        <v>24053.8</v>
      </c>
      <c r="HA84">
        <v>39202.4</v>
      </c>
      <c r="HB84">
        <v>32430.1</v>
      </c>
      <c r="HC84">
        <v>46832.3</v>
      </c>
      <c r="HD84">
        <v>38034.1</v>
      </c>
      <c r="HE84">
        <v>1.89305</v>
      </c>
      <c r="HF84">
        <v>1.86197</v>
      </c>
      <c r="HG84">
        <v>0.0837073</v>
      </c>
      <c r="HH84">
        <v>0</v>
      </c>
      <c r="HI84">
        <v>23.5999</v>
      </c>
      <c r="HJ84">
        <v>999.9</v>
      </c>
      <c r="HK84">
        <v>39.2</v>
      </c>
      <c r="HL84">
        <v>31.8</v>
      </c>
      <c r="HM84">
        <v>20.6046</v>
      </c>
      <c r="HN84">
        <v>60.7975</v>
      </c>
      <c r="HO84">
        <v>28.1971</v>
      </c>
      <c r="HP84">
        <v>1</v>
      </c>
      <c r="HQ84">
        <v>-0.0310442</v>
      </c>
      <c r="HR84">
        <v>0.391876</v>
      </c>
      <c r="HS84">
        <v>20.2965</v>
      </c>
      <c r="HT84">
        <v>5.22328</v>
      </c>
      <c r="HU84">
        <v>11.9764</v>
      </c>
      <c r="HV84">
        <v>4.96575</v>
      </c>
      <c r="HW84">
        <v>3.27593</v>
      </c>
      <c r="HX84">
        <v>9999</v>
      </c>
      <c r="HY84">
        <v>9999</v>
      </c>
      <c r="HZ84">
        <v>9999</v>
      </c>
      <c r="IA84">
        <v>999.9</v>
      </c>
      <c r="IB84">
        <v>1.86389</v>
      </c>
      <c r="IC84">
        <v>1.86005</v>
      </c>
      <c r="ID84">
        <v>1.85837</v>
      </c>
      <c r="IE84">
        <v>1.85969</v>
      </c>
      <c r="IF84">
        <v>1.85989</v>
      </c>
      <c r="IG84">
        <v>1.85837</v>
      </c>
      <c r="IH84">
        <v>1.85743</v>
      </c>
      <c r="II84">
        <v>1.85237</v>
      </c>
      <c r="IJ84">
        <v>0</v>
      </c>
      <c r="IK84">
        <v>0</v>
      </c>
      <c r="IL84">
        <v>0</v>
      </c>
      <c r="IM84">
        <v>0</v>
      </c>
      <c r="IN84" t="s">
        <v>441</v>
      </c>
      <c r="IO84" t="s">
        <v>442</v>
      </c>
      <c r="IP84" t="s">
        <v>443</v>
      </c>
      <c r="IQ84" t="s">
        <v>443</v>
      </c>
      <c r="IR84" t="s">
        <v>443</v>
      </c>
      <c r="IS84" t="s">
        <v>443</v>
      </c>
      <c r="IT84">
        <v>0</v>
      </c>
      <c r="IU84">
        <v>100</v>
      </c>
      <c r="IV84">
        <v>100</v>
      </c>
      <c r="IW84">
        <v>1.198</v>
      </c>
      <c r="IX84">
        <v>0.078</v>
      </c>
      <c r="IY84">
        <v>-0.3480396213663017</v>
      </c>
      <c r="IZ84">
        <v>0.0001583678016168383</v>
      </c>
      <c r="JA84">
        <v>1.526473431467286E-06</v>
      </c>
      <c r="JB84">
        <v>-4.446382740029455E-10</v>
      </c>
      <c r="JC84">
        <v>-0.03907291490865145</v>
      </c>
      <c r="JD84">
        <v>-0.009941991807247691</v>
      </c>
      <c r="JE84">
        <v>0.001256427533001032</v>
      </c>
      <c r="JF84">
        <v>-1.689728105039484E-05</v>
      </c>
      <c r="JG84">
        <v>2</v>
      </c>
      <c r="JH84">
        <v>1984</v>
      </c>
      <c r="JI84">
        <v>0</v>
      </c>
      <c r="JJ84">
        <v>25</v>
      </c>
      <c r="JK84">
        <v>1.2</v>
      </c>
      <c r="JL84">
        <v>1.5</v>
      </c>
      <c r="JM84">
        <v>2.65015</v>
      </c>
      <c r="JN84">
        <v>2.61841</v>
      </c>
      <c r="JO84">
        <v>1.49658</v>
      </c>
      <c r="JP84">
        <v>2.34863</v>
      </c>
      <c r="JQ84">
        <v>1.54907</v>
      </c>
      <c r="JR84">
        <v>2.38525</v>
      </c>
      <c r="JS84">
        <v>35.3133</v>
      </c>
      <c r="JT84">
        <v>24.14</v>
      </c>
      <c r="JU84">
        <v>18</v>
      </c>
      <c r="JV84">
        <v>476.75</v>
      </c>
      <c r="JW84">
        <v>485.466</v>
      </c>
      <c r="JX84">
        <v>23.5019</v>
      </c>
      <c r="JY84">
        <v>26.8134</v>
      </c>
      <c r="JZ84">
        <v>30</v>
      </c>
      <c r="KA84">
        <v>27.0996</v>
      </c>
      <c r="KB84">
        <v>27.1107</v>
      </c>
      <c r="KC84">
        <v>53.1776</v>
      </c>
      <c r="KD84">
        <v>17.5714</v>
      </c>
      <c r="KE84">
        <v>33.0539</v>
      </c>
      <c r="KF84">
        <v>23.5078</v>
      </c>
      <c r="KG84">
        <v>1200</v>
      </c>
      <c r="KH84">
        <v>17.3631</v>
      </c>
      <c r="KI84">
        <v>102.414</v>
      </c>
      <c r="KJ84">
        <v>91.7441</v>
      </c>
    </row>
    <row r="85" spans="1:296">
      <c r="A85">
        <v>67</v>
      </c>
      <c r="B85">
        <v>1765309051.6</v>
      </c>
      <c r="C85">
        <v>11618.59999990463</v>
      </c>
      <c r="D85" t="s">
        <v>645</v>
      </c>
      <c r="E85" t="s">
        <v>646</v>
      </c>
      <c r="F85">
        <v>5</v>
      </c>
      <c r="G85" t="s">
        <v>610</v>
      </c>
      <c r="H85">
        <v>1765309043.599999</v>
      </c>
      <c r="I85">
        <f>(J85)/1000</f>
        <v>0</v>
      </c>
      <c r="J85">
        <f>IF(DO85, AM85, AG85)</f>
        <v>0</v>
      </c>
      <c r="K85">
        <f>IF(DO85, AH85, AF85)</f>
        <v>0</v>
      </c>
      <c r="L85">
        <f>DQ85 - IF(AT85&gt;1, K85*DK85*100.0/(AV85), 0)</f>
        <v>0</v>
      </c>
      <c r="M85">
        <f>((S85-I85/2)*L85-K85)/(S85+I85/2)</f>
        <v>0</v>
      </c>
      <c r="N85">
        <f>M85*(DX85+DY85)/1000.0</f>
        <v>0</v>
      </c>
      <c r="O85">
        <f>(DQ85 - IF(AT85&gt;1, K85*DK85*100.0/(AV85), 0))*(DX85+DY85)/1000.0</f>
        <v>0</v>
      </c>
      <c r="P85">
        <f>2.0/((1/R85-1/Q85)+SIGN(R85)*SQRT((1/R85-1/Q85)*(1/R85-1/Q85) + 4*DL85/((DL85+1)*(DL85+1))*(2*1/R85*1/Q85-1/Q85*1/Q85)))</f>
        <v>0</v>
      </c>
      <c r="Q85">
        <f>IF(LEFT(DM85,1)&lt;&gt;"0",IF(LEFT(DM85,1)="1",3.0,DN85),$D$5+$E$5*(EE85*DX85/($K$5*1000))+$F$5*(EE85*DX85/($K$5*1000))*MAX(MIN(DK85,$J$5),$I$5)*MAX(MIN(DK85,$J$5),$I$5)+$G$5*MAX(MIN(DK85,$J$5),$I$5)*(EE85*DX85/($K$5*1000))+$H$5*(EE85*DX85/($K$5*1000))*(EE85*DX85/($K$5*1000)))</f>
        <v>0</v>
      </c>
      <c r="R85">
        <f>I85*(1000-(1000*0.61365*exp(17.502*V85/(240.97+V85))/(DX85+DY85)+DS85)/2)/(1000*0.61365*exp(17.502*V85/(240.97+V85))/(DX85+DY85)-DS85)</f>
        <v>0</v>
      </c>
      <c r="S85">
        <f>1/((DL85+1)/(P85/1.6)+1/(Q85/1.37)) + DL85/((DL85+1)/(P85/1.6) + DL85/(Q85/1.37))</f>
        <v>0</v>
      </c>
      <c r="T85">
        <f>(DG85*DJ85)</f>
        <v>0</v>
      </c>
      <c r="U85">
        <f>(DZ85+(T85+2*0.95*5.67E-8*(((DZ85+$B$9)+273)^4-(DZ85+273)^4)-44100*I85)/(1.84*29.3*Q85+8*0.95*5.67E-8*(DZ85+273)^3))</f>
        <v>0</v>
      </c>
      <c r="V85">
        <f>($C$9*EA85+$D$9*EB85+$E$9*U85)</f>
        <v>0</v>
      </c>
      <c r="W85">
        <f>0.61365*exp(17.502*V85/(240.97+V85))</f>
        <v>0</v>
      </c>
      <c r="X85">
        <f>(Y85/Z85*100)</f>
        <v>0</v>
      </c>
      <c r="Y85">
        <f>DS85*(DX85+DY85)/1000</f>
        <v>0</v>
      </c>
      <c r="Z85">
        <f>0.61365*exp(17.502*DZ85/(240.97+DZ85))</f>
        <v>0</v>
      </c>
      <c r="AA85">
        <f>(W85-DS85*(DX85+DY85)/1000)</f>
        <v>0</v>
      </c>
      <c r="AB85">
        <f>(-I85*44100)</f>
        <v>0</v>
      </c>
      <c r="AC85">
        <f>2*29.3*Q85*0.92*(DZ85-V85)</f>
        <v>0</v>
      </c>
      <c r="AD85">
        <f>2*0.95*5.67E-8*(((DZ85+$B$9)+273)^4-(V85+273)^4)</f>
        <v>0</v>
      </c>
      <c r="AE85">
        <f>T85+AD85+AB85+AC85</f>
        <v>0</v>
      </c>
      <c r="AF85">
        <f>DW85*AT85*(DR85-DQ85*(1000-AT85*DT85)/(1000-AT85*DS85))/(100*DK85)</f>
        <v>0</v>
      </c>
      <c r="AG85">
        <f>1000*DW85*AT85*(DS85-DT85)/(100*DK85*(1000-AT85*DS85))</f>
        <v>0</v>
      </c>
      <c r="AH85">
        <f>(AI85 - AJ85 - DX85*1E3/(8.314*(DZ85+273.15)) * AL85/DW85 * AK85) * DW85/(100*DK85) * (1000 - DT85)/1000</f>
        <v>0</v>
      </c>
      <c r="AI85">
        <v>1526.468638173808</v>
      </c>
      <c r="AJ85">
        <v>1525.072424242423</v>
      </c>
      <c r="AK85">
        <v>-0.002822961287242983</v>
      </c>
      <c r="AL85">
        <v>65.60825806778638</v>
      </c>
      <c r="AM85">
        <f>(AO85 - AN85 + DX85*1E3/(8.314*(DZ85+273.15)) * AQ85/DW85 * AP85) * DW85/(100*DK85) * 1000/(1000 - AO85)</f>
        <v>0</v>
      </c>
      <c r="AN85">
        <v>17.30740424242424</v>
      </c>
      <c r="AO85">
        <v>17.38968242424242</v>
      </c>
      <c r="AP85">
        <v>-3.726892990065272E-05</v>
      </c>
      <c r="AQ85">
        <v>105.8518777363186</v>
      </c>
      <c r="AR85">
        <v>2</v>
      </c>
      <c r="AS85">
        <v>0</v>
      </c>
      <c r="AT85">
        <f>IF(AR85*$H$15&gt;=AV85,1.0,(AV85/(AV85-AR85*$H$15)))</f>
        <v>0</v>
      </c>
      <c r="AU85">
        <f>(AT85-1)*100</f>
        <v>0</v>
      </c>
      <c r="AV85">
        <f>MAX(0,($B$15+$C$15*EE85)/(1+$D$15*EE85)*DX85/(DZ85+273)*$E$15)</f>
        <v>0</v>
      </c>
      <c r="AW85" t="s">
        <v>437</v>
      </c>
      <c r="AX85" t="s">
        <v>437</v>
      </c>
      <c r="AY85">
        <v>0</v>
      </c>
      <c r="AZ85">
        <v>0</v>
      </c>
      <c r="BA85">
        <f>1-AY85/AZ85</f>
        <v>0</v>
      </c>
      <c r="BB85">
        <v>0</v>
      </c>
      <c r="BC85" t="s">
        <v>437</v>
      </c>
      <c r="BD85" t="s">
        <v>437</v>
      </c>
      <c r="BE85">
        <v>0</v>
      </c>
      <c r="BF85">
        <v>0</v>
      </c>
      <c r="BG85">
        <f>1-BE85/BF85</f>
        <v>0</v>
      </c>
      <c r="BH85">
        <v>0.5</v>
      </c>
      <c r="BI85">
        <f>DH85</f>
        <v>0</v>
      </c>
      <c r="BJ85">
        <f>K85</f>
        <v>0</v>
      </c>
      <c r="BK85">
        <f>BG85*BH85*BI85</f>
        <v>0</v>
      </c>
      <c r="BL85">
        <f>(BJ85-BB85)/BI85</f>
        <v>0</v>
      </c>
      <c r="BM85">
        <f>(AZ85-BF85)/BF85</f>
        <v>0</v>
      </c>
      <c r="BN85">
        <f>AY85/(BA85+AY85/BF85)</f>
        <v>0</v>
      </c>
      <c r="BO85" t="s">
        <v>437</v>
      </c>
      <c r="BP85">
        <v>0</v>
      </c>
      <c r="BQ85">
        <f>IF(BP85&lt;&gt;0, BP85, BN85)</f>
        <v>0</v>
      </c>
      <c r="BR85">
        <f>1-BQ85/BF85</f>
        <v>0</v>
      </c>
      <c r="BS85">
        <f>(BF85-BE85)/(BF85-BQ85)</f>
        <v>0</v>
      </c>
      <c r="BT85">
        <f>(AZ85-BF85)/(AZ85-BQ85)</f>
        <v>0</v>
      </c>
      <c r="BU85">
        <f>(BF85-BE85)/(BF85-AY85)</f>
        <v>0</v>
      </c>
      <c r="BV85">
        <f>(AZ85-BF85)/(AZ85-AY85)</f>
        <v>0</v>
      </c>
      <c r="BW85">
        <f>(BS85*BQ85/BE85)</f>
        <v>0</v>
      </c>
      <c r="BX85">
        <f>(1-BW85)</f>
        <v>0</v>
      </c>
      <c r="DG85">
        <f>$B$13*EF85+$C$13*EG85+$F$13*ER85*(1-EU85)</f>
        <v>0</v>
      </c>
      <c r="DH85">
        <f>DG85*DI85</f>
        <v>0</v>
      </c>
      <c r="DI85">
        <f>($B$13*$D$11+$C$13*$D$11+$F$13*((FE85+EW85)/MAX(FE85+EW85+FF85, 0.1)*$I$11+FF85/MAX(FE85+EW85+FF85, 0.1)*$J$11))/($B$13+$C$13+$F$13)</f>
        <v>0</v>
      </c>
      <c r="DJ85">
        <f>($B$13*$K$11+$C$13*$K$11+$F$13*((FE85+EW85)/MAX(FE85+EW85+FF85, 0.1)*$P$11+FF85/MAX(FE85+EW85+FF85, 0.1)*$Q$11))/($B$13+$C$13+$F$13)</f>
        <v>0</v>
      </c>
      <c r="DK85">
        <v>5.66</v>
      </c>
      <c r="DL85">
        <v>0.5</v>
      </c>
      <c r="DM85" t="s">
        <v>438</v>
      </c>
      <c r="DN85">
        <v>2</v>
      </c>
      <c r="DO85" t="b">
        <v>1</v>
      </c>
      <c r="DP85">
        <v>1765309043.599999</v>
      </c>
      <c r="DQ85">
        <v>1498.840806451613</v>
      </c>
      <c r="DR85">
        <v>1500.077096774193</v>
      </c>
      <c r="DS85">
        <v>17.39126451612904</v>
      </c>
      <c r="DT85">
        <v>17.31036129032258</v>
      </c>
      <c r="DU85">
        <v>1496.825806451613</v>
      </c>
      <c r="DV85">
        <v>17.31626451612904</v>
      </c>
      <c r="DW85">
        <v>500.0034516129031</v>
      </c>
      <c r="DX85">
        <v>89.81768064516129</v>
      </c>
      <c r="DY85">
        <v>0.1000175064516129</v>
      </c>
      <c r="DZ85">
        <v>24.77432903225807</v>
      </c>
      <c r="EA85">
        <v>25.00211612903226</v>
      </c>
      <c r="EB85">
        <v>999.9000000000003</v>
      </c>
      <c r="EC85">
        <v>0</v>
      </c>
      <c r="ED85">
        <v>0</v>
      </c>
      <c r="EE85">
        <v>9999.602258064515</v>
      </c>
      <c r="EF85">
        <v>0</v>
      </c>
      <c r="EG85">
        <v>9.831763225806455</v>
      </c>
      <c r="EH85">
        <v>-1.503197419354839</v>
      </c>
      <c r="EI85">
        <v>1525.103225806451</v>
      </c>
      <c r="EJ85">
        <v>1526.502580645162</v>
      </c>
      <c r="EK85">
        <v>0.08474324516129032</v>
      </c>
      <c r="EL85">
        <v>1500.077096774193</v>
      </c>
      <c r="EM85">
        <v>17.31036129032258</v>
      </c>
      <c r="EN85">
        <v>1.562388387096775</v>
      </c>
      <c r="EO85">
        <v>1.554776451612903</v>
      </c>
      <c r="EP85">
        <v>13.59277096774194</v>
      </c>
      <c r="EQ85">
        <v>13.51774516129032</v>
      </c>
      <c r="ER85">
        <v>800.0137419354839</v>
      </c>
      <c r="ES85">
        <v>0.9500153870967741</v>
      </c>
      <c r="ET85">
        <v>0.04998433548387098</v>
      </c>
      <c r="EU85">
        <v>0</v>
      </c>
      <c r="EV85">
        <v>673.890129032258</v>
      </c>
      <c r="EW85">
        <v>5.000779999999999</v>
      </c>
      <c r="EX85">
        <v>5093.625161290323</v>
      </c>
      <c r="EY85">
        <v>6463.562903225806</v>
      </c>
      <c r="EZ85">
        <v>37.01780645161289</v>
      </c>
      <c r="FA85">
        <v>40.62864516129031</v>
      </c>
      <c r="FB85">
        <v>39.03406451612902</v>
      </c>
      <c r="FC85">
        <v>40.80416129032257</v>
      </c>
      <c r="FD85">
        <v>39.22154838709677</v>
      </c>
      <c r="FE85">
        <v>755.2735483870968</v>
      </c>
      <c r="FF85">
        <v>39.74</v>
      </c>
      <c r="FG85">
        <v>0</v>
      </c>
      <c r="FH85">
        <v>1765309051.1</v>
      </c>
      <c r="FI85">
        <v>0</v>
      </c>
      <c r="FJ85">
        <v>673.8786</v>
      </c>
      <c r="FK85">
        <v>-0.655153849019894</v>
      </c>
      <c r="FL85">
        <v>4.923076939408507</v>
      </c>
      <c r="FM85">
        <v>5093.5972</v>
      </c>
      <c r="FN85">
        <v>15</v>
      </c>
      <c r="FO85">
        <v>1765309072.6</v>
      </c>
      <c r="FP85" t="s">
        <v>647</v>
      </c>
      <c r="FQ85">
        <v>1765309072.6</v>
      </c>
      <c r="FR85">
        <v>1765309069.6</v>
      </c>
      <c r="FS85">
        <v>68</v>
      </c>
      <c r="FT85">
        <v>0.267</v>
      </c>
      <c r="FU85">
        <v>-0.002</v>
      </c>
      <c r="FV85">
        <v>2.015</v>
      </c>
      <c r="FW85">
        <v>0.075</v>
      </c>
      <c r="FX85">
        <v>1500</v>
      </c>
      <c r="FY85">
        <v>17</v>
      </c>
      <c r="FZ85">
        <v>0.8</v>
      </c>
      <c r="GA85">
        <v>0.25</v>
      </c>
      <c r="GB85">
        <v>-1.501619756097561</v>
      </c>
      <c r="GC85">
        <v>-0.02389756097561099</v>
      </c>
      <c r="GD85">
        <v>0.0610353785646151</v>
      </c>
      <c r="GE85">
        <v>1</v>
      </c>
      <c r="GF85">
        <v>673.943294117647</v>
      </c>
      <c r="GG85">
        <v>-0.7593277321132282</v>
      </c>
      <c r="GH85">
        <v>0.2342156534442984</v>
      </c>
      <c r="GI85">
        <v>1</v>
      </c>
      <c r="GJ85">
        <v>0.08658129268292684</v>
      </c>
      <c r="GK85">
        <v>-0.03222496306620219</v>
      </c>
      <c r="GL85">
        <v>0.003493470237205284</v>
      </c>
      <c r="GM85">
        <v>1</v>
      </c>
      <c r="GN85">
        <v>3</v>
      </c>
      <c r="GO85">
        <v>3</v>
      </c>
      <c r="GP85" t="s">
        <v>440</v>
      </c>
      <c r="GQ85">
        <v>3.10827</v>
      </c>
      <c r="GR85">
        <v>2.79163</v>
      </c>
      <c r="GS85">
        <v>0.205161</v>
      </c>
      <c r="GT85">
        <v>0.205565</v>
      </c>
      <c r="GU85">
        <v>0.0859589</v>
      </c>
      <c r="GV85">
        <v>0.0864642</v>
      </c>
      <c r="GW85">
        <v>20885.9</v>
      </c>
      <c r="GX85">
        <v>18946.8</v>
      </c>
      <c r="GY85">
        <v>26831.1</v>
      </c>
      <c r="GZ85">
        <v>24052</v>
      </c>
      <c r="HA85">
        <v>39209.6</v>
      </c>
      <c r="HB85">
        <v>32436.6</v>
      </c>
      <c r="HC85">
        <v>46829.9</v>
      </c>
      <c r="HD85">
        <v>38031.3</v>
      </c>
      <c r="HE85">
        <v>1.89373</v>
      </c>
      <c r="HF85">
        <v>1.86332</v>
      </c>
      <c r="HG85">
        <v>0.08463859999999999</v>
      </c>
      <c r="HH85">
        <v>0</v>
      </c>
      <c r="HI85">
        <v>23.6059</v>
      </c>
      <c r="HJ85">
        <v>999.9</v>
      </c>
      <c r="HK85">
        <v>39.3</v>
      </c>
      <c r="HL85">
        <v>31.7</v>
      </c>
      <c r="HM85">
        <v>20.5424</v>
      </c>
      <c r="HN85">
        <v>61.4075</v>
      </c>
      <c r="HO85">
        <v>27.9848</v>
      </c>
      <c r="HP85">
        <v>1</v>
      </c>
      <c r="HQ85">
        <v>-0.0307774</v>
      </c>
      <c r="HR85">
        <v>0.525861</v>
      </c>
      <c r="HS85">
        <v>20.2958</v>
      </c>
      <c r="HT85">
        <v>5.22328</v>
      </c>
      <c r="HU85">
        <v>11.9776</v>
      </c>
      <c r="HV85">
        <v>4.96575</v>
      </c>
      <c r="HW85">
        <v>3.276</v>
      </c>
      <c r="HX85">
        <v>9999</v>
      </c>
      <c r="HY85">
        <v>9999</v>
      </c>
      <c r="HZ85">
        <v>9999</v>
      </c>
      <c r="IA85">
        <v>999.9</v>
      </c>
      <c r="IB85">
        <v>1.86388</v>
      </c>
      <c r="IC85">
        <v>1.86005</v>
      </c>
      <c r="ID85">
        <v>1.85837</v>
      </c>
      <c r="IE85">
        <v>1.85968</v>
      </c>
      <c r="IF85">
        <v>1.85986</v>
      </c>
      <c r="IG85">
        <v>1.85835</v>
      </c>
      <c r="IH85">
        <v>1.85741</v>
      </c>
      <c r="II85">
        <v>1.85235</v>
      </c>
      <c r="IJ85">
        <v>0</v>
      </c>
      <c r="IK85">
        <v>0</v>
      </c>
      <c r="IL85">
        <v>0</v>
      </c>
      <c r="IM85">
        <v>0</v>
      </c>
      <c r="IN85" t="s">
        <v>441</v>
      </c>
      <c r="IO85" t="s">
        <v>442</v>
      </c>
      <c r="IP85" t="s">
        <v>443</v>
      </c>
      <c r="IQ85" t="s">
        <v>443</v>
      </c>
      <c r="IR85" t="s">
        <v>443</v>
      </c>
      <c r="IS85" t="s">
        <v>443</v>
      </c>
      <c r="IT85">
        <v>0</v>
      </c>
      <c r="IU85">
        <v>100</v>
      </c>
      <c r="IV85">
        <v>100</v>
      </c>
      <c r="IW85">
        <v>2.015</v>
      </c>
      <c r="IX85">
        <v>0.075</v>
      </c>
      <c r="IY85">
        <v>-0.4190591377050236</v>
      </c>
      <c r="IZ85">
        <v>0.0001583678016168383</v>
      </c>
      <c r="JA85">
        <v>1.526473431467286E-06</v>
      </c>
      <c r="JB85">
        <v>-4.446382740029455E-10</v>
      </c>
      <c r="JC85">
        <v>-0.03800686713890411</v>
      </c>
      <c r="JD85">
        <v>-0.009941991807247691</v>
      </c>
      <c r="JE85">
        <v>0.001256427533001032</v>
      </c>
      <c r="JF85">
        <v>-1.689728105039484E-05</v>
      </c>
      <c r="JG85">
        <v>2</v>
      </c>
      <c r="JH85">
        <v>1984</v>
      </c>
      <c r="JI85">
        <v>0</v>
      </c>
      <c r="JJ85">
        <v>25</v>
      </c>
      <c r="JK85">
        <v>1.3</v>
      </c>
      <c r="JL85">
        <v>1.3</v>
      </c>
      <c r="JM85">
        <v>3.16284</v>
      </c>
      <c r="JN85">
        <v>2.6062</v>
      </c>
      <c r="JO85">
        <v>1.49658</v>
      </c>
      <c r="JP85">
        <v>2.34863</v>
      </c>
      <c r="JQ85">
        <v>1.54785</v>
      </c>
      <c r="JR85">
        <v>2.43774</v>
      </c>
      <c r="JS85">
        <v>35.2671</v>
      </c>
      <c r="JT85">
        <v>24.1488</v>
      </c>
      <c r="JU85">
        <v>18</v>
      </c>
      <c r="JV85">
        <v>477.029</v>
      </c>
      <c r="JW85">
        <v>486.207</v>
      </c>
      <c r="JX85">
        <v>23.4026</v>
      </c>
      <c r="JY85">
        <v>26.8044</v>
      </c>
      <c r="JZ85">
        <v>30.0002</v>
      </c>
      <c r="KA85">
        <v>27.0859</v>
      </c>
      <c r="KB85">
        <v>27.0953</v>
      </c>
      <c r="KC85">
        <v>63.4755</v>
      </c>
      <c r="KD85">
        <v>17.8464</v>
      </c>
      <c r="KE85">
        <v>33.4719</v>
      </c>
      <c r="KF85">
        <v>23.402</v>
      </c>
      <c r="KG85">
        <v>1500</v>
      </c>
      <c r="KH85">
        <v>17.3573</v>
      </c>
      <c r="KI85">
        <v>102.408</v>
      </c>
      <c r="KJ85">
        <v>91.7375</v>
      </c>
    </row>
    <row r="86" spans="1:296">
      <c r="A86">
        <v>68</v>
      </c>
      <c r="B86">
        <v>1765309162.1</v>
      </c>
      <c r="C86">
        <v>11729.09999990463</v>
      </c>
      <c r="D86" t="s">
        <v>648</v>
      </c>
      <c r="E86" t="s">
        <v>649</v>
      </c>
      <c r="F86">
        <v>5</v>
      </c>
      <c r="G86" t="s">
        <v>610</v>
      </c>
      <c r="H86">
        <v>1765309154.349999</v>
      </c>
      <c r="I86">
        <f>(J86)/1000</f>
        <v>0</v>
      </c>
      <c r="J86">
        <f>IF(DO86, AM86, AG86)</f>
        <v>0</v>
      </c>
      <c r="K86">
        <f>IF(DO86, AH86, AF86)</f>
        <v>0</v>
      </c>
      <c r="L86">
        <f>DQ86 - IF(AT86&gt;1, K86*DK86*100.0/(AV86), 0)</f>
        <v>0</v>
      </c>
      <c r="M86">
        <f>((S86-I86/2)*L86-K86)/(S86+I86/2)</f>
        <v>0</v>
      </c>
      <c r="N86">
        <f>M86*(DX86+DY86)/1000.0</f>
        <v>0</v>
      </c>
      <c r="O86">
        <f>(DQ86 - IF(AT86&gt;1, K86*DK86*100.0/(AV86), 0))*(DX86+DY86)/1000.0</f>
        <v>0</v>
      </c>
      <c r="P86">
        <f>2.0/((1/R86-1/Q86)+SIGN(R86)*SQRT((1/R86-1/Q86)*(1/R86-1/Q86) + 4*DL86/((DL86+1)*(DL86+1))*(2*1/R86*1/Q86-1/Q86*1/Q86)))</f>
        <v>0</v>
      </c>
      <c r="Q86">
        <f>IF(LEFT(DM86,1)&lt;&gt;"0",IF(LEFT(DM86,1)="1",3.0,DN86),$D$5+$E$5*(EE86*DX86/($K$5*1000))+$F$5*(EE86*DX86/($K$5*1000))*MAX(MIN(DK86,$J$5),$I$5)*MAX(MIN(DK86,$J$5),$I$5)+$G$5*MAX(MIN(DK86,$J$5),$I$5)*(EE86*DX86/($K$5*1000))+$H$5*(EE86*DX86/($K$5*1000))*(EE86*DX86/($K$5*1000)))</f>
        <v>0</v>
      </c>
      <c r="R86">
        <f>I86*(1000-(1000*0.61365*exp(17.502*V86/(240.97+V86))/(DX86+DY86)+DS86)/2)/(1000*0.61365*exp(17.502*V86/(240.97+V86))/(DX86+DY86)-DS86)</f>
        <v>0</v>
      </c>
      <c r="S86">
        <f>1/((DL86+1)/(P86/1.6)+1/(Q86/1.37)) + DL86/((DL86+1)/(P86/1.6) + DL86/(Q86/1.37))</f>
        <v>0</v>
      </c>
      <c r="T86">
        <f>(DG86*DJ86)</f>
        <v>0</v>
      </c>
      <c r="U86">
        <f>(DZ86+(T86+2*0.95*5.67E-8*(((DZ86+$B$9)+273)^4-(DZ86+273)^4)-44100*I86)/(1.84*29.3*Q86+8*0.95*5.67E-8*(DZ86+273)^3))</f>
        <v>0</v>
      </c>
      <c r="V86">
        <f>($C$9*EA86+$D$9*EB86+$E$9*U86)</f>
        <v>0</v>
      </c>
      <c r="W86">
        <f>0.61365*exp(17.502*V86/(240.97+V86))</f>
        <v>0</v>
      </c>
      <c r="X86">
        <f>(Y86/Z86*100)</f>
        <v>0</v>
      </c>
      <c r="Y86">
        <f>DS86*(DX86+DY86)/1000</f>
        <v>0</v>
      </c>
      <c r="Z86">
        <f>0.61365*exp(17.502*DZ86/(240.97+DZ86))</f>
        <v>0</v>
      </c>
      <c r="AA86">
        <f>(W86-DS86*(DX86+DY86)/1000)</f>
        <v>0</v>
      </c>
      <c r="AB86">
        <f>(-I86*44100)</f>
        <v>0</v>
      </c>
      <c r="AC86">
        <f>2*29.3*Q86*0.92*(DZ86-V86)</f>
        <v>0</v>
      </c>
      <c r="AD86">
        <f>2*0.95*5.67E-8*(((DZ86+$B$9)+273)^4-(V86+273)^4)</f>
        <v>0</v>
      </c>
      <c r="AE86">
        <f>T86+AD86+AB86+AC86</f>
        <v>0</v>
      </c>
      <c r="AF86">
        <f>DW86*AT86*(DR86-DQ86*(1000-AT86*DT86)/(1000-AT86*DS86))/(100*DK86)</f>
        <v>0</v>
      </c>
      <c r="AG86">
        <f>1000*DW86*AT86*(DS86-DT86)/(100*DK86*(1000-AT86*DS86))</f>
        <v>0</v>
      </c>
      <c r="AH86">
        <f>(AI86 - AJ86 - DX86*1E3/(8.314*(DZ86+273.15)) * AL86/DW86 * AK86) * DW86/(100*DK86) * (1000 - DT86)/1000</f>
        <v>0</v>
      </c>
      <c r="AI86">
        <v>407.0647039393941</v>
      </c>
      <c r="AJ86">
        <v>407.673606060606</v>
      </c>
      <c r="AK86">
        <v>-0.002227469500190672</v>
      </c>
      <c r="AL86">
        <v>65.87</v>
      </c>
      <c r="AM86">
        <f>(AO86 - AN86 + DX86*1E3/(8.314*(DZ86+273.15)) * AQ86/DW86 * AP86) * DW86/(100*DK86) * 1000/(1000 - AO86)</f>
        <v>0</v>
      </c>
      <c r="AN86">
        <v>17.43113925024939</v>
      </c>
      <c r="AO86">
        <v>17.49585454545456</v>
      </c>
      <c r="AP86">
        <v>-6.30008489293996E-06</v>
      </c>
      <c r="AQ86">
        <v>109.2338367341763</v>
      </c>
      <c r="AR86">
        <v>3</v>
      </c>
      <c r="AS86">
        <v>1</v>
      </c>
      <c r="AT86">
        <f>IF(AR86*$H$15&gt;=AV86,1.0,(AV86/(AV86-AR86*$H$15)))</f>
        <v>0</v>
      </c>
      <c r="AU86">
        <f>(AT86-1)*100</f>
        <v>0</v>
      </c>
      <c r="AV86">
        <f>MAX(0,($B$15+$C$15*EE86)/(1+$D$15*EE86)*DX86/(DZ86+273)*$E$15)</f>
        <v>0</v>
      </c>
      <c r="AW86" t="s">
        <v>437</v>
      </c>
      <c r="AX86" t="s">
        <v>437</v>
      </c>
      <c r="AY86">
        <v>0</v>
      </c>
      <c r="AZ86">
        <v>0</v>
      </c>
      <c r="BA86">
        <f>1-AY86/AZ86</f>
        <v>0</v>
      </c>
      <c r="BB86">
        <v>0</v>
      </c>
      <c r="BC86" t="s">
        <v>437</v>
      </c>
      <c r="BD86" t="s">
        <v>437</v>
      </c>
      <c r="BE86">
        <v>0</v>
      </c>
      <c r="BF86">
        <v>0</v>
      </c>
      <c r="BG86">
        <f>1-BE86/BF86</f>
        <v>0</v>
      </c>
      <c r="BH86">
        <v>0.5</v>
      </c>
      <c r="BI86">
        <f>DH86</f>
        <v>0</v>
      </c>
      <c r="BJ86">
        <f>K86</f>
        <v>0</v>
      </c>
      <c r="BK86">
        <f>BG86*BH86*BI86</f>
        <v>0</v>
      </c>
      <c r="BL86">
        <f>(BJ86-BB86)/BI86</f>
        <v>0</v>
      </c>
      <c r="BM86">
        <f>(AZ86-BF86)/BF86</f>
        <v>0</v>
      </c>
      <c r="BN86">
        <f>AY86/(BA86+AY86/BF86)</f>
        <v>0</v>
      </c>
      <c r="BO86" t="s">
        <v>437</v>
      </c>
      <c r="BP86">
        <v>0</v>
      </c>
      <c r="BQ86">
        <f>IF(BP86&lt;&gt;0, BP86, BN86)</f>
        <v>0</v>
      </c>
      <c r="BR86">
        <f>1-BQ86/BF86</f>
        <v>0</v>
      </c>
      <c r="BS86">
        <f>(BF86-BE86)/(BF86-BQ86)</f>
        <v>0</v>
      </c>
      <c r="BT86">
        <f>(AZ86-BF86)/(AZ86-BQ86)</f>
        <v>0</v>
      </c>
      <c r="BU86">
        <f>(BF86-BE86)/(BF86-AY86)</f>
        <v>0</v>
      </c>
      <c r="BV86">
        <f>(AZ86-BF86)/(AZ86-AY86)</f>
        <v>0</v>
      </c>
      <c r="BW86">
        <f>(BS86*BQ86/BE86)</f>
        <v>0</v>
      </c>
      <c r="BX86">
        <f>(1-BW86)</f>
        <v>0</v>
      </c>
      <c r="DG86">
        <f>$B$13*EF86+$C$13*EG86+$F$13*ER86*(1-EU86)</f>
        <v>0</v>
      </c>
      <c r="DH86">
        <f>DG86*DI86</f>
        <v>0</v>
      </c>
      <c r="DI86">
        <f>($B$13*$D$11+$C$13*$D$11+$F$13*((FE86+EW86)/MAX(FE86+EW86+FF86, 0.1)*$I$11+FF86/MAX(FE86+EW86+FF86, 0.1)*$J$11))/($B$13+$C$13+$F$13)</f>
        <v>0</v>
      </c>
      <c r="DJ86">
        <f>($B$13*$K$11+$C$13*$K$11+$F$13*((FE86+EW86)/MAX(FE86+EW86+FF86, 0.1)*$P$11+FF86/MAX(FE86+EW86+FF86, 0.1)*$Q$11))/($B$13+$C$13+$F$13)</f>
        <v>0</v>
      </c>
      <c r="DK86">
        <v>5.66</v>
      </c>
      <c r="DL86">
        <v>0.5</v>
      </c>
      <c r="DM86" t="s">
        <v>438</v>
      </c>
      <c r="DN86">
        <v>2</v>
      </c>
      <c r="DO86" t="b">
        <v>1</v>
      </c>
      <c r="DP86">
        <v>1765309154.349999</v>
      </c>
      <c r="DQ86">
        <v>400.2542666666667</v>
      </c>
      <c r="DR86">
        <v>399.9634666666666</v>
      </c>
      <c r="DS86">
        <v>17.48969666666667</v>
      </c>
      <c r="DT86">
        <v>17.43190333333333</v>
      </c>
      <c r="DU86">
        <v>400.4632666666667</v>
      </c>
      <c r="DV86">
        <v>17.41769666666667</v>
      </c>
      <c r="DW86">
        <v>500.0056999999999</v>
      </c>
      <c r="DX86">
        <v>89.81194666666667</v>
      </c>
      <c r="DY86">
        <v>0.09998758000000001</v>
      </c>
      <c r="DZ86">
        <v>24.79158</v>
      </c>
      <c r="EA86">
        <v>25.00801666666667</v>
      </c>
      <c r="EB86">
        <v>999.9000000000002</v>
      </c>
      <c r="EC86">
        <v>0</v>
      </c>
      <c r="ED86">
        <v>0</v>
      </c>
      <c r="EE86">
        <v>9997.249333333333</v>
      </c>
      <c r="EF86">
        <v>0</v>
      </c>
      <c r="EG86">
        <v>9.831632666666669</v>
      </c>
      <c r="EH86">
        <v>0.6264983333333335</v>
      </c>
      <c r="EI86">
        <v>407.7238666666667</v>
      </c>
      <c r="EJ86">
        <v>407.0593666666666</v>
      </c>
      <c r="EK86">
        <v>0.06467222</v>
      </c>
      <c r="EL86">
        <v>399.9634666666666</v>
      </c>
      <c r="EM86">
        <v>17.43190333333333</v>
      </c>
      <c r="EN86">
        <v>1.571402666666667</v>
      </c>
      <c r="EO86">
        <v>1.565593</v>
      </c>
      <c r="EP86">
        <v>13.68118666666667</v>
      </c>
      <c r="EQ86">
        <v>13.62426333333334</v>
      </c>
      <c r="ER86">
        <v>800.0065333333333</v>
      </c>
      <c r="ES86">
        <v>0.9500132333333335</v>
      </c>
      <c r="ET86">
        <v>0.04998691333333334</v>
      </c>
      <c r="EU86">
        <v>0</v>
      </c>
      <c r="EV86">
        <v>673.8740333333334</v>
      </c>
      <c r="EW86">
        <v>5.00078</v>
      </c>
      <c r="EX86">
        <v>5094.352333333333</v>
      </c>
      <c r="EY86">
        <v>6463.500333333333</v>
      </c>
      <c r="EZ86">
        <v>37.15803333333333</v>
      </c>
      <c r="FA86">
        <v>40.0144</v>
      </c>
      <c r="FB86">
        <v>38.77063333333332</v>
      </c>
      <c r="FC86">
        <v>40.09139999999999</v>
      </c>
      <c r="FD86">
        <v>38.73716666666666</v>
      </c>
      <c r="FE86">
        <v>755.2656666666666</v>
      </c>
      <c r="FF86">
        <v>39.74166666666667</v>
      </c>
      <c r="FG86">
        <v>0</v>
      </c>
      <c r="FH86">
        <v>1765309161.5</v>
      </c>
      <c r="FI86">
        <v>0</v>
      </c>
      <c r="FJ86">
        <v>673.8616400000001</v>
      </c>
      <c r="FK86">
        <v>-0.1525384559079606</v>
      </c>
      <c r="FL86">
        <v>-11.68076913829769</v>
      </c>
      <c r="FM86">
        <v>5094.1664</v>
      </c>
      <c r="FN86">
        <v>15</v>
      </c>
      <c r="FO86">
        <v>1765309178.1</v>
      </c>
      <c r="FP86" t="s">
        <v>650</v>
      </c>
      <c r="FQ86">
        <v>1765309178.1</v>
      </c>
      <c r="FR86">
        <v>1765309178.1</v>
      </c>
      <c r="FS86">
        <v>69</v>
      </c>
      <c r="FT86">
        <v>-0.336</v>
      </c>
      <c r="FU86">
        <v>-0.006</v>
      </c>
      <c r="FV86">
        <v>-0.209</v>
      </c>
      <c r="FW86">
        <v>0.07199999999999999</v>
      </c>
      <c r="FX86">
        <v>400</v>
      </c>
      <c r="FY86">
        <v>17</v>
      </c>
      <c r="FZ86">
        <v>0.27</v>
      </c>
      <c r="GA86">
        <v>0.13</v>
      </c>
      <c r="GB86">
        <v>0.65573495</v>
      </c>
      <c r="GC86">
        <v>-0.4955507842401511</v>
      </c>
      <c r="GD86">
        <v>0.07062406091621679</v>
      </c>
      <c r="GE86">
        <v>1</v>
      </c>
      <c r="GF86">
        <v>673.8244705882354</v>
      </c>
      <c r="GG86">
        <v>0.6785943478323939</v>
      </c>
      <c r="GH86">
        <v>0.2476300888415063</v>
      </c>
      <c r="GI86">
        <v>1</v>
      </c>
      <c r="GJ86">
        <v>0.06457729500000001</v>
      </c>
      <c r="GK86">
        <v>8.780712945580477E-05</v>
      </c>
      <c r="GL86">
        <v>0.001043602190001055</v>
      </c>
      <c r="GM86">
        <v>1</v>
      </c>
      <c r="GN86">
        <v>3</v>
      </c>
      <c r="GO86">
        <v>3</v>
      </c>
      <c r="GP86" t="s">
        <v>440</v>
      </c>
      <c r="GQ86">
        <v>3.1082</v>
      </c>
      <c r="GR86">
        <v>2.79153</v>
      </c>
      <c r="GS86">
        <v>0.0846277</v>
      </c>
      <c r="GT86">
        <v>0.08458880000000001</v>
      </c>
      <c r="GU86">
        <v>0.08634319999999999</v>
      </c>
      <c r="GV86">
        <v>0.0869069</v>
      </c>
      <c r="GW86">
        <v>24050.1</v>
      </c>
      <c r="GX86">
        <v>21829.4</v>
      </c>
      <c r="GY86">
        <v>26829.7</v>
      </c>
      <c r="GZ86">
        <v>24050.9</v>
      </c>
      <c r="HA86">
        <v>39175.8</v>
      </c>
      <c r="HB86">
        <v>32406.2</v>
      </c>
      <c r="HC86">
        <v>46827.5</v>
      </c>
      <c r="HD86">
        <v>38028.8</v>
      </c>
      <c r="HE86">
        <v>1.89137</v>
      </c>
      <c r="HF86">
        <v>1.86162</v>
      </c>
      <c r="HG86">
        <v>0.0851601</v>
      </c>
      <c r="HH86">
        <v>0</v>
      </c>
      <c r="HI86">
        <v>23.5979</v>
      </c>
      <c r="HJ86">
        <v>999.9</v>
      </c>
      <c r="HK86">
        <v>39.4</v>
      </c>
      <c r="HL86">
        <v>31.7</v>
      </c>
      <c r="HM86">
        <v>20.5948</v>
      </c>
      <c r="HN86">
        <v>61.2875</v>
      </c>
      <c r="HO86">
        <v>28.2011</v>
      </c>
      <c r="HP86">
        <v>1</v>
      </c>
      <c r="HQ86">
        <v>-0.0306225</v>
      </c>
      <c r="HR86">
        <v>0.633066</v>
      </c>
      <c r="HS86">
        <v>20.2933</v>
      </c>
      <c r="HT86">
        <v>5.22238</v>
      </c>
      <c r="HU86">
        <v>11.9757</v>
      </c>
      <c r="HV86">
        <v>4.96565</v>
      </c>
      <c r="HW86">
        <v>3.27593</v>
      </c>
      <c r="HX86">
        <v>9999</v>
      </c>
      <c r="HY86">
        <v>9999</v>
      </c>
      <c r="HZ86">
        <v>9999</v>
      </c>
      <c r="IA86">
        <v>999.9</v>
      </c>
      <c r="IB86">
        <v>1.86387</v>
      </c>
      <c r="IC86">
        <v>1.86005</v>
      </c>
      <c r="ID86">
        <v>1.85837</v>
      </c>
      <c r="IE86">
        <v>1.8597</v>
      </c>
      <c r="IF86">
        <v>1.85984</v>
      </c>
      <c r="IG86">
        <v>1.85835</v>
      </c>
      <c r="IH86">
        <v>1.85743</v>
      </c>
      <c r="II86">
        <v>1.85239</v>
      </c>
      <c r="IJ86">
        <v>0</v>
      </c>
      <c r="IK86">
        <v>0</v>
      </c>
      <c r="IL86">
        <v>0</v>
      </c>
      <c r="IM86">
        <v>0</v>
      </c>
      <c r="IN86" t="s">
        <v>441</v>
      </c>
      <c r="IO86" t="s">
        <v>442</v>
      </c>
      <c r="IP86" t="s">
        <v>443</v>
      </c>
      <c r="IQ86" t="s">
        <v>443</v>
      </c>
      <c r="IR86" t="s">
        <v>443</v>
      </c>
      <c r="IS86" t="s">
        <v>443</v>
      </c>
      <c r="IT86">
        <v>0</v>
      </c>
      <c r="IU86">
        <v>100</v>
      </c>
      <c r="IV86">
        <v>100</v>
      </c>
      <c r="IW86">
        <v>-0.209</v>
      </c>
      <c r="IX86">
        <v>0.07199999999999999</v>
      </c>
      <c r="IY86">
        <v>-0.1528549067167891</v>
      </c>
      <c r="IZ86">
        <v>0.0001583678016168383</v>
      </c>
      <c r="JA86">
        <v>1.526473431467286E-06</v>
      </c>
      <c r="JB86">
        <v>-4.446382740029455E-10</v>
      </c>
      <c r="JC86">
        <v>-0.03983838854401357</v>
      </c>
      <c r="JD86">
        <v>-0.009941991807247691</v>
      </c>
      <c r="JE86">
        <v>0.001256427533001032</v>
      </c>
      <c r="JF86">
        <v>-1.689728105039484E-05</v>
      </c>
      <c r="JG86">
        <v>2</v>
      </c>
      <c r="JH86">
        <v>1984</v>
      </c>
      <c r="JI86">
        <v>0</v>
      </c>
      <c r="JJ86">
        <v>25</v>
      </c>
      <c r="JK86">
        <v>1.5</v>
      </c>
      <c r="JL86">
        <v>1.5</v>
      </c>
      <c r="JM86">
        <v>1.09131</v>
      </c>
      <c r="JN86">
        <v>2.6123</v>
      </c>
      <c r="JO86">
        <v>1.49658</v>
      </c>
      <c r="JP86">
        <v>2.34863</v>
      </c>
      <c r="JQ86">
        <v>1.54907</v>
      </c>
      <c r="JR86">
        <v>2.36816</v>
      </c>
      <c r="JS86">
        <v>35.2209</v>
      </c>
      <c r="JT86">
        <v>24.14</v>
      </c>
      <c r="JU86">
        <v>18</v>
      </c>
      <c r="JV86">
        <v>475.621</v>
      </c>
      <c r="JW86">
        <v>485.026</v>
      </c>
      <c r="JX86">
        <v>23.2975</v>
      </c>
      <c r="JY86">
        <v>26.8021</v>
      </c>
      <c r="JZ86">
        <v>30.0001</v>
      </c>
      <c r="KA86">
        <v>27.0768</v>
      </c>
      <c r="KB86">
        <v>27.0855</v>
      </c>
      <c r="KC86">
        <v>21.9439</v>
      </c>
      <c r="KD86">
        <v>16.9722</v>
      </c>
      <c r="KE86">
        <v>33.8431</v>
      </c>
      <c r="KF86">
        <v>23.2941</v>
      </c>
      <c r="KG86">
        <v>400</v>
      </c>
      <c r="KH86">
        <v>17.3814</v>
      </c>
      <c r="KI86">
        <v>102.403</v>
      </c>
      <c r="KJ86">
        <v>91.732</v>
      </c>
    </row>
    <row r="87" spans="1:296">
      <c r="A87">
        <v>69</v>
      </c>
      <c r="B87">
        <v>1765309845.5</v>
      </c>
      <c r="C87">
        <v>12412.5</v>
      </c>
      <c r="D87" t="s">
        <v>651</v>
      </c>
      <c r="E87" t="s">
        <v>652</v>
      </c>
      <c r="F87">
        <v>5</v>
      </c>
      <c r="G87" t="s">
        <v>653</v>
      </c>
      <c r="H87">
        <v>1765309837.75</v>
      </c>
      <c r="I87">
        <f>(J87)/1000</f>
        <v>0</v>
      </c>
      <c r="J87">
        <f>IF(DO87, AM87, AG87)</f>
        <v>0</v>
      </c>
      <c r="K87">
        <f>IF(DO87, AH87, AF87)</f>
        <v>0</v>
      </c>
      <c r="L87">
        <f>DQ87 - IF(AT87&gt;1, K87*DK87*100.0/(AV87), 0)</f>
        <v>0</v>
      </c>
      <c r="M87">
        <f>((S87-I87/2)*L87-K87)/(S87+I87/2)</f>
        <v>0</v>
      </c>
      <c r="N87">
        <f>M87*(DX87+DY87)/1000.0</f>
        <v>0</v>
      </c>
      <c r="O87">
        <f>(DQ87 - IF(AT87&gt;1, K87*DK87*100.0/(AV87), 0))*(DX87+DY87)/1000.0</f>
        <v>0</v>
      </c>
      <c r="P87">
        <f>2.0/((1/R87-1/Q87)+SIGN(R87)*SQRT((1/R87-1/Q87)*(1/R87-1/Q87) + 4*DL87/((DL87+1)*(DL87+1))*(2*1/R87*1/Q87-1/Q87*1/Q87)))</f>
        <v>0</v>
      </c>
      <c r="Q87">
        <f>IF(LEFT(DM87,1)&lt;&gt;"0",IF(LEFT(DM87,1)="1",3.0,DN87),$D$5+$E$5*(EE87*DX87/($K$5*1000))+$F$5*(EE87*DX87/($K$5*1000))*MAX(MIN(DK87,$J$5),$I$5)*MAX(MIN(DK87,$J$5),$I$5)+$G$5*MAX(MIN(DK87,$J$5),$I$5)*(EE87*DX87/($K$5*1000))+$H$5*(EE87*DX87/($K$5*1000))*(EE87*DX87/($K$5*1000)))</f>
        <v>0</v>
      </c>
      <c r="R87">
        <f>I87*(1000-(1000*0.61365*exp(17.502*V87/(240.97+V87))/(DX87+DY87)+DS87)/2)/(1000*0.61365*exp(17.502*V87/(240.97+V87))/(DX87+DY87)-DS87)</f>
        <v>0</v>
      </c>
      <c r="S87">
        <f>1/((DL87+1)/(P87/1.6)+1/(Q87/1.37)) + DL87/((DL87+1)/(P87/1.6) + DL87/(Q87/1.37))</f>
        <v>0</v>
      </c>
      <c r="T87">
        <f>(DG87*DJ87)</f>
        <v>0</v>
      </c>
      <c r="U87">
        <f>(DZ87+(T87+2*0.95*5.67E-8*(((DZ87+$B$9)+273)^4-(DZ87+273)^4)-44100*I87)/(1.84*29.3*Q87+8*0.95*5.67E-8*(DZ87+273)^3))</f>
        <v>0</v>
      </c>
      <c r="V87">
        <f>($C$9*EA87+$D$9*EB87+$E$9*U87)</f>
        <v>0</v>
      </c>
      <c r="W87">
        <f>0.61365*exp(17.502*V87/(240.97+V87))</f>
        <v>0</v>
      </c>
      <c r="X87">
        <f>(Y87/Z87*100)</f>
        <v>0</v>
      </c>
      <c r="Y87">
        <f>DS87*(DX87+DY87)/1000</f>
        <v>0</v>
      </c>
      <c r="Z87">
        <f>0.61365*exp(17.502*DZ87/(240.97+DZ87))</f>
        <v>0</v>
      </c>
      <c r="AA87">
        <f>(W87-DS87*(DX87+DY87)/1000)</f>
        <v>0</v>
      </c>
      <c r="AB87">
        <f>(-I87*44100)</f>
        <v>0</v>
      </c>
      <c r="AC87">
        <f>2*29.3*Q87*0.92*(DZ87-V87)</f>
        <v>0</v>
      </c>
      <c r="AD87">
        <f>2*0.95*5.67E-8*(((DZ87+$B$9)+273)^4-(V87+273)^4)</f>
        <v>0</v>
      </c>
      <c r="AE87">
        <f>T87+AD87+AB87+AC87</f>
        <v>0</v>
      </c>
      <c r="AF87">
        <f>DW87*AT87*(DR87-DQ87*(1000-AT87*DT87)/(1000-AT87*DS87))/(100*DK87)</f>
        <v>0</v>
      </c>
      <c r="AG87">
        <f>1000*DW87*AT87*(DS87-DT87)/(100*DK87*(1000-AT87*DS87))</f>
        <v>0</v>
      </c>
      <c r="AH87">
        <f>(AI87 - AJ87 - DX87*1E3/(8.314*(DZ87+273.15)) * AL87/DW87 * AK87) * DW87/(100*DK87) * (1000 - DT87)/1000</f>
        <v>0</v>
      </c>
      <c r="AI87">
        <v>406.8171265182596</v>
      </c>
      <c r="AJ87">
        <v>406.4361393939391</v>
      </c>
      <c r="AK87">
        <v>0.0001988641478425894</v>
      </c>
      <c r="AL87">
        <v>65.86490259714984</v>
      </c>
      <c r="AM87">
        <f>(AO87 - AN87 + DX87*1E3/(8.314*(DZ87+273.15)) * AQ87/DW87 * AP87) * DW87/(100*DK87) * 1000/(1000 - AO87)</f>
        <v>0</v>
      </c>
      <c r="AN87">
        <v>16.76761252853913</v>
      </c>
      <c r="AO87">
        <v>16.92458321678323</v>
      </c>
      <c r="AP87">
        <v>-4.764462706492256E-06</v>
      </c>
      <c r="AQ87">
        <v>109.09604607171</v>
      </c>
      <c r="AR87">
        <v>0</v>
      </c>
      <c r="AS87">
        <v>0</v>
      </c>
      <c r="AT87">
        <f>IF(AR87*$H$15&gt;=AV87,1.0,(AV87/(AV87-AR87*$H$15)))</f>
        <v>0</v>
      </c>
      <c r="AU87">
        <f>(AT87-1)*100</f>
        <v>0</v>
      </c>
      <c r="AV87">
        <f>MAX(0,($B$15+$C$15*EE87)/(1+$D$15*EE87)*DX87/(DZ87+273)*$E$15)</f>
        <v>0</v>
      </c>
      <c r="AW87" t="s">
        <v>437</v>
      </c>
      <c r="AX87" t="s">
        <v>437</v>
      </c>
      <c r="AY87">
        <v>0</v>
      </c>
      <c r="AZ87">
        <v>0</v>
      </c>
      <c r="BA87">
        <f>1-AY87/AZ87</f>
        <v>0</v>
      </c>
      <c r="BB87">
        <v>0</v>
      </c>
      <c r="BC87" t="s">
        <v>437</v>
      </c>
      <c r="BD87" t="s">
        <v>437</v>
      </c>
      <c r="BE87">
        <v>0</v>
      </c>
      <c r="BF87">
        <v>0</v>
      </c>
      <c r="BG87">
        <f>1-BE87/BF87</f>
        <v>0</v>
      </c>
      <c r="BH87">
        <v>0.5</v>
      </c>
      <c r="BI87">
        <f>DH87</f>
        <v>0</v>
      </c>
      <c r="BJ87">
        <f>K87</f>
        <v>0</v>
      </c>
      <c r="BK87">
        <f>BG87*BH87*BI87</f>
        <v>0</v>
      </c>
      <c r="BL87">
        <f>(BJ87-BB87)/BI87</f>
        <v>0</v>
      </c>
      <c r="BM87">
        <f>(AZ87-BF87)/BF87</f>
        <v>0</v>
      </c>
      <c r="BN87">
        <f>AY87/(BA87+AY87/BF87)</f>
        <v>0</v>
      </c>
      <c r="BO87" t="s">
        <v>437</v>
      </c>
      <c r="BP87">
        <v>0</v>
      </c>
      <c r="BQ87">
        <f>IF(BP87&lt;&gt;0, BP87, BN87)</f>
        <v>0</v>
      </c>
      <c r="BR87">
        <f>1-BQ87/BF87</f>
        <v>0</v>
      </c>
      <c r="BS87">
        <f>(BF87-BE87)/(BF87-BQ87)</f>
        <v>0</v>
      </c>
      <c r="BT87">
        <f>(AZ87-BF87)/(AZ87-BQ87)</f>
        <v>0</v>
      </c>
      <c r="BU87">
        <f>(BF87-BE87)/(BF87-AY87)</f>
        <v>0</v>
      </c>
      <c r="BV87">
        <f>(AZ87-BF87)/(AZ87-AY87)</f>
        <v>0</v>
      </c>
      <c r="BW87">
        <f>(BS87*BQ87/BE87)</f>
        <v>0</v>
      </c>
      <c r="BX87">
        <f>(1-BW87)</f>
        <v>0</v>
      </c>
      <c r="DG87">
        <f>$B$13*EF87+$C$13*EG87+$F$13*ER87*(1-EU87)</f>
        <v>0</v>
      </c>
      <c r="DH87">
        <f>DG87*DI87</f>
        <v>0</v>
      </c>
      <c r="DI87">
        <f>($B$13*$D$11+$C$13*$D$11+$F$13*((FE87+EW87)/MAX(FE87+EW87+FF87, 0.1)*$I$11+FF87/MAX(FE87+EW87+FF87, 0.1)*$J$11))/($B$13+$C$13+$F$13)</f>
        <v>0</v>
      </c>
      <c r="DJ87">
        <f>($B$13*$K$11+$C$13*$K$11+$F$13*((FE87+EW87)/MAX(FE87+EW87+FF87, 0.1)*$P$11+FF87/MAX(FE87+EW87+FF87, 0.1)*$Q$11))/($B$13+$C$13+$F$13)</f>
        <v>0</v>
      </c>
      <c r="DK87">
        <v>5.66</v>
      </c>
      <c r="DL87">
        <v>0.5</v>
      </c>
      <c r="DM87" t="s">
        <v>438</v>
      </c>
      <c r="DN87">
        <v>2</v>
      </c>
      <c r="DO87" t="b">
        <v>1</v>
      </c>
      <c r="DP87">
        <v>1765309837.75</v>
      </c>
      <c r="DQ87">
        <v>399.7083</v>
      </c>
      <c r="DR87">
        <v>399.996</v>
      </c>
      <c r="DS87">
        <v>16.92817666666667</v>
      </c>
      <c r="DT87">
        <v>16.77102333333334</v>
      </c>
      <c r="DU87">
        <v>399.7653</v>
      </c>
      <c r="DV87">
        <v>16.86317666666666</v>
      </c>
      <c r="DW87">
        <v>500.0043666666667</v>
      </c>
      <c r="DX87">
        <v>89.81559999999999</v>
      </c>
      <c r="DY87">
        <v>0.09991109999999999</v>
      </c>
      <c r="DZ87">
        <v>24.32610666666666</v>
      </c>
      <c r="EA87">
        <v>24.9981</v>
      </c>
      <c r="EB87">
        <v>999.9000000000002</v>
      </c>
      <c r="EC87">
        <v>0</v>
      </c>
      <c r="ED87">
        <v>0</v>
      </c>
      <c r="EE87">
        <v>10014.20733333333</v>
      </c>
      <c r="EF87">
        <v>0</v>
      </c>
      <c r="EG87">
        <v>9.714249999999998</v>
      </c>
      <c r="EH87">
        <v>-0.4405151666666666</v>
      </c>
      <c r="EI87">
        <v>406.4349</v>
      </c>
      <c r="EJ87">
        <v>406.8188333333334</v>
      </c>
      <c r="EK87">
        <v>0.1550776333333334</v>
      </c>
      <c r="EL87">
        <v>399.996</v>
      </c>
      <c r="EM87">
        <v>16.77102333333334</v>
      </c>
      <c r="EN87">
        <v>1.520228</v>
      </c>
      <c r="EO87">
        <v>1.506299</v>
      </c>
      <c r="EP87">
        <v>13.17314333333333</v>
      </c>
      <c r="EQ87">
        <v>13.03225333333334</v>
      </c>
      <c r="ER87">
        <v>800.0062333333331</v>
      </c>
      <c r="ES87">
        <v>0.9500067666666666</v>
      </c>
      <c r="ET87">
        <v>0.04999285666666666</v>
      </c>
      <c r="EU87">
        <v>0</v>
      </c>
      <c r="EV87">
        <v>549.8312333333334</v>
      </c>
      <c r="EW87">
        <v>5.00078</v>
      </c>
      <c r="EX87">
        <v>4289.548000000001</v>
      </c>
      <c r="EY87">
        <v>6463.485666666666</v>
      </c>
      <c r="EZ87">
        <v>35.75393333333333</v>
      </c>
      <c r="FA87">
        <v>38.25826666666667</v>
      </c>
      <c r="FB87">
        <v>37.2206</v>
      </c>
      <c r="FC87">
        <v>37.82886666666666</v>
      </c>
      <c r="FD87">
        <v>37.2454</v>
      </c>
      <c r="FE87">
        <v>755.2606666666667</v>
      </c>
      <c r="FF87">
        <v>39.74033333333333</v>
      </c>
      <c r="FG87">
        <v>0</v>
      </c>
      <c r="FH87">
        <v>1765309844.9</v>
      </c>
      <c r="FI87">
        <v>0</v>
      </c>
      <c r="FJ87">
        <v>549.8453846153845</v>
      </c>
      <c r="FK87">
        <v>0.5215042726351384</v>
      </c>
      <c r="FL87">
        <v>-0.690256399958704</v>
      </c>
      <c r="FM87">
        <v>4289.538076923077</v>
      </c>
      <c r="FN87">
        <v>15</v>
      </c>
      <c r="FO87">
        <v>1765309864.5</v>
      </c>
      <c r="FP87" t="s">
        <v>654</v>
      </c>
      <c r="FQ87">
        <v>1765309864.5</v>
      </c>
      <c r="FR87">
        <v>1765309862.5</v>
      </c>
      <c r="FS87">
        <v>70</v>
      </c>
      <c r="FT87">
        <v>0.153</v>
      </c>
      <c r="FU87">
        <v>0.005</v>
      </c>
      <c r="FV87">
        <v>-0.057</v>
      </c>
      <c r="FW87">
        <v>0.065</v>
      </c>
      <c r="FX87">
        <v>400</v>
      </c>
      <c r="FY87">
        <v>17</v>
      </c>
      <c r="FZ87">
        <v>0.51</v>
      </c>
      <c r="GA87">
        <v>0.12</v>
      </c>
      <c r="GB87">
        <v>-0.43737415</v>
      </c>
      <c r="GC87">
        <v>-0.1252009305816124</v>
      </c>
      <c r="GD87">
        <v>0.0420246161728754</v>
      </c>
      <c r="GE87">
        <v>1</v>
      </c>
      <c r="GF87">
        <v>549.8859705882353</v>
      </c>
      <c r="GG87">
        <v>-0.776852564040631</v>
      </c>
      <c r="GH87">
        <v>0.2016773027116986</v>
      </c>
      <c r="GI87">
        <v>1</v>
      </c>
      <c r="GJ87">
        <v>0.15702095</v>
      </c>
      <c r="GK87">
        <v>-0.01833334333958761</v>
      </c>
      <c r="GL87">
        <v>0.003534836431505708</v>
      </c>
      <c r="GM87">
        <v>1</v>
      </c>
      <c r="GN87">
        <v>3</v>
      </c>
      <c r="GO87">
        <v>3</v>
      </c>
      <c r="GP87" t="s">
        <v>440</v>
      </c>
      <c r="GQ87">
        <v>3.10813</v>
      </c>
      <c r="GR87">
        <v>2.79171</v>
      </c>
      <c r="GS87">
        <v>0.0844539</v>
      </c>
      <c r="GT87">
        <v>0.0845303</v>
      </c>
      <c r="GU87">
        <v>0.0842721</v>
      </c>
      <c r="GV87">
        <v>0.0845731</v>
      </c>
      <c r="GW87">
        <v>24032.9</v>
      </c>
      <c r="GX87">
        <v>21816.4</v>
      </c>
      <c r="GY87">
        <v>26806.9</v>
      </c>
      <c r="GZ87">
        <v>24036.6</v>
      </c>
      <c r="HA87">
        <v>39233.1</v>
      </c>
      <c r="HB87">
        <v>32473.8</v>
      </c>
      <c r="HC87">
        <v>46788</v>
      </c>
      <c r="HD87">
        <v>38009.9</v>
      </c>
      <c r="HE87">
        <v>1.8934</v>
      </c>
      <c r="HF87">
        <v>1.85732</v>
      </c>
      <c r="HG87">
        <v>0.06772209999999999</v>
      </c>
      <c r="HH87">
        <v>0</v>
      </c>
      <c r="HI87">
        <v>23.8876</v>
      </c>
      <c r="HJ87">
        <v>999.9</v>
      </c>
      <c r="HK87">
        <v>39.7</v>
      </c>
      <c r="HL87">
        <v>31.5</v>
      </c>
      <c r="HM87">
        <v>20.5164</v>
      </c>
      <c r="HN87">
        <v>61.5974</v>
      </c>
      <c r="HO87">
        <v>28.0529</v>
      </c>
      <c r="HP87">
        <v>1</v>
      </c>
      <c r="HQ87">
        <v>0.0067378</v>
      </c>
      <c r="HR87">
        <v>1.22009</v>
      </c>
      <c r="HS87">
        <v>20.2898</v>
      </c>
      <c r="HT87">
        <v>5.22178</v>
      </c>
      <c r="HU87">
        <v>11.9763</v>
      </c>
      <c r="HV87">
        <v>4.96575</v>
      </c>
      <c r="HW87">
        <v>3.27588</v>
      </c>
      <c r="HX87">
        <v>9999</v>
      </c>
      <c r="HY87">
        <v>9999</v>
      </c>
      <c r="HZ87">
        <v>9999</v>
      </c>
      <c r="IA87">
        <v>999.9</v>
      </c>
      <c r="IB87">
        <v>1.8639</v>
      </c>
      <c r="IC87">
        <v>1.86006</v>
      </c>
      <c r="ID87">
        <v>1.85837</v>
      </c>
      <c r="IE87">
        <v>1.8597</v>
      </c>
      <c r="IF87">
        <v>1.85987</v>
      </c>
      <c r="IG87">
        <v>1.85837</v>
      </c>
      <c r="IH87">
        <v>1.85745</v>
      </c>
      <c r="II87">
        <v>1.8524</v>
      </c>
      <c r="IJ87">
        <v>0</v>
      </c>
      <c r="IK87">
        <v>0</v>
      </c>
      <c r="IL87">
        <v>0</v>
      </c>
      <c r="IM87">
        <v>0</v>
      </c>
      <c r="IN87" t="s">
        <v>441</v>
      </c>
      <c r="IO87" t="s">
        <v>442</v>
      </c>
      <c r="IP87" t="s">
        <v>443</v>
      </c>
      <c r="IQ87" t="s">
        <v>443</v>
      </c>
      <c r="IR87" t="s">
        <v>443</v>
      </c>
      <c r="IS87" t="s">
        <v>443</v>
      </c>
      <c r="IT87">
        <v>0</v>
      </c>
      <c r="IU87">
        <v>100</v>
      </c>
      <c r="IV87">
        <v>100</v>
      </c>
      <c r="IW87">
        <v>-0.057</v>
      </c>
      <c r="IX87">
        <v>0.065</v>
      </c>
      <c r="IY87">
        <v>-0.4887053929133388</v>
      </c>
      <c r="IZ87">
        <v>0.0001583678016168383</v>
      </c>
      <c r="JA87">
        <v>1.526473431467286E-06</v>
      </c>
      <c r="JB87">
        <v>-4.446382740029455E-10</v>
      </c>
      <c r="JC87">
        <v>-0.04566906544195481</v>
      </c>
      <c r="JD87">
        <v>-0.009941991807247691</v>
      </c>
      <c r="JE87">
        <v>0.001256427533001032</v>
      </c>
      <c r="JF87">
        <v>-1.689728105039484E-05</v>
      </c>
      <c r="JG87">
        <v>2</v>
      </c>
      <c r="JH87">
        <v>1984</v>
      </c>
      <c r="JI87">
        <v>0</v>
      </c>
      <c r="JJ87">
        <v>25</v>
      </c>
      <c r="JK87">
        <v>11.1</v>
      </c>
      <c r="JL87">
        <v>11.1</v>
      </c>
      <c r="JM87">
        <v>1.09131</v>
      </c>
      <c r="JN87">
        <v>2.62085</v>
      </c>
      <c r="JO87">
        <v>1.49658</v>
      </c>
      <c r="JP87">
        <v>2.34619</v>
      </c>
      <c r="JQ87">
        <v>1.54907</v>
      </c>
      <c r="JR87">
        <v>2.35474</v>
      </c>
      <c r="JS87">
        <v>35.4754</v>
      </c>
      <c r="JT87">
        <v>24.14</v>
      </c>
      <c r="JU87">
        <v>18</v>
      </c>
      <c r="JV87">
        <v>479.156</v>
      </c>
      <c r="JW87">
        <v>484.7</v>
      </c>
      <c r="JX87">
        <v>22.7091</v>
      </c>
      <c r="JY87">
        <v>27.2134</v>
      </c>
      <c r="JZ87">
        <v>30.0005</v>
      </c>
      <c r="KA87">
        <v>27.3865</v>
      </c>
      <c r="KB87">
        <v>27.3743</v>
      </c>
      <c r="KC87">
        <v>21.9371</v>
      </c>
      <c r="KD87">
        <v>19.4081</v>
      </c>
      <c r="KE87">
        <v>34.295</v>
      </c>
      <c r="KF87">
        <v>22.7107</v>
      </c>
      <c r="KG87">
        <v>400</v>
      </c>
      <c r="KH87">
        <v>16.8318</v>
      </c>
      <c r="KI87">
        <v>102.316</v>
      </c>
      <c r="KJ87">
        <v>91.68300000000001</v>
      </c>
    </row>
    <row r="88" spans="1:296">
      <c r="A88">
        <v>70</v>
      </c>
      <c r="B88">
        <v>1765309937</v>
      </c>
      <c r="C88">
        <v>12504</v>
      </c>
      <c r="D88" t="s">
        <v>655</v>
      </c>
      <c r="E88" t="s">
        <v>656</v>
      </c>
      <c r="F88">
        <v>5</v>
      </c>
      <c r="G88" t="s">
        <v>653</v>
      </c>
      <c r="H88">
        <v>1765309929.25</v>
      </c>
      <c r="I88">
        <f>(J88)/1000</f>
        <v>0</v>
      </c>
      <c r="J88">
        <f>IF(DO88, AM88, AG88)</f>
        <v>0</v>
      </c>
      <c r="K88">
        <f>IF(DO88, AH88, AF88)</f>
        <v>0</v>
      </c>
      <c r="L88">
        <f>DQ88 - IF(AT88&gt;1, K88*DK88*100.0/(AV88), 0)</f>
        <v>0</v>
      </c>
      <c r="M88">
        <f>((S88-I88/2)*L88-K88)/(S88+I88/2)</f>
        <v>0</v>
      </c>
      <c r="N88">
        <f>M88*(DX88+DY88)/1000.0</f>
        <v>0</v>
      </c>
      <c r="O88">
        <f>(DQ88 - IF(AT88&gt;1, K88*DK88*100.0/(AV88), 0))*(DX88+DY88)/1000.0</f>
        <v>0</v>
      </c>
      <c r="P88">
        <f>2.0/((1/R88-1/Q88)+SIGN(R88)*SQRT((1/R88-1/Q88)*(1/R88-1/Q88) + 4*DL88/((DL88+1)*(DL88+1))*(2*1/R88*1/Q88-1/Q88*1/Q88)))</f>
        <v>0</v>
      </c>
      <c r="Q88">
        <f>IF(LEFT(DM88,1)&lt;&gt;"0",IF(LEFT(DM88,1)="1",3.0,DN88),$D$5+$E$5*(EE88*DX88/($K$5*1000))+$F$5*(EE88*DX88/($K$5*1000))*MAX(MIN(DK88,$J$5),$I$5)*MAX(MIN(DK88,$J$5),$I$5)+$G$5*MAX(MIN(DK88,$J$5),$I$5)*(EE88*DX88/($K$5*1000))+$H$5*(EE88*DX88/($K$5*1000))*(EE88*DX88/($K$5*1000)))</f>
        <v>0</v>
      </c>
      <c r="R88">
        <f>I88*(1000-(1000*0.61365*exp(17.502*V88/(240.97+V88))/(DX88+DY88)+DS88)/2)/(1000*0.61365*exp(17.502*V88/(240.97+V88))/(DX88+DY88)-DS88)</f>
        <v>0</v>
      </c>
      <c r="S88">
        <f>1/((DL88+1)/(P88/1.6)+1/(Q88/1.37)) + DL88/((DL88+1)/(P88/1.6) + DL88/(Q88/1.37))</f>
        <v>0</v>
      </c>
      <c r="T88">
        <f>(DG88*DJ88)</f>
        <v>0</v>
      </c>
      <c r="U88">
        <f>(DZ88+(T88+2*0.95*5.67E-8*(((DZ88+$B$9)+273)^4-(DZ88+273)^4)-44100*I88)/(1.84*29.3*Q88+8*0.95*5.67E-8*(DZ88+273)^3))</f>
        <v>0</v>
      </c>
      <c r="V88">
        <f>($C$9*EA88+$D$9*EB88+$E$9*U88)</f>
        <v>0</v>
      </c>
      <c r="W88">
        <f>0.61365*exp(17.502*V88/(240.97+V88))</f>
        <v>0</v>
      </c>
      <c r="X88">
        <f>(Y88/Z88*100)</f>
        <v>0</v>
      </c>
      <c r="Y88">
        <f>DS88*(DX88+DY88)/1000</f>
        <v>0</v>
      </c>
      <c r="Z88">
        <f>0.61365*exp(17.502*DZ88/(240.97+DZ88))</f>
        <v>0</v>
      </c>
      <c r="AA88">
        <f>(W88-DS88*(DX88+DY88)/1000)</f>
        <v>0</v>
      </c>
      <c r="AB88">
        <f>(-I88*44100)</f>
        <v>0</v>
      </c>
      <c r="AC88">
        <f>2*29.3*Q88*0.92*(DZ88-V88)</f>
        <v>0</v>
      </c>
      <c r="AD88">
        <f>2*0.95*5.67E-8*(((DZ88+$B$9)+273)^4-(V88+273)^4)</f>
        <v>0</v>
      </c>
      <c r="AE88">
        <f>T88+AD88+AB88+AC88</f>
        <v>0</v>
      </c>
      <c r="AF88">
        <f>DW88*AT88*(DR88-DQ88*(1000-AT88*DT88)/(1000-AT88*DS88))/(100*DK88)</f>
        <v>0</v>
      </c>
      <c r="AG88">
        <f>1000*DW88*AT88*(DS88-DT88)/(100*DK88*(1000-AT88*DS88))</f>
        <v>0</v>
      </c>
      <c r="AH88">
        <f>(AI88 - AJ88 - DX88*1E3/(8.314*(DZ88+273.15)) * AL88/DW88 * AK88) * DW88/(100*DK88) * (1000 - DT88)/1000</f>
        <v>0</v>
      </c>
      <c r="AI88">
        <v>305.1593030066414</v>
      </c>
      <c r="AJ88">
        <v>305.0915212121212</v>
      </c>
      <c r="AK88">
        <v>-0.004686497560147413</v>
      </c>
      <c r="AL88">
        <v>65.53035717182405</v>
      </c>
      <c r="AM88">
        <f>(AO88 - AN88 + DX88*1E3/(8.314*(DZ88+273.15)) * AQ88/DW88 * AP88) * DW88/(100*DK88) * 1000/(1000 - AO88)</f>
        <v>0</v>
      </c>
      <c r="AN88">
        <v>16.79544424242424</v>
      </c>
      <c r="AO88">
        <v>16.95300181818181</v>
      </c>
      <c r="AP88">
        <v>1.561238761205621E-05</v>
      </c>
      <c r="AQ88">
        <v>105.3463902207373</v>
      </c>
      <c r="AR88">
        <v>0</v>
      </c>
      <c r="AS88">
        <v>0</v>
      </c>
      <c r="AT88">
        <f>IF(AR88*$H$15&gt;=AV88,1.0,(AV88/(AV88-AR88*$H$15)))</f>
        <v>0</v>
      </c>
      <c r="AU88">
        <f>(AT88-1)*100</f>
        <v>0</v>
      </c>
      <c r="AV88">
        <f>MAX(0,($B$15+$C$15*EE88)/(1+$D$15*EE88)*DX88/(DZ88+273)*$E$15)</f>
        <v>0</v>
      </c>
      <c r="AW88" t="s">
        <v>437</v>
      </c>
      <c r="AX88" t="s">
        <v>437</v>
      </c>
      <c r="AY88">
        <v>0</v>
      </c>
      <c r="AZ88">
        <v>0</v>
      </c>
      <c r="BA88">
        <f>1-AY88/AZ88</f>
        <v>0</v>
      </c>
      <c r="BB88">
        <v>0</v>
      </c>
      <c r="BC88" t="s">
        <v>437</v>
      </c>
      <c r="BD88" t="s">
        <v>437</v>
      </c>
      <c r="BE88">
        <v>0</v>
      </c>
      <c r="BF88">
        <v>0</v>
      </c>
      <c r="BG88">
        <f>1-BE88/BF88</f>
        <v>0</v>
      </c>
      <c r="BH88">
        <v>0.5</v>
      </c>
      <c r="BI88">
        <f>DH88</f>
        <v>0</v>
      </c>
      <c r="BJ88">
        <f>K88</f>
        <v>0</v>
      </c>
      <c r="BK88">
        <f>BG88*BH88*BI88</f>
        <v>0</v>
      </c>
      <c r="BL88">
        <f>(BJ88-BB88)/BI88</f>
        <v>0</v>
      </c>
      <c r="BM88">
        <f>(AZ88-BF88)/BF88</f>
        <v>0</v>
      </c>
      <c r="BN88">
        <f>AY88/(BA88+AY88/BF88)</f>
        <v>0</v>
      </c>
      <c r="BO88" t="s">
        <v>437</v>
      </c>
      <c r="BP88">
        <v>0</v>
      </c>
      <c r="BQ88">
        <f>IF(BP88&lt;&gt;0, BP88, BN88)</f>
        <v>0</v>
      </c>
      <c r="BR88">
        <f>1-BQ88/BF88</f>
        <v>0</v>
      </c>
      <c r="BS88">
        <f>(BF88-BE88)/(BF88-BQ88)</f>
        <v>0</v>
      </c>
      <c r="BT88">
        <f>(AZ88-BF88)/(AZ88-BQ88)</f>
        <v>0</v>
      </c>
      <c r="BU88">
        <f>(BF88-BE88)/(BF88-AY88)</f>
        <v>0</v>
      </c>
      <c r="BV88">
        <f>(AZ88-BF88)/(AZ88-AY88)</f>
        <v>0</v>
      </c>
      <c r="BW88">
        <f>(BS88*BQ88/BE88)</f>
        <v>0</v>
      </c>
      <c r="BX88">
        <f>(1-BW88)</f>
        <v>0</v>
      </c>
      <c r="DG88">
        <f>$B$13*EF88+$C$13*EG88+$F$13*ER88*(1-EU88)</f>
        <v>0</v>
      </c>
      <c r="DH88">
        <f>DG88*DI88</f>
        <v>0</v>
      </c>
      <c r="DI88">
        <f>($B$13*$D$11+$C$13*$D$11+$F$13*((FE88+EW88)/MAX(FE88+EW88+FF88, 0.1)*$I$11+FF88/MAX(FE88+EW88+FF88, 0.1)*$J$11))/($B$13+$C$13+$F$13)</f>
        <v>0</v>
      </c>
      <c r="DJ88">
        <f>($B$13*$K$11+$C$13*$K$11+$F$13*((FE88+EW88)/MAX(FE88+EW88+FF88, 0.1)*$P$11+FF88/MAX(FE88+EW88+FF88, 0.1)*$Q$11))/($B$13+$C$13+$F$13)</f>
        <v>0</v>
      </c>
      <c r="DK88">
        <v>5.66</v>
      </c>
      <c r="DL88">
        <v>0.5</v>
      </c>
      <c r="DM88" t="s">
        <v>438</v>
      </c>
      <c r="DN88">
        <v>2</v>
      </c>
      <c r="DO88" t="b">
        <v>1</v>
      </c>
      <c r="DP88">
        <v>1765309929.25</v>
      </c>
      <c r="DQ88">
        <v>299.9127</v>
      </c>
      <c r="DR88">
        <v>300.0113666666667</v>
      </c>
      <c r="DS88">
        <v>16.94791666666666</v>
      </c>
      <c r="DT88">
        <v>16.79742666666667</v>
      </c>
      <c r="DU88">
        <v>300.0847</v>
      </c>
      <c r="DV88">
        <v>16.88691666666666</v>
      </c>
      <c r="DW88">
        <v>500.0201</v>
      </c>
      <c r="DX88">
        <v>89.81817333333333</v>
      </c>
      <c r="DY88">
        <v>0.09999483333333334</v>
      </c>
      <c r="DZ88">
        <v>24.31945333333334</v>
      </c>
      <c r="EA88">
        <v>24.99802666666666</v>
      </c>
      <c r="EB88">
        <v>999.9000000000002</v>
      </c>
      <c r="EC88">
        <v>0</v>
      </c>
      <c r="ED88">
        <v>0</v>
      </c>
      <c r="EE88">
        <v>9997.681</v>
      </c>
      <c r="EF88">
        <v>0</v>
      </c>
      <c r="EG88">
        <v>9.729886333333331</v>
      </c>
      <c r="EH88">
        <v>-0.08993833000000002</v>
      </c>
      <c r="EI88">
        <v>305.0943</v>
      </c>
      <c r="EJ88">
        <v>305.1368333333334</v>
      </c>
      <c r="EK88">
        <v>0.1574054</v>
      </c>
      <c r="EL88">
        <v>300.0113666666667</v>
      </c>
      <c r="EM88">
        <v>16.79742666666667</v>
      </c>
      <c r="EN88">
        <v>1.522850333333333</v>
      </c>
      <c r="EO88">
        <v>1.508713333333333</v>
      </c>
      <c r="EP88">
        <v>13.19954333333333</v>
      </c>
      <c r="EQ88">
        <v>13.05675333333333</v>
      </c>
      <c r="ER88">
        <v>799.9957666666668</v>
      </c>
      <c r="ES88">
        <v>0.9500043</v>
      </c>
      <c r="ET88">
        <v>0.04999537</v>
      </c>
      <c r="EU88">
        <v>0</v>
      </c>
      <c r="EV88">
        <v>551.0071666666666</v>
      </c>
      <c r="EW88">
        <v>5.00078</v>
      </c>
      <c r="EX88">
        <v>4290.763</v>
      </c>
      <c r="EY88">
        <v>6463.394</v>
      </c>
      <c r="EZ88">
        <v>35.47893333333333</v>
      </c>
      <c r="FA88">
        <v>38.02273333333333</v>
      </c>
      <c r="FB88">
        <v>36.94346666666667</v>
      </c>
      <c r="FC88">
        <v>37.64139999999999</v>
      </c>
      <c r="FD88">
        <v>37.02473333333332</v>
      </c>
      <c r="FE88">
        <v>755.2486666666667</v>
      </c>
      <c r="FF88">
        <v>39.75</v>
      </c>
      <c r="FG88">
        <v>0</v>
      </c>
      <c r="FH88">
        <v>1765309936.7</v>
      </c>
      <c r="FI88">
        <v>0</v>
      </c>
      <c r="FJ88">
        <v>550.96888</v>
      </c>
      <c r="FK88">
        <v>0.05869231590908945</v>
      </c>
      <c r="FL88">
        <v>-0.7207692565066685</v>
      </c>
      <c r="FM88">
        <v>4290.7832</v>
      </c>
      <c r="FN88">
        <v>15</v>
      </c>
      <c r="FO88">
        <v>1765309968</v>
      </c>
      <c r="FP88" t="s">
        <v>657</v>
      </c>
      <c r="FQ88">
        <v>1765309968</v>
      </c>
      <c r="FR88">
        <v>1765309954</v>
      </c>
      <c r="FS88">
        <v>71</v>
      </c>
      <c r="FT88">
        <v>-0.008999999999999999</v>
      </c>
      <c r="FU88">
        <v>-0.004</v>
      </c>
      <c r="FV88">
        <v>-0.172</v>
      </c>
      <c r="FW88">
        <v>0.061</v>
      </c>
      <c r="FX88">
        <v>300</v>
      </c>
      <c r="FY88">
        <v>17</v>
      </c>
      <c r="FZ88">
        <v>0.29</v>
      </c>
      <c r="GA88">
        <v>0.12</v>
      </c>
      <c r="GB88">
        <v>-0.05776973</v>
      </c>
      <c r="GC88">
        <v>-0.4699470056285179</v>
      </c>
      <c r="GD88">
        <v>0.07209289456778734</v>
      </c>
      <c r="GE88">
        <v>1</v>
      </c>
      <c r="GF88">
        <v>550.9504705882352</v>
      </c>
      <c r="GG88">
        <v>0.3492436992025791</v>
      </c>
      <c r="GH88">
        <v>0.2540700731611779</v>
      </c>
      <c r="GI88">
        <v>1</v>
      </c>
      <c r="GJ88">
        <v>0.15716395</v>
      </c>
      <c r="GK88">
        <v>0.00364491557223227</v>
      </c>
      <c r="GL88">
        <v>0.0008221336554964769</v>
      </c>
      <c r="GM88">
        <v>1</v>
      </c>
      <c r="GN88">
        <v>3</v>
      </c>
      <c r="GO88">
        <v>3</v>
      </c>
      <c r="GP88" t="s">
        <v>440</v>
      </c>
      <c r="GQ88">
        <v>3.10812</v>
      </c>
      <c r="GR88">
        <v>2.7917</v>
      </c>
      <c r="GS88">
        <v>0.0674159</v>
      </c>
      <c r="GT88">
        <v>0.0674312</v>
      </c>
      <c r="GU88">
        <v>0.0843344</v>
      </c>
      <c r="GV88">
        <v>0.0845385</v>
      </c>
      <c r="GW88">
        <v>24475</v>
      </c>
      <c r="GX88">
        <v>22220.1</v>
      </c>
      <c r="GY88">
        <v>26801.7</v>
      </c>
      <c r="GZ88">
        <v>24033</v>
      </c>
      <c r="HA88">
        <v>39220.7</v>
      </c>
      <c r="HB88">
        <v>32469</v>
      </c>
      <c r="HC88">
        <v>46778.8</v>
      </c>
      <c r="HD88">
        <v>38004.9</v>
      </c>
      <c r="HE88">
        <v>1.89205</v>
      </c>
      <c r="HF88">
        <v>1.85525</v>
      </c>
      <c r="HG88">
        <v>0.06635489999999999</v>
      </c>
      <c r="HH88">
        <v>0</v>
      </c>
      <c r="HI88">
        <v>23.9098</v>
      </c>
      <c r="HJ88">
        <v>999.9</v>
      </c>
      <c r="HK88">
        <v>39.7</v>
      </c>
      <c r="HL88">
        <v>31.5</v>
      </c>
      <c r="HM88">
        <v>20.5171</v>
      </c>
      <c r="HN88">
        <v>61.3074</v>
      </c>
      <c r="HO88">
        <v>28.0048</v>
      </c>
      <c r="HP88">
        <v>1</v>
      </c>
      <c r="HQ88">
        <v>0.0160417</v>
      </c>
      <c r="HR88">
        <v>1.27708</v>
      </c>
      <c r="HS88">
        <v>20.2896</v>
      </c>
      <c r="HT88">
        <v>5.21939</v>
      </c>
      <c r="HU88">
        <v>11.9775</v>
      </c>
      <c r="HV88">
        <v>4.96545</v>
      </c>
      <c r="HW88">
        <v>3.27578</v>
      </c>
      <c r="HX88">
        <v>9999</v>
      </c>
      <c r="HY88">
        <v>9999</v>
      </c>
      <c r="HZ88">
        <v>9999</v>
      </c>
      <c r="IA88">
        <v>999.9</v>
      </c>
      <c r="IB88">
        <v>1.86389</v>
      </c>
      <c r="IC88">
        <v>1.86006</v>
      </c>
      <c r="ID88">
        <v>1.85837</v>
      </c>
      <c r="IE88">
        <v>1.85969</v>
      </c>
      <c r="IF88">
        <v>1.85987</v>
      </c>
      <c r="IG88">
        <v>1.85837</v>
      </c>
      <c r="IH88">
        <v>1.85743</v>
      </c>
      <c r="II88">
        <v>1.85241</v>
      </c>
      <c r="IJ88">
        <v>0</v>
      </c>
      <c r="IK88">
        <v>0</v>
      </c>
      <c r="IL88">
        <v>0</v>
      </c>
      <c r="IM88">
        <v>0</v>
      </c>
      <c r="IN88" t="s">
        <v>441</v>
      </c>
      <c r="IO88" t="s">
        <v>442</v>
      </c>
      <c r="IP88" t="s">
        <v>443</v>
      </c>
      <c r="IQ88" t="s">
        <v>443</v>
      </c>
      <c r="IR88" t="s">
        <v>443</v>
      </c>
      <c r="IS88" t="s">
        <v>443</v>
      </c>
      <c r="IT88">
        <v>0</v>
      </c>
      <c r="IU88">
        <v>100</v>
      </c>
      <c r="IV88">
        <v>100</v>
      </c>
      <c r="IW88">
        <v>-0.172</v>
      </c>
      <c r="IX88">
        <v>0.061</v>
      </c>
      <c r="IY88">
        <v>-0.3362154674037371</v>
      </c>
      <c r="IZ88">
        <v>0.0001583678016168383</v>
      </c>
      <c r="JA88">
        <v>1.526473431467286E-06</v>
      </c>
      <c r="JB88">
        <v>-4.446382740029455E-10</v>
      </c>
      <c r="JC88">
        <v>-0.04112737681449334</v>
      </c>
      <c r="JD88">
        <v>-0.009941991807247691</v>
      </c>
      <c r="JE88">
        <v>0.001256427533001032</v>
      </c>
      <c r="JF88">
        <v>-1.689728105039484E-05</v>
      </c>
      <c r="JG88">
        <v>2</v>
      </c>
      <c r="JH88">
        <v>1984</v>
      </c>
      <c r="JI88">
        <v>0</v>
      </c>
      <c r="JJ88">
        <v>25</v>
      </c>
      <c r="JK88">
        <v>1.2</v>
      </c>
      <c r="JL88">
        <v>1.2</v>
      </c>
      <c r="JM88">
        <v>0.8691410000000001</v>
      </c>
      <c r="JN88">
        <v>2.61963</v>
      </c>
      <c r="JO88">
        <v>1.49658</v>
      </c>
      <c r="JP88">
        <v>2.34497</v>
      </c>
      <c r="JQ88">
        <v>1.54907</v>
      </c>
      <c r="JR88">
        <v>2.38159</v>
      </c>
      <c r="JS88">
        <v>35.4986</v>
      </c>
      <c r="JT88">
        <v>24.14</v>
      </c>
      <c r="JU88">
        <v>18</v>
      </c>
      <c r="JV88">
        <v>479.196</v>
      </c>
      <c r="JW88">
        <v>484.217</v>
      </c>
      <c r="JX88">
        <v>22.6998</v>
      </c>
      <c r="JY88">
        <v>27.3342</v>
      </c>
      <c r="JZ88">
        <v>30.0006</v>
      </c>
      <c r="KA88">
        <v>27.4925</v>
      </c>
      <c r="KB88">
        <v>27.4757</v>
      </c>
      <c r="KC88">
        <v>17.4831</v>
      </c>
      <c r="KD88">
        <v>19.1314</v>
      </c>
      <c r="KE88">
        <v>34.295</v>
      </c>
      <c r="KF88">
        <v>22.7012</v>
      </c>
      <c r="KG88">
        <v>300</v>
      </c>
      <c r="KH88">
        <v>16.8532</v>
      </c>
      <c r="KI88">
        <v>102.296</v>
      </c>
      <c r="KJ88">
        <v>91.6703</v>
      </c>
    </row>
    <row r="89" spans="1:296">
      <c r="A89">
        <v>71</v>
      </c>
      <c r="B89">
        <v>1765310042</v>
      </c>
      <c r="C89">
        <v>12609</v>
      </c>
      <c r="D89" t="s">
        <v>658</v>
      </c>
      <c r="E89" t="s">
        <v>659</v>
      </c>
      <c r="F89">
        <v>5</v>
      </c>
      <c r="G89" t="s">
        <v>653</v>
      </c>
      <c r="H89">
        <v>1765310034</v>
      </c>
      <c r="I89">
        <f>(J89)/1000</f>
        <v>0</v>
      </c>
      <c r="J89">
        <f>IF(DO89, AM89, AG89)</f>
        <v>0</v>
      </c>
      <c r="K89">
        <f>IF(DO89, AH89, AF89)</f>
        <v>0</v>
      </c>
      <c r="L89">
        <f>DQ89 - IF(AT89&gt;1, K89*DK89*100.0/(AV89), 0)</f>
        <v>0</v>
      </c>
      <c r="M89">
        <f>((S89-I89/2)*L89-K89)/(S89+I89/2)</f>
        <v>0</v>
      </c>
      <c r="N89">
        <f>M89*(DX89+DY89)/1000.0</f>
        <v>0</v>
      </c>
      <c r="O89">
        <f>(DQ89 - IF(AT89&gt;1, K89*DK89*100.0/(AV89), 0))*(DX89+DY89)/1000.0</f>
        <v>0</v>
      </c>
      <c r="P89">
        <f>2.0/((1/R89-1/Q89)+SIGN(R89)*SQRT((1/R89-1/Q89)*(1/R89-1/Q89) + 4*DL89/((DL89+1)*(DL89+1))*(2*1/R89*1/Q89-1/Q89*1/Q89)))</f>
        <v>0</v>
      </c>
      <c r="Q89">
        <f>IF(LEFT(DM89,1)&lt;&gt;"0",IF(LEFT(DM89,1)="1",3.0,DN89),$D$5+$E$5*(EE89*DX89/($K$5*1000))+$F$5*(EE89*DX89/($K$5*1000))*MAX(MIN(DK89,$J$5),$I$5)*MAX(MIN(DK89,$J$5),$I$5)+$G$5*MAX(MIN(DK89,$J$5),$I$5)*(EE89*DX89/($K$5*1000))+$H$5*(EE89*DX89/($K$5*1000))*(EE89*DX89/($K$5*1000)))</f>
        <v>0</v>
      </c>
      <c r="R89">
        <f>I89*(1000-(1000*0.61365*exp(17.502*V89/(240.97+V89))/(DX89+DY89)+DS89)/2)/(1000*0.61365*exp(17.502*V89/(240.97+V89))/(DX89+DY89)-DS89)</f>
        <v>0</v>
      </c>
      <c r="S89">
        <f>1/((DL89+1)/(P89/1.6)+1/(Q89/1.37)) + DL89/((DL89+1)/(P89/1.6) + DL89/(Q89/1.37))</f>
        <v>0</v>
      </c>
      <c r="T89">
        <f>(DG89*DJ89)</f>
        <v>0</v>
      </c>
      <c r="U89">
        <f>(DZ89+(T89+2*0.95*5.67E-8*(((DZ89+$B$9)+273)^4-(DZ89+273)^4)-44100*I89)/(1.84*29.3*Q89+8*0.95*5.67E-8*(DZ89+273)^3))</f>
        <v>0</v>
      </c>
      <c r="V89">
        <f>($C$9*EA89+$D$9*EB89+$E$9*U89)</f>
        <v>0</v>
      </c>
      <c r="W89">
        <f>0.61365*exp(17.502*V89/(240.97+V89))</f>
        <v>0</v>
      </c>
      <c r="X89">
        <f>(Y89/Z89*100)</f>
        <v>0</v>
      </c>
      <c r="Y89">
        <f>DS89*(DX89+DY89)/1000</f>
        <v>0</v>
      </c>
      <c r="Z89">
        <f>0.61365*exp(17.502*DZ89/(240.97+DZ89))</f>
        <v>0</v>
      </c>
      <c r="AA89">
        <f>(W89-DS89*(DX89+DY89)/1000)</f>
        <v>0</v>
      </c>
      <c r="AB89">
        <f>(-I89*44100)</f>
        <v>0</v>
      </c>
      <c r="AC89">
        <f>2*29.3*Q89*0.92*(DZ89-V89)</f>
        <v>0</v>
      </c>
      <c r="AD89">
        <f>2*0.95*5.67E-8*(((DZ89+$B$9)+273)^4-(V89+273)^4)</f>
        <v>0</v>
      </c>
      <c r="AE89">
        <f>T89+AD89+AB89+AC89</f>
        <v>0</v>
      </c>
      <c r="AF89">
        <f>DW89*AT89*(DR89-DQ89*(1000-AT89*DT89)/(1000-AT89*DS89))/(100*DK89)</f>
        <v>0</v>
      </c>
      <c r="AG89">
        <f>1000*DW89*AT89*(DS89-DT89)/(100*DK89*(1000-AT89*DS89))</f>
        <v>0</v>
      </c>
      <c r="AH89">
        <f>(AI89 - AJ89 - DX89*1E3/(8.314*(DZ89+273.15)) * AL89/DW89 * AK89) * DW89/(100*DK89) * (1000 - DT89)/1000</f>
        <v>0</v>
      </c>
      <c r="AI89">
        <v>203.4036275384396</v>
      </c>
      <c r="AJ89">
        <v>203.4570727272726</v>
      </c>
      <c r="AK89">
        <v>0.0004040027238502425</v>
      </c>
      <c r="AL89">
        <v>65.4954206029678</v>
      </c>
      <c r="AM89">
        <f>(AO89 - AN89 + DX89*1E3/(8.314*(DZ89+273.15)) * AQ89/DW89 * AP89) * DW89/(100*DK89) * 1000/(1000 - AO89)</f>
        <v>0</v>
      </c>
      <c r="AN89">
        <v>16.82991333333333</v>
      </c>
      <c r="AO89">
        <v>16.98286545454545</v>
      </c>
      <c r="AP89">
        <v>8.137206304812262E-06</v>
      </c>
      <c r="AQ89">
        <v>105.1471730814814</v>
      </c>
      <c r="AR89">
        <v>0</v>
      </c>
      <c r="AS89">
        <v>0</v>
      </c>
      <c r="AT89">
        <f>IF(AR89*$H$15&gt;=AV89,1.0,(AV89/(AV89-AR89*$H$15)))</f>
        <v>0</v>
      </c>
      <c r="AU89">
        <f>(AT89-1)*100</f>
        <v>0</v>
      </c>
      <c r="AV89">
        <f>MAX(0,($B$15+$C$15*EE89)/(1+$D$15*EE89)*DX89/(DZ89+273)*$E$15)</f>
        <v>0</v>
      </c>
      <c r="AW89" t="s">
        <v>437</v>
      </c>
      <c r="AX89" t="s">
        <v>437</v>
      </c>
      <c r="AY89">
        <v>0</v>
      </c>
      <c r="AZ89">
        <v>0</v>
      </c>
      <c r="BA89">
        <f>1-AY89/AZ89</f>
        <v>0</v>
      </c>
      <c r="BB89">
        <v>0</v>
      </c>
      <c r="BC89" t="s">
        <v>437</v>
      </c>
      <c r="BD89" t="s">
        <v>437</v>
      </c>
      <c r="BE89">
        <v>0</v>
      </c>
      <c r="BF89">
        <v>0</v>
      </c>
      <c r="BG89">
        <f>1-BE89/BF89</f>
        <v>0</v>
      </c>
      <c r="BH89">
        <v>0.5</v>
      </c>
      <c r="BI89">
        <f>DH89</f>
        <v>0</v>
      </c>
      <c r="BJ89">
        <f>K89</f>
        <v>0</v>
      </c>
      <c r="BK89">
        <f>BG89*BH89*BI89</f>
        <v>0</v>
      </c>
      <c r="BL89">
        <f>(BJ89-BB89)/BI89</f>
        <v>0</v>
      </c>
      <c r="BM89">
        <f>(AZ89-BF89)/BF89</f>
        <v>0</v>
      </c>
      <c r="BN89">
        <f>AY89/(BA89+AY89/BF89)</f>
        <v>0</v>
      </c>
      <c r="BO89" t="s">
        <v>437</v>
      </c>
      <c r="BP89">
        <v>0</v>
      </c>
      <c r="BQ89">
        <f>IF(BP89&lt;&gt;0, BP89, BN89)</f>
        <v>0</v>
      </c>
      <c r="BR89">
        <f>1-BQ89/BF89</f>
        <v>0</v>
      </c>
      <c r="BS89">
        <f>(BF89-BE89)/(BF89-BQ89)</f>
        <v>0</v>
      </c>
      <c r="BT89">
        <f>(AZ89-BF89)/(AZ89-BQ89)</f>
        <v>0</v>
      </c>
      <c r="BU89">
        <f>(BF89-BE89)/(BF89-AY89)</f>
        <v>0</v>
      </c>
      <c r="BV89">
        <f>(AZ89-BF89)/(AZ89-AY89)</f>
        <v>0</v>
      </c>
      <c r="BW89">
        <f>(BS89*BQ89/BE89)</f>
        <v>0</v>
      </c>
      <c r="BX89">
        <f>(1-BW89)</f>
        <v>0</v>
      </c>
      <c r="DG89">
        <f>$B$13*EF89+$C$13*EG89+$F$13*ER89*(1-EU89)</f>
        <v>0</v>
      </c>
      <c r="DH89">
        <f>DG89*DI89</f>
        <v>0</v>
      </c>
      <c r="DI89">
        <f>($B$13*$D$11+$C$13*$D$11+$F$13*((FE89+EW89)/MAX(FE89+EW89+FF89, 0.1)*$I$11+FF89/MAX(FE89+EW89+FF89, 0.1)*$J$11))/($B$13+$C$13+$F$13)</f>
        <v>0</v>
      </c>
      <c r="DJ89">
        <f>($B$13*$K$11+$C$13*$K$11+$F$13*((FE89+EW89)/MAX(FE89+EW89+FF89, 0.1)*$P$11+FF89/MAX(FE89+EW89+FF89, 0.1)*$Q$11))/($B$13+$C$13+$F$13)</f>
        <v>0</v>
      </c>
      <c r="DK89">
        <v>5.66</v>
      </c>
      <c r="DL89">
        <v>0.5</v>
      </c>
      <c r="DM89" t="s">
        <v>438</v>
      </c>
      <c r="DN89">
        <v>2</v>
      </c>
      <c r="DO89" t="b">
        <v>1</v>
      </c>
      <c r="DP89">
        <v>1765310034</v>
      </c>
      <c r="DQ89">
        <v>200.0423225806451</v>
      </c>
      <c r="DR89">
        <v>199.9955806451613</v>
      </c>
      <c r="DS89">
        <v>16.98112580645162</v>
      </c>
      <c r="DT89">
        <v>16.83071612903226</v>
      </c>
      <c r="DU89">
        <v>200.2463225806451</v>
      </c>
      <c r="DV89">
        <v>16.92012580645162</v>
      </c>
      <c r="DW89">
        <v>500.0138064516129</v>
      </c>
      <c r="DX89">
        <v>89.81420967741936</v>
      </c>
      <c r="DY89">
        <v>0.09998575483870968</v>
      </c>
      <c r="DZ89">
        <v>24.33211290322581</v>
      </c>
      <c r="EA89">
        <v>25.00816451612904</v>
      </c>
      <c r="EB89">
        <v>999.9000000000003</v>
      </c>
      <c r="EC89">
        <v>0</v>
      </c>
      <c r="ED89">
        <v>0</v>
      </c>
      <c r="EE89">
        <v>9999.596774193549</v>
      </c>
      <c r="EF89">
        <v>0</v>
      </c>
      <c r="EG89">
        <v>9.714249999999998</v>
      </c>
      <c r="EH89">
        <v>-0.005365682090322581</v>
      </c>
      <c r="EI89">
        <v>203.4457741935484</v>
      </c>
      <c r="EJ89">
        <v>203.4192903225807</v>
      </c>
      <c r="EK89">
        <v>0.1538712903225807</v>
      </c>
      <c r="EL89">
        <v>199.9955806451613</v>
      </c>
      <c r="EM89">
        <v>16.83071612903226</v>
      </c>
      <c r="EN89">
        <v>1.525457096774194</v>
      </c>
      <c r="EO89">
        <v>1.511637419354839</v>
      </c>
      <c r="EP89">
        <v>13.22572903225807</v>
      </c>
      <c r="EQ89">
        <v>13.08638709677419</v>
      </c>
      <c r="ER89">
        <v>800.0084516129032</v>
      </c>
      <c r="ES89">
        <v>0.9500035483870964</v>
      </c>
      <c r="ET89">
        <v>0.04999639032258065</v>
      </c>
      <c r="EU89">
        <v>0</v>
      </c>
      <c r="EV89">
        <v>550.6537419354838</v>
      </c>
      <c r="EW89">
        <v>5.000779999999999</v>
      </c>
      <c r="EX89">
        <v>4308.827096774194</v>
      </c>
      <c r="EY89">
        <v>6463.492903225805</v>
      </c>
      <c r="EZ89">
        <v>36.55635483870968</v>
      </c>
      <c r="FA89">
        <v>40.26183870967741</v>
      </c>
      <c r="FB89">
        <v>38.52803225806451</v>
      </c>
      <c r="FC89">
        <v>40.22558064516129</v>
      </c>
      <c r="FD89">
        <v>38.89280645161289</v>
      </c>
      <c r="FE89">
        <v>755.2593548387097</v>
      </c>
      <c r="FF89">
        <v>39.75</v>
      </c>
      <c r="FG89">
        <v>0</v>
      </c>
      <c r="FH89">
        <v>1765310041.7</v>
      </c>
      <c r="FI89">
        <v>0</v>
      </c>
      <c r="FJ89">
        <v>550.6268076923077</v>
      </c>
      <c r="FK89">
        <v>-0.6430427379864851</v>
      </c>
      <c r="FL89">
        <v>6.864615414900244</v>
      </c>
      <c r="FM89">
        <v>4308.911923076923</v>
      </c>
      <c r="FN89">
        <v>15</v>
      </c>
      <c r="FO89">
        <v>1765310059</v>
      </c>
      <c r="FP89" t="s">
        <v>660</v>
      </c>
      <c r="FQ89">
        <v>1765310056.5</v>
      </c>
      <c r="FR89">
        <v>1765310059</v>
      </c>
      <c r="FS89">
        <v>72</v>
      </c>
      <c r="FT89">
        <v>0.052</v>
      </c>
      <c r="FU89">
        <v>-0</v>
      </c>
      <c r="FV89">
        <v>-0.204</v>
      </c>
      <c r="FW89">
        <v>0.061</v>
      </c>
      <c r="FX89">
        <v>200</v>
      </c>
      <c r="FY89">
        <v>17</v>
      </c>
      <c r="FZ89">
        <v>0.44</v>
      </c>
      <c r="GA89">
        <v>0.21</v>
      </c>
      <c r="GB89">
        <v>0.02190626138</v>
      </c>
      <c r="GC89">
        <v>-0.4026242960330209</v>
      </c>
      <c r="GD89">
        <v>0.06138440746120628</v>
      </c>
      <c r="GE89">
        <v>1</v>
      </c>
      <c r="GF89">
        <v>550.6631176470589</v>
      </c>
      <c r="GG89">
        <v>-0.2248433874625274</v>
      </c>
      <c r="GH89">
        <v>0.1738751689990918</v>
      </c>
      <c r="GI89">
        <v>1</v>
      </c>
      <c r="GJ89">
        <v>0.152561875</v>
      </c>
      <c r="GK89">
        <v>0.01532290806754224</v>
      </c>
      <c r="GL89">
        <v>0.002712908754340073</v>
      </c>
      <c r="GM89">
        <v>1</v>
      </c>
      <c r="GN89">
        <v>3</v>
      </c>
      <c r="GO89">
        <v>3</v>
      </c>
      <c r="GP89" t="s">
        <v>440</v>
      </c>
      <c r="GQ89">
        <v>3.10808</v>
      </c>
      <c r="GR89">
        <v>2.79163</v>
      </c>
      <c r="GS89">
        <v>0.0479998</v>
      </c>
      <c r="GT89">
        <v>0.0479561</v>
      </c>
      <c r="GU89">
        <v>0.0844246</v>
      </c>
      <c r="GV89">
        <v>0.08463420000000001</v>
      </c>
      <c r="GW89">
        <v>24977</v>
      </c>
      <c r="GX89">
        <v>22678.5</v>
      </c>
      <c r="GY89">
        <v>26794.1</v>
      </c>
      <c r="GZ89">
        <v>24027.5</v>
      </c>
      <c r="HA89">
        <v>39203.4</v>
      </c>
      <c r="HB89">
        <v>32458</v>
      </c>
      <c r="HC89">
        <v>46765.4</v>
      </c>
      <c r="HD89">
        <v>37998.2</v>
      </c>
      <c r="HE89">
        <v>1.8903</v>
      </c>
      <c r="HF89">
        <v>1.8533</v>
      </c>
      <c r="HG89">
        <v>0.0657924</v>
      </c>
      <c r="HH89">
        <v>0</v>
      </c>
      <c r="HI89">
        <v>23.9289</v>
      </c>
      <c r="HJ89">
        <v>999.9</v>
      </c>
      <c r="HK89">
        <v>39.7</v>
      </c>
      <c r="HL89">
        <v>31.5</v>
      </c>
      <c r="HM89">
        <v>20.5178</v>
      </c>
      <c r="HN89">
        <v>61.3975</v>
      </c>
      <c r="HO89">
        <v>28.0048</v>
      </c>
      <c r="HP89">
        <v>1</v>
      </c>
      <c r="HQ89">
        <v>0.0277947</v>
      </c>
      <c r="HR89">
        <v>1.38083</v>
      </c>
      <c r="HS89">
        <v>20.2905</v>
      </c>
      <c r="HT89">
        <v>5.22058</v>
      </c>
      <c r="HU89">
        <v>11.9798</v>
      </c>
      <c r="HV89">
        <v>4.96515</v>
      </c>
      <c r="HW89">
        <v>3.2759</v>
      </c>
      <c r="HX89">
        <v>9999</v>
      </c>
      <c r="HY89">
        <v>9999</v>
      </c>
      <c r="HZ89">
        <v>9999</v>
      </c>
      <c r="IA89">
        <v>999.9</v>
      </c>
      <c r="IB89">
        <v>1.8639</v>
      </c>
      <c r="IC89">
        <v>1.86005</v>
      </c>
      <c r="ID89">
        <v>1.85837</v>
      </c>
      <c r="IE89">
        <v>1.85967</v>
      </c>
      <c r="IF89">
        <v>1.85988</v>
      </c>
      <c r="IG89">
        <v>1.85837</v>
      </c>
      <c r="IH89">
        <v>1.85741</v>
      </c>
      <c r="II89">
        <v>1.85238</v>
      </c>
      <c r="IJ89">
        <v>0</v>
      </c>
      <c r="IK89">
        <v>0</v>
      </c>
      <c r="IL89">
        <v>0</v>
      </c>
      <c r="IM89">
        <v>0</v>
      </c>
      <c r="IN89" t="s">
        <v>441</v>
      </c>
      <c r="IO89" t="s">
        <v>442</v>
      </c>
      <c r="IP89" t="s">
        <v>443</v>
      </c>
      <c r="IQ89" t="s">
        <v>443</v>
      </c>
      <c r="IR89" t="s">
        <v>443</v>
      </c>
      <c r="IS89" t="s">
        <v>443</v>
      </c>
      <c r="IT89">
        <v>0</v>
      </c>
      <c r="IU89">
        <v>100</v>
      </c>
      <c r="IV89">
        <v>100</v>
      </c>
      <c r="IW89">
        <v>-0.204</v>
      </c>
      <c r="IX89">
        <v>0.061</v>
      </c>
      <c r="IY89">
        <v>-0.3454376961881506</v>
      </c>
      <c r="IZ89">
        <v>0.0001583678016168383</v>
      </c>
      <c r="JA89">
        <v>1.526473431467286E-06</v>
      </c>
      <c r="JB89">
        <v>-4.446382740029455E-10</v>
      </c>
      <c r="JC89">
        <v>-0.04517769351195361</v>
      </c>
      <c r="JD89">
        <v>-0.009941991807247691</v>
      </c>
      <c r="JE89">
        <v>0.001256427533001032</v>
      </c>
      <c r="JF89">
        <v>-1.689728105039484E-05</v>
      </c>
      <c r="JG89">
        <v>2</v>
      </c>
      <c r="JH89">
        <v>1984</v>
      </c>
      <c r="JI89">
        <v>0</v>
      </c>
      <c r="JJ89">
        <v>25</v>
      </c>
      <c r="JK89">
        <v>1.2</v>
      </c>
      <c r="JL89">
        <v>1.5</v>
      </c>
      <c r="JM89">
        <v>0.637207</v>
      </c>
      <c r="JN89">
        <v>2.63306</v>
      </c>
      <c r="JO89">
        <v>1.49658</v>
      </c>
      <c r="JP89">
        <v>2.34619</v>
      </c>
      <c r="JQ89">
        <v>1.54907</v>
      </c>
      <c r="JR89">
        <v>2.35474</v>
      </c>
      <c r="JS89">
        <v>35.5218</v>
      </c>
      <c r="JT89">
        <v>24.14</v>
      </c>
      <c r="JU89">
        <v>18</v>
      </c>
      <c r="JV89">
        <v>479.164</v>
      </c>
      <c r="JW89">
        <v>483.996</v>
      </c>
      <c r="JX89">
        <v>22.6692</v>
      </c>
      <c r="JY89">
        <v>27.4743</v>
      </c>
      <c r="JZ89">
        <v>30.0006</v>
      </c>
      <c r="KA89">
        <v>27.6194</v>
      </c>
      <c r="KB89">
        <v>27.599</v>
      </c>
      <c r="KC89">
        <v>12.8357</v>
      </c>
      <c r="KD89">
        <v>18.7542</v>
      </c>
      <c r="KE89">
        <v>33.9247</v>
      </c>
      <c r="KF89">
        <v>22.6649</v>
      </c>
      <c r="KG89">
        <v>200</v>
      </c>
      <c r="KH89">
        <v>16.8671</v>
      </c>
      <c r="KI89">
        <v>102.267</v>
      </c>
      <c r="KJ89">
        <v>91.6524</v>
      </c>
    </row>
    <row r="90" spans="1:296">
      <c r="A90">
        <v>72</v>
      </c>
      <c r="B90">
        <v>1765310134</v>
      </c>
      <c r="C90">
        <v>12701</v>
      </c>
      <c r="D90" t="s">
        <v>661</v>
      </c>
      <c r="E90" t="s">
        <v>662</v>
      </c>
      <c r="F90">
        <v>5</v>
      </c>
      <c r="G90" t="s">
        <v>653</v>
      </c>
      <c r="H90">
        <v>1765310126</v>
      </c>
      <c r="I90">
        <f>(J90)/1000</f>
        <v>0</v>
      </c>
      <c r="J90">
        <f>IF(DO90, AM90, AG90)</f>
        <v>0</v>
      </c>
      <c r="K90">
        <f>IF(DO90, AH90, AF90)</f>
        <v>0</v>
      </c>
      <c r="L90">
        <f>DQ90 - IF(AT90&gt;1, K90*DK90*100.0/(AV90), 0)</f>
        <v>0</v>
      </c>
      <c r="M90">
        <f>((S90-I90/2)*L90-K90)/(S90+I90/2)</f>
        <v>0</v>
      </c>
      <c r="N90">
        <f>M90*(DX90+DY90)/1000.0</f>
        <v>0</v>
      </c>
      <c r="O90">
        <f>(DQ90 - IF(AT90&gt;1, K90*DK90*100.0/(AV90), 0))*(DX90+DY90)/1000.0</f>
        <v>0</v>
      </c>
      <c r="P90">
        <f>2.0/((1/R90-1/Q90)+SIGN(R90)*SQRT((1/R90-1/Q90)*(1/R90-1/Q90) + 4*DL90/((DL90+1)*(DL90+1))*(2*1/R90*1/Q90-1/Q90*1/Q90)))</f>
        <v>0</v>
      </c>
      <c r="Q90">
        <f>IF(LEFT(DM90,1)&lt;&gt;"0",IF(LEFT(DM90,1)="1",3.0,DN90),$D$5+$E$5*(EE90*DX90/($K$5*1000))+$F$5*(EE90*DX90/($K$5*1000))*MAX(MIN(DK90,$J$5),$I$5)*MAX(MIN(DK90,$J$5),$I$5)+$G$5*MAX(MIN(DK90,$J$5),$I$5)*(EE90*DX90/($K$5*1000))+$H$5*(EE90*DX90/($K$5*1000))*(EE90*DX90/($K$5*1000)))</f>
        <v>0</v>
      </c>
      <c r="R90">
        <f>I90*(1000-(1000*0.61365*exp(17.502*V90/(240.97+V90))/(DX90+DY90)+DS90)/2)/(1000*0.61365*exp(17.502*V90/(240.97+V90))/(DX90+DY90)-DS90)</f>
        <v>0</v>
      </c>
      <c r="S90">
        <f>1/((DL90+1)/(P90/1.6)+1/(Q90/1.37)) + DL90/((DL90+1)/(P90/1.6) + DL90/(Q90/1.37))</f>
        <v>0</v>
      </c>
      <c r="T90">
        <f>(DG90*DJ90)</f>
        <v>0</v>
      </c>
      <c r="U90">
        <f>(DZ90+(T90+2*0.95*5.67E-8*(((DZ90+$B$9)+273)^4-(DZ90+273)^4)-44100*I90)/(1.84*29.3*Q90+8*0.95*5.67E-8*(DZ90+273)^3))</f>
        <v>0</v>
      </c>
      <c r="V90">
        <f>($C$9*EA90+$D$9*EB90+$E$9*U90)</f>
        <v>0</v>
      </c>
      <c r="W90">
        <f>0.61365*exp(17.502*V90/(240.97+V90))</f>
        <v>0</v>
      </c>
      <c r="X90">
        <f>(Y90/Z90*100)</f>
        <v>0</v>
      </c>
      <c r="Y90">
        <f>DS90*(DX90+DY90)/1000</f>
        <v>0</v>
      </c>
      <c r="Z90">
        <f>0.61365*exp(17.502*DZ90/(240.97+DZ90))</f>
        <v>0</v>
      </c>
      <c r="AA90">
        <f>(W90-DS90*(DX90+DY90)/1000)</f>
        <v>0</v>
      </c>
      <c r="AB90">
        <f>(-I90*44100)</f>
        <v>0</v>
      </c>
      <c r="AC90">
        <f>2*29.3*Q90*0.92*(DZ90-V90)</f>
        <v>0</v>
      </c>
      <c r="AD90">
        <f>2*0.95*5.67E-8*(((DZ90+$B$9)+273)^4-(V90+273)^4)</f>
        <v>0</v>
      </c>
      <c r="AE90">
        <f>T90+AD90+AB90+AC90</f>
        <v>0</v>
      </c>
      <c r="AF90">
        <f>DW90*AT90*(DR90-DQ90*(1000-AT90*DT90)/(1000-AT90*DS90))/(100*DK90)</f>
        <v>0</v>
      </c>
      <c r="AG90">
        <f>1000*DW90*AT90*(DS90-DT90)/(100*DK90*(1000-AT90*DS90))</f>
        <v>0</v>
      </c>
      <c r="AH90">
        <f>(AI90 - AJ90 - DX90*1E3/(8.314*(DZ90+273.15)) * AL90/DW90 * AK90) * DW90/(100*DK90) * (1000 - DT90)/1000</f>
        <v>0</v>
      </c>
      <c r="AI90">
        <v>101.7171337846234</v>
      </c>
      <c r="AJ90">
        <v>101.7595636363636</v>
      </c>
      <c r="AK90">
        <v>-9.749296996460849E-05</v>
      </c>
      <c r="AL90">
        <v>65.86758718200275</v>
      </c>
      <c r="AM90">
        <f>(AO90 - AN90 + DX90*1E3/(8.314*(DZ90+273.15)) * AQ90/DW90 * AP90) * DW90/(100*DK90) * 1000/(1000 - AO90)</f>
        <v>0</v>
      </c>
      <c r="AN90">
        <v>16.83659435054701</v>
      </c>
      <c r="AO90">
        <v>16.98105314685316</v>
      </c>
      <c r="AP90">
        <v>-5.507078440877612E-06</v>
      </c>
      <c r="AQ90">
        <v>109.1536393192413</v>
      </c>
      <c r="AR90">
        <v>0</v>
      </c>
      <c r="AS90">
        <v>0</v>
      </c>
      <c r="AT90">
        <f>IF(AR90*$H$15&gt;=AV90,1.0,(AV90/(AV90-AR90*$H$15)))</f>
        <v>0</v>
      </c>
      <c r="AU90">
        <f>(AT90-1)*100</f>
        <v>0</v>
      </c>
      <c r="AV90">
        <f>MAX(0,($B$15+$C$15*EE90)/(1+$D$15*EE90)*DX90/(DZ90+273)*$E$15)</f>
        <v>0</v>
      </c>
      <c r="AW90" t="s">
        <v>437</v>
      </c>
      <c r="AX90" t="s">
        <v>437</v>
      </c>
      <c r="AY90">
        <v>0</v>
      </c>
      <c r="AZ90">
        <v>0</v>
      </c>
      <c r="BA90">
        <f>1-AY90/AZ90</f>
        <v>0</v>
      </c>
      <c r="BB90">
        <v>0</v>
      </c>
      <c r="BC90" t="s">
        <v>437</v>
      </c>
      <c r="BD90" t="s">
        <v>437</v>
      </c>
      <c r="BE90">
        <v>0</v>
      </c>
      <c r="BF90">
        <v>0</v>
      </c>
      <c r="BG90">
        <f>1-BE90/BF90</f>
        <v>0</v>
      </c>
      <c r="BH90">
        <v>0.5</v>
      </c>
      <c r="BI90">
        <f>DH90</f>
        <v>0</v>
      </c>
      <c r="BJ90">
        <f>K90</f>
        <v>0</v>
      </c>
      <c r="BK90">
        <f>BG90*BH90*BI90</f>
        <v>0</v>
      </c>
      <c r="BL90">
        <f>(BJ90-BB90)/BI90</f>
        <v>0</v>
      </c>
      <c r="BM90">
        <f>(AZ90-BF90)/BF90</f>
        <v>0</v>
      </c>
      <c r="BN90">
        <f>AY90/(BA90+AY90/BF90)</f>
        <v>0</v>
      </c>
      <c r="BO90" t="s">
        <v>437</v>
      </c>
      <c r="BP90">
        <v>0</v>
      </c>
      <c r="BQ90">
        <f>IF(BP90&lt;&gt;0, BP90, BN90)</f>
        <v>0</v>
      </c>
      <c r="BR90">
        <f>1-BQ90/BF90</f>
        <v>0</v>
      </c>
      <c r="BS90">
        <f>(BF90-BE90)/(BF90-BQ90)</f>
        <v>0</v>
      </c>
      <c r="BT90">
        <f>(AZ90-BF90)/(AZ90-BQ90)</f>
        <v>0</v>
      </c>
      <c r="BU90">
        <f>(BF90-BE90)/(BF90-AY90)</f>
        <v>0</v>
      </c>
      <c r="BV90">
        <f>(AZ90-BF90)/(AZ90-AY90)</f>
        <v>0</v>
      </c>
      <c r="BW90">
        <f>(BS90*BQ90/BE90)</f>
        <v>0</v>
      </c>
      <c r="BX90">
        <f>(1-BW90)</f>
        <v>0</v>
      </c>
      <c r="DG90">
        <f>$B$13*EF90+$C$13*EG90+$F$13*ER90*(1-EU90)</f>
        <v>0</v>
      </c>
      <c r="DH90">
        <f>DG90*DI90</f>
        <v>0</v>
      </c>
      <c r="DI90">
        <f>($B$13*$D$11+$C$13*$D$11+$F$13*((FE90+EW90)/MAX(FE90+EW90+FF90, 0.1)*$I$11+FF90/MAX(FE90+EW90+FF90, 0.1)*$J$11))/($B$13+$C$13+$F$13)</f>
        <v>0</v>
      </c>
      <c r="DJ90">
        <f>($B$13*$K$11+$C$13*$K$11+$F$13*((FE90+EW90)/MAX(FE90+EW90+FF90, 0.1)*$P$11+FF90/MAX(FE90+EW90+FF90, 0.1)*$Q$11))/($B$13+$C$13+$F$13)</f>
        <v>0</v>
      </c>
      <c r="DK90">
        <v>5.66</v>
      </c>
      <c r="DL90">
        <v>0.5</v>
      </c>
      <c r="DM90" t="s">
        <v>438</v>
      </c>
      <c r="DN90">
        <v>2</v>
      </c>
      <c r="DO90" t="b">
        <v>1</v>
      </c>
      <c r="DP90">
        <v>1765310126</v>
      </c>
      <c r="DQ90">
        <v>100.1474193548387</v>
      </c>
      <c r="DR90">
        <v>99.98515806451613</v>
      </c>
      <c r="DS90">
        <v>16.98093870967742</v>
      </c>
      <c r="DT90">
        <v>16.83778387096774</v>
      </c>
      <c r="DU90">
        <v>100.3044193548387</v>
      </c>
      <c r="DV90">
        <v>16.91793870967742</v>
      </c>
      <c r="DW90">
        <v>500.0163225806452</v>
      </c>
      <c r="DX90">
        <v>89.81006451612903</v>
      </c>
      <c r="DY90">
        <v>0.09998267096774192</v>
      </c>
      <c r="DZ90">
        <v>24.33675806451613</v>
      </c>
      <c r="EA90">
        <v>25.00711612903226</v>
      </c>
      <c r="EB90">
        <v>999.9000000000003</v>
      </c>
      <c r="EC90">
        <v>0</v>
      </c>
      <c r="ED90">
        <v>0</v>
      </c>
      <c r="EE90">
        <v>10000.35258064516</v>
      </c>
      <c r="EF90">
        <v>0</v>
      </c>
      <c r="EG90">
        <v>9.714249999999998</v>
      </c>
      <c r="EH90">
        <v>0.05666401129032257</v>
      </c>
      <c r="EI90">
        <v>101.770064516129</v>
      </c>
      <c r="EJ90">
        <v>101.6974838709678</v>
      </c>
      <c r="EK90">
        <v>0.1442464516129032</v>
      </c>
      <c r="EL90">
        <v>99.98515806451613</v>
      </c>
      <c r="EM90">
        <v>16.83778387096774</v>
      </c>
      <c r="EN90">
        <v>1.525156129032258</v>
      </c>
      <c r="EO90">
        <v>1.512202903225806</v>
      </c>
      <c r="EP90">
        <v>13.22272580645161</v>
      </c>
      <c r="EQ90">
        <v>13.0921</v>
      </c>
      <c r="ER90">
        <v>799.9939677419356</v>
      </c>
      <c r="ES90">
        <v>0.9500086451612899</v>
      </c>
      <c r="ET90">
        <v>0.04999136129032259</v>
      </c>
      <c r="EU90">
        <v>0</v>
      </c>
      <c r="EV90">
        <v>550.021</v>
      </c>
      <c r="EW90">
        <v>5.000779999999999</v>
      </c>
      <c r="EX90">
        <v>4321.606129032259</v>
      </c>
      <c r="EY90">
        <v>6463.386451612902</v>
      </c>
      <c r="EZ90">
        <v>37.45945161290322</v>
      </c>
      <c r="FA90">
        <v>41.4896451612903</v>
      </c>
      <c r="FB90">
        <v>39.62670967741933</v>
      </c>
      <c r="FC90">
        <v>41.88077419354837</v>
      </c>
      <c r="FD90">
        <v>39.66916129032258</v>
      </c>
      <c r="FE90">
        <v>755.2506451612903</v>
      </c>
      <c r="FF90">
        <v>39.74290322580645</v>
      </c>
      <c r="FG90">
        <v>0</v>
      </c>
      <c r="FH90">
        <v>1765310133.5</v>
      </c>
      <c r="FI90">
        <v>0</v>
      </c>
      <c r="FJ90">
        <v>550.03908</v>
      </c>
      <c r="FK90">
        <v>-7.692748100169817E-05</v>
      </c>
      <c r="FL90">
        <v>9.386923070965976</v>
      </c>
      <c r="FM90">
        <v>4321.7708</v>
      </c>
      <c r="FN90">
        <v>15</v>
      </c>
      <c r="FO90">
        <v>1765310150</v>
      </c>
      <c r="FP90" t="s">
        <v>663</v>
      </c>
      <c r="FQ90">
        <v>1765310147</v>
      </c>
      <c r="FR90">
        <v>1765310150</v>
      </c>
      <c r="FS90">
        <v>73</v>
      </c>
      <c r="FT90">
        <v>0.106</v>
      </c>
      <c r="FU90">
        <v>0.001</v>
      </c>
      <c r="FV90">
        <v>-0.157</v>
      </c>
      <c r="FW90">
        <v>0.063</v>
      </c>
      <c r="FX90">
        <v>100</v>
      </c>
      <c r="FY90">
        <v>17</v>
      </c>
      <c r="FZ90">
        <v>0.28</v>
      </c>
      <c r="GA90">
        <v>0.13</v>
      </c>
      <c r="GB90">
        <v>0.07552110875</v>
      </c>
      <c r="GC90">
        <v>-0.4199621253658541</v>
      </c>
      <c r="GD90">
        <v>0.05072205879505243</v>
      </c>
      <c r="GE90">
        <v>1</v>
      </c>
      <c r="GF90">
        <v>550.0391470588236</v>
      </c>
      <c r="GG90">
        <v>-0.02491978617779831</v>
      </c>
      <c r="GH90">
        <v>0.2199853113215316</v>
      </c>
      <c r="GI90">
        <v>1</v>
      </c>
      <c r="GJ90">
        <v>0.144138425</v>
      </c>
      <c r="GK90">
        <v>0.0028631707317071</v>
      </c>
      <c r="GL90">
        <v>0.001126932870394237</v>
      </c>
      <c r="GM90">
        <v>1</v>
      </c>
      <c r="GN90">
        <v>3</v>
      </c>
      <c r="GO90">
        <v>3</v>
      </c>
      <c r="GP90" t="s">
        <v>440</v>
      </c>
      <c r="GQ90">
        <v>3.10824</v>
      </c>
      <c r="GR90">
        <v>2.79169</v>
      </c>
      <c r="GS90">
        <v>0.0255743</v>
      </c>
      <c r="GT90">
        <v>0.0254875</v>
      </c>
      <c r="GU90">
        <v>0.08439240000000001</v>
      </c>
      <c r="GV90">
        <v>0.0846301</v>
      </c>
      <c r="GW90">
        <v>25560.8</v>
      </c>
      <c r="GX90">
        <v>23210.5</v>
      </c>
      <c r="GY90">
        <v>26789.6</v>
      </c>
      <c r="GZ90">
        <v>24024.6</v>
      </c>
      <c r="HA90">
        <v>39195.7</v>
      </c>
      <c r="HB90">
        <v>32452.7</v>
      </c>
      <c r="HC90">
        <v>46757.7</v>
      </c>
      <c r="HD90">
        <v>37994.4</v>
      </c>
      <c r="HE90">
        <v>1.8893</v>
      </c>
      <c r="HF90">
        <v>1.85128</v>
      </c>
      <c r="HG90">
        <v>0.06492059999999999</v>
      </c>
      <c r="HH90">
        <v>0</v>
      </c>
      <c r="HI90">
        <v>23.9399</v>
      </c>
      <c r="HJ90">
        <v>999.9</v>
      </c>
      <c r="HK90">
        <v>39.7</v>
      </c>
      <c r="HL90">
        <v>31.5</v>
      </c>
      <c r="HM90">
        <v>20.5175</v>
      </c>
      <c r="HN90">
        <v>61.4675</v>
      </c>
      <c r="HO90">
        <v>27.7764</v>
      </c>
      <c r="HP90">
        <v>1</v>
      </c>
      <c r="HQ90">
        <v>0.0363593</v>
      </c>
      <c r="HR90">
        <v>1.52341</v>
      </c>
      <c r="HS90">
        <v>20.2873</v>
      </c>
      <c r="HT90">
        <v>5.22103</v>
      </c>
      <c r="HU90">
        <v>11.9797</v>
      </c>
      <c r="HV90">
        <v>4.9651</v>
      </c>
      <c r="HW90">
        <v>3.27593</v>
      </c>
      <c r="HX90">
        <v>9999</v>
      </c>
      <c r="HY90">
        <v>9999</v>
      </c>
      <c r="HZ90">
        <v>9999</v>
      </c>
      <c r="IA90">
        <v>999.9</v>
      </c>
      <c r="IB90">
        <v>1.86388</v>
      </c>
      <c r="IC90">
        <v>1.86006</v>
      </c>
      <c r="ID90">
        <v>1.85837</v>
      </c>
      <c r="IE90">
        <v>1.85969</v>
      </c>
      <c r="IF90">
        <v>1.85985</v>
      </c>
      <c r="IG90">
        <v>1.85838</v>
      </c>
      <c r="IH90">
        <v>1.85745</v>
      </c>
      <c r="II90">
        <v>1.85238</v>
      </c>
      <c r="IJ90">
        <v>0</v>
      </c>
      <c r="IK90">
        <v>0</v>
      </c>
      <c r="IL90">
        <v>0</v>
      </c>
      <c r="IM90">
        <v>0</v>
      </c>
      <c r="IN90" t="s">
        <v>441</v>
      </c>
      <c r="IO90" t="s">
        <v>442</v>
      </c>
      <c r="IP90" t="s">
        <v>443</v>
      </c>
      <c r="IQ90" t="s">
        <v>443</v>
      </c>
      <c r="IR90" t="s">
        <v>443</v>
      </c>
      <c r="IS90" t="s">
        <v>443</v>
      </c>
      <c r="IT90">
        <v>0</v>
      </c>
      <c r="IU90">
        <v>100</v>
      </c>
      <c r="IV90">
        <v>100</v>
      </c>
      <c r="IW90">
        <v>-0.157</v>
      </c>
      <c r="IX90">
        <v>0.063</v>
      </c>
      <c r="IY90">
        <v>-0.2934651018891917</v>
      </c>
      <c r="IZ90">
        <v>0.0001583678016168383</v>
      </c>
      <c r="JA90">
        <v>1.526473431467286E-06</v>
      </c>
      <c r="JB90">
        <v>-4.446382740029455E-10</v>
      </c>
      <c r="JC90">
        <v>-0.04549816391842056</v>
      </c>
      <c r="JD90">
        <v>-0.009941991807247691</v>
      </c>
      <c r="JE90">
        <v>0.001256427533001032</v>
      </c>
      <c r="JF90">
        <v>-1.689728105039484E-05</v>
      </c>
      <c r="JG90">
        <v>2</v>
      </c>
      <c r="JH90">
        <v>1984</v>
      </c>
      <c r="JI90">
        <v>0</v>
      </c>
      <c r="JJ90">
        <v>25</v>
      </c>
      <c r="JK90">
        <v>1.3</v>
      </c>
      <c r="JL90">
        <v>1.2</v>
      </c>
      <c r="JM90">
        <v>0.395508</v>
      </c>
      <c r="JN90">
        <v>2.64282</v>
      </c>
      <c r="JO90">
        <v>1.49658</v>
      </c>
      <c r="JP90">
        <v>2.34619</v>
      </c>
      <c r="JQ90">
        <v>1.54907</v>
      </c>
      <c r="JR90">
        <v>2.41577</v>
      </c>
      <c r="JS90">
        <v>35.5451</v>
      </c>
      <c r="JT90">
        <v>24.14</v>
      </c>
      <c r="JU90">
        <v>18</v>
      </c>
      <c r="JV90">
        <v>479.449</v>
      </c>
      <c r="JW90">
        <v>483.611</v>
      </c>
      <c r="JX90">
        <v>22.5182</v>
      </c>
      <c r="JY90">
        <v>27.5928</v>
      </c>
      <c r="JZ90">
        <v>30.0006</v>
      </c>
      <c r="KA90">
        <v>27.7317</v>
      </c>
      <c r="KB90">
        <v>27.709</v>
      </c>
      <c r="KC90">
        <v>8.000349999999999</v>
      </c>
      <c r="KD90">
        <v>18.4783</v>
      </c>
      <c r="KE90">
        <v>33.9247</v>
      </c>
      <c r="KF90">
        <v>22.5072</v>
      </c>
      <c r="KG90">
        <v>100</v>
      </c>
      <c r="KH90">
        <v>16.8784</v>
      </c>
      <c r="KI90">
        <v>102.25</v>
      </c>
      <c r="KJ90">
        <v>91.64230000000001</v>
      </c>
    </row>
    <row r="91" spans="1:296">
      <c r="A91">
        <v>73</v>
      </c>
      <c r="B91">
        <v>1765310239</v>
      </c>
      <c r="C91">
        <v>12806</v>
      </c>
      <c r="D91" t="s">
        <v>664</v>
      </c>
      <c r="E91" t="s">
        <v>665</v>
      </c>
      <c r="F91">
        <v>5</v>
      </c>
      <c r="G91" t="s">
        <v>653</v>
      </c>
      <c r="H91">
        <v>1765310231</v>
      </c>
      <c r="I91">
        <f>(J91)/1000</f>
        <v>0</v>
      </c>
      <c r="J91">
        <f>IF(DO91, AM91, AG91)</f>
        <v>0</v>
      </c>
      <c r="K91">
        <f>IF(DO91, AH91, AF91)</f>
        <v>0</v>
      </c>
      <c r="L91">
        <f>DQ91 - IF(AT91&gt;1, K91*DK91*100.0/(AV91), 0)</f>
        <v>0</v>
      </c>
      <c r="M91">
        <f>((S91-I91/2)*L91-K91)/(S91+I91/2)</f>
        <v>0</v>
      </c>
      <c r="N91">
        <f>M91*(DX91+DY91)/1000.0</f>
        <v>0</v>
      </c>
      <c r="O91">
        <f>(DQ91 - IF(AT91&gt;1, K91*DK91*100.0/(AV91), 0))*(DX91+DY91)/1000.0</f>
        <v>0</v>
      </c>
      <c r="P91">
        <f>2.0/((1/R91-1/Q91)+SIGN(R91)*SQRT((1/R91-1/Q91)*(1/R91-1/Q91) + 4*DL91/((DL91+1)*(DL91+1))*(2*1/R91*1/Q91-1/Q91*1/Q91)))</f>
        <v>0</v>
      </c>
      <c r="Q91">
        <f>IF(LEFT(DM91,1)&lt;&gt;"0",IF(LEFT(DM91,1)="1",3.0,DN91),$D$5+$E$5*(EE91*DX91/($K$5*1000))+$F$5*(EE91*DX91/($K$5*1000))*MAX(MIN(DK91,$J$5),$I$5)*MAX(MIN(DK91,$J$5),$I$5)+$G$5*MAX(MIN(DK91,$J$5),$I$5)*(EE91*DX91/($K$5*1000))+$H$5*(EE91*DX91/($K$5*1000))*(EE91*DX91/($K$5*1000)))</f>
        <v>0</v>
      </c>
      <c r="R91">
        <f>I91*(1000-(1000*0.61365*exp(17.502*V91/(240.97+V91))/(DX91+DY91)+DS91)/2)/(1000*0.61365*exp(17.502*V91/(240.97+V91))/(DX91+DY91)-DS91)</f>
        <v>0</v>
      </c>
      <c r="S91">
        <f>1/((DL91+1)/(P91/1.6)+1/(Q91/1.37)) + DL91/((DL91+1)/(P91/1.6) + DL91/(Q91/1.37))</f>
        <v>0</v>
      </c>
      <c r="T91">
        <f>(DG91*DJ91)</f>
        <v>0</v>
      </c>
      <c r="U91">
        <f>(DZ91+(T91+2*0.95*5.67E-8*(((DZ91+$B$9)+273)^4-(DZ91+273)^4)-44100*I91)/(1.84*29.3*Q91+8*0.95*5.67E-8*(DZ91+273)^3))</f>
        <v>0</v>
      </c>
      <c r="V91">
        <f>($C$9*EA91+$D$9*EB91+$E$9*U91)</f>
        <v>0</v>
      </c>
      <c r="W91">
        <f>0.61365*exp(17.502*V91/(240.97+V91))</f>
        <v>0</v>
      </c>
      <c r="X91">
        <f>(Y91/Z91*100)</f>
        <v>0</v>
      </c>
      <c r="Y91">
        <f>DS91*(DX91+DY91)/1000</f>
        <v>0</v>
      </c>
      <c r="Z91">
        <f>0.61365*exp(17.502*DZ91/(240.97+DZ91))</f>
        <v>0</v>
      </c>
      <c r="AA91">
        <f>(W91-DS91*(DX91+DY91)/1000)</f>
        <v>0</v>
      </c>
      <c r="AB91">
        <f>(-I91*44100)</f>
        <v>0</v>
      </c>
      <c r="AC91">
        <f>2*29.3*Q91*0.92*(DZ91-V91)</f>
        <v>0</v>
      </c>
      <c r="AD91">
        <f>2*0.95*5.67E-8*(((DZ91+$B$9)+273)^4-(V91+273)^4)</f>
        <v>0</v>
      </c>
      <c r="AE91">
        <f>T91+AD91+AB91+AC91</f>
        <v>0</v>
      </c>
      <c r="AF91">
        <f>DW91*AT91*(DR91-DQ91*(1000-AT91*DT91)/(1000-AT91*DS91))/(100*DK91)</f>
        <v>0</v>
      </c>
      <c r="AG91">
        <f>1000*DW91*AT91*(DS91-DT91)/(100*DK91*(1000-AT91*DS91))</f>
        <v>0</v>
      </c>
      <c r="AH91">
        <f>(AI91 - AJ91 - DX91*1E3/(8.314*(DZ91+273.15)) * AL91/DW91 * AK91) * DW91/(100*DK91) * (1000 - DT91)/1000</f>
        <v>0</v>
      </c>
      <c r="AI91">
        <v>50.88853744300972</v>
      </c>
      <c r="AJ91">
        <v>50.96836242424242</v>
      </c>
      <c r="AK91">
        <v>4.243347733488201E-05</v>
      </c>
      <c r="AL91">
        <v>65.86713673232038</v>
      </c>
      <c r="AM91">
        <f>(AO91 - AN91 + DX91*1E3/(8.314*(DZ91+273.15)) * AQ91/DW91 * AP91) * DW91/(100*DK91) * 1000/(1000 - AO91)</f>
        <v>0</v>
      </c>
      <c r="AN91">
        <v>16.87090502504208</v>
      </c>
      <c r="AO91">
        <v>17.015693006993</v>
      </c>
      <c r="AP91">
        <v>5.27424968904276E-06</v>
      </c>
      <c r="AQ91">
        <v>109.0597581715693</v>
      </c>
      <c r="AR91">
        <v>0</v>
      </c>
      <c r="AS91">
        <v>0</v>
      </c>
      <c r="AT91">
        <f>IF(AR91*$H$15&gt;=AV91,1.0,(AV91/(AV91-AR91*$H$15)))</f>
        <v>0</v>
      </c>
      <c r="AU91">
        <f>(AT91-1)*100</f>
        <v>0</v>
      </c>
      <c r="AV91">
        <f>MAX(0,($B$15+$C$15*EE91)/(1+$D$15*EE91)*DX91/(DZ91+273)*$E$15)</f>
        <v>0</v>
      </c>
      <c r="AW91" t="s">
        <v>437</v>
      </c>
      <c r="AX91" t="s">
        <v>437</v>
      </c>
      <c r="AY91">
        <v>0</v>
      </c>
      <c r="AZ91">
        <v>0</v>
      </c>
      <c r="BA91">
        <f>1-AY91/AZ91</f>
        <v>0</v>
      </c>
      <c r="BB91">
        <v>0</v>
      </c>
      <c r="BC91" t="s">
        <v>437</v>
      </c>
      <c r="BD91" t="s">
        <v>437</v>
      </c>
      <c r="BE91">
        <v>0</v>
      </c>
      <c r="BF91">
        <v>0</v>
      </c>
      <c r="BG91">
        <f>1-BE91/BF91</f>
        <v>0</v>
      </c>
      <c r="BH91">
        <v>0.5</v>
      </c>
      <c r="BI91">
        <f>DH91</f>
        <v>0</v>
      </c>
      <c r="BJ91">
        <f>K91</f>
        <v>0</v>
      </c>
      <c r="BK91">
        <f>BG91*BH91*BI91</f>
        <v>0</v>
      </c>
      <c r="BL91">
        <f>(BJ91-BB91)/BI91</f>
        <v>0</v>
      </c>
      <c r="BM91">
        <f>(AZ91-BF91)/BF91</f>
        <v>0</v>
      </c>
      <c r="BN91">
        <f>AY91/(BA91+AY91/BF91)</f>
        <v>0</v>
      </c>
      <c r="BO91" t="s">
        <v>437</v>
      </c>
      <c r="BP91">
        <v>0</v>
      </c>
      <c r="BQ91">
        <f>IF(BP91&lt;&gt;0, BP91, BN91)</f>
        <v>0</v>
      </c>
      <c r="BR91">
        <f>1-BQ91/BF91</f>
        <v>0</v>
      </c>
      <c r="BS91">
        <f>(BF91-BE91)/(BF91-BQ91)</f>
        <v>0</v>
      </c>
      <c r="BT91">
        <f>(AZ91-BF91)/(AZ91-BQ91)</f>
        <v>0</v>
      </c>
      <c r="BU91">
        <f>(BF91-BE91)/(BF91-AY91)</f>
        <v>0</v>
      </c>
      <c r="BV91">
        <f>(AZ91-BF91)/(AZ91-AY91)</f>
        <v>0</v>
      </c>
      <c r="BW91">
        <f>(BS91*BQ91/BE91)</f>
        <v>0</v>
      </c>
      <c r="BX91">
        <f>(1-BW91)</f>
        <v>0</v>
      </c>
      <c r="DG91">
        <f>$B$13*EF91+$C$13*EG91+$F$13*ER91*(1-EU91)</f>
        <v>0</v>
      </c>
      <c r="DH91">
        <f>DG91*DI91</f>
        <v>0</v>
      </c>
      <c r="DI91">
        <f>($B$13*$D$11+$C$13*$D$11+$F$13*((FE91+EW91)/MAX(FE91+EW91+FF91, 0.1)*$I$11+FF91/MAX(FE91+EW91+FF91, 0.1)*$J$11))/($B$13+$C$13+$F$13)</f>
        <v>0</v>
      </c>
      <c r="DJ91">
        <f>($B$13*$K$11+$C$13*$K$11+$F$13*((FE91+EW91)/MAX(FE91+EW91+FF91, 0.1)*$P$11+FF91/MAX(FE91+EW91+FF91, 0.1)*$Q$11))/($B$13+$C$13+$F$13)</f>
        <v>0</v>
      </c>
      <c r="DK91">
        <v>5.66</v>
      </c>
      <c r="DL91">
        <v>0.5</v>
      </c>
      <c r="DM91" t="s">
        <v>438</v>
      </c>
      <c r="DN91">
        <v>2</v>
      </c>
      <c r="DO91" t="b">
        <v>1</v>
      </c>
      <c r="DP91">
        <v>1765310231</v>
      </c>
      <c r="DQ91">
        <v>50.21544193548387</v>
      </c>
      <c r="DR91">
        <v>50.00706451612903</v>
      </c>
      <c r="DS91">
        <v>17.01325806451613</v>
      </c>
      <c r="DT91">
        <v>16.87120322580645</v>
      </c>
      <c r="DU91">
        <v>50.27844193548387</v>
      </c>
      <c r="DV91">
        <v>16.95025806451613</v>
      </c>
      <c r="DW91">
        <v>500.0062580645161</v>
      </c>
      <c r="DX91">
        <v>89.80831612903226</v>
      </c>
      <c r="DY91">
        <v>0.09995958387096776</v>
      </c>
      <c r="DZ91">
        <v>24.33013225806453</v>
      </c>
      <c r="EA91">
        <v>24.99932258064516</v>
      </c>
      <c r="EB91">
        <v>999.9000000000003</v>
      </c>
      <c r="EC91">
        <v>0</v>
      </c>
      <c r="ED91">
        <v>0</v>
      </c>
      <c r="EE91">
        <v>10003.46483870968</v>
      </c>
      <c r="EF91">
        <v>0</v>
      </c>
      <c r="EG91">
        <v>9.714249999999998</v>
      </c>
      <c r="EH91">
        <v>0.09551181290322583</v>
      </c>
      <c r="EI91">
        <v>50.96989677419354</v>
      </c>
      <c r="EJ91">
        <v>50.86520967741935</v>
      </c>
      <c r="EK91">
        <v>0.1450230967741936</v>
      </c>
      <c r="EL91">
        <v>50.00706451612903</v>
      </c>
      <c r="EM91">
        <v>16.87120322580645</v>
      </c>
      <c r="EN91">
        <v>1.528198387096774</v>
      </c>
      <c r="EO91">
        <v>1.515173870967742</v>
      </c>
      <c r="EP91">
        <v>13.25325483870968</v>
      </c>
      <c r="EQ91">
        <v>13.12215161290323</v>
      </c>
      <c r="ER91">
        <v>800.0063548387096</v>
      </c>
      <c r="ES91">
        <v>0.9500092258064516</v>
      </c>
      <c r="ET91">
        <v>0.0499903870967742</v>
      </c>
      <c r="EU91">
        <v>0</v>
      </c>
      <c r="EV91">
        <v>550.7414516129032</v>
      </c>
      <c r="EW91">
        <v>5.000779999999999</v>
      </c>
      <c r="EX91">
        <v>4310.696129032259</v>
      </c>
      <c r="EY91">
        <v>6463.491612903226</v>
      </c>
      <c r="EZ91">
        <v>36.79216129032257</v>
      </c>
      <c r="FA91">
        <v>39.42516129032258</v>
      </c>
      <c r="FB91">
        <v>38.31425806451612</v>
      </c>
      <c r="FC91">
        <v>39.21138709677417</v>
      </c>
      <c r="FD91">
        <v>38.33854838709677</v>
      </c>
      <c r="FE91">
        <v>755.2622580645162</v>
      </c>
      <c r="FF91">
        <v>39.74</v>
      </c>
      <c r="FG91">
        <v>0</v>
      </c>
      <c r="FH91">
        <v>1765310238.5</v>
      </c>
      <c r="FI91">
        <v>0</v>
      </c>
      <c r="FJ91">
        <v>550.7401923076923</v>
      </c>
      <c r="FK91">
        <v>-0.3187350353318547</v>
      </c>
      <c r="FL91">
        <v>-9.397264923189889</v>
      </c>
      <c r="FM91">
        <v>4310.70423076923</v>
      </c>
      <c r="FN91">
        <v>15</v>
      </c>
      <c r="FO91">
        <v>1765310255</v>
      </c>
      <c r="FP91" t="s">
        <v>666</v>
      </c>
      <c r="FQ91">
        <v>1765310254</v>
      </c>
      <c r="FR91">
        <v>1765310255</v>
      </c>
      <c r="FS91">
        <v>74</v>
      </c>
      <c r="FT91">
        <v>0.113</v>
      </c>
      <c r="FU91">
        <v>-0.001</v>
      </c>
      <c r="FV91">
        <v>-0.063</v>
      </c>
      <c r="FW91">
        <v>0.063</v>
      </c>
      <c r="FX91">
        <v>50</v>
      </c>
      <c r="FY91">
        <v>17</v>
      </c>
      <c r="FZ91">
        <v>0.3</v>
      </c>
      <c r="GA91">
        <v>0.12</v>
      </c>
      <c r="GB91">
        <v>0.099104635</v>
      </c>
      <c r="GC91">
        <v>-0.1114327001876177</v>
      </c>
      <c r="GD91">
        <v>0.0269102810066204</v>
      </c>
      <c r="GE91">
        <v>1</v>
      </c>
      <c r="GF91">
        <v>550.6997941176469</v>
      </c>
      <c r="GG91">
        <v>0.7566233816971292</v>
      </c>
      <c r="GH91">
        <v>0.2192470778411106</v>
      </c>
      <c r="GI91">
        <v>1</v>
      </c>
      <c r="GJ91">
        <v>0.144626125</v>
      </c>
      <c r="GK91">
        <v>0.005044581613508429</v>
      </c>
      <c r="GL91">
        <v>0.0009092705644498777</v>
      </c>
      <c r="GM91">
        <v>1</v>
      </c>
      <c r="GN91">
        <v>3</v>
      </c>
      <c r="GO91">
        <v>3</v>
      </c>
      <c r="GP91" t="s">
        <v>440</v>
      </c>
      <c r="GQ91">
        <v>3.10815</v>
      </c>
      <c r="GR91">
        <v>2.79158</v>
      </c>
      <c r="GS91">
        <v>0.0131448</v>
      </c>
      <c r="GT91">
        <v>0.0130534</v>
      </c>
      <c r="GU91">
        <v>0.0844849</v>
      </c>
      <c r="GV91">
        <v>0.0847248</v>
      </c>
      <c r="GW91">
        <v>25880.4</v>
      </c>
      <c r="GX91">
        <v>23502.6</v>
      </c>
      <c r="GY91">
        <v>26783.4</v>
      </c>
      <c r="GZ91">
        <v>24020.9</v>
      </c>
      <c r="HA91">
        <v>39181.3</v>
      </c>
      <c r="HB91">
        <v>32444</v>
      </c>
      <c r="HC91">
        <v>46746.9</v>
      </c>
      <c r="HD91">
        <v>37989.5</v>
      </c>
      <c r="HE91">
        <v>1.88808</v>
      </c>
      <c r="HF91">
        <v>1.84942</v>
      </c>
      <c r="HG91">
        <v>0.0653528</v>
      </c>
      <c r="HH91">
        <v>0</v>
      </c>
      <c r="HI91">
        <v>23.9263</v>
      </c>
      <c r="HJ91">
        <v>999.9</v>
      </c>
      <c r="HK91">
        <v>39.7</v>
      </c>
      <c r="HL91">
        <v>31.5</v>
      </c>
      <c r="HM91">
        <v>20.5188</v>
      </c>
      <c r="HN91">
        <v>61.1975</v>
      </c>
      <c r="HO91">
        <v>27.8846</v>
      </c>
      <c r="HP91">
        <v>1</v>
      </c>
      <c r="HQ91">
        <v>0.0457978</v>
      </c>
      <c r="HR91">
        <v>1.46189</v>
      </c>
      <c r="HS91">
        <v>20.2879</v>
      </c>
      <c r="HT91">
        <v>5.21789</v>
      </c>
      <c r="HU91">
        <v>11.9796</v>
      </c>
      <c r="HV91">
        <v>4.9657</v>
      </c>
      <c r="HW91">
        <v>3.2759</v>
      </c>
      <c r="HX91">
        <v>9999</v>
      </c>
      <c r="HY91">
        <v>9999</v>
      </c>
      <c r="HZ91">
        <v>9999</v>
      </c>
      <c r="IA91">
        <v>999.9</v>
      </c>
      <c r="IB91">
        <v>1.86394</v>
      </c>
      <c r="IC91">
        <v>1.86005</v>
      </c>
      <c r="ID91">
        <v>1.85837</v>
      </c>
      <c r="IE91">
        <v>1.8597</v>
      </c>
      <c r="IF91">
        <v>1.85987</v>
      </c>
      <c r="IG91">
        <v>1.85836</v>
      </c>
      <c r="IH91">
        <v>1.85743</v>
      </c>
      <c r="II91">
        <v>1.8524</v>
      </c>
      <c r="IJ91">
        <v>0</v>
      </c>
      <c r="IK91">
        <v>0</v>
      </c>
      <c r="IL91">
        <v>0</v>
      </c>
      <c r="IM91">
        <v>0</v>
      </c>
      <c r="IN91" t="s">
        <v>441</v>
      </c>
      <c r="IO91" t="s">
        <v>442</v>
      </c>
      <c r="IP91" t="s">
        <v>443</v>
      </c>
      <c r="IQ91" t="s">
        <v>443</v>
      </c>
      <c r="IR91" t="s">
        <v>443</v>
      </c>
      <c r="IS91" t="s">
        <v>443</v>
      </c>
      <c r="IT91">
        <v>0</v>
      </c>
      <c r="IU91">
        <v>100</v>
      </c>
      <c r="IV91">
        <v>100</v>
      </c>
      <c r="IW91">
        <v>-0.063</v>
      </c>
      <c r="IX91">
        <v>0.063</v>
      </c>
      <c r="IY91">
        <v>-0.1876337156751965</v>
      </c>
      <c r="IZ91">
        <v>0.0001583678016168383</v>
      </c>
      <c r="JA91">
        <v>1.526473431467286E-06</v>
      </c>
      <c r="JB91">
        <v>-4.446382740029455E-10</v>
      </c>
      <c r="JC91">
        <v>-0.04421646202077953</v>
      </c>
      <c r="JD91">
        <v>-0.009941991807247691</v>
      </c>
      <c r="JE91">
        <v>0.001256427533001032</v>
      </c>
      <c r="JF91">
        <v>-1.689728105039484E-05</v>
      </c>
      <c r="JG91">
        <v>2</v>
      </c>
      <c r="JH91">
        <v>1984</v>
      </c>
      <c r="JI91">
        <v>0</v>
      </c>
      <c r="JJ91">
        <v>25</v>
      </c>
      <c r="JK91">
        <v>1.5</v>
      </c>
      <c r="JL91">
        <v>1.5</v>
      </c>
      <c r="JM91">
        <v>0.273438</v>
      </c>
      <c r="JN91">
        <v>2.66968</v>
      </c>
      <c r="JO91">
        <v>1.49658</v>
      </c>
      <c r="JP91">
        <v>2.34619</v>
      </c>
      <c r="JQ91">
        <v>1.54907</v>
      </c>
      <c r="JR91">
        <v>2.39258</v>
      </c>
      <c r="JS91">
        <v>35.5451</v>
      </c>
      <c r="JT91">
        <v>24.14</v>
      </c>
      <c r="JU91">
        <v>18</v>
      </c>
      <c r="JV91">
        <v>479.67</v>
      </c>
      <c r="JW91">
        <v>483.42</v>
      </c>
      <c r="JX91">
        <v>22.5658</v>
      </c>
      <c r="JY91">
        <v>27.7149</v>
      </c>
      <c r="JZ91">
        <v>30.0005</v>
      </c>
      <c r="KA91">
        <v>27.8528</v>
      </c>
      <c r="KB91">
        <v>27.8288</v>
      </c>
      <c r="KC91">
        <v>5.55288</v>
      </c>
      <c r="KD91">
        <v>18.2037</v>
      </c>
      <c r="KE91">
        <v>33.9247</v>
      </c>
      <c r="KF91">
        <v>22.5613</v>
      </c>
      <c r="KG91">
        <v>50</v>
      </c>
      <c r="KH91">
        <v>16.8883</v>
      </c>
      <c r="KI91">
        <v>102.226</v>
      </c>
      <c r="KJ91">
        <v>91.6298</v>
      </c>
    </row>
    <row r="92" spans="1:296">
      <c r="A92">
        <v>74</v>
      </c>
      <c r="B92">
        <v>1765310320</v>
      </c>
      <c r="C92">
        <v>12887</v>
      </c>
      <c r="D92" t="s">
        <v>667</v>
      </c>
      <c r="E92" t="s">
        <v>668</v>
      </c>
      <c r="F92">
        <v>5</v>
      </c>
      <c r="G92" t="s">
        <v>653</v>
      </c>
      <c r="H92">
        <v>1765310312</v>
      </c>
      <c r="I92">
        <f>(J92)/1000</f>
        <v>0</v>
      </c>
      <c r="J92">
        <f>IF(DO92, AM92, AG92)</f>
        <v>0</v>
      </c>
      <c r="K92">
        <f>IF(DO92, AH92, AF92)</f>
        <v>0</v>
      </c>
      <c r="L92">
        <f>DQ92 - IF(AT92&gt;1, K92*DK92*100.0/(AV92), 0)</f>
        <v>0</v>
      </c>
      <c r="M92">
        <f>((S92-I92/2)*L92-K92)/(S92+I92/2)</f>
        <v>0</v>
      </c>
      <c r="N92">
        <f>M92*(DX92+DY92)/1000.0</f>
        <v>0</v>
      </c>
      <c r="O92">
        <f>(DQ92 - IF(AT92&gt;1, K92*DK92*100.0/(AV92), 0))*(DX92+DY92)/1000.0</f>
        <v>0</v>
      </c>
      <c r="P92">
        <f>2.0/((1/R92-1/Q92)+SIGN(R92)*SQRT((1/R92-1/Q92)*(1/R92-1/Q92) + 4*DL92/((DL92+1)*(DL92+1))*(2*1/R92*1/Q92-1/Q92*1/Q92)))</f>
        <v>0</v>
      </c>
      <c r="Q92">
        <f>IF(LEFT(DM92,1)&lt;&gt;"0",IF(LEFT(DM92,1)="1",3.0,DN92),$D$5+$E$5*(EE92*DX92/($K$5*1000))+$F$5*(EE92*DX92/($K$5*1000))*MAX(MIN(DK92,$J$5),$I$5)*MAX(MIN(DK92,$J$5),$I$5)+$G$5*MAX(MIN(DK92,$J$5),$I$5)*(EE92*DX92/($K$5*1000))+$H$5*(EE92*DX92/($K$5*1000))*(EE92*DX92/($K$5*1000)))</f>
        <v>0</v>
      </c>
      <c r="R92">
        <f>I92*(1000-(1000*0.61365*exp(17.502*V92/(240.97+V92))/(DX92+DY92)+DS92)/2)/(1000*0.61365*exp(17.502*V92/(240.97+V92))/(DX92+DY92)-DS92)</f>
        <v>0</v>
      </c>
      <c r="S92">
        <f>1/((DL92+1)/(P92/1.6)+1/(Q92/1.37)) + DL92/((DL92+1)/(P92/1.6) + DL92/(Q92/1.37))</f>
        <v>0</v>
      </c>
      <c r="T92">
        <f>(DG92*DJ92)</f>
        <v>0</v>
      </c>
      <c r="U92">
        <f>(DZ92+(T92+2*0.95*5.67E-8*(((DZ92+$B$9)+273)^4-(DZ92+273)^4)-44100*I92)/(1.84*29.3*Q92+8*0.95*5.67E-8*(DZ92+273)^3))</f>
        <v>0</v>
      </c>
      <c r="V92">
        <f>($C$9*EA92+$D$9*EB92+$E$9*U92)</f>
        <v>0</v>
      </c>
      <c r="W92">
        <f>0.61365*exp(17.502*V92/(240.97+V92))</f>
        <v>0</v>
      </c>
      <c r="X92">
        <f>(Y92/Z92*100)</f>
        <v>0</v>
      </c>
      <c r="Y92">
        <f>DS92*(DX92+DY92)/1000</f>
        <v>0</v>
      </c>
      <c r="Z92">
        <f>0.61365*exp(17.502*DZ92/(240.97+DZ92))</f>
        <v>0</v>
      </c>
      <c r="AA92">
        <f>(W92-DS92*(DX92+DY92)/1000)</f>
        <v>0</v>
      </c>
      <c r="AB92">
        <f>(-I92*44100)</f>
        <v>0</v>
      </c>
      <c r="AC92">
        <f>2*29.3*Q92*0.92*(DZ92-V92)</f>
        <v>0</v>
      </c>
      <c r="AD92">
        <f>2*0.95*5.67E-8*(((DZ92+$B$9)+273)^4-(V92+273)^4)</f>
        <v>0</v>
      </c>
      <c r="AE92">
        <f>T92+AD92+AB92+AC92</f>
        <v>0</v>
      </c>
      <c r="AF92">
        <f>DW92*AT92*(DR92-DQ92*(1000-AT92*DT92)/(1000-AT92*DS92))/(100*DK92)</f>
        <v>0</v>
      </c>
      <c r="AG92">
        <f>1000*DW92*AT92*(DS92-DT92)/(100*DK92*(1000-AT92*DS92))</f>
        <v>0</v>
      </c>
      <c r="AH92">
        <f>(AI92 - AJ92 - DX92*1E3/(8.314*(DZ92+273.15)) * AL92/DW92 * AK92) * DW92/(100*DK92) * (1000 - DT92)/1000</f>
        <v>0</v>
      </c>
      <c r="AI92">
        <v>0.2515856466989157</v>
      </c>
      <c r="AJ92">
        <v>0.5653979515151513</v>
      </c>
      <c r="AK92">
        <v>0.0001458337760678241</v>
      </c>
      <c r="AL92">
        <v>65.14682368303214</v>
      </c>
      <c r="AM92">
        <f>(AO92 - AN92 + DX92*1E3/(8.314*(DZ92+273.15)) * AQ92/DW92 * AP92) * DW92/(100*DK92) * 1000/(1000 - AO92)</f>
        <v>0</v>
      </c>
      <c r="AN92">
        <v>16.84479333333334</v>
      </c>
      <c r="AO92">
        <v>16.98926242424242</v>
      </c>
      <c r="AP92">
        <v>-1.285751929252043E-05</v>
      </c>
      <c r="AQ92">
        <v>103.7632649135674</v>
      </c>
      <c r="AR92">
        <v>0</v>
      </c>
      <c r="AS92">
        <v>0</v>
      </c>
      <c r="AT92">
        <f>IF(AR92*$H$15&gt;=AV92,1.0,(AV92/(AV92-AR92*$H$15)))</f>
        <v>0</v>
      </c>
      <c r="AU92">
        <f>(AT92-1)*100</f>
        <v>0</v>
      </c>
      <c r="AV92">
        <f>MAX(0,($B$15+$C$15*EE92)/(1+$D$15*EE92)*DX92/(DZ92+273)*$E$15)</f>
        <v>0</v>
      </c>
      <c r="AW92" t="s">
        <v>437</v>
      </c>
      <c r="AX92" t="s">
        <v>437</v>
      </c>
      <c r="AY92">
        <v>0</v>
      </c>
      <c r="AZ92">
        <v>0</v>
      </c>
      <c r="BA92">
        <f>1-AY92/AZ92</f>
        <v>0</v>
      </c>
      <c r="BB92">
        <v>0</v>
      </c>
      <c r="BC92" t="s">
        <v>437</v>
      </c>
      <c r="BD92" t="s">
        <v>437</v>
      </c>
      <c r="BE92">
        <v>0</v>
      </c>
      <c r="BF92">
        <v>0</v>
      </c>
      <c r="BG92">
        <f>1-BE92/BF92</f>
        <v>0</v>
      </c>
      <c r="BH92">
        <v>0.5</v>
      </c>
      <c r="BI92">
        <f>DH92</f>
        <v>0</v>
      </c>
      <c r="BJ92">
        <f>K92</f>
        <v>0</v>
      </c>
      <c r="BK92">
        <f>BG92*BH92*BI92</f>
        <v>0</v>
      </c>
      <c r="BL92">
        <f>(BJ92-BB92)/BI92</f>
        <v>0</v>
      </c>
      <c r="BM92">
        <f>(AZ92-BF92)/BF92</f>
        <v>0</v>
      </c>
      <c r="BN92">
        <f>AY92/(BA92+AY92/BF92)</f>
        <v>0</v>
      </c>
      <c r="BO92" t="s">
        <v>437</v>
      </c>
      <c r="BP92">
        <v>0</v>
      </c>
      <c r="BQ92">
        <f>IF(BP92&lt;&gt;0, BP92, BN92)</f>
        <v>0</v>
      </c>
      <c r="BR92">
        <f>1-BQ92/BF92</f>
        <v>0</v>
      </c>
      <c r="BS92">
        <f>(BF92-BE92)/(BF92-BQ92)</f>
        <v>0</v>
      </c>
      <c r="BT92">
        <f>(AZ92-BF92)/(AZ92-BQ92)</f>
        <v>0</v>
      </c>
      <c r="BU92">
        <f>(BF92-BE92)/(BF92-AY92)</f>
        <v>0</v>
      </c>
      <c r="BV92">
        <f>(AZ92-BF92)/(AZ92-AY92)</f>
        <v>0</v>
      </c>
      <c r="BW92">
        <f>(BS92*BQ92/BE92)</f>
        <v>0</v>
      </c>
      <c r="BX92">
        <f>(1-BW92)</f>
        <v>0</v>
      </c>
      <c r="DG92">
        <f>$B$13*EF92+$C$13*EG92+$F$13*ER92*(1-EU92)</f>
        <v>0</v>
      </c>
      <c r="DH92">
        <f>DG92*DI92</f>
        <v>0</v>
      </c>
      <c r="DI92">
        <f>($B$13*$D$11+$C$13*$D$11+$F$13*((FE92+EW92)/MAX(FE92+EW92+FF92, 0.1)*$I$11+FF92/MAX(FE92+EW92+FF92, 0.1)*$J$11))/($B$13+$C$13+$F$13)</f>
        <v>0</v>
      </c>
      <c r="DJ92">
        <f>($B$13*$K$11+$C$13*$K$11+$F$13*((FE92+EW92)/MAX(FE92+EW92+FF92, 0.1)*$P$11+FF92/MAX(FE92+EW92+FF92, 0.1)*$Q$11))/($B$13+$C$13+$F$13)</f>
        <v>0</v>
      </c>
      <c r="DK92">
        <v>5.66</v>
      </c>
      <c r="DL92">
        <v>0.5</v>
      </c>
      <c r="DM92" t="s">
        <v>438</v>
      </c>
      <c r="DN92">
        <v>2</v>
      </c>
      <c r="DO92" t="b">
        <v>1</v>
      </c>
      <c r="DP92">
        <v>1765310312</v>
      </c>
      <c r="DQ92">
        <v>0.5866363548387096</v>
      </c>
      <c r="DR92">
        <v>0.2703381935483871</v>
      </c>
      <c r="DS92">
        <v>16.98843870967742</v>
      </c>
      <c r="DT92">
        <v>16.8458</v>
      </c>
      <c r="DU92">
        <v>0.6606363548387095</v>
      </c>
      <c r="DV92">
        <v>16.92543870967742</v>
      </c>
      <c r="DW92">
        <v>500.0104516129032</v>
      </c>
      <c r="DX92">
        <v>89.80839032258065</v>
      </c>
      <c r="DY92">
        <v>0.09999345806451614</v>
      </c>
      <c r="DZ92">
        <v>24.31607096774193</v>
      </c>
      <c r="EA92">
        <v>24.98882903225806</v>
      </c>
      <c r="EB92">
        <v>999.9000000000003</v>
      </c>
      <c r="EC92">
        <v>0</v>
      </c>
      <c r="ED92">
        <v>0</v>
      </c>
      <c r="EE92">
        <v>9997.136774193552</v>
      </c>
      <c r="EF92">
        <v>0</v>
      </c>
      <c r="EG92">
        <v>9.714249999999998</v>
      </c>
      <c r="EH92">
        <v>0.3158259677419355</v>
      </c>
      <c r="EI92">
        <v>0.5962953870967741</v>
      </c>
      <c r="EJ92">
        <v>0.2749703225806451</v>
      </c>
      <c r="EK92">
        <v>0.1443976774193548</v>
      </c>
      <c r="EL92">
        <v>0.2703381935483871</v>
      </c>
      <c r="EM92">
        <v>16.8458</v>
      </c>
      <c r="EN92">
        <v>1.525862580645161</v>
      </c>
      <c r="EO92">
        <v>1.512895483870968</v>
      </c>
      <c r="EP92">
        <v>13.22980967741935</v>
      </c>
      <c r="EQ92">
        <v>13.0991064516129</v>
      </c>
      <c r="ER92">
        <v>800.0041290322579</v>
      </c>
      <c r="ES92">
        <v>0.9500055483870967</v>
      </c>
      <c r="ET92">
        <v>0.04999409677419355</v>
      </c>
      <c r="EU92">
        <v>0</v>
      </c>
      <c r="EV92">
        <v>552.1070967741937</v>
      </c>
      <c r="EW92">
        <v>5.000779999999999</v>
      </c>
      <c r="EX92">
        <v>4312.539032258065</v>
      </c>
      <c r="EY92">
        <v>6463.464516129031</v>
      </c>
      <c r="EZ92">
        <v>36.28593548387096</v>
      </c>
      <c r="FA92">
        <v>38.82229032258064</v>
      </c>
      <c r="FB92">
        <v>37.80825806451612</v>
      </c>
      <c r="FC92">
        <v>38.42106451612901</v>
      </c>
      <c r="FD92">
        <v>37.80006451612902</v>
      </c>
      <c r="FE92">
        <v>755.2574193548386</v>
      </c>
      <c r="FF92">
        <v>39.74967741935484</v>
      </c>
      <c r="FG92">
        <v>0</v>
      </c>
      <c r="FH92">
        <v>1765310319.5</v>
      </c>
      <c r="FI92">
        <v>0</v>
      </c>
      <c r="FJ92">
        <v>552.10664</v>
      </c>
      <c r="FK92">
        <v>0.607615374875413</v>
      </c>
      <c r="FL92">
        <v>0.2230769146153439</v>
      </c>
      <c r="FM92">
        <v>4312.5588</v>
      </c>
      <c r="FN92">
        <v>15</v>
      </c>
      <c r="FO92">
        <v>1765310337</v>
      </c>
      <c r="FP92" t="s">
        <v>669</v>
      </c>
      <c r="FQ92">
        <v>1765310336</v>
      </c>
      <c r="FR92">
        <v>1765310337</v>
      </c>
      <c r="FS92">
        <v>75</v>
      </c>
      <c r="FT92">
        <v>0</v>
      </c>
      <c r="FU92">
        <v>0</v>
      </c>
      <c r="FV92">
        <v>-0.074</v>
      </c>
      <c r="FW92">
        <v>0.063</v>
      </c>
      <c r="FX92">
        <v>0</v>
      </c>
      <c r="FY92">
        <v>17</v>
      </c>
      <c r="FZ92">
        <v>0.4</v>
      </c>
      <c r="GA92">
        <v>0.14</v>
      </c>
      <c r="GB92">
        <v>0.3413062</v>
      </c>
      <c r="GC92">
        <v>-0.4236009230769219</v>
      </c>
      <c r="GD92">
        <v>0.0518807619788877</v>
      </c>
      <c r="GE92">
        <v>1</v>
      </c>
      <c r="GF92">
        <v>552.0719411764707</v>
      </c>
      <c r="GG92">
        <v>0.6274102322109483</v>
      </c>
      <c r="GH92">
        <v>0.2154412627986121</v>
      </c>
      <c r="GI92">
        <v>1</v>
      </c>
      <c r="GJ92">
        <v>0.1446201</v>
      </c>
      <c r="GK92">
        <v>0.003013260787992125</v>
      </c>
      <c r="GL92">
        <v>0.001233283499443657</v>
      </c>
      <c r="GM92">
        <v>1</v>
      </c>
      <c r="GN92">
        <v>3</v>
      </c>
      <c r="GO92">
        <v>3</v>
      </c>
      <c r="GP92" t="s">
        <v>440</v>
      </c>
      <c r="GQ92">
        <v>3.1082</v>
      </c>
      <c r="GR92">
        <v>2.79164</v>
      </c>
      <c r="GS92">
        <v>0.000170017</v>
      </c>
      <c r="GT92">
        <v>6.69099E-05</v>
      </c>
      <c r="GU92">
        <v>0.0843744</v>
      </c>
      <c r="GV92">
        <v>0.0846191</v>
      </c>
      <c r="GW92">
        <v>26216.7</v>
      </c>
      <c r="GX92">
        <v>23809.4</v>
      </c>
      <c r="GY92">
        <v>26779.6</v>
      </c>
      <c r="GZ92">
        <v>24018.7</v>
      </c>
      <c r="HA92">
        <v>39179.1</v>
      </c>
      <c r="HB92">
        <v>32443.6</v>
      </c>
      <c r="HC92">
        <v>46740.4</v>
      </c>
      <c r="HD92">
        <v>37986.2</v>
      </c>
      <c r="HE92">
        <v>1.88713</v>
      </c>
      <c r="HF92">
        <v>1.84808</v>
      </c>
      <c r="HG92">
        <v>0.0656433</v>
      </c>
      <c r="HH92">
        <v>0</v>
      </c>
      <c r="HI92">
        <v>23.9138</v>
      </c>
      <c r="HJ92">
        <v>999.9</v>
      </c>
      <c r="HK92">
        <v>39.6</v>
      </c>
      <c r="HL92">
        <v>31.4</v>
      </c>
      <c r="HM92">
        <v>20.3503</v>
      </c>
      <c r="HN92">
        <v>61.4975</v>
      </c>
      <c r="HO92">
        <v>27.8526</v>
      </c>
      <c r="HP92">
        <v>1</v>
      </c>
      <c r="HQ92">
        <v>0.051875</v>
      </c>
      <c r="HR92">
        <v>1.4017</v>
      </c>
      <c r="HS92">
        <v>20.2885</v>
      </c>
      <c r="HT92">
        <v>5.22328</v>
      </c>
      <c r="HU92">
        <v>11.9794</v>
      </c>
      <c r="HV92">
        <v>4.96565</v>
      </c>
      <c r="HW92">
        <v>3.276</v>
      </c>
      <c r="HX92">
        <v>9999</v>
      </c>
      <c r="HY92">
        <v>9999</v>
      </c>
      <c r="HZ92">
        <v>9999</v>
      </c>
      <c r="IA92">
        <v>999.9</v>
      </c>
      <c r="IB92">
        <v>1.86396</v>
      </c>
      <c r="IC92">
        <v>1.86009</v>
      </c>
      <c r="ID92">
        <v>1.85839</v>
      </c>
      <c r="IE92">
        <v>1.85973</v>
      </c>
      <c r="IF92">
        <v>1.85989</v>
      </c>
      <c r="IG92">
        <v>1.85837</v>
      </c>
      <c r="IH92">
        <v>1.85745</v>
      </c>
      <c r="II92">
        <v>1.85242</v>
      </c>
      <c r="IJ92">
        <v>0</v>
      </c>
      <c r="IK92">
        <v>0</v>
      </c>
      <c r="IL92">
        <v>0</v>
      </c>
      <c r="IM92">
        <v>0</v>
      </c>
      <c r="IN92" t="s">
        <v>441</v>
      </c>
      <c r="IO92" t="s">
        <v>442</v>
      </c>
      <c r="IP92" t="s">
        <v>443</v>
      </c>
      <c r="IQ92" t="s">
        <v>443</v>
      </c>
      <c r="IR92" t="s">
        <v>443</v>
      </c>
      <c r="IS92" t="s">
        <v>443</v>
      </c>
      <c r="IT92">
        <v>0</v>
      </c>
      <c r="IU92">
        <v>100</v>
      </c>
      <c r="IV92">
        <v>100</v>
      </c>
      <c r="IW92">
        <v>-0.074</v>
      </c>
      <c r="IX92">
        <v>0.063</v>
      </c>
      <c r="IY92">
        <v>-0.0745774345993741</v>
      </c>
      <c r="IZ92">
        <v>0.0001583678016168383</v>
      </c>
      <c r="JA92">
        <v>1.526473431467286E-06</v>
      </c>
      <c r="JB92">
        <v>-4.446382740029455E-10</v>
      </c>
      <c r="JC92">
        <v>-0.0449702257255621</v>
      </c>
      <c r="JD92">
        <v>-0.009941991807247691</v>
      </c>
      <c r="JE92">
        <v>0.001256427533001032</v>
      </c>
      <c r="JF92">
        <v>-1.689728105039484E-05</v>
      </c>
      <c r="JG92">
        <v>2</v>
      </c>
      <c r="JH92">
        <v>1984</v>
      </c>
      <c r="JI92">
        <v>0</v>
      </c>
      <c r="JJ92">
        <v>25</v>
      </c>
      <c r="JK92">
        <v>1.1</v>
      </c>
      <c r="JL92">
        <v>1.1</v>
      </c>
      <c r="JM92">
        <v>0.0305176</v>
      </c>
      <c r="JN92">
        <v>4.99634</v>
      </c>
      <c r="JO92">
        <v>1.49658</v>
      </c>
      <c r="JP92">
        <v>2.34497</v>
      </c>
      <c r="JQ92">
        <v>1.54907</v>
      </c>
      <c r="JR92">
        <v>2.35352</v>
      </c>
      <c r="JS92">
        <v>35.5683</v>
      </c>
      <c r="JT92">
        <v>24.1225</v>
      </c>
      <c r="JU92">
        <v>18</v>
      </c>
      <c r="JV92">
        <v>479.771</v>
      </c>
      <c r="JW92">
        <v>483.253</v>
      </c>
      <c r="JX92">
        <v>22.597</v>
      </c>
      <c r="JY92">
        <v>27.7951</v>
      </c>
      <c r="JZ92">
        <v>30.0004</v>
      </c>
      <c r="KA92">
        <v>27.9376</v>
      </c>
      <c r="KB92">
        <v>27.9133</v>
      </c>
      <c r="KC92">
        <v>0</v>
      </c>
      <c r="KD92">
        <v>18.2037</v>
      </c>
      <c r="KE92">
        <v>33.9247</v>
      </c>
      <c r="KF92">
        <v>22.6078</v>
      </c>
      <c r="KG92">
        <v>0</v>
      </c>
      <c r="KH92">
        <v>16.8943</v>
      </c>
      <c r="KI92">
        <v>102.212</v>
      </c>
      <c r="KJ92">
        <v>91.6215</v>
      </c>
    </row>
    <row r="93" spans="1:296">
      <c r="A93">
        <v>75</v>
      </c>
      <c r="B93">
        <v>1765310428</v>
      </c>
      <c r="C93">
        <v>12995</v>
      </c>
      <c r="D93" t="s">
        <v>670</v>
      </c>
      <c r="E93" t="s">
        <v>671</v>
      </c>
      <c r="F93">
        <v>5</v>
      </c>
      <c r="G93" t="s">
        <v>653</v>
      </c>
      <c r="H93">
        <v>1765310420</v>
      </c>
      <c r="I93">
        <f>(J93)/1000</f>
        <v>0</v>
      </c>
      <c r="J93">
        <f>IF(DO93, AM93, AG93)</f>
        <v>0</v>
      </c>
      <c r="K93">
        <f>IF(DO93, AH93, AF93)</f>
        <v>0</v>
      </c>
      <c r="L93">
        <f>DQ93 - IF(AT93&gt;1, K93*DK93*100.0/(AV93), 0)</f>
        <v>0</v>
      </c>
      <c r="M93">
        <f>((S93-I93/2)*L93-K93)/(S93+I93/2)</f>
        <v>0</v>
      </c>
      <c r="N93">
        <f>M93*(DX93+DY93)/1000.0</f>
        <v>0</v>
      </c>
      <c r="O93">
        <f>(DQ93 - IF(AT93&gt;1, K93*DK93*100.0/(AV93), 0))*(DX93+DY93)/1000.0</f>
        <v>0</v>
      </c>
      <c r="P93">
        <f>2.0/((1/R93-1/Q93)+SIGN(R93)*SQRT((1/R93-1/Q93)*(1/R93-1/Q93) + 4*DL93/((DL93+1)*(DL93+1))*(2*1/R93*1/Q93-1/Q93*1/Q93)))</f>
        <v>0</v>
      </c>
      <c r="Q93">
        <f>IF(LEFT(DM93,1)&lt;&gt;"0",IF(LEFT(DM93,1)="1",3.0,DN93),$D$5+$E$5*(EE93*DX93/($K$5*1000))+$F$5*(EE93*DX93/($K$5*1000))*MAX(MIN(DK93,$J$5),$I$5)*MAX(MIN(DK93,$J$5),$I$5)+$G$5*MAX(MIN(DK93,$J$5),$I$5)*(EE93*DX93/($K$5*1000))+$H$5*(EE93*DX93/($K$5*1000))*(EE93*DX93/($K$5*1000)))</f>
        <v>0</v>
      </c>
      <c r="R93">
        <f>I93*(1000-(1000*0.61365*exp(17.502*V93/(240.97+V93))/(DX93+DY93)+DS93)/2)/(1000*0.61365*exp(17.502*V93/(240.97+V93))/(DX93+DY93)-DS93)</f>
        <v>0</v>
      </c>
      <c r="S93">
        <f>1/((DL93+1)/(P93/1.6)+1/(Q93/1.37)) + DL93/((DL93+1)/(P93/1.6) + DL93/(Q93/1.37))</f>
        <v>0</v>
      </c>
      <c r="T93">
        <f>(DG93*DJ93)</f>
        <v>0</v>
      </c>
      <c r="U93">
        <f>(DZ93+(T93+2*0.95*5.67E-8*(((DZ93+$B$9)+273)^4-(DZ93+273)^4)-44100*I93)/(1.84*29.3*Q93+8*0.95*5.67E-8*(DZ93+273)^3))</f>
        <v>0</v>
      </c>
      <c r="V93">
        <f>($C$9*EA93+$D$9*EB93+$E$9*U93)</f>
        <v>0</v>
      </c>
      <c r="W93">
        <f>0.61365*exp(17.502*V93/(240.97+V93))</f>
        <v>0</v>
      </c>
      <c r="X93">
        <f>(Y93/Z93*100)</f>
        <v>0</v>
      </c>
      <c r="Y93">
        <f>DS93*(DX93+DY93)/1000</f>
        <v>0</v>
      </c>
      <c r="Z93">
        <f>0.61365*exp(17.502*DZ93/(240.97+DZ93))</f>
        <v>0</v>
      </c>
      <c r="AA93">
        <f>(W93-DS93*(DX93+DY93)/1000)</f>
        <v>0</v>
      </c>
      <c r="AB93">
        <f>(-I93*44100)</f>
        <v>0</v>
      </c>
      <c r="AC93">
        <f>2*29.3*Q93*0.92*(DZ93-V93)</f>
        <v>0</v>
      </c>
      <c r="AD93">
        <f>2*0.95*5.67E-8*(((DZ93+$B$9)+273)^4-(V93+273)^4)</f>
        <v>0</v>
      </c>
      <c r="AE93">
        <f>T93+AD93+AB93+AC93</f>
        <v>0</v>
      </c>
      <c r="AF93">
        <f>DW93*AT93*(DR93-DQ93*(1000-AT93*DT93)/(1000-AT93*DS93))/(100*DK93)</f>
        <v>0</v>
      </c>
      <c r="AG93">
        <f>1000*DW93*AT93*(DS93-DT93)/(100*DK93*(1000-AT93*DS93))</f>
        <v>0</v>
      </c>
      <c r="AH93">
        <f>(AI93 - AJ93 - DX93*1E3/(8.314*(DZ93+273.15)) * AL93/DW93 * AK93) * DW93/(100*DK93) * (1000 - DT93)/1000</f>
        <v>0</v>
      </c>
      <c r="AI93">
        <v>406.9895386054706</v>
      </c>
      <c r="AJ93">
        <v>406.7745515151514</v>
      </c>
      <c r="AK93">
        <v>0.0007378249041770375</v>
      </c>
      <c r="AL93">
        <v>65.15587102157932</v>
      </c>
      <c r="AM93">
        <f>(AO93 - AN93 + DX93*1E3/(8.314*(DZ93+273.15)) * AQ93/DW93 * AP93) * DW93/(100*DK93) * 1000/(1000 - AO93)</f>
        <v>0</v>
      </c>
      <c r="AN93">
        <v>16.82461212121212</v>
      </c>
      <c r="AO93">
        <v>16.96906181818181</v>
      </c>
      <c r="AP93">
        <v>-1.288489288498065E-05</v>
      </c>
      <c r="AQ93">
        <v>103.7895607244951</v>
      </c>
      <c r="AR93">
        <v>0</v>
      </c>
      <c r="AS93">
        <v>0</v>
      </c>
      <c r="AT93">
        <f>IF(AR93*$H$15&gt;=AV93,1.0,(AV93/(AV93-AR93*$H$15)))</f>
        <v>0</v>
      </c>
      <c r="AU93">
        <f>(AT93-1)*100</f>
        <v>0</v>
      </c>
      <c r="AV93">
        <f>MAX(0,($B$15+$C$15*EE93)/(1+$D$15*EE93)*DX93/(DZ93+273)*$E$15)</f>
        <v>0</v>
      </c>
      <c r="AW93" t="s">
        <v>437</v>
      </c>
      <c r="AX93" t="s">
        <v>437</v>
      </c>
      <c r="AY93">
        <v>0</v>
      </c>
      <c r="AZ93">
        <v>0</v>
      </c>
      <c r="BA93">
        <f>1-AY93/AZ93</f>
        <v>0</v>
      </c>
      <c r="BB93">
        <v>0</v>
      </c>
      <c r="BC93" t="s">
        <v>437</v>
      </c>
      <c r="BD93" t="s">
        <v>437</v>
      </c>
      <c r="BE93">
        <v>0</v>
      </c>
      <c r="BF93">
        <v>0</v>
      </c>
      <c r="BG93">
        <f>1-BE93/BF93</f>
        <v>0</v>
      </c>
      <c r="BH93">
        <v>0.5</v>
      </c>
      <c r="BI93">
        <f>DH93</f>
        <v>0</v>
      </c>
      <c r="BJ93">
        <f>K93</f>
        <v>0</v>
      </c>
      <c r="BK93">
        <f>BG93*BH93*BI93</f>
        <v>0</v>
      </c>
      <c r="BL93">
        <f>(BJ93-BB93)/BI93</f>
        <v>0</v>
      </c>
      <c r="BM93">
        <f>(AZ93-BF93)/BF93</f>
        <v>0</v>
      </c>
      <c r="BN93">
        <f>AY93/(BA93+AY93/BF93)</f>
        <v>0</v>
      </c>
      <c r="BO93" t="s">
        <v>437</v>
      </c>
      <c r="BP93">
        <v>0</v>
      </c>
      <c r="BQ93">
        <f>IF(BP93&lt;&gt;0, BP93, BN93)</f>
        <v>0</v>
      </c>
      <c r="BR93">
        <f>1-BQ93/BF93</f>
        <v>0</v>
      </c>
      <c r="BS93">
        <f>(BF93-BE93)/(BF93-BQ93)</f>
        <v>0</v>
      </c>
      <c r="BT93">
        <f>(AZ93-BF93)/(AZ93-BQ93)</f>
        <v>0</v>
      </c>
      <c r="BU93">
        <f>(BF93-BE93)/(BF93-AY93)</f>
        <v>0</v>
      </c>
      <c r="BV93">
        <f>(AZ93-BF93)/(AZ93-AY93)</f>
        <v>0</v>
      </c>
      <c r="BW93">
        <f>(BS93*BQ93/BE93)</f>
        <v>0</v>
      </c>
      <c r="BX93">
        <f>(1-BW93)</f>
        <v>0</v>
      </c>
      <c r="DG93">
        <f>$B$13*EF93+$C$13*EG93+$F$13*ER93*(1-EU93)</f>
        <v>0</v>
      </c>
      <c r="DH93">
        <f>DG93*DI93</f>
        <v>0</v>
      </c>
      <c r="DI93">
        <f>($B$13*$D$11+$C$13*$D$11+$F$13*((FE93+EW93)/MAX(FE93+EW93+FF93, 0.1)*$I$11+FF93/MAX(FE93+EW93+FF93, 0.1)*$J$11))/($B$13+$C$13+$F$13)</f>
        <v>0</v>
      </c>
      <c r="DJ93">
        <f>($B$13*$K$11+$C$13*$K$11+$F$13*((FE93+EW93)/MAX(FE93+EW93+FF93, 0.1)*$P$11+FF93/MAX(FE93+EW93+FF93, 0.1)*$Q$11))/($B$13+$C$13+$F$13)</f>
        <v>0</v>
      </c>
      <c r="DK93">
        <v>5.66</v>
      </c>
      <c r="DL93">
        <v>0.5</v>
      </c>
      <c r="DM93" t="s">
        <v>438</v>
      </c>
      <c r="DN93">
        <v>2</v>
      </c>
      <c r="DO93" t="b">
        <v>1</v>
      </c>
      <c r="DP93">
        <v>1765310420</v>
      </c>
      <c r="DQ93">
        <v>399.7230967741936</v>
      </c>
      <c r="DR93">
        <v>400.1615806451613</v>
      </c>
      <c r="DS93">
        <v>16.97001612903226</v>
      </c>
      <c r="DT93">
        <v>16.82367741935484</v>
      </c>
      <c r="DU93">
        <v>399.7070967741935</v>
      </c>
      <c r="DV93">
        <v>16.90601612903226</v>
      </c>
      <c r="DW93">
        <v>500.0110967741935</v>
      </c>
      <c r="DX93">
        <v>89.82000322580646</v>
      </c>
      <c r="DY93">
        <v>0.1000283258064516</v>
      </c>
      <c r="DZ93">
        <v>24.32030322580644</v>
      </c>
      <c r="EA93">
        <v>24.98874838709677</v>
      </c>
      <c r="EB93">
        <v>999.9000000000003</v>
      </c>
      <c r="EC93">
        <v>0</v>
      </c>
      <c r="ED93">
        <v>0</v>
      </c>
      <c r="EE93">
        <v>9995.947419354839</v>
      </c>
      <c r="EF93">
        <v>0</v>
      </c>
      <c r="EG93">
        <v>9.714249999999998</v>
      </c>
      <c r="EH93">
        <v>-0.250253064516129</v>
      </c>
      <c r="EI93">
        <v>406.8154193548387</v>
      </c>
      <c r="EJ93">
        <v>407.0090645161291</v>
      </c>
      <c r="EK93">
        <v>0.1471816129032258</v>
      </c>
      <c r="EL93">
        <v>400.1615806451613</v>
      </c>
      <c r="EM93">
        <v>16.82367741935484</v>
      </c>
      <c r="EN93">
        <v>1.52432129032258</v>
      </c>
      <c r="EO93">
        <v>1.511102580645161</v>
      </c>
      <c r="EP93">
        <v>13.21432258064516</v>
      </c>
      <c r="EQ93">
        <v>13.08096451612903</v>
      </c>
      <c r="ER93">
        <v>800.0018387096776</v>
      </c>
      <c r="ES93">
        <v>0.9500025161290322</v>
      </c>
      <c r="ET93">
        <v>0.0499971870967742</v>
      </c>
      <c r="EU93">
        <v>0</v>
      </c>
      <c r="EV93">
        <v>551.2427741935484</v>
      </c>
      <c r="EW93">
        <v>5.000779999999999</v>
      </c>
      <c r="EX93">
        <v>4296.920967741935</v>
      </c>
      <c r="EY93">
        <v>6463.439032258065</v>
      </c>
      <c r="EZ93">
        <v>35.76993548387097</v>
      </c>
      <c r="FA93">
        <v>38.34654838709676</v>
      </c>
      <c r="FB93">
        <v>37.27793548387096</v>
      </c>
      <c r="FC93">
        <v>37.89887096774192</v>
      </c>
      <c r="FD93">
        <v>37.30419354838708</v>
      </c>
      <c r="FE93">
        <v>755.2535483870969</v>
      </c>
      <c r="FF93">
        <v>39.75</v>
      </c>
      <c r="FG93">
        <v>0</v>
      </c>
      <c r="FH93">
        <v>1765310427.5</v>
      </c>
      <c r="FI93">
        <v>0</v>
      </c>
      <c r="FJ93">
        <v>551.246</v>
      </c>
      <c r="FK93">
        <v>0.5253846224266964</v>
      </c>
      <c r="FL93">
        <v>-3.794615341187211</v>
      </c>
      <c r="FM93">
        <v>4296.948</v>
      </c>
      <c r="FN93">
        <v>15</v>
      </c>
      <c r="FO93">
        <v>1765310446.5</v>
      </c>
      <c r="FP93" t="s">
        <v>672</v>
      </c>
      <c r="FQ93">
        <v>1765310446.5</v>
      </c>
      <c r="FR93">
        <v>1765310445</v>
      </c>
      <c r="FS93">
        <v>76</v>
      </c>
      <c r="FT93">
        <v>-0.189</v>
      </c>
      <c r="FU93">
        <v>0.001</v>
      </c>
      <c r="FV93">
        <v>0.016</v>
      </c>
      <c r="FW93">
        <v>0.064</v>
      </c>
      <c r="FX93">
        <v>400</v>
      </c>
      <c r="FY93">
        <v>17</v>
      </c>
      <c r="FZ93">
        <v>0.5600000000000001</v>
      </c>
      <c r="GA93">
        <v>0.24</v>
      </c>
      <c r="GB93">
        <v>-0.22141192</v>
      </c>
      <c r="GC93">
        <v>-0.4231460105065664</v>
      </c>
      <c r="GD93">
        <v>0.06132510407748282</v>
      </c>
      <c r="GE93">
        <v>1</v>
      </c>
      <c r="GF93">
        <v>551.2602647058824</v>
      </c>
      <c r="GG93">
        <v>-0.1791138277590419</v>
      </c>
      <c r="GH93">
        <v>0.201161086873124</v>
      </c>
      <c r="GI93">
        <v>1</v>
      </c>
      <c r="GJ93">
        <v>0.147516075</v>
      </c>
      <c r="GK93">
        <v>-0.008036701688555596</v>
      </c>
      <c r="GL93">
        <v>0.0009965438371566996</v>
      </c>
      <c r="GM93">
        <v>1</v>
      </c>
      <c r="GN93">
        <v>3</v>
      </c>
      <c r="GO93">
        <v>3</v>
      </c>
      <c r="GP93" t="s">
        <v>440</v>
      </c>
      <c r="GQ93">
        <v>3.1082</v>
      </c>
      <c r="GR93">
        <v>2.79161</v>
      </c>
      <c r="GS93">
        <v>0.084303</v>
      </c>
      <c r="GT93">
        <v>0.0844188</v>
      </c>
      <c r="GU93">
        <v>0.08429540000000001</v>
      </c>
      <c r="GV93">
        <v>0.084539</v>
      </c>
      <c r="GW93">
        <v>24008.5</v>
      </c>
      <c r="GX93">
        <v>21800.4</v>
      </c>
      <c r="GY93">
        <v>26777.5</v>
      </c>
      <c r="GZ93">
        <v>24018.7</v>
      </c>
      <c r="HA93">
        <v>39190.7</v>
      </c>
      <c r="HB93">
        <v>32455.9</v>
      </c>
      <c r="HC93">
        <v>46737.5</v>
      </c>
      <c r="HD93">
        <v>37987.1</v>
      </c>
      <c r="HE93">
        <v>1.88685</v>
      </c>
      <c r="HF93">
        <v>1.84805</v>
      </c>
      <c r="HG93">
        <v>0.0660159</v>
      </c>
      <c r="HH93">
        <v>0</v>
      </c>
      <c r="HI93">
        <v>23.8946</v>
      </c>
      <c r="HJ93">
        <v>999.9</v>
      </c>
      <c r="HK93">
        <v>39.6</v>
      </c>
      <c r="HL93">
        <v>31.4</v>
      </c>
      <c r="HM93">
        <v>20.3478</v>
      </c>
      <c r="HN93">
        <v>61.2275</v>
      </c>
      <c r="HO93">
        <v>27.7804</v>
      </c>
      <c r="HP93">
        <v>1</v>
      </c>
      <c r="HQ93">
        <v>0.0569614</v>
      </c>
      <c r="HR93">
        <v>1.32884</v>
      </c>
      <c r="HS93">
        <v>20.2891</v>
      </c>
      <c r="HT93">
        <v>5.22238</v>
      </c>
      <c r="HU93">
        <v>11.9794</v>
      </c>
      <c r="HV93">
        <v>4.9656</v>
      </c>
      <c r="HW93">
        <v>3.2759</v>
      </c>
      <c r="HX93">
        <v>9999</v>
      </c>
      <c r="HY93">
        <v>9999</v>
      </c>
      <c r="HZ93">
        <v>9999</v>
      </c>
      <c r="IA93">
        <v>999.9</v>
      </c>
      <c r="IB93">
        <v>1.86389</v>
      </c>
      <c r="IC93">
        <v>1.86005</v>
      </c>
      <c r="ID93">
        <v>1.85837</v>
      </c>
      <c r="IE93">
        <v>1.85967</v>
      </c>
      <c r="IF93">
        <v>1.85988</v>
      </c>
      <c r="IG93">
        <v>1.85837</v>
      </c>
      <c r="IH93">
        <v>1.85741</v>
      </c>
      <c r="II93">
        <v>1.85239</v>
      </c>
      <c r="IJ93">
        <v>0</v>
      </c>
      <c r="IK93">
        <v>0</v>
      </c>
      <c r="IL93">
        <v>0</v>
      </c>
      <c r="IM93">
        <v>0</v>
      </c>
      <c r="IN93" t="s">
        <v>441</v>
      </c>
      <c r="IO93" t="s">
        <v>442</v>
      </c>
      <c r="IP93" t="s">
        <v>443</v>
      </c>
      <c r="IQ93" t="s">
        <v>443</v>
      </c>
      <c r="IR93" t="s">
        <v>443</v>
      </c>
      <c r="IS93" t="s">
        <v>443</v>
      </c>
      <c r="IT93">
        <v>0</v>
      </c>
      <c r="IU93">
        <v>100</v>
      </c>
      <c r="IV93">
        <v>100</v>
      </c>
      <c r="IW93">
        <v>0.016</v>
      </c>
      <c r="IX93">
        <v>0.064</v>
      </c>
      <c r="IY93">
        <v>-0.07450971713334431</v>
      </c>
      <c r="IZ93">
        <v>0.0001583678016168383</v>
      </c>
      <c r="JA93">
        <v>1.526473431467286E-06</v>
      </c>
      <c r="JB93">
        <v>-4.446382740029455E-10</v>
      </c>
      <c r="JC93">
        <v>-0.04454167145893961</v>
      </c>
      <c r="JD93">
        <v>-0.009941991807247691</v>
      </c>
      <c r="JE93">
        <v>0.001256427533001032</v>
      </c>
      <c r="JF93">
        <v>-1.689728105039484E-05</v>
      </c>
      <c r="JG93">
        <v>2</v>
      </c>
      <c r="JH93">
        <v>1984</v>
      </c>
      <c r="JI93">
        <v>0</v>
      </c>
      <c r="JJ93">
        <v>25</v>
      </c>
      <c r="JK93">
        <v>1.5</v>
      </c>
      <c r="JL93">
        <v>1.5</v>
      </c>
      <c r="JM93">
        <v>1.09619</v>
      </c>
      <c r="JN93">
        <v>2.6416</v>
      </c>
      <c r="JO93">
        <v>1.49658</v>
      </c>
      <c r="JP93">
        <v>2.34497</v>
      </c>
      <c r="JQ93">
        <v>1.54907</v>
      </c>
      <c r="JR93">
        <v>2.35352</v>
      </c>
      <c r="JS93">
        <v>35.6148</v>
      </c>
      <c r="JT93">
        <v>24.14</v>
      </c>
      <c r="JU93">
        <v>18</v>
      </c>
      <c r="JV93">
        <v>480.335</v>
      </c>
      <c r="JW93">
        <v>484.053</v>
      </c>
      <c r="JX93">
        <v>22.6488</v>
      </c>
      <c r="JY93">
        <v>27.876</v>
      </c>
      <c r="JZ93">
        <v>30.0002</v>
      </c>
      <c r="KA93">
        <v>28.0324</v>
      </c>
      <c r="KB93">
        <v>28.0111</v>
      </c>
      <c r="KC93">
        <v>22.0344</v>
      </c>
      <c r="KD93">
        <v>18.8157</v>
      </c>
      <c r="KE93">
        <v>33.9247</v>
      </c>
      <c r="KF93">
        <v>22.6569</v>
      </c>
      <c r="KG93">
        <v>400</v>
      </c>
      <c r="KH93">
        <v>16.8096</v>
      </c>
      <c r="KI93">
        <v>102.205</v>
      </c>
      <c r="KJ93">
        <v>91.6228</v>
      </c>
    </row>
    <row r="94" spans="1:296">
      <c r="A94">
        <v>76</v>
      </c>
      <c r="B94">
        <v>1765310507.5</v>
      </c>
      <c r="C94">
        <v>13074.5</v>
      </c>
      <c r="D94" t="s">
        <v>673</v>
      </c>
      <c r="E94" t="s">
        <v>674</v>
      </c>
      <c r="F94">
        <v>5</v>
      </c>
      <c r="G94" t="s">
        <v>653</v>
      </c>
      <c r="H94">
        <v>1765310499.5</v>
      </c>
      <c r="I94">
        <f>(J94)/1000</f>
        <v>0</v>
      </c>
      <c r="J94">
        <f>IF(DO94, AM94, AG94)</f>
        <v>0</v>
      </c>
      <c r="K94">
        <f>IF(DO94, AH94, AF94)</f>
        <v>0</v>
      </c>
      <c r="L94">
        <f>DQ94 - IF(AT94&gt;1, K94*DK94*100.0/(AV94), 0)</f>
        <v>0</v>
      </c>
      <c r="M94">
        <f>((S94-I94/2)*L94-K94)/(S94+I94/2)</f>
        <v>0</v>
      </c>
      <c r="N94">
        <f>M94*(DX94+DY94)/1000.0</f>
        <v>0</v>
      </c>
      <c r="O94">
        <f>(DQ94 - IF(AT94&gt;1, K94*DK94*100.0/(AV94), 0))*(DX94+DY94)/1000.0</f>
        <v>0</v>
      </c>
      <c r="P94">
        <f>2.0/((1/R94-1/Q94)+SIGN(R94)*SQRT((1/R94-1/Q94)*(1/R94-1/Q94) + 4*DL94/((DL94+1)*(DL94+1))*(2*1/R94*1/Q94-1/Q94*1/Q94)))</f>
        <v>0</v>
      </c>
      <c r="Q94">
        <f>IF(LEFT(DM94,1)&lt;&gt;"0",IF(LEFT(DM94,1)="1",3.0,DN94),$D$5+$E$5*(EE94*DX94/($K$5*1000))+$F$5*(EE94*DX94/($K$5*1000))*MAX(MIN(DK94,$J$5),$I$5)*MAX(MIN(DK94,$J$5),$I$5)+$G$5*MAX(MIN(DK94,$J$5),$I$5)*(EE94*DX94/($K$5*1000))+$H$5*(EE94*DX94/($K$5*1000))*(EE94*DX94/($K$5*1000)))</f>
        <v>0</v>
      </c>
      <c r="R94">
        <f>I94*(1000-(1000*0.61365*exp(17.502*V94/(240.97+V94))/(DX94+DY94)+DS94)/2)/(1000*0.61365*exp(17.502*V94/(240.97+V94))/(DX94+DY94)-DS94)</f>
        <v>0</v>
      </c>
      <c r="S94">
        <f>1/((DL94+1)/(P94/1.6)+1/(Q94/1.37)) + DL94/((DL94+1)/(P94/1.6) + DL94/(Q94/1.37))</f>
        <v>0</v>
      </c>
      <c r="T94">
        <f>(DG94*DJ94)</f>
        <v>0</v>
      </c>
      <c r="U94">
        <f>(DZ94+(T94+2*0.95*5.67E-8*(((DZ94+$B$9)+273)^4-(DZ94+273)^4)-44100*I94)/(1.84*29.3*Q94+8*0.95*5.67E-8*(DZ94+273)^3))</f>
        <v>0</v>
      </c>
      <c r="V94">
        <f>($C$9*EA94+$D$9*EB94+$E$9*U94)</f>
        <v>0</v>
      </c>
      <c r="W94">
        <f>0.61365*exp(17.502*V94/(240.97+V94))</f>
        <v>0</v>
      </c>
      <c r="X94">
        <f>(Y94/Z94*100)</f>
        <v>0</v>
      </c>
      <c r="Y94">
        <f>DS94*(DX94+DY94)/1000</f>
        <v>0</v>
      </c>
      <c r="Z94">
        <f>0.61365*exp(17.502*DZ94/(240.97+DZ94))</f>
        <v>0</v>
      </c>
      <c r="AA94">
        <f>(W94-DS94*(DX94+DY94)/1000)</f>
        <v>0</v>
      </c>
      <c r="AB94">
        <f>(-I94*44100)</f>
        <v>0</v>
      </c>
      <c r="AC94">
        <f>2*29.3*Q94*0.92*(DZ94-V94)</f>
        <v>0</v>
      </c>
      <c r="AD94">
        <f>2*0.95*5.67E-8*(((DZ94+$B$9)+273)^4-(V94+273)^4)</f>
        <v>0</v>
      </c>
      <c r="AE94">
        <f>T94+AD94+AB94+AC94</f>
        <v>0</v>
      </c>
      <c r="AF94">
        <f>DW94*AT94*(DR94-DQ94*(1000-AT94*DT94)/(1000-AT94*DS94))/(100*DK94)</f>
        <v>0</v>
      </c>
      <c r="AG94">
        <f>1000*DW94*AT94*(DS94-DT94)/(100*DK94*(1000-AT94*DS94))</f>
        <v>0</v>
      </c>
      <c r="AH94">
        <f>(AI94 - AJ94 - DX94*1E3/(8.314*(DZ94+273.15)) * AL94/DW94 * AK94) * DW94/(100*DK94) * (1000 - DT94)/1000</f>
        <v>0</v>
      </c>
      <c r="AI94">
        <v>406.8834179398513</v>
      </c>
      <c r="AJ94">
        <v>406.4533454545455</v>
      </c>
      <c r="AK94">
        <v>-0.0007380717632545816</v>
      </c>
      <c r="AL94">
        <v>65.86829851956576</v>
      </c>
      <c r="AM94">
        <f>(AO94 - AN94 + DX94*1E3/(8.314*(DZ94+273.15)) * AQ94/DW94 * AP94) * DW94/(100*DK94) * 1000/(1000 - AO94)</f>
        <v>0</v>
      </c>
      <c r="AN94">
        <v>16.82173102100059</v>
      </c>
      <c r="AO94">
        <v>16.96681748251749</v>
      </c>
      <c r="AP94">
        <v>-2.336465792010218E-05</v>
      </c>
      <c r="AQ94">
        <v>109.1953300913105</v>
      </c>
      <c r="AR94">
        <v>0</v>
      </c>
      <c r="AS94">
        <v>0</v>
      </c>
      <c r="AT94">
        <f>IF(AR94*$H$15&gt;=AV94,1.0,(AV94/(AV94-AR94*$H$15)))</f>
        <v>0</v>
      </c>
      <c r="AU94">
        <f>(AT94-1)*100</f>
        <v>0</v>
      </c>
      <c r="AV94">
        <f>MAX(0,($B$15+$C$15*EE94)/(1+$D$15*EE94)*DX94/(DZ94+273)*$E$15)</f>
        <v>0</v>
      </c>
      <c r="AW94" t="s">
        <v>437</v>
      </c>
      <c r="AX94" t="s">
        <v>437</v>
      </c>
      <c r="AY94">
        <v>0</v>
      </c>
      <c r="AZ94">
        <v>0</v>
      </c>
      <c r="BA94">
        <f>1-AY94/AZ94</f>
        <v>0</v>
      </c>
      <c r="BB94">
        <v>0</v>
      </c>
      <c r="BC94" t="s">
        <v>437</v>
      </c>
      <c r="BD94" t="s">
        <v>437</v>
      </c>
      <c r="BE94">
        <v>0</v>
      </c>
      <c r="BF94">
        <v>0</v>
      </c>
      <c r="BG94">
        <f>1-BE94/BF94</f>
        <v>0</v>
      </c>
      <c r="BH94">
        <v>0.5</v>
      </c>
      <c r="BI94">
        <f>DH94</f>
        <v>0</v>
      </c>
      <c r="BJ94">
        <f>K94</f>
        <v>0</v>
      </c>
      <c r="BK94">
        <f>BG94*BH94*BI94</f>
        <v>0</v>
      </c>
      <c r="BL94">
        <f>(BJ94-BB94)/BI94</f>
        <v>0</v>
      </c>
      <c r="BM94">
        <f>(AZ94-BF94)/BF94</f>
        <v>0</v>
      </c>
      <c r="BN94">
        <f>AY94/(BA94+AY94/BF94)</f>
        <v>0</v>
      </c>
      <c r="BO94" t="s">
        <v>437</v>
      </c>
      <c r="BP94">
        <v>0</v>
      </c>
      <c r="BQ94">
        <f>IF(BP94&lt;&gt;0, BP94, BN94)</f>
        <v>0</v>
      </c>
      <c r="BR94">
        <f>1-BQ94/BF94</f>
        <v>0</v>
      </c>
      <c r="BS94">
        <f>(BF94-BE94)/(BF94-BQ94)</f>
        <v>0</v>
      </c>
      <c r="BT94">
        <f>(AZ94-BF94)/(AZ94-BQ94)</f>
        <v>0</v>
      </c>
      <c r="BU94">
        <f>(BF94-BE94)/(BF94-AY94)</f>
        <v>0</v>
      </c>
      <c r="BV94">
        <f>(AZ94-BF94)/(AZ94-AY94)</f>
        <v>0</v>
      </c>
      <c r="BW94">
        <f>(BS94*BQ94/BE94)</f>
        <v>0</v>
      </c>
      <c r="BX94">
        <f>(1-BW94)</f>
        <v>0</v>
      </c>
      <c r="DG94">
        <f>$B$13*EF94+$C$13*EG94+$F$13*ER94*(1-EU94)</f>
        <v>0</v>
      </c>
      <c r="DH94">
        <f>DG94*DI94</f>
        <v>0</v>
      </c>
      <c r="DI94">
        <f>($B$13*$D$11+$C$13*$D$11+$F$13*((FE94+EW94)/MAX(FE94+EW94+FF94, 0.1)*$I$11+FF94/MAX(FE94+EW94+FF94, 0.1)*$J$11))/($B$13+$C$13+$F$13)</f>
        <v>0</v>
      </c>
      <c r="DJ94">
        <f>($B$13*$K$11+$C$13*$K$11+$F$13*((FE94+EW94)/MAX(FE94+EW94+FF94, 0.1)*$P$11+FF94/MAX(FE94+EW94+FF94, 0.1)*$Q$11))/($B$13+$C$13+$F$13)</f>
        <v>0</v>
      </c>
      <c r="DK94">
        <v>5.66</v>
      </c>
      <c r="DL94">
        <v>0.5</v>
      </c>
      <c r="DM94" t="s">
        <v>438</v>
      </c>
      <c r="DN94">
        <v>2</v>
      </c>
      <c r="DO94" t="b">
        <v>1</v>
      </c>
      <c r="DP94">
        <v>1765310499.5</v>
      </c>
      <c r="DQ94">
        <v>399.6223870967742</v>
      </c>
      <c r="DR94">
        <v>400.0626774193548</v>
      </c>
      <c r="DS94">
        <v>16.96765806451613</v>
      </c>
      <c r="DT94">
        <v>16.82200322580645</v>
      </c>
      <c r="DU94">
        <v>399.5783870967742</v>
      </c>
      <c r="DV94">
        <v>16.90165806451613</v>
      </c>
      <c r="DW94">
        <v>500.0045161290323</v>
      </c>
      <c r="DX94">
        <v>89.82679677419355</v>
      </c>
      <c r="DY94">
        <v>0.09997565161290324</v>
      </c>
      <c r="DZ94">
        <v>24.32790645161291</v>
      </c>
      <c r="EA94">
        <v>25.00305806451613</v>
      </c>
      <c r="EB94">
        <v>999.9000000000003</v>
      </c>
      <c r="EC94">
        <v>0</v>
      </c>
      <c r="ED94">
        <v>0</v>
      </c>
      <c r="EE94">
        <v>9995.567741935483</v>
      </c>
      <c r="EF94">
        <v>0</v>
      </c>
      <c r="EG94">
        <v>9.714249999999998</v>
      </c>
      <c r="EH94">
        <v>-0.4687529032258065</v>
      </c>
      <c r="EI94">
        <v>406.491193548387</v>
      </c>
      <c r="EJ94">
        <v>406.9075806451614</v>
      </c>
      <c r="EK94">
        <v>0.1459112903225806</v>
      </c>
      <c r="EL94">
        <v>400.0626774193548</v>
      </c>
      <c r="EM94">
        <v>16.82200322580645</v>
      </c>
      <c r="EN94">
        <v>1.524174193548387</v>
      </c>
      <c r="EO94">
        <v>1.511066451612903</v>
      </c>
      <c r="EP94">
        <v>13.21284516129032</v>
      </c>
      <c r="EQ94">
        <v>13.08062258064516</v>
      </c>
      <c r="ER94">
        <v>800.0058064516128</v>
      </c>
      <c r="ES94">
        <v>0.9500019677419355</v>
      </c>
      <c r="ET94">
        <v>0.04999771290322581</v>
      </c>
      <c r="EU94">
        <v>0</v>
      </c>
      <c r="EV94">
        <v>551.4375161290322</v>
      </c>
      <c r="EW94">
        <v>5.000779999999999</v>
      </c>
      <c r="EX94">
        <v>4292.325806451612</v>
      </c>
      <c r="EY94">
        <v>6463.470645161291</v>
      </c>
      <c r="EZ94">
        <v>35.48158064516128</v>
      </c>
      <c r="FA94">
        <v>38.07419354838708</v>
      </c>
      <c r="FB94">
        <v>36.97967741935484</v>
      </c>
      <c r="FC94">
        <v>37.6428064516129</v>
      </c>
      <c r="FD94">
        <v>37.01990322580644</v>
      </c>
      <c r="FE94">
        <v>755.2558064516129</v>
      </c>
      <c r="FF94">
        <v>39.75</v>
      </c>
      <c r="FG94">
        <v>0</v>
      </c>
      <c r="FH94">
        <v>1765310506.7</v>
      </c>
      <c r="FI94">
        <v>0</v>
      </c>
      <c r="FJ94">
        <v>551.41516</v>
      </c>
      <c r="FK94">
        <v>-0.1433076823053788</v>
      </c>
      <c r="FL94">
        <v>-6.620000073846661</v>
      </c>
      <c r="FM94">
        <v>4292.2992</v>
      </c>
      <c r="FN94">
        <v>15</v>
      </c>
      <c r="FO94">
        <v>1765310524.5</v>
      </c>
      <c r="FP94" t="s">
        <v>675</v>
      </c>
      <c r="FQ94">
        <v>1765310524</v>
      </c>
      <c r="FR94">
        <v>1765310524.5</v>
      </c>
      <c r="FS94">
        <v>77</v>
      </c>
      <c r="FT94">
        <v>0.028</v>
      </c>
      <c r="FU94">
        <v>0.002</v>
      </c>
      <c r="FV94">
        <v>0.044</v>
      </c>
      <c r="FW94">
        <v>0.066</v>
      </c>
      <c r="FX94">
        <v>400</v>
      </c>
      <c r="FY94">
        <v>17</v>
      </c>
      <c r="FZ94">
        <v>0.49</v>
      </c>
      <c r="GA94">
        <v>0.15</v>
      </c>
      <c r="GB94">
        <v>-0.4539169268292683</v>
      </c>
      <c r="GC94">
        <v>-0.2041535749128924</v>
      </c>
      <c r="GD94">
        <v>0.05550833710546695</v>
      </c>
      <c r="GE94">
        <v>1</v>
      </c>
      <c r="GF94">
        <v>551.3841470588236</v>
      </c>
      <c r="GG94">
        <v>0.295171891985642</v>
      </c>
      <c r="GH94">
        <v>0.1945172202195482</v>
      </c>
      <c r="GI94">
        <v>1</v>
      </c>
      <c r="GJ94">
        <v>0.145533</v>
      </c>
      <c r="GK94">
        <v>0.0007145017421605899</v>
      </c>
      <c r="GL94">
        <v>0.001381573298992062</v>
      </c>
      <c r="GM94">
        <v>1</v>
      </c>
      <c r="GN94">
        <v>3</v>
      </c>
      <c r="GO94">
        <v>3</v>
      </c>
      <c r="GP94" t="s">
        <v>440</v>
      </c>
      <c r="GQ94">
        <v>3.10821</v>
      </c>
      <c r="GR94">
        <v>2.79174</v>
      </c>
      <c r="GS94">
        <v>0.0842797</v>
      </c>
      <c r="GT94">
        <v>0.08440499999999999</v>
      </c>
      <c r="GU94">
        <v>0.0842764</v>
      </c>
      <c r="GV94">
        <v>0.0845245</v>
      </c>
      <c r="GW94">
        <v>24007.3</v>
      </c>
      <c r="GX94">
        <v>21800.1</v>
      </c>
      <c r="GY94">
        <v>26775.7</v>
      </c>
      <c r="GZ94">
        <v>24018.1</v>
      </c>
      <c r="HA94">
        <v>39189</v>
      </c>
      <c r="HB94">
        <v>32456.1</v>
      </c>
      <c r="HC94">
        <v>46734.4</v>
      </c>
      <c r="HD94">
        <v>37986.6</v>
      </c>
      <c r="HE94">
        <v>1.88615</v>
      </c>
      <c r="HF94">
        <v>1.84743</v>
      </c>
      <c r="HG94">
        <v>0.0678822</v>
      </c>
      <c r="HH94">
        <v>0</v>
      </c>
      <c r="HI94">
        <v>23.8816</v>
      </c>
      <c r="HJ94">
        <v>999.9</v>
      </c>
      <c r="HK94">
        <v>39.6</v>
      </c>
      <c r="HL94">
        <v>31.5</v>
      </c>
      <c r="HM94">
        <v>20.4623</v>
      </c>
      <c r="HN94">
        <v>61.5175</v>
      </c>
      <c r="HO94">
        <v>27.7364</v>
      </c>
      <c r="HP94">
        <v>1</v>
      </c>
      <c r="HQ94">
        <v>0.0600737</v>
      </c>
      <c r="HR94">
        <v>1.37345</v>
      </c>
      <c r="HS94">
        <v>20.2886</v>
      </c>
      <c r="HT94">
        <v>5.22268</v>
      </c>
      <c r="HU94">
        <v>11.9797</v>
      </c>
      <c r="HV94">
        <v>4.96565</v>
      </c>
      <c r="HW94">
        <v>3.27595</v>
      </c>
      <c r="HX94">
        <v>9999</v>
      </c>
      <c r="HY94">
        <v>9999</v>
      </c>
      <c r="HZ94">
        <v>9999</v>
      </c>
      <c r="IA94">
        <v>999.9</v>
      </c>
      <c r="IB94">
        <v>1.86389</v>
      </c>
      <c r="IC94">
        <v>1.86005</v>
      </c>
      <c r="ID94">
        <v>1.85837</v>
      </c>
      <c r="IE94">
        <v>1.85968</v>
      </c>
      <c r="IF94">
        <v>1.85984</v>
      </c>
      <c r="IG94">
        <v>1.85837</v>
      </c>
      <c r="IH94">
        <v>1.85742</v>
      </c>
      <c r="II94">
        <v>1.85238</v>
      </c>
      <c r="IJ94">
        <v>0</v>
      </c>
      <c r="IK94">
        <v>0</v>
      </c>
      <c r="IL94">
        <v>0</v>
      </c>
      <c r="IM94">
        <v>0</v>
      </c>
      <c r="IN94" t="s">
        <v>441</v>
      </c>
      <c r="IO94" t="s">
        <v>442</v>
      </c>
      <c r="IP94" t="s">
        <v>443</v>
      </c>
      <c r="IQ94" t="s">
        <v>443</v>
      </c>
      <c r="IR94" t="s">
        <v>443</v>
      </c>
      <c r="IS94" t="s">
        <v>443</v>
      </c>
      <c r="IT94">
        <v>0</v>
      </c>
      <c r="IU94">
        <v>100</v>
      </c>
      <c r="IV94">
        <v>100</v>
      </c>
      <c r="IW94">
        <v>0.044</v>
      </c>
      <c r="IX94">
        <v>0.066</v>
      </c>
      <c r="IY94">
        <v>-0.2631681195760251</v>
      </c>
      <c r="IZ94">
        <v>0.0001583678016168383</v>
      </c>
      <c r="JA94">
        <v>1.526473431467286E-06</v>
      </c>
      <c r="JB94">
        <v>-4.446382740029455E-10</v>
      </c>
      <c r="JC94">
        <v>-0.04303947067673851</v>
      </c>
      <c r="JD94">
        <v>-0.009941991807247691</v>
      </c>
      <c r="JE94">
        <v>0.001256427533001032</v>
      </c>
      <c r="JF94">
        <v>-1.689728105039484E-05</v>
      </c>
      <c r="JG94">
        <v>2</v>
      </c>
      <c r="JH94">
        <v>1984</v>
      </c>
      <c r="JI94">
        <v>0</v>
      </c>
      <c r="JJ94">
        <v>25</v>
      </c>
      <c r="JK94">
        <v>1</v>
      </c>
      <c r="JL94">
        <v>1</v>
      </c>
      <c r="JM94">
        <v>1.09253</v>
      </c>
      <c r="JN94">
        <v>2.62939</v>
      </c>
      <c r="JO94">
        <v>1.49658</v>
      </c>
      <c r="JP94">
        <v>2.34619</v>
      </c>
      <c r="JQ94">
        <v>1.54907</v>
      </c>
      <c r="JR94">
        <v>2.38037</v>
      </c>
      <c r="JS94">
        <v>35.638</v>
      </c>
      <c r="JT94">
        <v>24.14</v>
      </c>
      <c r="JU94">
        <v>18</v>
      </c>
      <c r="JV94">
        <v>480.35</v>
      </c>
      <c r="JW94">
        <v>484.124</v>
      </c>
      <c r="JX94">
        <v>22.7025</v>
      </c>
      <c r="JY94">
        <v>27.916</v>
      </c>
      <c r="JZ94">
        <v>30.0003</v>
      </c>
      <c r="KA94">
        <v>28.0874</v>
      </c>
      <c r="KB94">
        <v>28.0681</v>
      </c>
      <c r="KC94">
        <v>21.9854</v>
      </c>
      <c r="KD94">
        <v>18.8157</v>
      </c>
      <c r="KE94">
        <v>33.9247</v>
      </c>
      <c r="KF94">
        <v>22.7084</v>
      </c>
      <c r="KG94">
        <v>400</v>
      </c>
      <c r="KH94">
        <v>16.8187</v>
      </c>
      <c r="KI94">
        <v>102.199</v>
      </c>
      <c r="KJ94">
        <v>91.6212</v>
      </c>
    </row>
    <row r="95" spans="1:296">
      <c r="A95">
        <v>77</v>
      </c>
      <c r="B95">
        <v>1765310605</v>
      </c>
      <c r="C95">
        <v>13172</v>
      </c>
      <c r="D95" t="s">
        <v>676</v>
      </c>
      <c r="E95" t="s">
        <v>677</v>
      </c>
      <c r="F95">
        <v>5</v>
      </c>
      <c r="G95" t="s">
        <v>653</v>
      </c>
      <c r="H95">
        <v>1765310597.25</v>
      </c>
      <c r="I95">
        <f>(J95)/1000</f>
        <v>0</v>
      </c>
      <c r="J95">
        <f>IF(DO95, AM95, AG95)</f>
        <v>0</v>
      </c>
      <c r="K95">
        <f>IF(DO95, AH95, AF95)</f>
        <v>0</v>
      </c>
      <c r="L95">
        <f>DQ95 - IF(AT95&gt;1, K95*DK95*100.0/(AV95), 0)</f>
        <v>0</v>
      </c>
      <c r="M95">
        <f>((S95-I95/2)*L95-K95)/(S95+I95/2)</f>
        <v>0</v>
      </c>
      <c r="N95">
        <f>M95*(DX95+DY95)/1000.0</f>
        <v>0</v>
      </c>
      <c r="O95">
        <f>(DQ95 - IF(AT95&gt;1, K95*DK95*100.0/(AV95), 0))*(DX95+DY95)/1000.0</f>
        <v>0</v>
      </c>
      <c r="P95">
        <f>2.0/((1/R95-1/Q95)+SIGN(R95)*SQRT((1/R95-1/Q95)*(1/R95-1/Q95) + 4*DL95/((DL95+1)*(DL95+1))*(2*1/R95*1/Q95-1/Q95*1/Q95)))</f>
        <v>0</v>
      </c>
      <c r="Q95">
        <f>IF(LEFT(DM95,1)&lt;&gt;"0",IF(LEFT(DM95,1)="1",3.0,DN95),$D$5+$E$5*(EE95*DX95/($K$5*1000))+$F$5*(EE95*DX95/($K$5*1000))*MAX(MIN(DK95,$J$5),$I$5)*MAX(MIN(DK95,$J$5),$I$5)+$G$5*MAX(MIN(DK95,$J$5),$I$5)*(EE95*DX95/($K$5*1000))+$H$5*(EE95*DX95/($K$5*1000))*(EE95*DX95/($K$5*1000)))</f>
        <v>0</v>
      </c>
      <c r="R95">
        <f>I95*(1000-(1000*0.61365*exp(17.502*V95/(240.97+V95))/(DX95+DY95)+DS95)/2)/(1000*0.61365*exp(17.502*V95/(240.97+V95))/(DX95+DY95)-DS95)</f>
        <v>0</v>
      </c>
      <c r="S95">
        <f>1/((DL95+1)/(P95/1.6)+1/(Q95/1.37)) + DL95/((DL95+1)/(P95/1.6) + DL95/(Q95/1.37))</f>
        <v>0</v>
      </c>
      <c r="T95">
        <f>(DG95*DJ95)</f>
        <v>0</v>
      </c>
      <c r="U95">
        <f>(DZ95+(T95+2*0.95*5.67E-8*(((DZ95+$B$9)+273)^4-(DZ95+273)^4)-44100*I95)/(1.84*29.3*Q95+8*0.95*5.67E-8*(DZ95+273)^3))</f>
        <v>0</v>
      </c>
      <c r="V95">
        <f>($C$9*EA95+$D$9*EB95+$E$9*U95)</f>
        <v>0</v>
      </c>
      <c r="W95">
        <f>0.61365*exp(17.502*V95/(240.97+V95))</f>
        <v>0</v>
      </c>
      <c r="X95">
        <f>(Y95/Z95*100)</f>
        <v>0</v>
      </c>
      <c r="Y95">
        <f>DS95*(DX95+DY95)/1000</f>
        <v>0</v>
      </c>
      <c r="Z95">
        <f>0.61365*exp(17.502*DZ95/(240.97+DZ95))</f>
        <v>0</v>
      </c>
      <c r="AA95">
        <f>(W95-DS95*(DX95+DY95)/1000)</f>
        <v>0</v>
      </c>
      <c r="AB95">
        <f>(-I95*44100)</f>
        <v>0</v>
      </c>
      <c r="AC95">
        <f>2*29.3*Q95*0.92*(DZ95-V95)</f>
        <v>0</v>
      </c>
      <c r="AD95">
        <f>2*0.95*5.67E-8*(((DZ95+$B$9)+273)^4-(V95+273)^4)</f>
        <v>0</v>
      </c>
      <c r="AE95">
        <f>T95+AD95+AB95+AC95</f>
        <v>0</v>
      </c>
      <c r="AF95">
        <f>DW95*AT95*(DR95-DQ95*(1000-AT95*DT95)/(1000-AT95*DS95))/(100*DK95)</f>
        <v>0</v>
      </c>
      <c r="AG95">
        <f>1000*DW95*AT95*(DS95-DT95)/(100*DK95*(1000-AT95*DS95))</f>
        <v>0</v>
      </c>
      <c r="AH95">
        <f>(AI95 - AJ95 - DX95*1E3/(8.314*(DZ95+273.15)) * AL95/DW95 * AK95) * DW95/(100*DK95) * (1000 - DT95)/1000</f>
        <v>0</v>
      </c>
      <c r="AI95">
        <v>610.294081351403</v>
      </c>
      <c r="AJ95">
        <v>609.3677151515149</v>
      </c>
      <c r="AK95">
        <v>-0.002972443257038733</v>
      </c>
      <c r="AL95">
        <v>64.91737309437082</v>
      </c>
      <c r="AM95">
        <f>(AO95 - AN95 + DX95*1E3/(8.314*(DZ95+273.15)) * AQ95/DW95 * AP95) * DW95/(100*DK95) * 1000/(1000 - AO95)</f>
        <v>0</v>
      </c>
      <c r="AN95">
        <v>16.85177515151515</v>
      </c>
      <c r="AO95">
        <v>16.99053212121212</v>
      </c>
      <c r="AP95">
        <v>-2.067202638659341E-05</v>
      </c>
      <c r="AQ95">
        <v>103.1498025625214</v>
      </c>
      <c r="AR95">
        <v>0</v>
      </c>
      <c r="AS95">
        <v>0</v>
      </c>
      <c r="AT95">
        <f>IF(AR95*$H$15&gt;=AV95,1.0,(AV95/(AV95-AR95*$H$15)))</f>
        <v>0</v>
      </c>
      <c r="AU95">
        <f>(AT95-1)*100</f>
        <v>0</v>
      </c>
      <c r="AV95">
        <f>MAX(0,($B$15+$C$15*EE95)/(1+$D$15*EE95)*DX95/(DZ95+273)*$E$15)</f>
        <v>0</v>
      </c>
      <c r="AW95" t="s">
        <v>437</v>
      </c>
      <c r="AX95" t="s">
        <v>437</v>
      </c>
      <c r="AY95">
        <v>0</v>
      </c>
      <c r="AZ95">
        <v>0</v>
      </c>
      <c r="BA95">
        <f>1-AY95/AZ95</f>
        <v>0</v>
      </c>
      <c r="BB95">
        <v>0</v>
      </c>
      <c r="BC95" t="s">
        <v>437</v>
      </c>
      <c r="BD95" t="s">
        <v>437</v>
      </c>
      <c r="BE95">
        <v>0</v>
      </c>
      <c r="BF95">
        <v>0</v>
      </c>
      <c r="BG95">
        <f>1-BE95/BF95</f>
        <v>0</v>
      </c>
      <c r="BH95">
        <v>0.5</v>
      </c>
      <c r="BI95">
        <f>DH95</f>
        <v>0</v>
      </c>
      <c r="BJ95">
        <f>K95</f>
        <v>0</v>
      </c>
      <c r="BK95">
        <f>BG95*BH95*BI95</f>
        <v>0</v>
      </c>
      <c r="BL95">
        <f>(BJ95-BB95)/BI95</f>
        <v>0</v>
      </c>
      <c r="BM95">
        <f>(AZ95-BF95)/BF95</f>
        <v>0</v>
      </c>
      <c r="BN95">
        <f>AY95/(BA95+AY95/BF95)</f>
        <v>0</v>
      </c>
      <c r="BO95" t="s">
        <v>437</v>
      </c>
      <c r="BP95">
        <v>0</v>
      </c>
      <c r="BQ95">
        <f>IF(BP95&lt;&gt;0, BP95, BN95)</f>
        <v>0</v>
      </c>
      <c r="BR95">
        <f>1-BQ95/BF95</f>
        <v>0</v>
      </c>
      <c r="BS95">
        <f>(BF95-BE95)/(BF95-BQ95)</f>
        <v>0</v>
      </c>
      <c r="BT95">
        <f>(AZ95-BF95)/(AZ95-BQ95)</f>
        <v>0</v>
      </c>
      <c r="BU95">
        <f>(BF95-BE95)/(BF95-AY95)</f>
        <v>0</v>
      </c>
      <c r="BV95">
        <f>(AZ95-BF95)/(AZ95-AY95)</f>
        <v>0</v>
      </c>
      <c r="BW95">
        <f>(BS95*BQ95/BE95)</f>
        <v>0</v>
      </c>
      <c r="BX95">
        <f>(1-BW95)</f>
        <v>0</v>
      </c>
      <c r="DG95">
        <f>$B$13*EF95+$C$13*EG95+$F$13*ER95*(1-EU95)</f>
        <v>0</v>
      </c>
      <c r="DH95">
        <f>DG95*DI95</f>
        <v>0</v>
      </c>
      <c r="DI95">
        <f>($B$13*$D$11+$C$13*$D$11+$F$13*((FE95+EW95)/MAX(FE95+EW95+FF95, 0.1)*$I$11+FF95/MAX(FE95+EW95+FF95, 0.1)*$J$11))/($B$13+$C$13+$F$13)</f>
        <v>0</v>
      </c>
      <c r="DJ95">
        <f>($B$13*$K$11+$C$13*$K$11+$F$13*((FE95+EW95)/MAX(FE95+EW95+FF95, 0.1)*$P$11+FF95/MAX(FE95+EW95+FF95, 0.1)*$Q$11))/($B$13+$C$13+$F$13)</f>
        <v>0</v>
      </c>
      <c r="DK95">
        <v>5.66</v>
      </c>
      <c r="DL95">
        <v>0.5</v>
      </c>
      <c r="DM95" t="s">
        <v>438</v>
      </c>
      <c r="DN95">
        <v>2</v>
      </c>
      <c r="DO95" t="b">
        <v>1</v>
      </c>
      <c r="DP95">
        <v>1765310597.25</v>
      </c>
      <c r="DQ95">
        <v>599.3528333333331</v>
      </c>
      <c r="DR95">
        <v>600.0271</v>
      </c>
      <c r="DS95">
        <v>16.98994333333333</v>
      </c>
      <c r="DT95">
        <v>16.8485</v>
      </c>
      <c r="DU95">
        <v>598.6918333333332</v>
      </c>
      <c r="DV95">
        <v>16.92294333333333</v>
      </c>
      <c r="DW95">
        <v>500.0269</v>
      </c>
      <c r="DX95">
        <v>89.82743666666666</v>
      </c>
      <c r="DY95">
        <v>0.10002225</v>
      </c>
      <c r="DZ95">
        <v>24.32996</v>
      </c>
      <c r="EA95">
        <v>24.99925</v>
      </c>
      <c r="EB95">
        <v>999.9000000000002</v>
      </c>
      <c r="EC95">
        <v>0</v>
      </c>
      <c r="ED95">
        <v>0</v>
      </c>
      <c r="EE95">
        <v>9994.601333333332</v>
      </c>
      <c r="EF95">
        <v>0</v>
      </c>
      <c r="EG95">
        <v>9.714249999999998</v>
      </c>
      <c r="EH95">
        <v>-1.023970566666667</v>
      </c>
      <c r="EI95">
        <v>609.3570666666666</v>
      </c>
      <c r="EJ95">
        <v>610.3099333333334</v>
      </c>
      <c r="EK95">
        <v>0.1431234666666667</v>
      </c>
      <c r="EL95">
        <v>600.0271</v>
      </c>
      <c r="EM95">
        <v>16.8485</v>
      </c>
      <c r="EN95">
        <v>1.526315333333333</v>
      </c>
      <c r="EO95">
        <v>1.513457666666666</v>
      </c>
      <c r="EP95">
        <v>13.23435333333333</v>
      </c>
      <c r="EQ95">
        <v>13.10481333333333</v>
      </c>
      <c r="ER95">
        <v>799.9858333333335</v>
      </c>
      <c r="ES95">
        <v>0.9499953333333333</v>
      </c>
      <c r="ET95">
        <v>0.05000467666666667</v>
      </c>
      <c r="EU95">
        <v>0</v>
      </c>
      <c r="EV95">
        <v>550.6918666666666</v>
      </c>
      <c r="EW95">
        <v>5.00078</v>
      </c>
      <c r="EX95">
        <v>4300.446</v>
      </c>
      <c r="EY95">
        <v>6463.293000000001</v>
      </c>
      <c r="EZ95">
        <v>36.22886666666667</v>
      </c>
      <c r="FA95">
        <v>39.68299999999999</v>
      </c>
      <c r="FB95">
        <v>38.64133333333332</v>
      </c>
      <c r="FC95">
        <v>39.45813333333333</v>
      </c>
      <c r="FD95">
        <v>38.42473333333332</v>
      </c>
      <c r="FE95">
        <v>755.2320000000001</v>
      </c>
      <c r="FF95">
        <v>39.75</v>
      </c>
      <c r="FG95">
        <v>0</v>
      </c>
      <c r="FH95">
        <v>1765310604.5</v>
      </c>
      <c r="FI95">
        <v>0</v>
      </c>
      <c r="FJ95">
        <v>550.6606923076923</v>
      </c>
      <c r="FK95">
        <v>-0.4030085437759589</v>
      </c>
      <c r="FL95">
        <v>11.11726488642974</v>
      </c>
      <c r="FM95">
        <v>4300.478461538461</v>
      </c>
      <c r="FN95">
        <v>15</v>
      </c>
      <c r="FO95">
        <v>1765310623</v>
      </c>
      <c r="FP95" t="s">
        <v>678</v>
      </c>
      <c r="FQ95">
        <v>1765310622</v>
      </c>
      <c r="FR95">
        <v>1765310623</v>
      </c>
      <c r="FS95">
        <v>78</v>
      </c>
      <c r="FT95">
        <v>0.349</v>
      </c>
      <c r="FU95">
        <v>0.001</v>
      </c>
      <c r="FV95">
        <v>0.661</v>
      </c>
      <c r="FW95">
        <v>0.067</v>
      </c>
      <c r="FX95">
        <v>600</v>
      </c>
      <c r="FY95">
        <v>17</v>
      </c>
      <c r="FZ95">
        <v>0.63</v>
      </c>
      <c r="GA95">
        <v>0.28</v>
      </c>
      <c r="GB95">
        <v>-1.045399575</v>
      </c>
      <c r="GC95">
        <v>0.4449536848030037</v>
      </c>
      <c r="GD95">
        <v>0.05892875761454992</v>
      </c>
      <c r="GE95">
        <v>1</v>
      </c>
      <c r="GF95">
        <v>550.7376470588235</v>
      </c>
      <c r="GG95">
        <v>-0.6539648569898474</v>
      </c>
      <c r="GH95">
        <v>0.201167019041822</v>
      </c>
      <c r="GI95">
        <v>1</v>
      </c>
      <c r="GJ95">
        <v>0.143614975</v>
      </c>
      <c r="GK95">
        <v>-0.01255673921200804</v>
      </c>
      <c r="GL95">
        <v>0.001503885808289646</v>
      </c>
      <c r="GM95">
        <v>1</v>
      </c>
      <c r="GN95">
        <v>3</v>
      </c>
      <c r="GO95">
        <v>3</v>
      </c>
      <c r="GP95" t="s">
        <v>440</v>
      </c>
      <c r="GQ95">
        <v>3.10819</v>
      </c>
      <c r="GR95">
        <v>2.79157</v>
      </c>
      <c r="GS95">
        <v>0.113303</v>
      </c>
      <c r="GT95">
        <v>0.113536</v>
      </c>
      <c r="GU95">
        <v>0.08434990000000001</v>
      </c>
      <c r="GV95">
        <v>0.0846228</v>
      </c>
      <c r="GW95">
        <v>23245.7</v>
      </c>
      <c r="GX95">
        <v>21106.3</v>
      </c>
      <c r="GY95">
        <v>26774.9</v>
      </c>
      <c r="GZ95">
        <v>24017.8</v>
      </c>
      <c r="HA95">
        <v>39188.1</v>
      </c>
      <c r="HB95">
        <v>32455.9</v>
      </c>
      <c r="HC95">
        <v>46732.8</v>
      </c>
      <c r="HD95">
        <v>37987</v>
      </c>
      <c r="HE95">
        <v>1.8861</v>
      </c>
      <c r="HF95">
        <v>1.84753</v>
      </c>
      <c r="HG95">
        <v>0.0695959</v>
      </c>
      <c r="HH95">
        <v>0</v>
      </c>
      <c r="HI95">
        <v>23.8549</v>
      </c>
      <c r="HJ95">
        <v>999.9</v>
      </c>
      <c r="HK95">
        <v>39.6</v>
      </c>
      <c r="HL95">
        <v>31.4</v>
      </c>
      <c r="HM95">
        <v>20.3458</v>
      </c>
      <c r="HN95">
        <v>61.2875</v>
      </c>
      <c r="HO95">
        <v>27.5962</v>
      </c>
      <c r="HP95">
        <v>1</v>
      </c>
      <c r="HQ95">
        <v>0.0617327</v>
      </c>
      <c r="HR95">
        <v>1.27361</v>
      </c>
      <c r="HS95">
        <v>20.2914</v>
      </c>
      <c r="HT95">
        <v>5.22298</v>
      </c>
      <c r="HU95">
        <v>11.9797</v>
      </c>
      <c r="HV95">
        <v>4.96575</v>
      </c>
      <c r="HW95">
        <v>3.276</v>
      </c>
      <c r="HX95">
        <v>9999</v>
      </c>
      <c r="HY95">
        <v>9999</v>
      </c>
      <c r="HZ95">
        <v>9999</v>
      </c>
      <c r="IA95">
        <v>999.9</v>
      </c>
      <c r="IB95">
        <v>1.86394</v>
      </c>
      <c r="IC95">
        <v>1.86005</v>
      </c>
      <c r="ID95">
        <v>1.85838</v>
      </c>
      <c r="IE95">
        <v>1.85969</v>
      </c>
      <c r="IF95">
        <v>1.85988</v>
      </c>
      <c r="IG95">
        <v>1.85836</v>
      </c>
      <c r="IH95">
        <v>1.85742</v>
      </c>
      <c r="II95">
        <v>1.85239</v>
      </c>
      <c r="IJ95">
        <v>0</v>
      </c>
      <c r="IK95">
        <v>0</v>
      </c>
      <c r="IL95">
        <v>0</v>
      </c>
      <c r="IM95">
        <v>0</v>
      </c>
      <c r="IN95" t="s">
        <v>441</v>
      </c>
      <c r="IO95" t="s">
        <v>442</v>
      </c>
      <c r="IP95" t="s">
        <v>443</v>
      </c>
      <c r="IQ95" t="s">
        <v>443</v>
      </c>
      <c r="IR95" t="s">
        <v>443</v>
      </c>
      <c r="IS95" t="s">
        <v>443</v>
      </c>
      <c r="IT95">
        <v>0</v>
      </c>
      <c r="IU95">
        <v>100</v>
      </c>
      <c r="IV95">
        <v>100</v>
      </c>
      <c r="IW95">
        <v>0.661</v>
      </c>
      <c r="IX95">
        <v>0.067</v>
      </c>
      <c r="IY95">
        <v>-0.2352697456535696</v>
      </c>
      <c r="IZ95">
        <v>0.0001583678016168383</v>
      </c>
      <c r="JA95">
        <v>1.526473431467286E-06</v>
      </c>
      <c r="JB95">
        <v>-4.446382740029455E-10</v>
      </c>
      <c r="JC95">
        <v>-0.04099229750723482</v>
      </c>
      <c r="JD95">
        <v>-0.009941991807247691</v>
      </c>
      <c r="JE95">
        <v>0.001256427533001032</v>
      </c>
      <c r="JF95">
        <v>-1.689728105039484E-05</v>
      </c>
      <c r="JG95">
        <v>2</v>
      </c>
      <c r="JH95">
        <v>1984</v>
      </c>
      <c r="JI95">
        <v>0</v>
      </c>
      <c r="JJ95">
        <v>25</v>
      </c>
      <c r="JK95">
        <v>1.4</v>
      </c>
      <c r="JL95">
        <v>1.3</v>
      </c>
      <c r="JM95">
        <v>1.51245</v>
      </c>
      <c r="JN95">
        <v>2.63794</v>
      </c>
      <c r="JO95">
        <v>1.49658</v>
      </c>
      <c r="JP95">
        <v>2.34619</v>
      </c>
      <c r="JQ95">
        <v>1.54785</v>
      </c>
      <c r="JR95">
        <v>2.40112</v>
      </c>
      <c r="JS95">
        <v>35.638</v>
      </c>
      <c r="JT95">
        <v>24.14</v>
      </c>
      <c r="JU95">
        <v>18</v>
      </c>
      <c r="JV95">
        <v>480.69</v>
      </c>
      <c r="JW95">
        <v>484.625</v>
      </c>
      <c r="JX95">
        <v>22.8427</v>
      </c>
      <c r="JY95">
        <v>27.9441</v>
      </c>
      <c r="JZ95">
        <v>30.0002</v>
      </c>
      <c r="KA95">
        <v>28.1358</v>
      </c>
      <c r="KB95">
        <v>28.1206</v>
      </c>
      <c r="KC95">
        <v>30.3892</v>
      </c>
      <c r="KD95">
        <v>18.8157</v>
      </c>
      <c r="KE95">
        <v>33.9247</v>
      </c>
      <c r="KF95">
        <v>22.7762</v>
      </c>
      <c r="KG95">
        <v>600</v>
      </c>
      <c r="KH95">
        <v>16.8272</v>
      </c>
      <c r="KI95">
        <v>102.195</v>
      </c>
      <c r="KJ95">
        <v>91.6215</v>
      </c>
    </row>
    <row r="96" spans="1:296">
      <c r="A96">
        <v>78</v>
      </c>
      <c r="B96">
        <v>1765310714</v>
      </c>
      <c r="C96">
        <v>13281</v>
      </c>
      <c r="D96" t="s">
        <v>679</v>
      </c>
      <c r="E96" t="s">
        <v>680</v>
      </c>
      <c r="F96">
        <v>5</v>
      </c>
      <c r="G96" t="s">
        <v>653</v>
      </c>
      <c r="H96">
        <v>1765310706</v>
      </c>
      <c r="I96">
        <f>(J96)/1000</f>
        <v>0</v>
      </c>
      <c r="J96">
        <f>IF(DO96, AM96, AG96)</f>
        <v>0</v>
      </c>
      <c r="K96">
        <f>IF(DO96, AH96, AF96)</f>
        <v>0</v>
      </c>
      <c r="L96">
        <f>DQ96 - IF(AT96&gt;1, K96*DK96*100.0/(AV96), 0)</f>
        <v>0</v>
      </c>
      <c r="M96">
        <f>((S96-I96/2)*L96-K96)/(S96+I96/2)</f>
        <v>0</v>
      </c>
      <c r="N96">
        <f>M96*(DX96+DY96)/1000.0</f>
        <v>0</v>
      </c>
      <c r="O96">
        <f>(DQ96 - IF(AT96&gt;1, K96*DK96*100.0/(AV96), 0))*(DX96+DY96)/1000.0</f>
        <v>0</v>
      </c>
      <c r="P96">
        <f>2.0/((1/R96-1/Q96)+SIGN(R96)*SQRT((1/R96-1/Q96)*(1/R96-1/Q96) + 4*DL96/((DL96+1)*(DL96+1))*(2*1/R96*1/Q96-1/Q96*1/Q96)))</f>
        <v>0</v>
      </c>
      <c r="Q96">
        <f>IF(LEFT(DM96,1)&lt;&gt;"0",IF(LEFT(DM96,1)="1",3.0,DN96),$D$5+$E$5*(EE96*DX96/($K$5*1000))+$F$5*(EE96*DX96/($K$5*1000))*MAX(MIN(DK96,$J$5),$I$5)*MAX(MIN(DK96,$J$5),$I$5)+$G$5*MAX(MIN(DK96,$J$5),$I$5)*(EE96*DX96/($K$5*1000))+$H$5*(EE96*DX96/($K$5*1000))*(EE96*DX96/($K$5*1000)))</f>
        <v>0</v>
      </c>
      <c r="R96">
        <f>I96*(1000-(1000*0.61365*exp(17.502*V96/(240.97+V96))/(DX96+DY96)+DS96)/2)/(1000*0.61365*exp(17.502*V96/(240.97+V96))/(DX96+DY96)-DS96)</f>
        <v>0</v>
      </c>
      <c r="S96">
        <f>1/((DL96+1)/(P96/1.6)+1/(Q96/1.37)) + DL96/((DL96+1)/(P96/1.6) + DL96/(Q96/1.37))</f>
        <v>0</v>
      </c>
      <c r="T96">
        <f>(DG96*DJ96)</f>
        <v>0</v>
      </c>
      <c r="U96">
        <f>(DZ96+(T96+2*0.95*5.67E-8*(((DZ96+$B$9)+273)^4-(DZ96+273)^4)-44100*I96)/(1.84*29.3*Q96+8*0.95*5.67E-8*(DZ96+273)^3))</f>
        <v>0</v>
      </c>
      <c r="V96">
        <f>($C$9*EA96+$D$9*EB96+$E$9*U96)</f>
        <v>0</v>
      </c>
      <c r="W96">
        <f>0.61365*exp(17.502*V96/(240.97+V96))</f>
        <v>0</v>
      </c>
      <c r="X96">
        <f>(Y96/Z96*100)</f>
        <v>0</v>
      </c>
      <c r="Y96">
        <f>DS96*(DX96+DY96)/1000</f>
        <v>0</v>
      </c>
      <c r="Z96">
        <f>0.61365*exp(17.502*DZ96/(240.97+DZ96))</f>
        <v>0</v>
      </c>
      <c r="AA96">
        <f>(W96-DS96*(DX96+DY96)/1000)</f>
        <v>0</v>
      </c>
      <c r="AB96">
        <f>(-I96*44100)</f>
        <v>0</v>
      </c>
      <c r="AC96">
        <f>2*29.3*Q96*0.92*(DZ96-V96)</f>
        <v>0</v>
      </c>
      <c r="AD96">
        <f>2*0.95*5.67E-8*(((DZ96+$B$9)+273)^4-(V96+273)^4)</f>
        <v>0</v>
      </c>
      <c r="AE96">
        <f>T96+AD96+AB96+AC96</f>
        <v>0</v>
      </c>
      <c r="AF96">
        <f>DW96*AT96*(DR96-DQ96*(1000-AT96*DT96)/(1000-AT96*DS96))/(100*DK96)</f>
        <v>0</v>
      </c>
      <c r="AG96">
        <f>1000*DW96*AT96*(DS96-DT96)/(100*DK96*(1000-AT96*DS96))</f>
        <v>0</v>
      </c>
      <c r="AH96">
        <f>(AI96 - AJ96 - DX96*1E3/(8.314*(DZ96+273.15)) * AL96/DW96 * AK96) * DW96/(100*DK96) * (1000 - DT96)/1000</f>
        <v>0</v>
      </c>
      <c r="AI96">
        <v>813.7547731543544</v>
      </c>
      <c r="AJ96">
        <v>812.7789454545456</v>
      </c>
      <c r="AK96">
        <v>-0.0338817868933892</v>
      </c>
      <c r="AL96">
        <v>65.2090002967724</v>
      </c>
      <c r="AM96">
        <f>(AO96 - AN96 + DX96*1E3/(8.314*(DZ96+273.15)) * AQ96/DW96 * AP96) * DW96/(100*DK96) * 1000/(1000 - AO96)</f>
        <v>0</v>
      </c>
      <c r="AN96">
        <v>16.87998787878787</v>
      </c>
      <c r="AO96">
        <v>17.01876121212121</v>
      </c>
      <c r="AP96">
        <v>-8.059724706726035E-06</v>
      </c>
      <c r="AQ96">
        <v>103.9656026246787</v>
      </c>
      <c r="AR96">
        <v>0</v>
      </c>
      <c r="AS96">
        <v>0</v>
      </c>
      <c r="AT96">
        <f>IF(AR96*$H$15&gt;=AV96,1.0,(AV96/(AV96-AR96*$H$15)))</f>
        <v>0</v>
      </c>
      <c r="AU96">
        <f>(AT96-1)*100</f>
        <v>0</v>
      </c>
      <c r="AV96">
        <f>MAX(0,($B$15+$C$15*EE96)/(1+$D$15*EE96)*DX96/(DZ96+273)*$E$15)</f>
        <v>0</v>
      </c>
      <c r="AW96" t="s">
        <v>437</v>
      </c>
      <c r="AX96" t="s">
        <v>437</v>
      </c>
      <c r="AY96">
        <v>0</v>
      </c>
      <c r="AZ96">
        <v>0</v>
      </c>
      <c r="BA96">
        <f>1-AY96/AZ96</f>
        <v>0</v>
      </c>
      <c r="BB96">
        <v>0</v>
      </c>
      <c r="BC96" t="s">
        <v>437</v>
      </c>
      <c r="BD96" t="s">
        <v>437</v>
      </c>
      <c r="BE96">
        <v>0</v>
      </c>
      <c r="BF96">
        <v>0</v>
      </c>
      <c r="BG96">
        <f>1-BE96/BF96</f>
        <v>0</v>
      </c>
      <c r="BH96">
        <v>0.5</v>
      </c>
      <c r="BI96">
        <f>DH96</f>
        <v>0</v>
      </c>
      <c r="BJ96">
        <f>K96</f>
        <v>0</v>
      </c>
      <c r="BK96">
        <f>BG96*BH96*BI96</f>
        <v>0</v>
      </c>
      <c r="BL96">
        <f>(BJ96-BB96)/BI96</f>
        <v>0</v>
      </c>
      <c r="BM96">
        <f>(AZ96-BF96)/BF96</f>
        <v>0</v>
      </c>
      <c r="BN96">
        <f>AY96/(BA96+AY96/BF96)</f>
        <v>0</v>
      </c>
      <c r="BO96" t="s">
        <v>437</v>
      </c>
      <c r="BP96">
        <v>0</v>
      </c>
      <c r="BQ96">
        <f>IF(BP96&lt;&gt;0, BP96, BN96)</f>
        <v>0</v>
      </c>
      <c r="BR96">
        <f>1-BQ96/BF96</f>
        <v>0</v>
      </c>
      <c r="BS96">
        <f>(BF96-BE96)/(BF96-BQ96)</f>
        <v>0</v>
      </c>
      <c r="BT96">
        <f>(AZ96-BF96)/(AZ96-BQ96)</f>
        <v>0</v>
      </c>
      <c r="BU96">
        <f>(BF96-BE96)/(BF96-AY96)</f>
        <v>0</v>
      </c>
      <c r="BV96">
        <f>(AZ96-BF96)/(AZ96-AY96)</f>
        <v>0</v>
      </c>
      <c r="BW96">
        <f>(BS96*BQ96/BE96)</f>
        <v>0</v>
      </c>
      <c r="BX96">
        <f>(1-BW96)</f>
        <v>0</v>
      </c>
      <c r="DG96">
        <f>$B$13*EF96+$C$13*EG96+$F$13*ER96*(1-EU96)</f>
        <v>0</v>
      </c>
      <c r="DH96">
        <f>DG96*DI96</f>
        <v>0</v>
      </c>
      <c r="DI96">
        <f>($B$13*$D$11+$C$13*$D$11+$F$13*((FE96+EW96)/MAX(FE96+EW96+FF96, 0.1)*$I$11+FF96/MAX(FE96+EW96+FF96, 0.1)*$J$11))/($B$13+$C$13+$F$13)</f>
        <v>0</v>
      </c>
      <c r="DJ96">
        <f>($B$13*$K$11+$C$13*$K$11+$F$13*((FE96+EW96)/MAX(FE96+EW96+FF96, 0.1)*$P$11+FF96/MAX(FE96+EW96+FF96, 0.1)*$Q$11))/($B$13+$C$13+$F$13)</f>
        <v>0</v>
      </c>
      <c r="DK96">
        <v>5.66</v>
      </c>
      <c r="DL96">
        <v>0.5</v>
      </c>
      <c r="DM96" t="s">
        <v>438</v>
      </c>
      <c r="DN96">
        <v>2</v>
      </c>
      <c r="DO96" t="b">
        <v>1</v>
      </c>
      <c r="DP96">
        <v>1765310706</v>
      </c>
      <c r="DQ96">
        <v>799.0395483870969</v>
      </c>
      <c r="DR96">
        <v>800.0437096774194</v>
      </c>
      <c r="DS96">
        <v>17.01808064516129</v>
      </c>
      <c r="DT96">
        <v>16.87815483870968</v>
      </c>
      <c r="DU96">
        <v>798.0125483870969</v>
      </c>
      <c r="DV96">
        <v>16.94808064516129</v>
      </c>
      <c r="DW96">
        <v>499.999193548387</v>
      </c>
      <c r="DX96">
        <v>89.82844516129035</v>
      </c>
      <c r="DY96">
        <v>0.09997046774193548</v>
      </c>
      <c r="DZ96">
        <v>24.34939677419355</v>
      </c>
      <c r="EA96">
        <v>24.99823225806452</v>
      </c>
      <c r="EB96">
        <v>999.9000000000003</v>
      </c>
      <c r="EC96">
        <v>0</v>
      </c>
      <c r="ED96">
        <v>0</v>
      </c>
      <c r="EE96">
        <v>9996.647096774197</v>
      </c>
      <c r="EF96">
        <v>0</v>
      </c>
      <c r="EG96">
        <v>9.714249999999998</v>
      </c>
      <c r="EH96">
        <v>-1.045094967741936</v>
      </c>
      <c r="EI96">
        <v>812.8314516129033</v>
      </c>
      <c r="EJ96">
        <v>813.7787096774194</v>
      </c>
      <c r="EK96">
        <v>0.1399253548387097</v>
      </c>
      <c r="EL96">
        <v>800.0437096774194</v>
      </c>
      <c r="EM96">
        <v>16.87815483870968</v>
      </c>
      <c r="EN96">
        <v>1.528708709677419</v>
      </c>
      <c r="EO96">
        <v>1.516138064516129</v>
      </c>
      <c r="EP96">
        <v>13.25836774193549</v>
      </c>
      <c r="EQ96">
        <v>13.1318935483871</v>
      </c>
      <c r="ER96">
        <v>799.987322580645</v>
      </c>
      <c r="ES96">
        <v>0.9500079032258062</v>
      </c>
      <c r="ET96">
        <v>0.04999203548387098</v>
      </c>
      <c r="EU96">
        <v>0</v>
      </c>
      <c r="EV96">
        <v>547.5124838709678</v>
      </c>
      <c r="EW96">
        <v>5.000779999999999</v>
      </c>
      <c r="EX96">
        <v>4298.584838709677</v>
      </c>
      <c r="EY96">
        <v>6463.331290322581</v>
      </c>
      <c r="EZ96">
        <v>37.36458064516128</v>
      </c>
      <c r="FA96">
        <v>41.38477419354837</v>
      </c>
      <c r="FB96">
        <v>39.57235483870967</v>
      </c>
      <c r="FC96">
        <v>41.75990322580645</v>
      </c>
      <c r="FD96">
        <v>39.67529032258064</v>
      </c>
      <c r="FE96">
        <v>755.2435483870968</v>
      </c>
      <c r="FF96">
        <v>39.74</v>
      </c>
      <c r="FG96">
        <v>0</v>
      </c>
      <c r="FH96">
        <v>1765310713.7</v>
      </c>
      <c r="FI96">
        <v>0</v>
      </c>
      <c r="FJ96">
        <v>547.481</v>
      </c>
      <c r="FK96">
        <v>-1.531897429946404</v>
      </c>
      <c r="FL96">
        <v>0.4830769055139142</v>
      </c>
      <c r="FM96">
        <v>4298.591153846153</v>
      </c>
      <c r="FN96">
        <v>15</v>
      </c>
      <c r="FO96">
        <v>1765310731</v>
      </c>
      <c r="FP96" t="s">
        <v>681</v>
      </c>
      <c r="FQ96">
        <v>1765310731</v>
      </c>
      <c r="FR96">
        <v>1765310731</v>
      </c>
      <c r="FS96">
        <v>79</v>
      </c>
      <c r="FT96">
        <v>0.04</v>
      </c>
      <c r="FU96">
        <v>0.002</v>
      </c>
      <c r="FV96">
        <v>1.027</v>
      </c>
      <c r="FW96">
        <v>0.07000000000000001</v>
      </c>
      <c r="FX96">
        <v>800</v>
      </c>
      <c r="FY96">
        <v>17</v>
      </c>
      <c r="FZ96">
        <v>0.98</v>
      </c>
      <c r="GA96">
        <v>0.17</v>
      </c>
      <c r="GB96">
        <v>-1.049448878048781</v>
      </c>
      <c r="GC96">
        <v>0.2069906968641119</v>
      </c>
      <c r="GD96">
        <v>0.04248380761677646</v>
      </c>
      <c r="GE96">
        <v>1</v>
      </c>
      <c r="GF96">
        <v>547.545205882353</v>
      </c>
      <c r="GG96">
        <v>-1.402612678176653</v>
      </c>
      <c r="GH96">
        <v>0.2183074975689309</v>
      </c>
      <c r="GI96">
        <v>0</v>
      </c>
      <c r="GJ96">
        <v>0.1402841707317073</v>
      </c>
      <c r="GK96">
        <v>-0.003450689895470504</v>
      </c>
      <c r="GL96">
        <v>0.001117384945841023</v>
      </c>
      <c r="GM96">
        <v>1</v>
      </c>
      <c r="GN96">
        <v>2</v>
      </c>
      <c r="GO96">
        <v>3</v>
      </c>
      <c r="GP96" t="s">
        <v>453</v>
      </c>
      <c r="GQ96">
        <v>3.1082</v>
      </c>
      <c r="GR96">
        <v>2.79165</v>
      </c>
      <c r="GS96">
        <v>0.137876</v>
      </c>
      <c r="GT96">
        <v>0.138178</v>
      </c>
      <c r="GU96">
        <v>0.08443440000000001</v>
      </c>
      <c r="GV96">
        <v>0.0847161</v>
      </c>
      <c r="GW96">
        <v>22602.2</v>
      </c>
      <c r="GX96">
        <v>20520.8</v>
      </c>
      <c r="GY96">
        <v>26775.5</v>
      </c>
      <c r="GZ96">
        <v>24019.1</v>
      </c>
      <c r="HA96">
        <v>39187.9</v>
      </c>
      <c r="HB96">
        <v>32457.4</v>
      </c>
      <c r="HC96">
        <v>46733.3</v>
      </c>
      <c r="HD96">
        <v>37989.7</v>
      </c>
      <c r="HE96">
        <v>1.88605</v>
      </c>
      <c r="HF96">
        <v>1.8481</v>
      </c>
      <c r="HG96">
        <v>0.07197629999999999</v>
      </c>
      <c r="HH96">
        <v>0</v>
      </c>
      <c r="HI96">
        <v>23.8374</v>
      </c>
      <c r="HJ96">
        <v>999.9</v>
      </c>
      <c r="HK96">
        <v>39.7</v>
      </c>
      <c r="HL96">
        <v>31.4</v>
      </c>
      <c r="HM96">
        <v>20.3962</v>
      </c>
      <c r="HN96">
        <v>61.4875</v>
      </c>
      <c r="HO96">
        <v>27.4079</v>
      </c>
      <c r="HP96">
        <v>1</v>
      </c>
      <c r="HQ96">
        <v>0.061814</v>
      </c>
      <c r="HR96">
        <v>1.25</v>
      </c>
      <c r="HS96">
        <v>20.2915</v>
      </c>
      <c r="HT96">
        <v>5.22223</v>
      </c>
      <c r="HU96">
        <v>11.9797</v>
      </c>
      <c r="HV96">
        <v>4.96565</v>
      </c>
      <c r="HW96">
        <v>3.276</v>
      </c>
      <c r="HX96">
        <v>9999</v>
      </c>
      <c r="HY96">
        <v>9999</v>
      </c>
      <c r="HZ96">
        <v>9999</v>
      </c>
      <c r="IA96">
        <v>999.9</v>
      </c>
      <c r="IB96">
        <v>1.86386</v>
      </c>
      <c r="IC96">
        <v>1.86005</v>
      </c>
      <c r="ID96">
        <v>1.85837</v>
      </c>
      <c r="IE96">
        <v>1.8597</v>
      </c>
      <c r="IF96">
        <v>1.85988</v>
      </c>
      <c r="IG96">
        <v>1.85836</v>
      </c>
      <c r="IH96">
        <v>1.85743</v>
      </c>
      <c r="II96">
        <v>1.8524</v>
      </c>
      <c r="IJ96">
        <v>0</v>
      </c>
      <c r="IK96">
        <v>0</v>
      </c>
      <c r="IL96">
        <v>0</v>
      </c>
      <c r="IM96">
        <v>0</v>
      </c>
      <c r="IN96" t="s">
        <v>441</v>
      </c>
      <c r="IO96" t="s">
        <v>442</v>
      </c>
      <c r="IP96" t="s">
        <v>443</v>
      </c>
      <c r="IQ96" t="s">
        <v>443</v>
      </c>
      <c r="IR96" t="s">
        <v>443</v>
      </c>
      <c r="IS96" t="s">
        <v>443</v>
      </c>
      <c r="IT96">
        <v>0</v>
      </c>
      <c r="IU96">
        <v>100</v>
      </c>
      <c r="IV96">
        <v>100</v>
      </c>
      <c r="IW96">
        <v>1.027</v>
      </c>
      <c r="IX96">
        <v>0.07000000000000001</v>
      </c>
      <c r="IY96">
        <v>0.1135081474676137</v>
      </c>
      <c r="IZ96">
        <v>0.0001583678016168383</v>
      </c>
      <c r="JA96">
        <v>1.526473431467286E-06</v>
      </c>
      <c r="JB96">
        <v>-4.446382740029455E-10</v>
      </c>
      <c r="JC96">
        <v>-0.04012862864639924</v>
      </c>
      <c r="JD96">
        <v>-0.009941991807247691</v>
      </c>
      <c r="JE96">
        <v>0.001256427533001032</v>
      </c>
      <c r="JF96">
        <v>-1.689728105039484E-05</v>
      </c>
      <c r="JG96">
        <v>2</v>
      </c>
      <c r="JH96">
        <v>1984</v>
      </c>
      <c r="JI96">
        <v>0</v>
      </c>
      <c r="JJ96">
        <v>25</v>
      </c>
      <c r="JK96">
        <v>1.5</v>
      </c>
      <c r="JL96">
        <v>1.5</v>
      </c>
      <c r="JM96">
        <v>1.90796</v>
      </c>
      <c r="JN96">
        <v>2.62573</v>
      </c>
      <c r="JO96">
        <v>1.49658</v>
      </c>
      <c r="JP96">
        <v>2.34619</v>
      </c>
      <c r="JQ96">
        <v>1.54907</v>
      </c>
      <c r="JR96">
        <v>2.46582</v>
      </c>
      <c r="JS96">
        <v>35.6613</v>
      </c>
      <c r="JT96">
        <v>24.14</v>
      </c>
      <c r="JU96">
        <v>18</v>
      </c>
      <c r="JV96">
        <v>480.897</v>
      </c>
      <c r="JW96">
        <v>485.299</v>
      </c>
      <c r="JX96">
        <v>22.7359</v>
      </c>
      <c r="JY96">
        <v>27.9546</v>
      </c>
      <c r="JZ96">
        <v>30.0001</v>
      </c>
      <c r="KA96">
        <v>28.1668</v>
      </c>
      <c r="KB96">
        <v>28.1567</v>
      </c>
      <c r="KC96">
        <v>38.3199</v>
      </c>
      <c r="KD96">
        <v>18.8157</v>
      </c>
      <c r="KE96">
        <v>33.9247</v>
      </c>
      <c r="KF96">
        <v>22.7265</v>
      </c>
      <c r="KG96">
        <v>800</v>
      </c>
      <c r="KH96">
        <v>16.8343</v>
      </c>
      <c r="KI96">
        <v>102.197</v>
      </c>
      <c r="KJ96">
        <v>91.62730000000001</v>
      </c>
    </row>
    <row r="97" spans="1:296">
      <c r="A97">
        <v>79</v>
      </c>
      <c r="B97">
        <v>1765310807.5</v>
      </c>
      <c r="C97">
        <v>13374.5</v>
      </c>
      <c r="D97" t="s">
        <v>682</v>
      </c>
      <c r="E97" t="s">
        <v>683</v>
      </c>
      <c r="F97">
        <v>5</v>
      </c>
      <c r="G97" t="s">
        <v>653</v>
      </c>
      <c r="H97">
        <v>1765310799.75</v>
      </c>
      <c r="I97">
        <f>(J97)/1000</f>
        <v>0</v>
      </c>
      <c r="J97">
        <f>IF(DO97, AM97, AG97)</f>
        <v>0</v>
      </c>
      <c r="K97">
        <f>IF(DO97, AH97, AF97)</f>
        <v>0</v>
      </c>
      <c r="L97">
        <f>DQ97 - IF(AT97&gt;1, K97*DK97*100.0/(AV97), 0)</f>
        <v>0</v>
      </c>
      <c r="M97">
        <f>((S97-I97/2)*L97-K97)/(S97+I97/2)</f>
        <v>0</v>
      </c>
      <c r="N97">
        <f>M97*(DX97+DY97)/1000.0</f>
        <v>0</v>
      </c>
      <c r="O97">
        <f>(DQ97 - IF(AT97&gt;1, K97*DK97*100.0/(AV97), 0))*(DX97+DY97)/1000.0</f>
        <v>0</v>
      </c>
      <c r="P97">
        <f>2.0/((1/R97-1/Q97)+SIGN(R97)*SQRT((1/R97-1/Q97)*(1/R97-1/Q97) + 4*DL97/((DL97+1)*(DL97+1))*(2*1/R97*1/Q97-1/Q97*1/Q97)))</f>
        <v>0</v>
      </c>
      <c r="Q97">
        <f>IF(LEFT(DM97,1)&lt;&gt;"0",IF(LEFT(DM97,1)="1",3.0,DN97),$D$5+$E$5*(EE97*DX97/($K$5*1000))+$F$5*(EE97*DX97/($K$5*1000))*MAX(MIN(DK97,$J$5),$I$5)*MAX(MIN(DK97,$J$5),$I$5)+$G$5*MAX(MIN(DK97,$J$5),$I$5)*(EE97*DX97/($K$5*1000))+$H$5*(EE97*DX97/($K$5*1000))*(EE97*DX97/($K$5*1000)))</f>
        <v>0</v>
      </c>
      <c r="R97">
        <f>I97*(1000-(1000*0.61365*exp(17.502*V97/(240.97+V97))/(DX97+DY97)+DS97)/2)/(1000*0.61365*exp(17.502*V97/(240.97+V97))/(DX97+DY97)-DS97)</f>
        <v>0</v>
      </c>
      <c r="S97">
        <f>1/((DL97+1)/(P97/1.6)+1/(Q97/1.37)) + DL97/((DL97+1)/(P97/1.6) + DL97/(Q97/1.37))</f>
        <v>0</v>
      </c>
      <c r="T97">
        <f>(DG97*DJ97)</f>
        <v>0</v>
      </c>
      <c r="U97">
        <f>(DZ97+(T97+2*0.95*5.67E-8*(((DZ97+$B$9)+273)^4-(DZ97+273)^4)-44100*I97)/(1.84*29.3*Q97+8*0.95*5.67E-8*(DZ97+273)^3))</f>
        <v>0</v>
      </c>
      <c r="V97">
        <f>($C$9*EA97+$D$9*EB97+$E$9*U97)</f>
        <v>0</v>
      </c>
      <c r="W97">
        <f>0.61365*exp(17.502*V97/(240.97+V97))</f>
        <v>0</v>
      </c>
      <c r="X97">
        <f>(Y97/Z97*100)</f>
        <v>0</v>
      </c>
      <c r="Y97">
        <f>DS97*(DX97+DY97)/1000</f>
        <v>0</v>
      </c>
      <c r="Z97">
        <f>0.61365*exp(17.502*DZ97/(240.97+DZ97))</f>
        <v>0</v>
      </c>
      <c r="AA97">
        <f>(W97-DS97*(DX97+DY97)/1000)</f>
        <v>0</v>
      </c>
      <c r="AB97">
        <f>(-I97*44100)</f>
        <v>0</v>
      </c>
      <c r="AC97">
        <f>2*29.3*Q97*0.92*(DZ97-V97)</f>
        <v>0</v>
      </c>
      <c r="AD97">
        <f>2*0.95*5.67E-8*(((DZ97+$B$9)+273)^4-(V97+273)^4)</f>
        <v>0</v>
      </c>
      <c r="AE97">
        <f>T97+AD97+AB97+AC97</f>
        <v>0</v>
      </c>
      <c r="AF97">
        <f>DW97*AT97*(DR97-DQ97*(1000-AT97*DT97)/(1000-AT97*DS97))/(100*DK97)</f>
        <v>0</v>
      </c>
      <c r="AG97">
        <f>1000*DW97*AT97*(DS97-DT97)/(100*DK97*(1000-AT97*DS97))</f>
        <v>0</v>
      </c>
      <c r="AH97">
        <f>(AI97 - AJ97 - DX97*1E3/(8.314*(DZ97+273.15)) * AL97/DW97 * AK97) * DW97/(100*DK97) * (1000 - DT97)/1000</f>
        <v>0</v>
      </c>
      <c r="AI97">
        <v>1017.141030303031</v>
      </c>
      <c r="AJ97">
        <v>1016.262181818182</v>
      </c>
      <c r="AK97">
        <v>-0.03476871637656849</v>
      </c>
      <c r="AL97">
        <v>64.69118228042457</v>
      </c>
      <c r="AM97">
        <f>(AO97 - AN97 + DX97*1E3/(8.314*(DZ97+273.15)) * AQ97/DW97 * AP97) * DW97/(100*DK97) * 1000/(1000 - AO97)</f>
        <v>0</v>
      </c>
      <c r="AN97">
        <v>16.87216181818181</v>
      </c>
      <c r="AO97">
        <v>17.01398303030303</v>
      </c>
      <c r="AP97">
        <v>-2.284459501859671E-05</v>
      </c>
      <c r="AQ97">
        <v>102.7136059506117</v>
      </c>
      <c r="AR97">
        <v>0</v>
      </c>
      <c r="AS97">
        <v>0</v>
      </c>
      <c r="AT97">
        <f>IF(AR97*$H$15&gt;=AV97,1.0,(AV97/(AV97-AR97*$H$15)))</f>
        <v>0</v>
      </c>
      <c r="AU97">
        <f>(AT97-1)*100</f>
        <v>0</v>
      </c>
      <c r="AV97">
        <f>MAX(0,($B$15+$C$15*EE97)/(1+$D$15*EE97)*DX97/(DZ97+273)*$E$15)</f>
        <v>0</v>
      </c>
      <c r="AW97" t="s">
        <v>437</v>
      </c>
      <c r="AX97" t="s">
        <v>437</v>
      </c>
      <c r="AY97">
        <v>0</v>
      </c>
      <c r="AZ97">
        <v>0</v>
      </c>
      <c r="BA97">
        <f>1-AY97/AZ97</f>
        <v>0</v>
      </c>
      <c r="BB97">
        <v>0</v>
      </c>
      <c r="BC97" t="s">
        <v>437</v>
      </c>
      <c r="BD97" t="s">
        <v>437</v>
      </c>
      <c r="BE97">
        <v>0</v>
      </c>
      <c r="BF97">
        <v>0</v>
      </c>
      <c r="BG97">
        <f>1-BE97/BF97</f>
        <v>0</v>
      </c>
      <c r="BH97">
        <v>0.5</v>
      </c>
      <c r="BI97">
        <f>DH97</f>
        <v>0</v>
      </c>
      <c r="BJ97">
        <f>K97</f>
        <v>0</v>
      </c>
      <c r="BK97">
        <f>BG97*BH97*BI97</f>
        <v>0</v>
      </c>
      <c r="BL97">
        <f>(BJ97-BB97)/BI97</f>
        <v>0</v>
      </c>
      <c r="BM97">
        <f>(AZ97-BF97)/BF97</f>
        <v>0</v>
      </c>
      <c r="BN97">
        <f>AY97/(BA97+AY97/BF97)</f>
        <v>0</v>
      </c>
      <c r="BO97" t="s">
        <v>437</v>
      </c>
      <c r="BP97">
        <v>0</v>
      </c>
      <c r="BQ97">
        <f>IF(BP97&lt;&gt;0, BP97, BN97)</f>
        <v>0</v>
      </c>
      <c r="BR97">
        <f>1-BQ97/BF97</f>
        <v>0</v>
      </c>
      <c r="BS97">
        <f>(BF97-BE97)/(BF97-BQ97)</f>
        <v>0</v>
      </c>
      <c r="BT97">
        <f>(AZ97-BF97)/(AZ97-BQ97)</f>
        <v>0</v>
      </c>
      <c r="BU97">
        <f>(BF97-BE97)/(BF97-AY97)</f>
        <v>0</v>
      </c>
      <c r="BV97">
        <f>(AZ97-BF97)/(AZ97-AY97)</f>
        <v>0</v>
      </c>
      <c r="BW97">
        <f>(BS97*BQ97/BE97)</f>
        <v>0</v>
      </c>
      <c r="BX97">
        <f>(1-BW97)</f>
        <v>0</v>
      </c>
      <c r="DG97">
        <f>$B$13*EF97+$C$13*EG97+$F$13*ER97*(1-EU97)</f>
        <v>0</v>
      </c>
      <c r="DH97">
        <f>DG97*DI97</f>
        <v>0</v>
      </c>
      <c r="DI97">
        <f>($B$13*$D$11+$C$13*$D$11+$F$13*((FE97+EW97)/MAX(FE97+EW97+FF97, 0.1)*$I$11+FF97/MAX(FE97+EW97+FF97, 0.1)*$J$11))/($B$13+$C$13+$F$13)</f>
        <v>0</v>
      </c>
      <c r="DJ97">
        <f>($B$13*$K$11+$C$13*$K$11+$F$13*((FE97+EW97)/MAX(FE97+EW97+FF97, 0.1)*$P$11+FF97/MAX(FE97+EW97+FF97, 0.1)*$Q$11))/($B$13+$C$13+$F$13)</f>
        <v>0</v>
      </c>
      <c r="DK97">
        <v>5.66</v>
      </c>
      <c r="DL97">
        <v>0.5</v>
      </c>
      <c r="DM97" t="s">
        <v>438</v>
      </c>
      <c r="DN97">
        <v>2</v>
      </c>
      <c r="DO97" t="b">
        <v>1</v>
      </c>
      <c r="DP97">
        <v>1765310799.75</v>
      </c>
      <c r="DQ97">
        <v>998.6708</v>
      </c>
      <c r="DR97">
        <v>999.9941999999999</v>
      </c>
      <c r="DS97">
        <v>17.01597</v>
      </c>
      <c r="DT97">
        <v>16.87621666666666</v>
      </c>
      <c r="DU97">
        <v>997.5898</v>
      </c>
      <c r="DV97">
        <v>16.94597</v>
      </c>
      <c r="DW97">
        <v>499.9956333333333</v>
      </c>
      <c r="DX97">
        <v>89.83282000000001</v>
      </c>
      <c r="DY97">
        <v>0.10002405</v>
      </c>
      <c r="DZ97">
        <v>24.33682333333333</v>
      </c>
      <c r="EA97">
        <v>24.99634666666667</v>
      </c>
      <c r="EB97">
        <v>999.9000000000002</v>
      </c>
      <c r="EC97">
        <v>0</v>
      </c>
      <c r="ED97">
        <v>0</v>
      </c>
      <c r="EE97">
        <v>9987.997000000001</v>
      </c>
      <c r="EF97">
        <v>0</v>
      </c>
      <c r="EG97">
        <v>9.714249999999998</v>
      </c>
      <c r="EH97">
        <v>-1.015114166666667</v>
      </c>
      <c r="EI97">
        <v>1016.273</v>
      </c>
      <c r="EJ97">
        <v>1017.159666666667</v>
      </c>
      <c r="EK97">
        <v>0.1421218333333333</v>
      </c>
      <c r="EL97">
        <v>999.9941999999999</v>
      </c>
      <c r="EM97">
        <v>16.87621666666666</v>
      </c>
      <c r="EN97">
        <v>1.528806666666667</v>
      </c>
      <c r="EO97">
        <v>1.516038333333333</v>
      </c>
      <c r="EP97">
        <v>13.25933333333333</v>
      </c>
      <c r="EQ97">
        <v>13.13088666666666</v>
      </c>
      <c r="ER97">
        <v>800.0153666666666</v>
      </c>
      <c r="ES97">
        <v>0.9500067666666666</v>
      </c>
      <c r="ET97">
        <v>0.04999285666666666</v>
      </c>
      <c r="EU97">
        <v>0</v>
      </c>
      <c r="EV97">
        <v>546.9191333333332</v>
      </c>
      <c r="EW97">
        <v>5.00078</v>
      </c>
      <c r="EX97">
        <v>4284.218333333333</v>
      </c>
      <c r="EY97">
        <v>6463.557</v>
      </c>
      <c r="EZ97">
        <v>36.92273333333333</v>
      </c>
      <c r="FA97">
        <v>39.61639999999999</v>
      </c>
      <c r="FB97">
        <v>38.81223333333332</v>
      </c>
      <c r="FC97">
        <v>39.52889999999999</v>
      </c>
      <c r="FD97">
        <v>38.50606666666666</v>
      </c>
      <c r="FE97">
        <v>755.2686666666665</v>
      </c>
      <c r="FF97">
        <v>39.74533333333333</v>
      </c>
      <c r="FG97">
        <v>0</v>
      </c>
      <c r="FH97">
        <v>1765310806.7</v>
      </c>
      <c r="FI97">
        <v>0</v>
      </c>
      <c r="FJ97">
        <v>546.94136</v>
      </c>
      <c r="FK97">
        <v>1.102384608035162</v>
      </c>
      <c r="FL97">
        <v>-8.697692342910536</v>
      </c>
      <c r="FM97">
        <v>4284.1844</v>
      </c>
      <c r="FN97">
        <v>15</v>
      </c>
      <c r="FO97">
        <v>1765310830</v>
      </c>
      <c r="FP97" t="s">
        <v>684</v>
      </c>
      <c r="FQ97">
        <v>1765310830</v>
      </c>
      <c r="FR97">
        <v>1765310824.5</v>
      </c>
      <c r="FS97">
        <v>80</v>
      </c>
      <c r="FT97">
        <v>-0.309</v>
      </c>
      <c r="FU97">
        <v>-0</v>
      </c>
      <c r="FV97">
        <v>1.081</v>
      </c>
      <c r="FW97">
        <v>0.07000000000000001</v>
      </c>
      <c r="FX97">
        <v>1000</v>
      </c>
      <c r="FY97">
        <v>17</v>
      </c>
      <c r="FZ97">
        <v>0.67</v>
      </c>
      <c r="GA97">
        <v>0.13</v>
      </c>
      <c r="GB97">
        <v>-1.050194951219512</v>
      </c>
      <c r="GC97">
        <v>0.4505334564459939</v>
      </c>
      <c r="GD97">
        <v>0.06676499141307414</v>
      </c>
      <c r="GE97">
        <v>1</v>
      </c>
      <c r="GF97">
        <v>546.9136470588235</v>
      </c>
      <c r="GG97">
        <v>0.5532773072785504</v>
      </c>
      <c r="GH97">
        <v>0.2063838346315748</v>
      </c>
      <c r="GI97">
        <v>1</v>
      </c>
      <c r="GJ97">
        <v>0.142372</v>
      </c>
      <c r="GK97">
        <v>-0.007229644599302938</v>
      </c>
      <c r="GL97">
        <v>0.001087457719951873</v>
      </c>
      <c r="GM97">
        <v>1</v>
      </c>
      <c r="GN97">
        <v>3</v>
      </c>
      <c r="GO97">
        <v>3</v>
      </c>
      <c r="GP97" t="s">
        <v>440</v>
      </c>
      <c r="GQ97">
        <v>3.10823</v>
      </c>
      <c r="GR97">
        <v>2.79156</v>
      </c>
      <c r="GS97">
        <v>0.159482</v>
      </c>
      <c r="GT97">
        <v>0.159807</v>
      </c>
      <c r="GU97">
        <v>0.0844119</v>
      </c>
      <c r="GV97">
        <v>0.0846837</v>
      </c>
      <c r="GW97">
        <v>22036.6</v>
      </c>
      <c r="GX97">
        <v>20006.5</v>
      </c>
      <c r="GY97">
        <v>26776.3</v>
      </c>
      <c r="GZ97">
        <v>24019.8</v>
      </c>
      <c r="HA97">
        <v>39192.3</v>
      </c>
      <c r="HB97">
        <v>32462.1</v>
      </c>
      <c r="HC97">
        <v>46734.2</v>
      </c>
      <c r="HD97">
        <v>37991.2</v>
      </c>
      <c r="HE97">
        <v>1.88643</v>
      </c>
      <c r="HF97">
        <v>1.84872</v>
      </c>
      <c r="HG97">
        <v>0.0717714</v>
      </c>
      <c r="HH97">
        <v>0</v>
      </c>
      <c r="HI97">
        <v>23.8105</v>
      </c>
      <c r="HJ97">
        <v>999.9</v>
      </c>
      <c r="HK97">
        <v>39.7</v>
      </c>
      <c r="HL97">
        <v>31.4</v>
      </c>
      <c r="HM97">
        <v>20.3987</v>
      </c>
      <c r="HN97">
        <v>61.5175</v>
      </c>
      <c r="HO97">
        <v>27.488</v>
      </c>
      <c r="HP97">
        <v>1</v>
      </c>
      <c r="HQ97">
        <v>0.061189</v>
      </c>
      <c r="HR97">
        <v>1.29416</v>
      </c>
      <c r="HS97">
        <v>20.2894</v>
      </c>
      <c r="HT97">
        <v>5.22268</v>
      </c>
      <c r="HU97">
        <v>11.9778</v>
      </c>
      <c r="HV97">
        <v>4.96565</v>
      </c>
      <c r="HW97">
        <v>3.276</v>
      </c>
      <c r="HX97">
        <v>9999</v>
      </c>
      <c r="HY97">
        <v>9999</v>
      </c>
      <c r="HZ97">
        <v>9999</v>
      </c>
      <c r="IA97">
        <v>999.9</v>
      </c>
      <c r="IB97">
        <v>1.86388</v>
      </c>
      <c r="IC97">
        <v>1.86005</v>
      </c>
      <c r="ID97">
        <v>1.85837</v>
      </c>
      <c r="IE97">
        <v>1.85967</v>
      </c>
      <c r="IF97">
        <v>1.85983</v>
      </c>
      <c r="IG97">
        <v>1.85836</v>
      </c>
      <c r="IH97">
        <v>1.85739</v>
      </c>
      <c r="II97">
        <v>1.85238</v>
      </c>
      <c r="IJ97">
        <v>0</v>
      </c>
      <c r="IK97">
        <v>0</v>
      </c>
      <c r="IL97">
        <v>0</v>
      </c>
      <c r="IM97">
        <v>0</v>
      </c>
      <c r="IN97" t="s">
        <v>441</v>
      </c>
      <c r="IO97" t="s">
        <v>442</v>
      </c>
      <c r="IP97" t="s">
        <v>443</v>
      </c>
      <c r="IQ97" t="s">
        <v>443</v>
      </c>
      <c r="IR97" t="s">
        <v>443</v>
      </c>
      <c r="IS97" t="s">
        <v>443</v>
      </c>
      <c r="IT97">
        <v>0</v>
      </c>
      <c r="IU97">
        <v>100</v>
      </c>
      <c r="IV97">
        <v>100</v>
      </c>
      <c r="IW97">
        <v>1.081</v>
      </c>
      <c r="IX97">
        <v>0.07000000000000001</v>
      </c>
      <c r="IY97">
        <v>0.1529092639230889</v>
      </c>
      <c r="IZ97">
        <v>0.0001583678016168383</v>
      </c>
      <c r="JA97">
        <v>1.526473431467286E-06</v>
      </c>
      <c r="JB97">
        <v>-4.446382740029455E-10</v>
      </c>
      <c r="JC97">
        <v>-0.0377250663528233</v>
      </c>
      <c r="JD97">
        <v>-0.009941991807247691</v>
      </c>
      <c r="JE97">
        <v>0.001256427533001032</v>
      </c>
      <c r="JF97">
        <v>-1.689728105039484E-05</v>
      </c>
      <c r="JG97">
        <v>2</v>
      </c>
      <c r="JH97">
        <v>1984</v>
      </c>
      <c r="JI97">
        <v>0</v>
      </c>
      <c r="JJ97">
        <v>25</v>
      </c>
      <c r="JK97">
        <v>1.3</v>
      </c>
      <c r="JL97">
        <v>1.3</v>
      </c>
      <c r="JM97">
        <v>2.2876</v>
      </c>
      <c r="JN97">
        <v>2.62695</v>
      </c>
      <c r="JO97">
        <v>1.49658</v>
      </c>
      <c r="JP97">
        <v>2.34619</v>
      </c>
      <c r="JQ97">
        <v>1.54907</v>
      </c>
      <c r="JR97">
        <v>2.45483</v>
      </c>
      <c r="JS97">
        <v>35.6613</v>
      </c>
      <c r="JT97">
        <v>24.14</v>
      </c>
      <c r="JU97">
        <v>18</v>
      </c>
      <c r="JV97">
        <v>481.205</v>
      </c>
      <c r="JW97">
        <v>485.824</v>
      </c>
      <c r="JX97">
        <v>22.6322</v>
      </c>
      <c r="JY97">
        <v>27.9507</v>
      </c>
      <c r="JZ97">
        <v>30.0001</v>
      </c>
      <c r="KA97">
        <v>28.1787</v>
      </c>
      <c r="KB97">
        <v>28.171</v>
      </c>
      <c r="KC97">
        <v>45.8857</v>
      </c>
      <c r="KD97">
        <v>18.8157</v>
      </c>
      <c r="KE97">
        <v>33.9247</v>
      </c>
      <c r="KF97">
        <v>22.6378</v>
      </c>
      <c r="KG97">
        <v>1000</v>
      </c>
      <c r="KH97">
        <v>16.8431</v>
      </c>
      <c r="KI97">
        <v>102.199</v>
      </c>
      <c r="KJ97">
        <v>91.6306</v>
      </c>
    </row>
    <row r="98" spans="1:296">
      <c r="A98">
        <v>80</v>
      </c>
      <c r="B98">
        <v>1765310912.5</v>
      </c>
      <c r="C98">
        <v>13479.5</v>
      </c>
      <c r="D98" t="s">
        <v>685</v>
      </c>
      <c r="E98" t="s">
        <v>686</v>
      </c>
      <c r="F98">
        <v>5</v>
      </c>
      <c r="G98" t="s">
        <v>653</v>
      </c>
      <c r="H98">
        <v>1765310904.75</v>
      </c>
      <c r="I98">
        <f>(J98)/1000</f>
        <v>0</v>
      </c>
      <c r="J98">
        <f>IF(DO98, AM98, AG98)</f>
        <v>0</v>
      </c>
      <c r="K98">
        <f>IF(DO98, AH98, AF98)</f>
        <v>0</v>
      </c>
      <c r="L98">
        <f>DQ98 - IF(AT98&gt;1, K98*DK98*100.0/(AV98), 0)</f>
        <v>0</v>
      </c>
      <c r="M98">
        <f>((S98-I98/2)*L98-K98)/(S98+I98/2)</f>
        <v>0</v>
      </c>
      <c r="N98">
        <f>M98*(DX98+DY98)/1000.0</f>
        <v>0</v>
      </c>
      <c r="O98">
        <f>(DQ98 - IF(AT98&gt;1, K98*DK98*100.0/(AV98), 0))*(DX98+DY98)/1000.0</f>
        <v>0</v>
      </c>
      <c r="P98">
        <f>2.0/((1/R98-1/Q98)+SIGN(R98)*SQRT((1/R98-1/Q98)*(1/R98-1/Q98) + 4*DL98/((DL98+1)*(DL98+1))*(2*1/R98*1/Q98-1/Q98*1/Q98)))</f>
        <v>0</v>
      </c>
      <c r="Q98">
        <f>IF(LEFT(DM98,1)&lt;&gt;"0",IF(LEFT(DM98,1)="1",3.0,DN98),$D$5+$E$5*(EE98*DX98/($K$5*1000))+$F$5*(EE98*DX98/($K$5*1000))*MAX(MIN(DK98,$J$5),$I$5)*MAX(MIN(DK98,$J$5),$I$5)+$G$5*MAX(MIN(DK98,$J$5),$I$5)*(EE98*DX98/($K$5*1000))+$H$5*(EE98*DX98/($K$5*1000))*(EE98*DX98/($K$5*1000)))</f>
        <v>0</v>
      </c>
      <c r="R98">
        <f>I98*(1000-(1000*0.61365*exp(17.502*V98/(240.97+V98))/(DX98+DY98)+DS98)/2)/(1000*0.61365*exp(17.502*V98/(240.97+V98))/(DX98+DY98)-DS98)</f>
        <v>0</v>
      </c>
      <c r="S98">
        <f>1/((DL98+1)/(P98/1.6)+1/(Q98/1.37)) + DL98/((DL98+1)/(P98/1.6) + DL98/(Q98/1.37))</f>
        <v>0</v>
      </c>
      <c r="T98">
        <f>(DG98*DJ98)</f>
        <v>0</v>
      </c>
      <c r="U98">
        <f>(DZ98+(T98+2*0.95*5.67E-8*(((DZ98+$B$9)+273)^4-(DZ98+273)^4)-44100*I98)/(1.84*29.3*Q98+8*0.95*5.67E-8*(DZ98+273)^3))</f>
        <v>0</v>
      </c>
      <c r="V98">
        <f>($C$9*EA98+$D$9*EB98+$E$9*U98)</f>
        <v>0</v>
      </c>
      <c r="W98">
        <f>0.61365*exp(17.502*V98/(240.97+V98))</f>
        <v>0</v>
      </c>
      <c r="X98">
        <f>(Y98/Z98*100)</f>
        <v>0</v>
      </c>
      <c r="Y98">
        <f>DS98*(DX98+DY98)/1000</f>
        <v>0</v>
      </c>
      <c r="Z98">
        <f>0.61365*exp(17.502*DZ98/(240.97+DZ98))</f>
        <v>0</v>
      </c>
      <c r="AA98">
        <f>(W98-DS98*(DX98+DY98)/1000)</f>
        <v>0</v>
      </c>
      <c r="AB98">
        <f>(-I98*44100)</f>
        <v>0</v>
      </c>
      <c r="AC98">
        <f>2*29.3*Q98*0.92*(DZ98-V98)</f>
        <v>0</v>
      </c>
      <c r="AD98">
        <f>2*0.95*5.67E-8*(((DZ98+$B$9)+273)^4-(V98+273)^4)</f>
        <v>0</v>
      </c>
      <c r="AE98">
        <f>T98+AD98+AB98+AC98</f>
        <v>0</v>
      </c>
      <c r="AF98">
        <f>DW98*AT98*(DR98-DQ98*(1000-AT98*DT98)/(1000-AT98*DS98))/(100*DK98)</f>
        <v>0</v>
      </c>
      <c r="AG98">
        <f>1000*DW98*AT98*(DS98-DT98)/(100*DK98*(1000-AT98*DS98))</f>
        <v>0</v>
      </c>
      <c r="AH98">
        <f>(AI98 - AJ98 - DX98*1E3/(8.314*(DZ98+273.15)) * AL98/DW98 * AK98) * DW98/(100*DK98) * (1000 - DT98)/1000</f>
        <v>0</v>
      </c>
      <c r="AI98">
        <v>1220.653572943723</v>
      </c>
      <c r="AJ98">
        <v>1219.065272727272</v>
      </c>
      <c r="AK98">
        <v>-0.0005060999606374233</v>
      </c>
      <c r="AL98">
        <v>65.87</v>
      </c>
      <c r="AM98">
        <f>(AO98 - AN98 + DX98*1E3/(8.314*(DZ98+273.15)) * AQ98/DW98 * AP98) * DW98/(100*DK98) * 1000/(1000 - AO98)</f>
        <v>0</v>
      </c>
      <c r="AN98">
        <v>16.86819541204762</v>
      </c>
      <c r="AO98">
        <v>17.01158111888114</v>
      </c>
      <c r="AP98">
        <v>-2.169216011300596E-05</v>
      </c>
      <c r="AQ98">
        <v>109.3723906899666</v>
      </c>
      <c r="AR98">
        <v>0</v>
      </c>
      <c r="AS98">
        <v>0</v>
      </c>
      <c r="AT98">
        <f>IF(AR98*$H$15&gt;=AV98,1.0,(AV98/(AV98-AR98*$H$15)))</f>
        <v>0</v>
      </c>
      <c r="AU98">
        <f>(AT98-1)*100</f>
        <v>0</v>
      </c>
      <c r="AV98">
        <f>MAX(0,($B$15+$C$15*EE98)/(1+$D$15*EE98)*DX98/(DZ98+273)*$E$15)</f>
        <v>0</v>
      </c>
      <c r="AW98" t="s">
        <v>437</v>
      </c>
      <c r="AX98" t="s">
        <v>437</v>
      </c>
      <c r="AY98">
        <v>0</v>
      </c>
      <c r="AZ98">
        <v>0</v>
      </c>
      <c r="BA98">
        <f>1-AY98/AZ98</f>
        <v>0</v>
      </c>
      <c r="BB98">
        <v>0</v>
      </c>
      <c r="BC98" t="s">
        <v>437</v>
      </c>
      <c r="BD98" t="s">
        <v>437</v>
      </c>
      <c r="BE98">
        <v>0</v>
      </c>
      <c r="BF98">
        <v>0</v>
      </c>
      <c r="BG98">
        <f>1-BE98/BF98</f>
        <v>0</v>
      </c>
      <c r="BH98">
        <v>0.5</v>
      </c>
      <c r="BI98">
        <f>DH98</f>
        <v>0</v>
      </c>
      <c r="BJ98">
        <f>K98</f>
        <v>0</v>
      </c>
      <c r="BK98">
        <f>BG98*BH98*BI98</f>
        <v>0</v>
      </c>
      <c r="BL98">
        <f>(BJ98-BB98)/BI98</f>
        <v>0</v>
      </c>
      <c r="BM98">
        <f>(AZ98-BF98)/BF98</f>
        <v>0</v>
      </c>
      <c r="BN98">
        <f>AY98/(BA98+AY98/BF98)</f>
        <v>0</v>
      </c>
      <c r="BO98" t="s">
        <v>437</v>
      </c>
      <c r="BP98">
        <v>0</v>
      </c>
      <c r="BQ98">
        <f>IF(BP98&lt;&gt;0, BP98, BN98)</f>
        <v>0</v>
      </c>
      <c r="BR98">
        <f>1-BQ98/BF98</f>
        <v>0</v>
      </c>
      <c r="BS98">
        <f>(BF98-BE98)/(BF98-BQ98)</f>
        <v>0</v>
      </c>
      <c r="BT98">
        <f>(AZ98-BF98)/(AZ98-BQ98)</f>
        <v>0</v>
      </c>
      <c r="BU98">
        <f>(BF98-BE98)/(BF98-AY98)</f>
        <v>0</v>
      </c>
      <c r="BV98">
        <f>(AZ98-BF98)/(AZ98-AY98)</f>
        <v>0</v>
      </c>
      <c r="BW98">
        <f>(BS98*BQ98/BE98)</f>
        <v>0</v>
      </c>
      <c r="BX98">
        <f>(1-BW98)</f>
        <v>0</v>
      </c>
      <c r="DG98">
        <f>$B$13*EF98+$C$13*EG98+$F$13*ER98*(1-EU98)</f>
        <v>0</v>
      </c>
      <c r="DH98">
        <f>DG98*DI98</f>
        <v>0</v>
      </c>
      <c r="DI98">
        <f>($B$13*$D$11+$C$13*$D$11+$F$13*((FE98+EW98)/MAX(FE98+EW98+FF98, 0.1)*$I$11+FF98/MAX(FE98+EW98+FF98, 0.1)*$J$11))/($B$13+$C$13+$F$13)</f>
        <v>0</v>
      </c>
      <c r="DJ98">
        <f>($B$13*$K$11+$C$13*$K$11+$F$13*((FE98+EW98)/MAX(FE98+EW98+FF98, 0.1)*$P$11+FF98/MAX(FE98+EW98+FF98, 0.1)*$Q$11))/($B$13+$C$13+$F$13)</f>
        <v>0</v>
      </c>
      <c r="DK98">
        <v>5.66</v>
      </c>
      <c r="DL98">
        <v>0.5</v>
      </c>
      <c r="DM98" t="s">
        <v>438</v>
      </c>
      <c r="DN98">
        <v>2</v>
      </c>
      <c r="DO98" t="b">
        <v>1</v>
      </c>
      <c r="DP98">
        <v>1765310904.75</v>
      </c>
      <c r="DQ98">
        <v>1198.453333333333</v>
      </c>
      <c r="DR98">
        <v>1200.027333333333</v>
      </c>
      <c r="DS98">
        <v>17.01072</v>
      </c>
      <c r="DT98">
        <v>16.86973333333333</v>
      </c>
      <c r="DU98">
        <v>1196.891333333333</v>
      </c>
      <c r="DV98">
        <v>16.94072</v>
      </c>
      <c r="DW98">
        <v>500.0084333333333</v>
      </c>
      <c r="DX98">
        <v>89.83347000000001</v>
      </c>
      <c r="DY98">
        <v>0.09998388666666667</v>
      </c>
      <c r="DZ98">
        <v>24.34646666666666</v>
      </c>
      <c r="EA98">
        <v>25.00275666666666</v>
      </c>
      <c r="EB98">
        <v>999.9000000000002</v>
      </c>
      <c r="EC98">
        <v>0</v>
      </c>
      <c r="ED98">
        <v>0</v>
      </c>
      <c r="EE98">
        <v>9998.564333333334</v>
      </c>
      <c r="EF98">
        <v>0</v>
      </c>
      <c r="EG98">
        <v>9.714249999999998</v>
      </c>
      <c r="EH98">
        <v>-1.678288</v>
      </c>
      <c r="EI98">
        <v>1219.088333333333</v>
      </c>
      <c r="EJ98">
        <v>1220.617666666667</v>
      </c>
      <c r="EK98">
        <v>0.1431122666666667</v>
      </c>
      <c r="EL98">
        <v>1200.027333333333</v>
      </c>
      <c r="EM98">
        <v>16.86973333333333</v>
      </c>
      <c r="EN98">
        <v>1.528322666666667</v>
      </c>
      <c r="EO98">
        <v>1.515466</v>
      </c>
      <c r="EP98">
        <v>13.2545</v>
      </c>
      <c r="EQ98">
        <v>13.1251</v>
      </c>
      <c r="ER98">
        <v>800.0255666666667</v>
      </c>
      <c r="ES98">
        <v>0.9500042333333333</v>
      </c>
      <c r="ET98">
        <v>0.04999544333333334</v>
      </c>
      <c r="EU98">
        <v>0</v>
      </c>
      <c r="EV98">
        <v>547.2068333333334</v>
      </c>
      <c r="EW98">
        <v>5.00078</v>
      </c>
      <c r="EX98">
        <v>4274.297666666667</v>
      </c>
      <c r="EY98">
        <v>6463.636</v>
      </c>
      <c r="EZ98">
        <v>36.22476666666667</v>
      </c>
      <c r="FA98">
        <v>38.64766666666666</v>
      </c>
      <c r="FB98">
        <v>37.72059999999999</v>
      </c>
      <c r="FC98">
        <v>38.27056666666666</v>
      </c>
      <c r="FD98">
        <v>37.76643333333333</v>
      </c>
      <c r="FE98">
        <v>755.2766666666668</v>
      </c>
      <c r="FF98">
        <v>39.75</v>
      </c>
      <c r="FG98">
        <v>0</v>
      </c>
      <c r="FH98">
        <v>1765310911.7</v>
      </c>
      <c r="FI98">
        <v>0</v>
      </c>
      <c r="FJ98">
        <v>547.1958076923077</v>
      </c>
      <c r="FK98">
        <v>-0.977128206068156</v>
      </c>
      <c r="FL98">
        <v>-16.08341882108868</v>
      </c>
      <c r="FM98">
        <v>4274.09923076923</v>
      </c>
      <c r="FN98">
        <v>15</v>
      </c>
      <c r="FO98">
        <v>1765310936.5</v>
      </c>
      <c r="FP98" t="s">
        <v>687</v>
      </c>
      <c r="FQ98">
        <v>1765310936.5</v>
      </c>
      <c r="FR98">
        <v>1765310929.5</v>
      </c>
      <c r="FS98">
        <v>81</v>
      </c>
      <c r="FT98">
        <v>0.101</v>
      </c>
      <c r="FU98">
        <v>0.001</v>
      </c>
      <c r="FV98">
        <v>1.562</v>
      </c>
      <c r="FW98">
        <v>0.07000000000000001</v>
      </c>
      <c r="FX98">
        <v>1200</v>
      </c>
      <c r="FY98">
        <v>17</v>
      </c>
      <c r="FZ98">
        <v>0.82</v>
      </c>
      <c r="GA98">
        <v>0.16</v>
      </c>
      <c r="GB98">
        <v>-1.687622195121951</v>
      </c>
      <c r="GC98">
        <v>0.1520523344947768</v>
      </c>
      <c r="GD98">
        <v>0.0590937778290428</v>
      </c>
      <c r="GE98">
        <v>1</v>
      </c>
      <c r="GF98">
        <v>547.1838823529412</v>
      </c>
      <c r="GG98">
        <v>0.135095497177373</v>
      </c>
      <c r="GH98">
        <v>0.2732747771131189</v>
      </c>
      <c r="GI98">
        <v>1</v>
      </c>
      <c r="GJ98">
        <v>0.1434093658536585</v>
      </c>
      <c r="GK98">
        <v>-0.00584719860627186</v>
      </c>
      <c r="GL98">
        <v>0.0008791911680934596</v>
      </c>
      <c r="GM98">
        <v>1</v>
      </c>
      <c r="GN98">
        <v>3</v>
      </c>
      <c r="GO98">
        <v>3</v>
      </c>
      <c r="GP98" t="s">
        <v>440</v>
      </c>
      <c r="GQ98">
        <v>3.10827</v>
      </c>
      <c r="GR98">
        <v>2.79163</v>
      </c>
      <c r="GS98">
        <v>0.178829</v>
      </c>
      <c r="GT98">
        <v>0.179211</v>
      </c>
      <c r="GU98">
        <v>0.0844039</v>
      </c>
      <c r="GV98">
        <v>0.0846696</v>
      </c>
      <c r="GW98">
        <v>21530.9</v>
      </c>
      <c r="GX98">
        <v>19546.3</v>
      </c>
      <c r="GY98">
        <v>26777.8</v>
      </c>
      <c r="GZ98">
        <v>24021.8</v>
      </c>
      <c r="HA98">
        <v>39197.5</v>
      </c>
      <c r="HB98">
        <v>32467.4</v>
      </c>
      <c r="HC98">
        <v>46737.1</v>
      </c>
      <c r="HD98">
        <v>37994.6</v>
      </c>
      <c r="HE98">
        <v>1.8866</v>
      </c>
      <c r="HF98">
        <v>1.84953</v>
      </c>
      <c r="HG98">
        <v>0.07434929999999999</v>
      </c>
      <c r="HH98">
        <v>0</v>
      </c>
      <c r="HI98">
        <v>23.7893</v>
      </c>
      <c r="HJ98">
        <v>999.9</v>
      </c>
      <c r="HK98">
        <v>39.6</v>
      </c>
      <c r="HL98">
        <v>31.4</v>
      </c>
      <c r="HM98">
        <v>20.3457</v>
      </c>
      <c r="HN98">
        <v>61.6075</v>
      </c>
      <c r="HO98">
        <v>27.4679</v>
      </c>
      <c r="HP98">
        <v>1</v>
      </c>
      <c r="HQ98">
        <v>0.0592759</v>
      </c>
      <c r="HR98">
        <v>1.26065</v>
      </c>
      <c r="HS98">
        <v>20.2895</v>
      </c>
      <c r="HT98">
        <v>5.22238</v>
      </c>
      <c r="HU98">
        <v>11.98</v>
      </c>
      <c r="HV98">
        <v>4.96555</v>
      </c>
      <c r="HW98">
        <v>3.276</v>
      </c>
      <c r="HX98">
        <v>9999</v>
      </c>
      <c r="HY98">
        <v>9999</v>
      </c>
      <c r="HZ98">
        <v>9999</v>
      </c>
      <c r="IA98">
        <v>999.9</v>
      </c>
      <c r="IB98">
        <v>1.86389</v>
      </c>
      <c r="IC98">
        <v>1.86005</v>
      </c>
      <c r="ID98">
        <v>1.85837</v>
      </c>
      <c r="IE98">
        <v>1.85971</v>
      </c>
      <c r="IF98">
        <v>1.85985</v>
      </c>
      <c r="IG98">
        <v>1.85837</v>
      </c>
      <c r="IH98">
        <v>1.85744</v>
      </c>
      <c r="II98">
        <v>1.85241</v>
      </c>
      <c r="IJ98">
        <v>0</v>
      </c>
      <c r="IK98">
        <v>0</v>
      </c>
      <c r="IL98">
        <v>0</v>
      </c>
      <c r="IM98">
        <v>0</v>
      </c>
      <c r="IN98" t="s">
        <v>441</v>
      </c>
      <c r="IO98" t="s">
        <v>442</v>
      </c>
      <c r="IP98" t="s">
        <v>443</v>
      </c>
      <c r="IQ98" t="s">
        <v>443</v>
      </c>
      <c r="IR98" t="s">
        <v>443</v>
      </c>
      <c r="IS98" t="s">
        <v>443</v>
      </c>
      <c r="IT98">
        <v>0</v>
      </c>
      <c r="IU98">
        <v>100</v>
      </c>
      <c r="IV98">
        <v>100</v>
      </c>
      <c r="IW98">
        <v>1.562</v>
      </c>
      <c r="IX98">
        <v>0.07000000000000001</v>
      </c>
      <c r="IY98">
        <v>-0.1569199098935068</v>
      </c>
      <c r="IZ98">
        <v>0.0001583678016168383</v>
      </c>
      <c r="JA98">
        <v>1.526473431467286E-06</v>
      </c>
      <c r="JB98">
        <v>-4.446382740029455E-10</v>
      </c>
      <c r="JC98">
        <v>-0.03788795409239154</v>
      </c>
      <c r="JD98">
        <v>-0.009941991807247691</v>
      </c>
      <c r="JE98">
        <v>0.001256427533001032</v>
      </c>
      <c r="JF98">
        <v>-1.689728105039484E-05</v>
      </c>
      <c r="JG98">
        <v>2</v>
      </c>
      <c r="JH98">
        <v>1984</v>
      </c>
      <c r="JI98">
        <v>0</v>
      </c>
      <c r="JJ98">
        <v>25</v>
      </c>
      <c r="JK98">
        <v>1.4</v>
      </c>
      <c r="JL98">
        <v>1.5</v>
      </c>
      <c r="JM98">
        <v>2.64771</v>
      </c>
      <c r="JN98">
        <v>2.61353</v>
      </c>
      <c r="JO98">
        <v>1.49658</v>
      </c>
      <c r="JP98">
        <v>2.34619</v>
      </c>
      <c r="JQ98">
        <v>1.54907</v>
      </c>
      <c r="JR98">
        <v>2.43652</v>
      </c>
      <c r="JS98">
        <v>35.6613</v>
      </c>
      <c r="JT98">
        <v>24.14</v>
      </c>
      <c r="JU98">
        <v>18</v>
      </c>
      <c r="JV98">
        <v>481.288</v>
      </c>
      <c r="JW98">
        <v>486.383</v>
      </c>
      <c r="JX98">
        <v>22.7292</v>
      </c>
      <c r="JY98">
        <v>27.9322</v>
      </c>
      <c r="JZ98">
        <v>30</v>
      </c>
      <c r="KA98">
        <v>28.1763</v>
      </c>
      <c r="KB98">
        <v>28.1758</v>
      </c>
      <c r="KC98">
        <v>53.1327</v>
      </c>
      <c r="KD98">
        <v>18.8157</v>
      </c>
      <c r="KE98">
        <v>33.9247</v>
      </c>
      <c r="KF98">
        <v>22.7351</v>
      </c>
      <c r="KG98">
        <v>1200</v>
      </c>
      <c r="KH98">
        <v>16.8278</v>
      </c>
      <c r="KI98">
        <v>102.205</v>
      </c>
      <c r="KJ98">
        <v>91.63849999999999</v>
      </c>
    </row>
    <row r="99" spans="1:296">
      <c r="A99">
        <v>81</v>
      </c>
      <c r="B99">
        <v>1765311018</v>
      </c>
      <c r="C99">
        <v>13585</v>
      </c>
      <c r="D99" t="s">
        <v>688</v>
      </c>
      <c r="E99" t="s">
        <v>689</v>
      </c>
      <c r="F99">
        <v>5</v>
      </c>
      <c r="G99" t="s">
        <v>653</v>
      </c>
      <c r="H99">
        <v>1765311010.25</v>
      </c>
      <c r="I99">
        <f>(J99)/1000</f>
        <v>0</v>
      </c>
      <c r="J99">
        <f>IF(DO99, AM99, AG99)</f>
        <v>0</v>
      </c>
      <c r="K99">
        <f>IF(DO99, AH99, AF99)</f>
        <v>0</v>
      </c>
      <c r="L99">
        <f>DQ99 - IF(AT99&gt;1, K99*DK99*100.0/(AV99), 0)</f>
        <v>0</v>
      </c>
      <c r="M99">
        <f>((S99-I99/2)*L99-K99)/(S99+I99/2)</f>
        <v>0</v>
      </c>
      <c r="N99">
        <f>M99*(DX99+DY99)/1000.0</f>
        <v>0</v>
      </c>
      <c r="O99">
        <f>(DQ99 - IF(AT99&gt;1, K99*DK99*100.0/(AV99), 0))*(DX99+DY99)/1000.0</f>
        <v>0</v>
      </c>
      <c r="P99">
        <f>2.0/((1/R99-1/Q99)+SIGN(R99)*SQRT((1/R99-1/Q99)*(1/R99-1/Q99) + 4*DL99/((DL99+1)*(DL99+1))*(2*1/R99*1/Q99-1/Q99*1/Q99)))</f>
        <v>0</v>
      </c>
      <c r="Q99">
        <f>IF(LEFT(DM99,1)&lt;&gt;"0",IF(LEFT(DM99,1)="1",3.0,DN99),$D$5+$E$5*(EE99*DX99/($K$5*1000))+$F$5*(EE99*DX99/($K$5*1000))*MAX(MIN(DK99,$J$5),$I$5)*MAX(MIN(DK99,$J$5),$I$5)+$G$5*MAX(MIN(DK99,$J$5),$I$5)*(EE99*DX99/($K$5*1000))+$H$5*(EE99*DX99/($K$5*1000))*(EE99*DX99/($K$5*1000)))</f>
        <v>0</v>
      </c>
      <c r="R99">
        <f>I99*(1000-(1000*0.61365*exp(17.502*V99/(240.97+V99))/(DX99+DY99)+DS99)/2)/(1000*0.61365*exp(17.502*V99/(240.97+V99))/(DX99+DY99)-DS99)</f>
        <v>0</v>
      </c>
      <c r="S99">
        <f>1/((DL99+1)/(P99/1.6)+1/(Q99/1.37)) + DL99/((DL99+1)/(P99/1.6) + DL99/(Q99/1.37))</f>
        <v>0</v>
      </c>
      <c r="T99">
        <f>(DG99*DJ99)</f>
        <v>0</v>
      </c>
      <c r="U99">
        <f>(DZ99+(T99+2*0.95*5.67E-8*(((DZ99+$B$9)+273)^4-(DZ99+273)^4)-44100*I99)/(1.84*29.3*Q99+8*0.95*5.67E-8*(DZ99+273)^3))</f>
        <v>0</v>
      </c>
      <c r="V99">
        <f>($C$9*EA99+$D$9*EB99+$E$9*U99)</f>
        <v>0</v>
      </c>
      <c r="W99">
        <f>0.61365*exp(17.502*V99/(240.97+V99))</f>
        <v>0</v>
      </c>
      <c r="X99">
        <f>(Y99/Z99*100)</f>
        <v>0</v>
      </c>
      <c r="Y99">
        <f>DS99*(DX99+DY99)/1000</f>
        <v>0</v>
      </c>
      <c r="Z99">
        <f>0.61365*exp(17.502*DZ99/(240.97+DZ99))</f>
        <v>0</v>
      </c>
      <c r="AA99">
        <f>(W99-DS99*(DX99+DY99)/1000)</f>
        <v>0</v>
      </c>
      <c r="AB99">
        <f>(-I99*44100)</f>
        <v>0</v>
      </c>
      <c r="AC99">
        <f>2*29.3*Q99*0.92*(DZ99-V99)</f>
        <v>0</v>
      </c>
      <c r="AD99">
        <f>2*0.95*5.67E-8*(((DZ99+$B$9)+273)^4-(V99+273)^4)</f>
        <v>0</v>
      </c>
      <c r="AE99">
        <f>T99+AD99+AB99+AC99</f>
        <v>0</v>
      </c>
      <c r="AF99">
        <f>DW99*AT99*(DR99-DQ99*(1000-AT99*DT99)/(1000-AT99*DS99))/(100*DK99)</f>
        <v>0</v>
      </c>
      <c r="AG99">
        <f>1000*DW99*AT99*(DS99-DT99)/(100*DK99*(1000-AT99*DS99))</f>
        <v>0</v>
      </c>
      <c r="AH99">
        <f>(AI99 - AJ99 - DX99*1E3/(8.314*(DZ99+273.15)) * AL99/DW99 * AK99) * DW99/(100*DK99) * (1000 - DT99)/1000</f>
        <v>0</v>
      </c>
      <c r="AI99">
        <v>1525.831536584621</v>
      </c>
      <c r="AJ99">
        <v>1523.870363636363</v>
      </c>
      <c r="AK99">
        <v>0.02713621773069543</v>
      </c>
      <c r="AL99">
        <v>65.62603669354939</v>
      </c>
      <c r="AM99">
        <f>(AO99 - AN99 + DX99*1E3/(8.314*(DZ99+273.15)) * AQ99/DW99 * AP99) * DW99/(100*DK99) * 1000/(1000 - AO99)</f>
        <v>0</v>
      </c>
      <c r="AN99">
        <v>16.86452</v>
      </c>
      <c r="AO99">
        <v>17.0075703030303</v>
      </c>
      <c r="AP99">
        <v>9.985182602596055E-06</v>
      </c>
      <c r="AQ99">
        <v>106.0444492018096</v>
      </c>
      <c r="AR99">
        <v>0</v>
      </c>
      <c r="AS99">
        <v>0</v>
      </c>
      <c r="AT99">
        <f>IF(AR99*$H$15&gt;=AV99,1.0,(AV99/(AV99-AR99*$H$15)))</f>
        <v>0</v>
      </c>
      <c r="AU99">
        <f>(AT99-1)*100</f>
        <v>0</v>
      </c>
      <c r="AV99">
        <f>MAX(0,($B$15+$C$15*EE99)/(1+$D$15*EE99)*DX99/(DZ99+273)*$E$15)</f>
        <v>0</v>
      </c>
      <c r="AW99" t="s">
        <v>437</v>
      </c>
      <c r="AX99" t="s">
        <v>437</v>
      </c>
      <c r="AY99">
        <v>0</v>
      </c>
      <c r="AZ99">
        <v>0</v>
      </c>
      <c r="BA99">
        <f>1-AY99/AZ99</f>
        <v>0</v>
      </c>
      <c r="BB99">
        <v>0</v>
      </c>
      <c r="BC99" t="s">
        <v>437</v>
      </c>
      <c r="BD99" t="s">
        <v>437</v>
      </c>
      <c r="BE99">
        <v>0</v>
      </c>
      <c r="BF99">
        <v>0</v>
      </c>
      <c r="BG99">
        <f>1-BE99/BF99</f>
        <v>0</v>
      </c>
      <c r="BH99">
        <v>0.5</v>
      </c>
      <c r="BI99">
        <f>DH99</f>
        <v>0</v>
      </c>
      <c r="BJ99">
        <f>K99</f>
        <v>0</v>
      </c>
      <c r="BK99">
        <f>BG99*BH99*BI99</f>
        <v>0</v>
      </c>
      <c r="BL99">
        <f>(BJ99-BB99)/BI99</f>
        <v>0</v>
      </c>
      <c r="BM99">
        <f>(AZ99-BF99)/BF99</f>
        <v>0</v>
      </c>
      <c r="BN99">
        <f>AY99/(BA99+AY99/BF99)</f>
        <v>0</v>
      </c>
      <c r="BO99" t="s">
        <v>437</v>
      </c>
      <c r="BP99">
        <v>0</v>
      </c>
      <c r="BQ99">
        <f>IF(BP99&lt;&gt;0, BP99, BN99)</f>
        <v>0</v>
      </c>
      <c r="BR99">
        <f>1-BQ99/BF99</f>
        <v>0</v>
      </c>
      <c r="BS99">
        <f>(BF99-BE99)/(BF99-BQ99)</f>
        <v>0</v>
      </c>
      <c r="BT99">
        <f>(AZ99-BF99)/(AZ99-BQ99)</f>
        <v>0</v>
      </c>
      <c r="BU99">
        <f>(BF99-BE99)/(BF99-AY99)</f>
        <v>0</v>
      </c>
      <c r="BV99">
        <f>(AZ99-BF99)/(AZ99-AY99)</f>
        <v>0</v>
      </c>
      <c r="BW99">
        <f>(BS99*BQ99/BE99)</f>
        <v>0</v>
      </c>
      <c r="BX99">
        <f>(1-BW99)</f>
        <v>0</v>
      </c>
      <c r="DG99">
        <f>$B$13*EF99+$C$13*EG99+$F$13*ER99*(1-EU99)</f>
        <v>0</v>
      </c>
      <c r="DH99">
        <f>DG99*DI99</f>
        <v>0</v>
      </c>
      <c r="DI99">
        <f>($B$13*$D$11+$C$13*$D$11+$F$13*((FE99+EW99)/MAX(FE99+EW99+FF99, 0.1)*$I$11+FF99/MAX(FE99+EW99+FF99, 0.1)*$J$11))/($B$13+$C$13+$F$13)</f>
        <v>0</v>
      </c>
      <c r="DJ99">
        <f>($B$13*$K$11+$C$13*$K$11+$F$13*((FE99+EW99)/MAX(FE99+EW99+FF99, 0.1)*$P$11+FF99/MAX(FE99+EW99+FF99, 0.1)*$Q$11))/($B$13+$C$13+$F$13)</f>
        <v>0</v>
      </c>
      <c r="DK99">
        <v>5.66</v>
      </c>
      <c r="DL99">
        <v>0.5</v>
      </c>
      <c r="DM99" t="s">
        <v>438</v>
      </c>
      <c r="DN99">
        <v>2</v>
      </c>
      <c r="DO99" t="b">
        <v>1</v>
      </c>
      <c r="DP99">
        <v>1765311010.25</v>
      </c>
      <c r="DQ99">
        <v>1497.954333333333</v>
      </c>
      <c r="DR99">
        <v>1499.997</v>
      </c>
      <c r="DS99">
        <v>17.00365333333334</v>
      </c>
      <c r="DT99">
        <v>16.86294666666667</v>
      </c>
      <c r="DU99">
        <v>1495.706333333333</v>
      </c>
      <c r="DV99">
        <v>16.93365333333334</v>
      </c>
      <c r="DW99">
        <v>500.0119333333334</v>
      </c>
      <c r="DX99">
        <v>89.82886333333336</v>
      </c>
      <c r="DY99">
        <v>0.09997678999999998</v>
      </c>
      <c r="DZ99">
        <v>24.34436</v>
      </c>
      <c r="EA99">
        <v>24.98928</v>
      </c>
      <c r="EB99">
        <v>999.9000000000002</v>
      </c>
      <c r="EC99">
        <v>0</v>
      </c>
      <c r="ED99">
        <v>0</v>
      </c>
      <c r="EE99">
        <v>10003.48066666667</v>
      </c>
      <c r="EF99">
        <v>0</v>
      </c>
      <c r="EG99">
        <v>9.714249999999998</v>
      </c>
      <c r="EH99">
        <v>-2.181586666666667</v>
      </c>
      <c r="EI99">
        <v>1523.728</v>
      </c>
      <c r="EJ99">
        <v>1525.725</v>
      </c>
      <c r="EK99">
        <v>0.1432598333333333</v>
      </c>
      <c r="EL99">
        <v>1499.997</v>
      </c>
      <c r="EM99">
        <v>16.86294666666667</v>
      </c>
      <c r="EN99">
        <v>1.527647</v>
      </c>
      <c r="EO99">
        <v>1.514778</v>
      </c>
      <c r="EP99">
        <v>13.24774</v>
      </c>
      <c r="EQ99">
        <v>13.11816</v>
      </c>
      <c r="ER99">
        <v>800.0079999999999</v>
      </c>
      <c r="ES99">
        <v>0.9500011333333334</v>
      </c>
      <c r="ET99">
        <v>0.04999861333333334</v>
      </c>
      <c r="EU99">
        <v>0</v>
      </c>
      <c r="EV99">
        <v>547.1939333333333</v>
      </c>
      <c r="EW99">
        <v>5.00078</v>
      </c>
      <c r="EX99">
        <v>4264.885333333334</v>
      </c>
      <c r="EY99">
        <v>6463.485666666668</v>
      </c>
      <c r="EZ99">
        <v>35.67899999999999</v>
      </c>
      <c r="FA99">
        <v>38.15393333333333</v>
      </c>
      <c r="FB99">
        <v>37.12879999999999</v>
      </c>
      <c r="FC99">
        <v>37.72479999999999</v>
      </c>
      <c r="FD99">
        <v>37.20806666666667</v>
      </c>
      <c r="FE99">
        <v>755.2573333333332</v>
      </c>
      <c r="FF99">
        <v>39.75</v>
      </c>
      <c r="FG99">
        <v>0</v>
      </c>
      <c r="FH99">
        <v>1765311017.3</v>
      </c>
      <c r="FI99">
        <v>0</v>
      </c>
      <c r="FJ99">
        <v>547.1630384615385</v>
      </c>
      <c r="FK99">
        <v>-4.575350443142845</v>
      </c>
      <c r="FL99">
        <v>-37.94188040325551</v>
      </c>
      <c r="FM99">
        <v>4264.642307692308</v>
      </c>
      <c r="FN99">
        <v>15</v>
      </c>
      <c r="FO99">
        <v>1765311043</v>
      </c>
      <c r="FP99" t="s">
        <v>690</v>
      </c>
      <c r="FQ99">
        <v>1765311043</v>
      </c>
      <c r="FR99">
        <v>1765311035</v>
      </c>
      <c r="FS99">
        <v>82</v>
      </c>
      <c r="FT99">
        <v>0.136</v>
      </c>
      <c r="FU99">
        <v>0</v>
      </c>
      <c r="FV99">
        <v>2.248</v>
      </c>
      <c r="FW99">
        <v>0.07000000000000001</v>
      </c>
      <c r="FX99">
        <v>1500</v>
      </c>
      <c r="FY99">
        <v>17</v>
      </c>
      <c r="FZ99">
        <v>0.95</v>
      </c>
      <c r="GA99">
        <v>0.1</v>
      </c>
      <c r="GB99">
        <v>-2.22063825</v>
      </c>
      <c r="GC99">
        <v>0.3961671669793698</v>
      </c>
      <c r="GD99">
        <v>0.09792544788989989</v>
      </c>
      <c r="GE99">
        <v>1</v>
      </c>
      <c r="GF99">
        <v>547.0911764705882</v>
      </c>
      <c r="GG99">
        <v>-0.2119786170000781</v>
      </c>
      <c r="GH99">
        <v>0.4449002843062417</v>
      </c>
      <c r="GI99">
        <v>1</v>
      </c>
      <c r="GJ99">
        <v>0.1444279</v>
      </c>
      <c r="GK99">
        <v>-0.01753828142589152</v>
      </c>
      <c r="GL99">
        <v>0.002008987889460761</v>
      </c>
      <c r="GM99">
        <v>1</v>
      </c>
      <c r="GN99">
        <v>3</v>
      </c>
      <c r="GO99">
        <v>3</v>
      </c>
      <c r="GP99" t="s">
        <v>440</v>
      </c>
      <c r="GQ99">
        <v>3.10822</v>
      </c>
      <c r="GR99">
        <v>2.79165</v>
      </c>
      <c r="GS99">
        <v>0.204662</v>
      </c>
      <c r="GT99">
        <v>0.205136</v>
      </c>
      <c r="GU99">
        <v>0.0843867</v>
      </c>
      <c r="GV99">
        <v>0.0846542</v>
      </c>
      <c r="GW99">
        <v>20853.5</v>
      </c>
      <c r="GX99">
        <v>18929.2</v>
      </c>
      <c r="GY99">
        <v>26777.2</v>
      </c>
      <c r="GZ99">
        <v>24021.6</v>
      </c>
      <c r="HA99">
        <v>39201.3</v>
      </c>
      <c r="HB99">
        <v>32470.9</v>
      </c>
      <c r="HC99">
        <v>46736.9</v>
      </c>
      <c r="HD99">
        <v>37995</v>
      </c>
      <c r="HE99">
        <v>1.88652</v>
      </c>
      <c r="HF99">
        <v>1.85063</v>
      </c>
      <c r="HG99">
        <v>0.0716075</v>
      </c>
      <c r="HH99">
        <v>0</v>
      </c>
      <c r="HI99">
        <v>23.8113</v>
      </c>
      <c r="HJ99">
        <v>999.9</v>
      </c>
      <c r="HK99">
        <v>39.6</v>
      </c>
      <c r="HL99">
        <v>31.4</v>
      </c>
      <c r="HM99">
        <v>20.3437</v>
      </c>
      <c r="HN99">
        <v>61.5675</v>
      </c>
      <c r="HO99">
        <v>27.6242</v>
      </c>
      <c r="HP99">
        <v>1</v>
      </c>
      <c r="HQ99">
        <v>0.0585442</v>
      </c>
      <c r="HR99">
        <v>1.14224</v>
      </c>
      <c r="HS99">
        <v>20.2905</v>
      </c>
      <c r="HT99">
        <v>5.22268</v>
      </c>
      <c r="HU99">
        <v>11.9785</v>
      </c>
      <c r="HV99">
        <v>4.9655</v>
      </c>
      <c r="HW99">
        <v>3.276</v>
      </c>
      <c r="HX99">
        <v>9999</v>
      </c>
      <c r="HY99">
        <v>9999</v>
      </c>
      <c r="HZ99">
        <v>9999</v>
      </c>
      <c r="IA99">
        <v>999.9</v>
      </c>
      <c r="IB99">
        <v>1.86387</v>
      </c>
      <c r="IC99">
        <v>1.86005</v>
      </c>
      <c r="ID99">
        <v>1.85836</v>
      </c>
      <c r="IE99">
        <v>1.85968</v>
      </c>
      <c r="IF99">
        <v>1.85986</v>
      </c>
      <c r="IG99">
        <v>1.85837</v>
      </c>
      <c r="IH99">
        <v>1.85738</v>
      </c>
      <c r="II99">
        <v>1.8524</v>
      </c>
      <c r="IJ99">
        <v>0</v>
      </c>
      <c r="IK99">
        <v>0</v>
      </c>
      <c r="IL99">
        <v>0</v>
      </c>
      <c r="IM99">
        <v>0</v>
      </c>
      <c r="IN99" t="s">
        <v>441</v>
      </c>
      <c r="IO99" t="s">
        <v>442</v>
      </c>
      <c r="IP99" t="s">
        <v>443</v>
      </c>
      <c r="IQ99" t="s">
        <v>443</v>
      </c>
      <c r="IR99" t="s">
        <v>443</v>
      </c>
      <c r="IS99" t="s">
        <v>443</v>
      </c>
      <c r="IT99">
        <v>0</v>
      </c>
      <c r="IU99">
        <v>100</v>
      </c>
      <c r="IV99">
        <v>100</v>
      </c>
      <c r="IW99">
        <v>2.248</v>
      </c>
      <c r="IX99">
        <v>0.07000000000000001</v>
      </c>
      <c r="IY99">
        <v>-0.05478440672576246</v>
      </c>
      <c r="IZ99">
        <v>0.0001583678016168383</v>
      </c>
      <c r="JA99">
        <v>1.526473431467286E-06</v>
      </c>
      <c r="JB99">
        <v>-4.446382740029455E-10</v>
      </c>
      <c r="JC99">
        <v>-0.03731846125805141</v>
      </c>
      <c r="JD99">
        <v>-0.009941991807247691</v>
      </c>
      <c r="JE99">
        <v>0.001256427533001032</v>
      </c>
      <c r="JF99">
        <v>-1.689728105039484E-05</v>
      </c>
      <c r="JG99">
        <v>2</v>
      </c>
      <c r="JH99">
        <v>1984</v>
      </c>
      <c r="JI99">
        <v>0</v>
      </c>
      <c r="JJ99">
        <v>25</v>
      </c>
      <c r="JK99">
        <v>1.4</v>
      </c>
      <c r="JL99">
        <v>1.5</v>
      </c>
      <c r="JM99">
        <v>3.16162</v>
      </c>
      <c r="JN99">
        <v>2.61475</v>
      </c>
      <c r="JO99">
        <v>1.49658</v>
      </c>
      <c r="JP99">
        <v>2.34619</v>
      </c>
      <c r="JQ99">
        <v>1.54907</v>
      </c>
      <c r="JR99">
        <v>2.37427</v>
      </c>
      <c r="JS99">
        <v>35.638</v>
      </c>
      <c r="JT99">
        <v>24.1313</v>
      </c>
      <c r="JU99">
        <v>18</v>
      </c>
      <c r="JV99">
        <v>481.208</v>
      </c>
      <c r="JW99">
        <v>487.074</v>
      </c>
      <c r="JX99">
        <v>22.8033</v>
      </c>
      <c r="JY99">
        <v>27.9156</v>
      </c>
      <c r="JZ99">
        <v>29.9999</v>
      </c>
      <c r="KA99">
        <v>28.1716</v>
      </c>
      <c r="KB99">
        <v>28.1728</v>
      </c>
      <c r="KC99">
        <v>63.4365</v>
      </c>
      <c r="KD99">
        <v>18.8157</v>
      </c>
      <c r="KE99">
        <v>33.9247</v>
      </c>
      <c r="KF99">
        <v>22.8098</v>
      </c>
      <c r="KG99">
        <v>1500</v>
      </c>
      <c r="KH99">
        <v>16.8335</v>
      </c>
      <c r="KI99">
        <v>102.204</v>
      </c>
      <c r="KJ99">
        <v>91.6388</v>
      </c>
    </row>
    <row r="100" spans="1:296">
      <c r="A100">
        <v>82</v>
      </c>
      <c r="B100">
        <v>1765311131.5</v>
      </c>
      <c r="C100">
        <v>13698.5</v>
      </c>
      <c r="D100" t="s">
        <v>691</v>
      </c>
      <c r="E100" t="s">
        <v>692</v>
      </c>
      <c r="F100">
        <v>5</v>
      </c>
      <c r="G100" t="s">
        <v>653</v>
      </c>
      <c r="H100">
        <v>1765311123.75</v>
      </c>
      <c r="I100">
        <f>(J100)/1000</f>
        <v>0</v>
      </c>
      <c r="J100">
        <f>IF(DO100, AM100, AG100)</f>
        <v>0</v>
      </c>
      <c r="K100">
        <f>IF(DO100, AH100, AF100)</f>
        <v>0</v>
      </c>
      <c r="L100">
        <f>DQ100 - IF(AT100&gt;1, K100*DK100*100.0/(AV100), 0)</f>
        <v>0</v>
      </c>
      <c r="M100">
        <f>((S100-I100/2)*L100-K100)/(S100+I100/2)</f>
        <v>0</v>
      </c>
      <c r="N100">
        <f>M100*(DX100+DY100)/1000.0</f>
        <v>0</v>
      </c>
      <c r="O100">
        <f>(DQ100 - IF(AT100&gt;1, K100*DK100*100.0/(AV100), 0))*(DX100+DY100)/1000.0</f>
        <v>0</v>
      </c>
      <c r="P100">
        <f>2.0/((1/R100-1/Q100)+SIGN(R100)*SQRT((1/R100-1/Q100)*(1/R100-1/Q100) + 4*DL100/((DL100+1)*(DL100+1))*(2*1/R100*1/Q100-1/Q100*1/Q100)))</f>
        <v>0</v>
      </c>
      <c r="Q100">
        <f>IF(LEFT(DM100,1)&lt;&gt;"0",IF(LEFT(DM100,1)="1",3.0,DN100),$D$5+$E$5*(EE100*DX100/($K$5*1000))+$F$5*(EE100*DX100/($K$5*1000))*MAX(MIN(DK100,$J$5),$I$5)*MAX(MIN(DK100,$J$5),$I$5)+$G$5*MAX(MIN(DK100,$J$5),$I$5)*(EE100*DX100/($K$5*1000))+$H$5*(EE100*DX100/($K$5*1000))*(EE100*DX100/($K$5*1000)))</f>
        <v>0</v>
      </c>
      <c r="R100">
        <f>I100*(1000-(1000*0.61365*exp(17.502*V100/(240.97+V100))/(DX100+DY100)+DS100)/2)/(1000*0.61365*exp(17.502*V100/(240.97+V100))/(DX100+DY100)-DS100)</f>
        <v>0</v>
      </c>
      <c r="S100">
        <f>1/((DL100+1)/(P100/1.6)+1/(Q100/1.37)) + DL100/((DL100+1)/(P100/1.6) + DL100/(Q100/1.37))</f>
        <v>0</v>
      </c>
      <c r="T100">
        <f>(DG100*DJ100)</f>
        <v>0</v>
      </c>
      <c r="U100">
        <f>(DZ100+(T100+2*0.95*5.67E-8*(((DZ100+$B$9)+273)^4-(DZ100+273)^4)-44100*I100)/(1.84*29.3*Q100+8*0.95*5.67E-8*(DZ100+273)^3))</f>
        <v>0</v>
      </c>
      <c r="V100">
        <f>($C$9*EA100+$D$9*EB100+$E$9*U100)</f>
        <v>0</v>
      </c>
      <c r="W100">
        <f>0.61365*exp(17.502*V100/(240.97+V100))</f>
        <v>0</v>
      </c>
      <c r="X100">
        <f>(Y100/Z100*100)</f>
        <v>0</v>
      </c>
      <c r="Y100">
        <f>DS100*(DX100+DY100)/1000</f>
        <v>0</v>
      </c>
      <c r="Z100">
        <f>0.61365*exp(17.502*DZ100/(240.97+DZ100))</f>
        <v>0</v>
      </c>
      <c r="AA100">
        <f>(W100-DS100*(DX100+DY100)/1000)</f>
        <v>0</v>
      </c>
      <c r="AB100">
        <f>(-I100*44100)</f>
        <v>0</v>
      </c>
      <c r="AC100">
        <f>2*29.3*Q100*0.92*(DZ100-V100)</f>
        <v>0</v>
      </c>
      <c r="AD100">
        <f>2*0.95*5.67E-8*(((DZ100+$B$9)+273)^4-(V100+273)^4)</f>
        <v>0</v>
      </c>
      <c r="AE100">
        <f>T100+AD100+AB100+AC100</f>
        <v>0</v>
      </c>
      <c r="AF100">
        <f>DW100*AT100*(DR100-DQ100*(1000-AT100*DT100)/(1000-AT100*DS100))/(100*DK100)</f>
        <v>0</v>
      </c>
      <c r="AG100">
        <f>1000*DW100*AT100*(DS100-DT100)/(100*DK100*(1000-AT100*DS100))</f>
        <v>0</v>
      </c>
      <c r="AH100">
        <f>(AI100 - AJ100 - DX100*1E3/(8.314*(DZ100+273.15)) * AL100/DW100 * AK100) * DW100/(100*DK100) * (1000 - DT100)/1000</f>
        <v>0</v>
      </c>
      <c r="AI100">
        <v>406.7766788764432</v>
      </c>
      <c r="AJ100">
        <v>407.1944484848486</v>
      </c>
      <c r="AK100">
        <v>-0.002080047759620383</v>
      </c>
      <c r="AL100">
        <v>64.96397331953358</v>
      </c>
      <c r="AM100">
        <f>(AO100 - AN100 + DX100*1E3/(8.314*(DZ100+273.15)) * AQ100/DW100 * AP100) * DW100/(100*DK100) * 1000/(1000 - AO100)</f>
        <v>0</v>
      </c>
      <c r="AN100">
        <v>16.82899878787878</v>
      </c>
      <c r="AO100">
        <v>16.9732903030303</v>
      </c>
      <c r="AP100">
        <v>1.603165046643481E-06</v>
      </c>
      <c r="AQ100">
        <v>103.2622144311196</v>
      </c>
      <c r="AR100">
        <v>0</v>
      </c>
      <c r="AS100">
        <v>0</v>
      </c>
      <c r="AT100">
        <f>IF(AR100*$H$15&gt;=AV100,1.0,(AV100/(AV100-AR100*$H$15)))</f>
        <v>0</v>
      </c>
      <c r="AU100">
        <f>(AT100-1)*100</f>
        <v>0</v>
      </c>
      <c r="AV100">
        <f>MAX(0,($B$15+$C$15*EE100)/(1+$D$15*EE100)*DX100/(DZ100+273)*$E$15)</f>
        <v>0</v>
      </c>
      <c r="AW100" t="s">
        <v>437</v>
      </c>
      <c r="AX100" t="s">
        <v>437</v>
      </c>
      <c r="AY100">
        <v>0</v>
      </c>
      <c r="AZ100">
        <v>0</v>
      </c>
      <c r="BA100">
        <f>1-AY100/AZ100</f>
        <v>0</v>
      </c>
      <c r="BB100">
        <v>0</v>
      </c>
      <c r="BC100" t="s">
        <v>437</v>
      </c>
      <c r="BD100" t="s">
        <v>437</v>
      </c>
      <c r="BE100">
        <v>0</v>
      </c>
      <c r="BF100">
        <v>0</v>
      </c>
      <c r="BG100">
        <f>1-BE100/BF100</f>
        <v>0</v>
      </c>
      <c r="BH100">
        <v>0.5</v>
      </c>
      <c r="BI100">
        <f>DH100</f>
        <v>0</v>
      </c>
      <c r="BJ100">
        <f>K100</f>
        <v>0</v>
      </c>
      <c r="BK100">
        <f>BG100*BH100*BI100</f>
        <v>0</v>
      </c>
      <c r="BL100">
        <f>(BJ100-BB100)/BI100</f>
        <v>0</v>
      </c>
      <c r="BM100">
        <f>(AZ100-BF100)/BF100</f>
        <v>0</v>
      </c>
      <c r="BN100">
        <f>AY100/(BA100+AY100/BF100)</f>
        <v>0</v>
      </c>
      <c r="BO100" t="s">
        <v>437</v>
      </c>
      <c r="BP100">
        <v>0</v>
      </c>
      <c r="BQ100">
        <f>IF(BP100&lt;&gt;0, BP100, BN100)</f>
        <v>0</v>
      </c>
      <c r="BR100">
        <f>1-BQ100/BF100</f>
        <v>0</v>
      </c>
      <c r="BS100">
        <f>(BF100-BE100)/(BF100-BQ100)</f>
        <v>0</v>
      </c>
      <c r="BT100">
        <f>(AZ100-BF100)/(AZ100-BQ100)</f>
        <v>0</v>
      </c>
      <c r="BU100">
        <f>(BF100-BE100)/(BF100-AY100)</f>
        <v>0</v>
      </c>
      <c r="BV100">
        <f>(AZ100-BF100)/(AZ100-AY100)</f>
        <v>0</v>
      </c>
      <c r="BW100">
        <f>(BS100*BQ100/BE100)</f>
        <v>0</v>
      </c>
      <c r="BX100">
        <f>(1-BW100)</f>
        <v>0</v>
      </c>
      <c r="DG100">
        <f>$B$13*EF100+$C$13*EG100+$F$13*ER100*(1-EU100)</f>
        <v>0</v>
      </c>
      <c r="DH100">
        <f>DG100*DI100</f>
        <v>0</v>
      </c>
      <c r="DI100">
        <f>($B$13*$D$11+$C$13*$D$11+$F$13*((FE100+EW100)/MAX(FE100+EW100+FF100, 0.1)*$I$11+FF100/MAX(FE100+EW100+FF100, 0.1)*$J$11))/($B$13+$C$13+$F$13)</f>
        <v>0</v>
      </c>
      <c r="DJ100">
        <f>($B$13*$K$11+$C$13*$K$11+$F$13*((FE100+EW100)/MAX(FE100+EW100+FF100, 0.1)*$P$11+FF100/MAX(FE100+EW100+FF100, 0.1)*$Q$11))/($B$13+$C$13+$F$13)</f>
        <v>0</v>
      </c>
      <c r="DK100">
        <v>5.66</v>
      </c>
      <c r="DL100">
        <v>0.5</v>
      </c>
      <c r="DM100" t="s">
        <v>438</v>
      </c>
      <c r="DN100">
        <v>2</v>
      </c>
      <c r="DO100" t="b">
        <v>1</v>
      </c>
      <c r="DP100">
        <v>1765311123.75</v>
      </c>
      <c r="DQ100">
        <v>400.0388333333332</v>
      </c>
      <c r="DR100">
        <v>399.9615666666667</v>
      </c>
      <c r="DS100">
        <v>16.97102666666667</v>
      </c>
      <c r="DT100">
        <v>16.83295</v>
      </c>
      <c r="DU100">
        <v>399.9668333333332</v>
      </c>
      <c r="DV100">
        <v>16.90302666666667</v>
      </c>
      <c r="DW100">
        <v>500.0207666666665</v>
      </c>
      <c r="DX100">
        <v>89.83195333333333</v>
      </c>
      <c r="DY100">
        <v>0.1000157633333333</v>
      </c>
      <c r="DZ100">
        <v>24.35763666666667</v>
      </c>
      <c r="EA100">
        <v>25.00067333333334</v>
      </c>
      <c r="EB100">
        <v>999.9000000000002</v>
      </c>
      <c r="EC100">
        <v>0</v>
      </c>
      <c r="ED100">
        <v>0</v>
      </c>
      <c r="EE100">
        <v>10001.62833333333</v>
      </c>
      <c r="EF100">
        <v>0</v>
      </c>
      <c r="EG100">
        <v>9.714249999999998</v>
      </c>
      <c r="EH100">
        <v>0.3645852999999999</v>
      </c>
      <c r="EI100">
        <v>407.2392666666667</v>
      </c>
      <c r="EJ100">
        <v>406.8094333333334</v>
      </c>
      <c r="EK100">
        <v>0.1425581666666667</v>
      </c>
      <c r="EL100">
        <v>399.9615666666667</v>
      </c>
      <c r="EM100">
        <v>16.83295</v>
      </c>
      <c r="EN100">
        <v>1.524944666666667</v>
      </c>
      <c r="EO100">
        <v>1.512137333333333</v>
      </c>
      <c r="EP100">
        <v>13.22058</v>
      </c>
      <c r="EQ100">
        <v>13.09145</v>
      </c>
      <c r="ER100">
        <v>800.0101666666666</v>
      </c>
      <c r="ES100">
        <v>0.9499990666666664</v>
      </c>
      <c r="ET100">
        <v>0.05000089333333334</v>
      </c>
      <c r="EU100">
        <v>0</v>
      </c>
      <c r="EV100">
        <v>547.4586999999999</v>
      </c>
      <c r="EW100">
        <v>5.00078</v>
      </c>
      <c r="EX100">
        <v>4278.450333333333</v>
      </c>
      <c r="EY100">
        <v>6463.497666666665</v>
      </c>
      <c r="EZ100">
        <v>36.3581</v>
      </c>
      <c r="FA100">
        <v>39.7477</v>
      </c>
      <c r="FB100">
        <v>38.56846666666666</v>
      </c>
      <c r="FC100">
        <v>39.60599999999999</v>
      </c>
      <c r="FD100">
        <v>38.60176666666666</v>
      </c>
      <c r="FE100">
        <v>755.2579999999998</v>
      </c>
      <c r="FF100">
        <v>39.75</v>
      </c>
      <c r="FG100">
        <v>0</v>
      </c>
      <c r="FH100">
        <v>1765311130.7</v>
      </c>
      <c r="FI100">
        <v>0</v>
      </c>
      <c r="FJ100">
        <v>547.45516</v>
      </c>
      <c r="FK100">
        <v>-1.053153840793752</v>
      </c>
      <c r="FL100">
        <v>6.037692282148991</v>
      </c>
      <c r="FM100">
        <v>4278.528</v>
      </c>
      <c r="FN100">
        <v>15</v>
      </c>
      <c r="FO100">
        <v>1765311147.5</v>
      </c>
      <c r="FP100" t="s">
        <v>693</v>
      </c>
      <c r="FQ100">
        <v>1765311143.5</v>
      </c>
      <c r="FR100">
        <v>1765311147.5</v>
      </c>
      <c r="FS100">
        <v>83</v>
      </c>
      <c r="FT100">
        <v>-0.287</v>
      </c>
      <c r="FU100">
        <v>-0.002</v>
      </c>
      <c r="FV100">
        <v>0.07199999999999999</v>
      </c>
      <c r="FW100">
        <v>0.068</v>
      </c>
      <c r="FX100">
        <v>400</v>
      </c>
      <c r="FY100">
        <v>17</v>
      </c>
      <c r="FZ100">
        <v>0.33</v>
      </c>
      <c r="GA100">
        <v>0.16</v>
      </c>
      <c r="GB100">
        <v>0.3959171463414635</v>
      </c>
      <c r="GC100">
        <v>-0.4737768710801386</v>
      </c>
      <c r="GD100">
        <v>0.06060537167473064</v>
      </c>
      <c r="GE100">
        <v>1</v>
      </c>
      <c r="GF100">
        <v>547.5072352941177</v>
      </c>
      <c r="GG100">
        <v>-0.6773414779481207</v>
      </c>
      <c r="GH100">
        <v>0.2250678405991711</v>
      </c>
      <c r="GI100">
        <v>1</v>
      </c>
      <c r="GJ100">
        <v>0.1423705609756098</v>
      </c>
      <c r="GK100">
        <v>0.004153505226481165</v>
      </c>
      <c r="GL100">
        <v>0.001046595480565683</v>
      </c>
      <c r="GM100">
        <v>1</v>
      </c>
      <c r="GN100">
        <v>3</v>
      </c>
      <c r="GO100">
        <v>3</v>
      </c>
      <c r="GP100" t="s">
        <v>440</v>
      </c>
      <c r="GQ100">
        <v>3.10807</v>
      </c>
      <c r="GR100">
        <v>2.79144</v>
      </c>
      <c r="GS100">
        <v>0.0843255</v>
      </c>
      <c r="GT100">
        <v>0.0843715</v>
      </c>
      <c r="GU100">
        <v>0.084263</v>
      </c>
      <c r="GV100">
        <v>0.0845297</v>
      </c>
      <c r="GW100">
        <v>24008.4</v>
      </c>
      <c r="GX100">
        <v>21805.4</v>
      </c>
      <c r="GY100">
        <v>26778.2</v>
      </c>
      <c r="GZ100">
        <v>24023</v>
      </c>
      <c r="HA100">
        <v>39193</v>
      </c>
      <c r="HB100">
        <v>32464.9</v>
      </c>
      <c r="HC100">
        <v>46738.5</v>
      </c>
      <c r="HD100">
        <v>37997.2</v>
      </c>
      <c r="HE100">
        <v>1.88603</v>
      </c>
      <c r="HF100">
        <v>1.8485</v>
      </c>
      <c r="HG100">
        <v>0.07198010000000001</v>
      </c>
      <c r="HH100">
        <v>0</v>
      </c>
      <c r="HI100">
        <v>23.8274</v>
      </c>
      <c r="HJ100">
        <v>999.9</v>
      </c>
      <c r="HK100">
        <v>39.6</v>
      </c>
      <c r="HL100">
        <v>31.4</v>
      </c>
      <c r="HM100">
        <v>20.3454</v>
      </c>
      <c r="HN100">
        <v>61.5475</v>
      </c>
      <c r="HO100">
        <v>27.7444</v>
      </c>
      <c r="HP100">
        <v>1</v>
      </c>
      <c r="HQ100">
        <v>0.0567683</v>
      </c>
      <c r="HR100">
        <v>1.15092</v>
      </c>
      <c r="HS100">
        <v>20.292</v>
      </c>
      <c r="HT100">
        <v>5.22208</v>
      </c>
      <c r="HU100">
        <v>11.9793</v>
      </c>
      <c r="HV100">
        <v>4.96495</v>
      </c>
      <c r="HW100">
        <v>3.276</v>
      </c>
      <c r="HX100">
        <v>9999</v>
      </c>
      <c r="HY100">
        <v>9999</v>
      </c>
      <c r="HZ100">
        <v>9999</v>
      </c>
      <c r="IA100">
        <v>999.9</v>
      </c>
      <c r="IB100">
        <v>1.86387</v>
      </c>
      <c r="IC100">
        <v>1.86005</v>
      </c>
      <c r="ID100">
        <v>1.85837</v>
      </c>
      <c r="IE100">
        <v>1.8597</v>
      </c>
      <c r="IF100">
        <v>1.85988</v>
      </c>
      <c r="IG100">
        <v>1.85837</v>
      </c>
      <c r="IH100">
        <v>1.85737</v>
      </c>
      <c r="II100">
        <v>1.85237</v>
      </c>
      <c r="IJ100">
        <v>0</v>
      </c>
      <c r="IK100">
        <v>0</v>
      </c>
      <c r="IL100">
        <v>0</v>
      </c>
      <c r="IM100">
        <v>0</v>
      </c>
      <c r="IN100" t="s">
        <v>441</v>
      </c>
      <c r="IO100" t="s">
        <v>442</v>
      </c>
      <c r="IP100" t="s">
        <v>443</v>
      </c>
      <c r="IQ100" t="s">
        <v>443</v>
      </c>
      <c r="IR100" t="s">
        <v>443</v>
      </c>
      <c r="IS100" t="s">
        <v>443</v>
      </c>
      <c r="IT100">
        <v>0</v>
      </c>
      <c r="IU100">
        <v>100</v>
      </c>
      <c r="IV100">
        <v>100</v>
      </c>
      <c r="IW100">
        <v>0.07199999999999999</v>
      </c>
      <c r="IX100">
        <v>0.068</v>
      </c>
      <c r="IY100">
        <v>0.08030503413905665</v>
      </c>
      <c r="IZ100">
        <v>0.0001583678016168383</v>
      </c>
      <c r="JA100">
        <v>1.526473431467286E-06</v>
      </c>
      <c r="JB100">
        <v>-4.446382740029455E-10</v>
      </c>
      <c r="JC100">
        <v>-0.03683138713938396</v>
      </c>
      <c r="JD100">
        <v>-0.009941991807247691</v>
      </c>
      <c r="JE100">
        <v>0.001256427533001032</v>
      </c>
      <c r="JF100">
        <v>-1.689728105039484E-05</v>
      </c>
      <c r="JG100">
        <v>2</v>
      </c>
      <c r="JH100">
        <v>1984</v>
      </c>
      <c r="JI100">
        <v>0</v>
      </c>
      <c r="JJ100">
        <v>25</v>
      </c>
      <c r="JK100">
        <v>1.5</v>
      </c>
      <c r="JL100">
        <v>1.6</v>
      </c>
      <c r="JM100">
        <v>1.09009</v>
      </c>
      <c r="JN100">
        <v>2.61841</v>
      </c>
      <c r="JO100">
        <v>1.49658</v>
      </c>
      <c r="JP100">
        <v>2.34619</v>
      </c>
      <c r="JQ100">
        <v>1.54907</v>
      </c>
      <c r="JR100">
        <v>2.36572</v>
      </c>
      <c r="JS100">
        <v>35.638</v>
      </c>
      <c r="JT100">
        <v>24.1313</v>
      </c>
      <c r="JU100">
        <v>18</v>
      </c>
      <c r="JV100">
        <v>480.846</v>
      </c>
      <c r="JW100">
        <v>485.639</v>
      </c>
      <c r="JX100">
        <v>22.8407</v>
      </c>
      <c r="JY100">
        <v>27.8989</v>
      </c>
      <c r="JZ100">
        <v>30</v>
      </c>
      <c r="KA100">
        <v>28.162</v>
      </c>
      <c r="KB100">
        <v>28.1663</v>
      </c>
      <c r="KC100">
        <v>21.919</v>
      </c>
      <c r="KD100">
        <v>17.9481</v>
      </c>
      <c r="KE100">
        <v>33.9247</v>
      </c>
      <c r="KF100">
        <v>22.8406</v>
      </c>
      <c r="KG100">
        <v>400</v>
      </c>
      <c r="KH100">
        <v>16.8914</v>
      </c>
      <c r="KI100">
        <v>102.208</v>
      </c>
      <c r="KJ100">
        <v>91.6442</v>
      </c>
    </row>
    <row r="101" spans="1:296">
      <c r="A101">
        <v>83</v>
      </c>
      <c r="B101">
        <v>1765311891.6</v>
      </c>
      <c r="C101">
        <v>14458.59999990463</v>
      </c>
      <c r="D101" t="s">
        <v>694</v>
      </c>
      <c r="E101" t="s">
        <v>695</v>
      </c>
      <c r="F101">
        <v>5</v>
      </c>
      <c r="G101" t="s">
        <v>696</v>
      </c>
      <c r="H101">
        <v>1765311883.849999</v>
      </c>
      <c r="I101">
        <f>(J101)/1000</f>
        <v>0</v>
      </c>
      <c r="J101">
        <f>IF(DO101, AM101, AG101)</f>
        <v>0</v>
      </c>
      <c r="K101">
        <f>IF(DO101, AH101, AF101)</f>
        <v>0</v>
      </c>
      <c r="L101">
        <f>DQ101 - IF(AT101&gt;1, K101*DK101*100.0/(AV101), 0)</f>
        <v>0</v>
      </c>
      <c r="M101">
        <f>((S101-I101/2)*L101-K101)/(S101+I101/2)</f>
        <v>0</v>
      </c>
      <c r="N101">
        <f>M101*(DX101+DY101)/1000.0</f>
        <v>0</v>
      </c>
      <c r="O101">
        <f>(DQ101 - IF(AT101&gt;1, K101*DK101*100.0/(AV101), 0))*(DX101+DY101)/1000.0</f>
        <v>0</v>
      </c>
      <c r="P101">
        <f>2.0/((1/R101-1/Q101)+SIGN(R101)*SQRT((1/R101-1/Q101)*(1/R101-1/Q101) + 4*DL101/((DL101+1)*(DL101+1))*(2*1/R101*1/Q101-1/Q101*1/Q101)))</f>
        <v>0</v>
      </c>
      <c r="Q101">
        <f>IF(LEFT(DM101,1)&lt;&gt;"0",IF(LEFT(DM101,1)="1",3.0,DN101),$D$5+$E$5*(EE101*DX101/($K$5*1000))+$F$5*(EE101*DX101/($K$5*1000))*MAX(MIN(DK101,$J$5),$I$5)*MAX(MIN(DK101,$J$5),$I$5)+$G$5*MAX(MIN(DK101,$J$5),$I$5)*(EE101*DX101/($K$5*1000))+$H$5*(EE101*DX101/($K$5*1000))*(EE101*DX101/($K$5*1000)))</f>
        <v>0</v>
      </c>
      <c r="R101">
        <f>I101*(1000-(1000*0.61365*exp(17.502*V101/(240.97+V101))/(DX101+DY101)+DS101)/2)/(1000*0.61365*exp(17.502*V101/(240.97+V101))/(DX101+DY101)-DS101)</f>
        <v>0</v>
      </c>
      <c r="S101">
        <f>1/((DL101+1)/(P101/1.6)+1/(Q101/1.37)) + DL101/((DL101+1)/(P101/1.6) + DL101/(Q101/1.37))</f>
        <v>0</v>
      </c>
      <c r="T101">
        <f>(DG101*DJ101)</f>
        <v>0</v>
      </c>
      <c r="U101">
        <f>(DZ101+(T101+2*0.95*5.67E-8*(((DZ101+$B$9)+273)^4-(DZ101+273)^4)-44100*I101)/(1.84*29.3*Q101+8*0.95*5.67E-8*(DZ101+273)^3))</f>
        <v>0</v>
      </c>
      <c r="V101">
        <f>($C$9*EA101+$D$9*EB101+$E$9*U101)</f>
        <v>0</v>
      </c>
      <c r="W101">
        <f>0.61365*exp(17.502*V101/(240.97+V101))</f>
        <v>0</v>
      </c>
      <c r="X101">
        <f>(Y101/Z101*100)</f>
        <v>0</v>
      </c>
      <c r="Y101">
        <f>DS101*(DX101+DY101)/1000</f>
        <v>0</v>
      </c>
      <c r="Z101">
        <f>0.61365*exp(17.502*DZ101/(240.97+DZ101))</f>
        <v>0</v>
      </c>
      <c r="AA101">
        <f>(W101-DS101*(DX101+DY101)/1000)</f>
        <v>0</v>
      </c>
      <c r="AB101">
        <f>(-I101*44100)</f>
        <v>0</v>
      </c>
      <c r="AC101">
        <f>2*29.3*Q101*0.92*(DZ101-V101)</f>
        <v>0</v>
      </c>
      <c r="AD101">
        <f>2*0.95*5.67E-8*(((DZ101+$B$9)+273)^4-(V101+273)^4)</f>
        <v>0</v>
      </c>
      <c r="AE101">
        <f>T101+AD101+AB101+AC101</f>
        <v>0</v>
      </c>
      <c r="AF101">
        <f>DW101*AT101*(DR101-DQ101*(1000-AT101*DT101)/(1000-AT101*DS101))/(100*DK101)</f>
        <v>0</v>
      </c>
      <c r="AG101">
        <f>1000*DW101*AT101*(DS101-DT101)/(100*DK101*(1000-AT101*DS101))</f>
        <v>0</v>
      </c>
      <c r="AH101">
        <f>(AI101 - AJ101 - DX101*1E3/(8.314*(DZ101+273.15)) * AL101/DW101 * AK101) * DW101/(100*DK101) * (1000 - DT101)/1000</f>
        <v>0</v>
      </c>
      <c r="AI101">
        <v>407.0785270995671</v>
      </c>
      <c r="AJ101">
        <v>407.1815515151514</v>
      </c>
      <c r="AK101">
        <v>-3.37841116603464E-05</v>
      </c>
      <c r="AL101">
        <v>65.87</v>
      </c>
      <c r="AM101">
        <f>(AO101 - AN101 + DX101*1E3/(8.314*(DZ101+273.15)) * AQ101/DW101 * AP101) * DW101/(100*DK101) * 1000/(1000 - AO101)</f>
        <v>0</v>
      </c>
      <c r="AN101">
        <v>17.43884186561331</v>
      </c>
      <c r="AO101">
        <v>17.51943566433568</v>
      </c>
      <c r="AP101">
        <v>3.3287074880986E-06</v>
      </c>
      <c r="AQ101">
        <v>109.4870492424195</v>
      </c>
      <c r="AR101">
        <v>36</v>
      </c>
      <c r="AS101">
        <v>7</v>
      </c>
      <c r="AT101">
        <f>IF(AR101*$H$15&gt;=AV101,1.0,(AV101/(AV101-AR101*$H$15)))</f>
        <v>0</v>
      </c>
      <c r="AU101">
        <f>(AT101-1)*100</f>
        <v>0</v>
      </c>
      <c r="AV101">
        <f>MAX(0,($B$15+$C$15*EE101)/(1+$D$15*EE101)*DX101/(DZ101+273)*$E$15)</f>
        <v>0</v>
      </c>
      <c r="AW101" t="s">
        <v>437</v>
      </c>
      <c r="AX101" t="s">
        <v>437</v>
      </c>
      <c r="AY101">
        <v>0</v>
      </c>
      <c r="AZ101">
        <v>0</v>
      </c>
      <c r="BA101">
        <f>1-AY101/AZ101</f>
        <v>0</v>
      </c>
      <c r="BB101">
        <v>0</v>
      </c>
      <c r="BC101" t="s">
        <v>437</v>
      </c>
      <c r="BD101" t="s">
        <v>437</v>
      </c>
      <c r="BE101">
        <v>0</v>
      </c>
      <c r="BF101">
        <v>0</v>
      </c>
      <c r="BG101">
        <f>1-BE101/BF101</f>
        <v>0</v>
      </c>
      <c r="BH101">
        <v>0.5</v>
      </c>
      <c r="BI101">
        <f>DH101</f>
        <v>0</v>
      </c>
      <c r="BJ101">
        <f>K101</f>
        <v>0</v>
      </c>
      <c r="BK101">
        <f>BG101*BH101*BI101</f>
        <v>0</v>
      </c>
      <c r="BL101">
        <f>(BJ101-BB101)/BI101</f>
        <v>0</v>
      </c>
      <c r="BM101">
        <f>(AZ101-BF101)/BF101</f>
        <v>0</v>
      </c>
      <c r="BN101">
        <f>AY101/(BA101+AY101/BF101)</f>
        <v>0</v>
      </c>
      <c r="BO101" t="s">
        <v>437</v>
      </c>
      <c r="BP101">
        <v>0</v>
      </c>
      <c r="BQ101">
        <f>IF(BP101&lt;&gt;0, BP101, BN101)</f>
        <v>0</v>
      </c>
      <c r="BR101">
        <f>1-BQ101/BF101</f>
        <v>0</v>
      </c>
      <c r="BS101">
        <f>(BF101-BE101)/(BF101-BQ101)</f>
        <v>0</v>
      </c>
      <c r="BT101">
        <f>(AZ101-BF101)/(AZ101-BQ101)</f>
        <v>0</v>
      </c>
      <c r="BU101">
        <f>(BF101-BE101)/(BF101-AY101)</f>
        <v>0</v>
      </c>
      <c r="BV101">
        <f>(AZ101-BF101)/(AZ101-AY101)</f>
        <v>0</v>
      </c>
      <c r="BW101">
        <f>(BS101*BQ101/BE101)</f>
        <v>0</v>
      </c>
      <c r="BX101">
        <f>(1-BW101)</f>
        <v>0</v>
      </c>
      <c r="DG101">
        <f>$B$13*EF101+$C$13*EG101+$F$13*ER101*(1-EU101)</f>
        <v>0</v>
      </c>
      <c r="DH101">
        <f>DG101*DI101</f>
        <v>0</v>
      </c>
      <c r="DI101">
        <f>($B$13*$D$11+$C$13*$D$11+$F$13*((FE101+EW101)/MAX(FE101+EW101+FF101, 0.1)*$I$11+FF101/MAX(FE101+EW101+FF101, 0.1)*$J$11))/($B$13+$C$13+$F$13)</f>
        <v>0</v>
      </c>
      <c r="DJ101">
        <f>($B$13*$K$11+$C$13*$K$11+$F$13*((FE101+EW101)/MAX(FE101+EW101+FF101, 0.1)*$P$11+FF101/MAX(FE101+EW101+FF101, 0.1)*$Q$11))/($B$13+$C$13+$F$13)</f>
        <v>0</v>
      </c>
      <c r="DK101">
        <v>5.66</v>
      </c>
      <c r="DL101">
        <v>0.5</v>
      </c>
      <c r="DM101" t="s">
        <v>438</v>
      </c>
      <c r="DN101">
        <v>2</v>
      </c>
      <c r="DO101" t="b">
        <v>1</v>
      </c>
      <c r="DP101">
        <v>1765311883.849999</v>
      </c>
      <c r="DQ101">
        <v>400.0376333333334</v>
      </c>
      <c r="DR101">
        <v>400.0100666666667</v>
      </c>
      <c r="DS101">
        <v>17.51727666666666</v>
      </c>
      <c r="DT101">
        <v>17.44046333333333</v>
      </c>
      <c r="DU101">
        <v>399.9936333333334</v>
      </c>
      <c r="DV101">
        <v>17.43927666666666</v>
      </c>
      <c r="DW101">
        <v>499.9992666666666</v>
      </c>
      <c r="DX101">
        <v>89.79244333333331</v>
      </c>
      <c r="DY101">
        <v>0.1000059233333333</v>
      </c>
      <c r="DZ101">
        <v>24.85300666666667</v>
      </c>
      <c r="EA101">
        <v>24.98883</v>
      </c>
      <c r="EB101">
        <v>999.9000000000002</v>
      </c>
      <c r="EC101">
        <v>0</v>
      </c>
      <c r="ED101">
        <v>0</v>
      </c>
      <c r="EE101">
        <v>9998.751666666669</v>
      </c>
      <c r="EF101">
        <v>0</v>
      </c>
      <c r="EG101">
        <v>9.714249999999998</v>
      </c>
      <c r="EH101">
        <v>0.05540262333333333</v>
      </c>
      <c r="EI101">
        <v>407.1995666666667</v>
      </c>
      <c r="EJ101">
        <v>407.1104666666667</v>
      </c>
      <c r="EK101">
        <v>0.07940196999999999</v>
      </c>
      <c r="EL101">
        <v>400.0100666666667</v>
      </c>
      <c r="EM101">
        <v>17.44046333333333</v>
      </c>
      <c r="EN101">
        <v>1.573152</v>
      </c>
      <c r="EO101">
        <v>1.566023</v>
      </c>
      <c r="EP101">
        <v>13.69830666666666</v>
      </c>
      <c r="EQ101">
        <v>13.62847333333334</v>
      </c>
      <c r="ER101">
        <v>799.9811333333333</v>
      </c>
      <c r="ES101">
        <v>0.9499834666666666</v>
      </c>
      <c r="ET101">
        <v>0.05001643999999999</v>
      </c>
      <c r="EU101">
        <v>0</v>
      </c>
      <c r="EV101">
        <v>823.7289666666667</v>
      </c>
      <c r="EW101">
        <v>5.00078</v>
      </c>
      <c r="EX101">
        <v>6201.688666666667</v>
      </c>
      <c r="EY101">
        <v>6463.228333333333</v>
      </c>
      <c r="EZ101">
        <v>36.63719999999999</v>
      </c>
      <c r="FA101">
        <v>38.97473333333333</v>
      </c>
      <c r="FB101">
        <v>38.33299999999998</v>
      </c>
      <c r="FC101">
        <v>38.77893333333332</v>
      </c>
      <c r="FD101">
        <v>38.21226666666666</v>
      </c>
      <c r="FE101">
        <v>755.2186666666669</v>
      </c>
      <c r="FF101">
        <v>39.76</v>
      </c>
      <c r="FG101">
        <v>0</v>
      </c>
      <c r="FH101">
        <v>1765311890.9</v>
      </c>
      <c r="FI101">
        <v>0</v>
      </c>
      <c r="FJ101">
        <v>823.7186538461539</v>
      </c>
      <c r="FK101">
        <v>-3.074769238593595</v>
      </c>
      <c r="FL101">
        <v>-34.98256405762747</v>
      </c>
      <c r="FM101">
        <v>6201.811538461538</v>
      </c>
      <c r="FN101">
        <v>15</v>
      </c>
      <c r="FO101">
        <v>1765311914.6</v>
      </c>
      <c r="FP101" t="s">
        <v>697</v>
      </c>
      <c r="FQ101">
        <v>1765311907.1</v>
      </c>
      <c r="FR101">
        <v>1765311914.6</v>
      </c>
      <c r="FS101">
        <v>84</v>
      </c>
      <c r="FT101">
        <v>-0.028</v>
      </c>
      <c r="FU101">
        <v>-0.001</v>
      </c>
      <c r="FV101">
        <v>0.044</v>
      </c>
      <c r="FW101">
        <v>0.078</v>
      </c>
      <c r="FX101">
        <v>400</v>
      </c>
      <c r="FY101">
        <v>17</v>
      </c>
      <c r="FZ101">
        <v>0.47</v>
      </c>
      <c r="GA101">
        <v>0.28</v>
      </c>
      <c r="GB101">
        <v>0.06432139024390243</v>
      </c>
      <c r="GC101">
        <v>-0.05034777700348427</v>
      </c>
      <c r="GD101">
        <v>0.0284239993866211</v>
      </c>
      <c r="GE101">
        <v>1</v>
      </c>
      <c r="GF101">
        <v>823.8766176470588</v>
      </c>
      <c r="GG101">
        <v>-3.14155844587527</v>
      </c>
      <c r="GH101">
        <v>0.3478401437024415</v>
      </c>
      <c r="GI101">
        <v>0</v>
      </c>
      <c r="GJ101">
        <v>0.0787427</v>
      </c>
      <c r="GK101">
        <v>0.01463666550522649</v>
      </c>
      <c r="GL101">
        <v>0.001683378035452495</v>
      </c>
      <c r="GM101">
        <v>1</v>
      </c>
      <c r="GN101">
        <v>2</v>
      </c>
      <c r="GO101">
        <v>3</v>
      </c>
      <c r="GP101" t="s">
        <v>453</v>
      </c>
      <c r="GQ101">
        <v>3.1084</v>
      </c>
      <c r="GR101">
        <v>2.79174</v>
      </c>
      <c r="GS101">
        <v>0.08432969999999999</v>
      </c>
      <c r="GT101">
        <v>0.0843709</v>
      </c>
      <c r="GU101">
        <v>0.0862028</v>
      </c>
      <c r="GV101">
        <v>0.08672779999999999</v>
      </c>
      <c r="GW101">
        <v>24012.3</v>
      </c>
      <c r="GX101">
        <v>21806.7</v>
      </c>
      <c r="GY101">
        <v>26782.2</v>
      </c>
      <c r="GZ101">
        <v>24023.8</v>
      </c>
      <c r="HA101">
        <v>39115.2</v>
      </c>
      <c r="HB101">
        <v>32385.6</v>
      </c>
      <c r="HC101">
        <v>46746.1</v>
      </c>
      <c r="HD101">
        <v>37996.3</v>
      </c>
      <c r="HE101">
        <v>1.81043</v>
      </c>
      <c r="HF101">
        <v>1.85142</v>
      </c>
      <c r="HG101">
        <v>0.0683218</v>
      </c>
      <c r="HH101">
        <v>0</v>
      </c>
      <c r="HI101">
        <v>23.8655</v>
      </c>
      <c r="HJ101">
        <v>999.9</v>
      </c>
      <c r="HK101">
        <v>40.3</v>
      </c>
      <c r="HL101">
        <v>31.4</v>
      </c>
      <c r="HM101">
        <v>20.713</v>
      </c>
      <c r="HN101">
        <v>61.3467</v>
      </c>
      <c r="HO101">
        <v>27.512</v>
      </c>
      <c r="HP101">
        <v>1</v>
      </c>
      <c r="HQ101">
        <v>0.0458384</v>
      </c>
      <c r="HR101">
        <v>0.895242</v>
      </c>
      <c r="HS101">
        <v>20.2917</v>
      </c>
      <c r="HT101">
        <v>5.22043</v>
      </c>
      <c r="HU101">
        <v>11.9791</v>
      </c>
      <c r="HV101">
        <v>4.96505</v>
      </c>
      <c r="HW101">
        <v>3.2759</v>
      </c>
      <c r="HX101">
        <v>9999</v>
      </c>
      <c r="HY101">
        <v>9999</v>
      </c>
      <c r="HZ101">
        <v>9999</v>
      </c>
      <c r="IA101">
        <v>999.9</v>
      </c>
      <c r="IB101">
        <v>1.86387</v>
      </c>
      <c r="IC101">
        <v>1.86005</v>
      </c>
      <c r="ID101">
        <v>1.85838</v>
      </c>
      <c r="IE101">
        <v>1.8597</v>
      </c>
      <c r="IF101">
        <v>1.85988</v>
      </c>
      <c r="IG101">
        <v>1.85835</v>
      </c>
      <c r="IH101">
        <v>1.85743</v>
      </c>
      <c r="II101">
        <v>1.85239</v>
      </c>
      <c r="IJ101">
        <v>0</v>
      </c>
      <c r="IK101">
        <v>0</v>
      </c>
      <c r="IL101">
        <v>0</v>
      </c>
      <c r="IM101">
        <v>0</v>
      </c>
      <c r="IN101" t="s">
        <v>441</v>
      </c>
      <c r="IO101" t="s">
        <v>442</v>
      </c>
      <c r="IP101" t="s">
        <v>443</v>
      </c>
      <c r="IQ101" t="s">
        <v>443</v>
      </c>
      <c r="IR101" t="s">
        <v>443</v>
      </c>
      <c r="IS101" t="s">
        <v>443</v>
      </c>
      <c r="IT101">
        <v>0</v>
      </c>
      <c r="IU101">
        <v>100</v>
      </c>
      <c r="IV101">
        <v>100</v>
      </c>
      <c r="IW101">
        <v>0.044</v>
      </c>
      <c r="IX101">
        <v>0.078</v>
      </c>
      <c r="IY101">
        <v>-0.2071771810847651</v>
      </c>
      <c r="IZ101">
        <v>0.0001583678016168383</v>
      </c>
      <c r="JA101">
        <v>1.526473431467286E-06</v>
      </c>
      <c r="JB101">
        <v>-4.446382740029455E-10</v>
      </c>
      <c r="JC101">
        <v>-0.03851495099315656</v>
      </c>
      <c r="JD101">
        <v>-0.009941991807247691</v>
      </c>
      <c r="JE101">
        <v>0.001256427533001032</v>
      </c>
      <c r="JF101">
        <v>-1.689728105039484E-05</v>
      </c>
      <c r="JG101">
        <v>2</v>
      </c>
      <c r="JH101">
        <v>1984</v>
      </c>
      <c r="JI101">
        <v>0</v>
      </c>
      <c r="JJ101">
        <v>25</v>
      </c>
      <c r="JK101">
        <v>12.5</v>
      </c>
      <c r="JL101">
        <v>12.4</v>
      </c>
      <c r="JM101">
        <v>1.09131</v>
      </c>
      <c r="JN101">
        <v>2.61353</v>
      </c>
      <c r="JO101">
        <v>1.49658</v>
      </c>
      <c r="JP101">
        <v>2.34619</v>
      </c>
      <c r="JQ101">
        <v>1.54907</v>
      </c>
      <c r="JR101">
        <v>2.45728</v>
      </c>
      <c r="JS101">
        <v>35.638</v>
      </c>
      <c r="JT101">
        <v>24.1313</v>
      </c>
      <c r="JU101">
        <v>18</v>
      </c>
      <c r="JV101">
        <v>437.857</v>
      </c>
      <c r="JW101">
        <v>486.561</v>
      </c>
      <c r="JX101">
        <v>23.2837</v>
      </c>
      <c r="JY101">
        <v>27.7593</v>
      </c>
      <c r="JZ101">
        <v>30</v>
      </c>
      <c r="KA101">
        <v>28.0427</v>
      </c>
      <c r="KB101">
        <v>28.0493</v>
      </c>
      <c r="KC101">
        <v>21.9509</v>
      </c>
      <c r="KD101">
        <v>17.0302</v>
      </c>
      <c r="KE101">
        <v>37.6122</v>
      </c>
      <c r="KF101">
        <v>23.2832</v>
      </c>
      <c r="KG101">
        <v>400</v>
      </c>
      <c r="KH101">
        <v>17.4502</v>
      </c>
      <c r="KI101">
        <v>102.224</v>
      </c>
      <c r="KJ101">
        <v>91.64400000000001</v>
      </c>
    </row>
    <row r="102" spans="1:296">
      <c r="A102">
        <v>84</v>
      </c>
      <c r="B102">
        <v>1765312005.6</v>
      </c>
      <c r="C102">
        <v>14572.59999990463</v>
      </c>
      <c r="D102" t="s">
        <v>698</v>
      </c>
      <c r="E102" t="s">
        <v>699</v>
      </c>
      <c r="F102">
        <v>5</v>
      </c>
      <c r="G102" t="s">
        <v>696</v>
      </c>
      <c r="H102">
        <v>1765311997.599999</v>
      </c>
      <c r="I102">
        <f>(J102)/1000</f>
        <v>0</v>
      </c>
      <c r="J102">
        <f>IF(DO102, AM102, AG102)</f>
        <v>0</v>
      </c>
      <c r="K102">
        <f>IF(DO102, AH102, AF102)</f>
        <v>0</v>
      </c>
      <c r="L102">
        <f>DQ102 - IF(AT102&gt;1, K102*DK102*100.0/(AV102), 0)</f>
        <v>0</v>
      </c>
      <c r="M102">
        <f>((S102-I102/2)*L102-K102)/(S102+I102/2)</f>
        <v>0</v>
      </c>
      <c r="N102">
        <f>M102*(DX102+DY102)/1000.0</f>
        <v>0</v>
      </c>
      <c r="O102">
        <f>(DQ102 - IF(AT102&gt;1, K102*DK102*100.0/(AV102), 0))*(DX102+DY102)/1000.0</f>
        <v>0</v>
      </c>
      <c r="P102">
        <f>2.0/((1/R102-1/Q102)+SIGN(R102)*SQRT((1/R102-1/Q102)*(1/R102-1/Q102) + 4*DL102/((DL102+1)*(DL102+1))*(2*1/R102*1/Q102-1/Q102*1/Q102)))</f>
        <v>0</v>
      </c>
      <c r="Q102">
        <f>IF(LEFT(DM102,1)&lt;&gt;"0",IF(LEFT(DM102,1)="1",3.0,DN102),$D$5+$E$5*(EE102*DX102/($K$5*1000))+$F$5*(EE102*DX102/($K$5*1000))*MAX(MIN(DK102,$J$5),$I$5)*MAX(MIN(DK102,$J$5),$I$5)+$G$5*MAX(MIN(DK102,$J$5),$I$5)*(EE102*DX102/($K$5*1000))+$H$5*(EE102*DX102/($K$5*1000))*(EE102*DX102/($K$5*1000)))</f>
        <v>0</v>
      </c>
      <c r="R102">
        <f>I102*(1000-(1000*0.61365*exp(17.502*V102/(240.97+V102))/(DX102+DY102)+DS102)/2)/(1000*0.61365*exp(17.502*V102/(240.97+V102))/(DX102+DY102)-DS102)</f>
        <v>0</v>
      </c>
      <c r="S102">
        <f>1/((DL102+1)/(P102/1.6)+1/(Q102/1.37)) + DL102/((DL102+1)/(P102/1.6) + DL102/(Q102/1.37))</f>
        <v>0</v>
      </c>
      <c r="T102">
        <f>(DG102*DJ102)</f>
        <v>0</v>
      </c>
      <c r="U102">
        <f>(DZ102+(T102+2*0.95*5.67E-8*(((DZ102+$B$9)+273)^4-(DZ102+273)^4)-44100*I102)/(1.84*29.3*Q102+8*0.95*5.67E-8*(DZ102+273)^3))</f>
        <v>0</v>
      </c>
      <c r="V102">
        <f>($C$9*EA102+$D$9*EB102+$E$9*U102)</f>
        <v>0</v>
      </c>
      <c r="W102">
        <f>0.61365*exp(17.502*V102/(240.97+V102))</f>
        <v>0</v>
      </c>
      <c r="X102">
        <f>(Y102/Z102*100)</f>
        <v>0</v>
      </c>
      <c r="Y102">
        <f>DS102*(DX102+DY102)/1000</f>
        <v>0</v>
      </c>
      <c r="Z102">
        <f>0.61365*exp(17.502*DZ102/(240.97+DZ102))</f>
        <v>0</v>
      </c>
      <c r="AA102">
        <f>(W102-DS102*(DX102+DY102)/1000)</f>
        <v>0</v>
      </c>
      <c r="AB102">
        <f>(-I102*44100)</f>
        <v>0</v>
      </c>
      <c r="AC102">
        <f>2*29.3*Q102*0.92*(DZ102-V102)</f>
        <v>0</v>
      </c>
      <c r="AD102">
        <f>2*0.95*5.67E-8*(((DZ102+$B$9)+273)^4-(V102+273)^4)</f>
        <v>0</v>
      </c>
      <c r="AE102">
        <f>T102+AD102+AB102+AC102</f>
        <v>0</v>
      </c>
      <c r="AF102">
        <f>DW102*AT102*(DR102-DQ102*(1000-AT102*DT102)/(1000-AT102*DS102))/(100*DK102)</f>
        <v>0</v>
      </c>
      <c r="AG102">
        <f>1000*DW102*AT102*(DS102-DT102)/(100*DK102*(1000-AT102*DS102))</f>
        <v>0</v>
      </c>
      <c r="AH102">
        <f>(AI102 - AJ102 - DX102*1E3/(8.314*(DZ102+273.15)) * AL102/DW102 * AK102) * DW102/(100*DK102) * (1000 - DT102)/1000</f>
        <v>0</v>
      </c>
      <c r="AI102">
        <v>305.365499288194</v>
      </c>
      <c r="AJ102">
        <v>305.5299757575756</v>
      </c>
      <c r="AK102">
        <v>0.0006053541277582627</v>
      </c>
      <c r="AL102">
        <v>65.59529900065795</v>
      </c>
      <c r="AM102">
        <f>(AO102 - AN102 + DX102*1E3/(8.314*(DZ102+273.15)) * AQ102/DW102 * AP102) * DW102/(100*DK102) * 1000/(1000 - AO102)</f>
        <v>0</v>
      </c>
      <c r="AN102">
        <v>17.51519272727272</v>
      </c>
      <c r="AO102">
        <v>17.58200363636362</v>
      </c>
      <c r="AP102">
        <v>0.0001232243618444347</v>
      </c>
      <c r="AQ102">
        <v>105.7652601280682</v>
      </c>
      <c r="AR102">
        <v>36</v>
      </c>
      <c r="AS102">
        <v>7</v>
      </c>
      <c r="AT102">
        <f>IF(AR102*$H$15&gt;=AV102,1.0,(AV102/(AV102-AR102*$H$15)))</f>
        <v>0</v>
      </c>
      <c r="AU102">
        <f>(AT102-1)*100</f>
        <v>0</v>
      </c>
      <c r="AV102">
        <f>MAX(0,($B$15+$C$15*EE102)/(1+$D$15*EE102)*DX102/(DZ102+273)*$E$15)</f>
        <v>0</v>
      </c>
      <c r="AW102" t="s">
        <v>437</v>
      </c>
      <c r="AX102" t="s">
        <v>437</v>
      </c>
      <c r="AY102">
        <v>0</v>
      </c>
      <c r="AZ102">
        <v>0</v>
      </c>
      <c r="BA102">
        <f>1-AY102/AZ102</f>
        <v>0</v>
      </c>
      <c r="BB102">
        <v>0</v>
      </c>
      <c r="BC102" t="s">
        <v>437</v>
      </c>
      <c r="BD102" t="s">
        <v>437</v>
      </c>
      <c r="BE102">
        <v>0</v>
      </c>
      <c r="BF102">
        <v>0</v>
      </c>
      <c r="BG102">
        <f>1-BE102/BF102</f>
        <v>0</v>
      </c>
      <c r="BH102">
        <v>0.5</v>
      </c>
      <c r="BI102">
        <f>DH102</f>
        <v>0</v>
      </c>
      <c r="BJ102">
        <f>K102</f>
        <v>0</v>
      </c>
      <c r="BK102">
        <f>BG102*BH102*BI102</f>
        <v>0</v>
      </c>
      <c r="BL102">
        <f>(BJ102-BB102)/BI102</f>
        <v>0</v>
      </c>
      <c r="BM102">
        <f>(AZ102-BF102)/BF102</f>
        <v>0</v>
      </c>
      <c r="BN102">
        <f>AY102/(BA102+AY102/BF102)</f>
        <v>0</v>
      </c>
      <c r="BO102" t="s">
        <v>437</v>
      </c>
      <c r="BP102">
        <v>0</v>
      </c>
      <c r="BQ102">
        <f>IF(BP102&lt;&gt;0, BP102, BN102)</f>
        <v>0</v>
      </c>
      <c r="BR102">
        <f>1-BQ102/BF102</f>
        <v>0</v>
      </c>
      <c r="BS102">
        <f>(BF102-BE102)/(BF102-BQ102)</f>
        <v>0</v>
      </c>
      <c r="BT102">
        <f>(AZ102-BF102)/(AZ102-BQ102)</f>
        <v>0</v>
      </c>
      <c r="BU102">
        <f>(BF102-BE102)/(BF102-AY102)</f>
        <v>0</v>
      </c>
      <c r="BV102">
        <f>(AZ102-BF102)/(AZ102-AY102)</f>
        <v>0</v>
      </c>
      <c r="BW102">
        <f>(BS102*BQ102/BE102)</f>
        <v>0</v>
      </c>
      <c r="BX102">
        <f>(1-BW102)</f>
        <v>0</v>
      </c>
      <c r="DG102">
        <f>$B$13*EF102+$C$13*EG102+$F$13*ER102*(1-EU102)</f>
        <v>0</v>
      </c>
      <c r="DH102">
        <f>DG102*DI102</f>
        <v>0</v>
      </c>
      <c r="DI102">
        <f>($B$13*$D$11+$C$13*$D$11+$F$13*((FE102+EW102)/MAX(FE102+EW102+FF102, 0.1)*$I$11+FF102/MAX(FE102+EW102+FF102, 0.1)*$J$11))/($B$13+$C$13+$F$13)</f>
        <v>0</v>
      </c>
      <c r="DJ102">
        <f>($B$13*$K$11+$C$13*$K$11+$F$13*((FE102+EW102)/MAX(FE102+EW102+FF102, 0.1)*$P$11+FF102/MAX(FE102+EW102+FF102, 0.1)*$Q$11))/($B$13+$C$13+$F$13)</f>
        <v>0</v>
      </c>
      <c r="DK102">
        <v>5.66</v>
      </c>
      <c r="DL102">
        <v>0.5</v>
      </c>
      <c r="DM102" t="s">
        <v>438</v>
      </c>
      <c r="DN102">
        <v>2</v>
      </c>
      <c r="DO102" t="b">
        <v>1</v>
      </c>
      <c r="DP102">
        <v>1765311997.599999</v>
      </c>
      <c r="DQ102">
        <v>300.1220322580646</v>
      </c>
      <c r="DR102">
        <v>299.9835806451613</v>
      </c>
      <c r="DS102">
        <v>17.56196451612903</v>
      </c>
      <c r="DT102">
        <v>17.51839677419355</v>
      </c>
      <c r="DU102">
        <v>300.2040322580646</v>
      </c>
      <c r="DV102">
        <v>17.48796451612903</v>
      </c>
      <c r="DW102">
        <v>499.9860000000001</v>
      </c>
      <c r="DX102">
        <v>89.79018709677419</v>
      </c>
      <c r="DY102">
        <v>0.09990669677419355</v>
      </c>
      <c r="DZ102">
        <v>24.83580645161291</v>
      </c>
      <c r="EA102">
        <v>24.99151935483871</v>
      </c>
      <c r="EB102">
        <v>999.9000000000003</v>
      </c>
      <c r="EC102">
        <v>0</v>
      </c>
      <c r="ED102">
        <v>0</v>
      </c>
      <c r="EE102">
        <v>10011.57322580645</v>
      </c>
      <c r="EF102">
        <v>0</v>
      </c>
      <c r="EG102">
        <v>9.714249999999998</v>
      </c>
      <c r="EH102">
        <v>0.158695335483871</v>
      </c>
      <c r="EI102">
        <v>305.5093870967742</v>
      </c>
      <c r="EJ102">
        <v>305.3324838709677</v>
      </c>
      <c r="EK102">
        <v>0.04960847419354839</v>
      </c>
      <c r="EL102">
        <v>299.9835806451613</v>
      </c>
      <c r="EM102">
        <v>17.51839677419355</v>
      </c>
      <c r="EN102">
        <v>1.577435483870968</v>
      </c>
      <c r="EO102">
        <v>1.572980322580645</v>
      </c>
      <c r="EP102">
        <v>13.74011612903226</v>
      </c>
      <c r="EQ102">
        <v>13.69662580645161</v>
      </c>
      <c r="ER102">
        <v>799.9907096774193</v>
      </c>
      <c r="ES102">
        <v>0.9499954193548386</v>
      </c>
      <c r="ET102">
        <v>0.05000464516129032</v>
      </c>
      <c r="EU102">
        <v>0</v>
      </c>
      <c r="EV102">
        <v>817.9303225806453</v>
      </c>
      <c r="EW102">
        <v>5.000779999999999</v>
      </c>
      <c r="EX102">
        <v>6143.06129032258</v>
      </c>
      <c r="EY102">
        <v>6463.331935483872</v>
      </c>
      <c r="EZ102">
        <v>35.87470967741935</v>
      </c>
      <c r="FA102">
        <v>38.22561290322579</v>
      </c>
      <c r="FB102">
        <v>37.77187096774193</v>
      </c>
      <c r="FC102">
        <v>37.85451612903226</v>
      </c>
      <c r="FD102">
        <v>37.53003225806451</v>
      </c>
      <c r="FE102">
        <v>755.2370967741934</v>
      </c>
      <c r="FF102">
        <v>39.75451612903226</v>
      </c>
      <c r="FG102">
        <v>0</v>
      </c>
      <c r="FH102">
        <v>1765312004.9</v>
      </c>
      <c r="FI102">
        <v>0</v>
      </c>
      <c r="FJ102">
        <v>817.9123461538462</v>
      </c>
      <c r="FK102">
        <v>-3.175965809714385</v>
      </c>
      <c r="FL102">
        <v>-31.86085472549353</v>
      </c>
      <c r="FM102">
        <v>6142.909615384615</v>
      </c>
      <c r="FN102">
        <v>15</v>
      </c>
      <c r="FO102">
        <v>1765312026.6</v>
      </c>
      <c r="FP102" t="s">
        <v>700</v>
      </c>
      <c r="FQ102">
        <v>1765312026.6</v>
      </c>
      <c r="FR102">
        <v>1765312023.1</v>
      </c>
      <c r="FS102">
        <v>85</v>
      </c>
      <c r="FT102">
        <v>-0.02</v>
      </c>
      <c r="FU102">
        <v>-0.005</v>
      </c>
      <c r="FV102">
        <v>-0.082</v>
      </c>
      <c r="FW102">
        <v>0.074</v>
      </c>
      <c r="FX102">
        <v>300</v>
      </c>
      <c r="FY102">
        <v>17</v>
      </c>
      <c r="FZ102">
        <v>0.39</v>
      </c>
      <c r="GA102">
        <v>0.29</v>
      </c>
      <c r="GB102">
        <v>0.1495509853658537</v>
      </c>
      <c r="GC102">
        <v>0.1002093198606272</v>
      </c>
      <c r="GD102">
        <v>0.03579790181742541</v>
      </c>
      <c r="GE102">
        <v>1</v>
      </c>
      <c r="GF102">
        <v>818.0663235294118</v>
      </c>
      <c r="GG102">
        <v>-3.019877769586003</v>
      </c>
      <c r="GH102">
        <v>0.338464675417079</v>
      </c>
      <c r="GI102">
        <v>0</v>
      </c>
      <c r="GJ102">
        <v>0.05017527073170732</v>
      </c>
      <c r="GK102">
        <v>0.03409644459930315</v>
      </c>
      <c r="GL102">
        <v>0.01298367198162602</v>
      </c>
      <c r="GM102">
        <v>1</v>
      </c>
      <c r="GN102">
        <v>2</v>
      </c>
      <c r="GO102">
        <v>3</v>
      </c>
      <c r="GP102" t="s">
        <v>453</v>
      </c>
      <c r="GQ102">
        <v>3.10824</v>
      </c>
      <c r="GR102">
        <v>2.79186</v>
      </c>
      <c r="GS102">
        <v>0.0673252</v>
      </c>
      <c r="GT102">
        <v>0.06731429999999999</v>
      </c>
      <c r="GU102">
        <v>0.08643380000000001</v>
      </c>
      <c r="GV102">
        <v>0.086993</v>
      </c>
      <c r="GW102">
        <v>24460</v>
      </c>
      <c r="GX102">
        <v>22213.7</v>
      </c>
      <c r="GY102">
        <v>26784</v>
      </c>
      <c r="GZ102">
        <v>24024.5</v>
      </c>
      <c r="HA102">
        <v>39105.7</v>
      </c>
      <c r="HB102">
        <v>32374.7</v>
      </c>
      <c r="HC102">
        <v>46749.3</v>
      </c>
      <c r="HD102">
        <v>37996.7</v>
      </c>
      <c r="HE102">
        <v>1.81173</v>
      </c>
      <c r="HF102">
        <v>1.85207</v>
      </c>
      <c r="HG102">
        <v>0.0680238</v>
      </c>
      <c r="HH102">
        <v>0</v>
      </c>
      <c r="HI102">
        <v>23.8712</v>
      </c>
      <c r="HJ102">
        <v>999.9</v>
      </c>
      <c r="HK102">
        <v>40.4</v>
      </c>
      <c r="HL102">
        <v>31.4</v>
      </c>
      <c r="HM102">
        <v>20.7664</v>
      </c>
      <c r="HN102">
        <v>61.5866</v>
      </c>
      <c r="HO102">
        <v>27.8165</v>
      </c>
      <c r="HP102">
        <v>1</v>
      </c>
      <c r="HQ102">
        <v>0.0429268</v>
      </c>
      <c r="HR102">
        <v>0.829935</v>
      </c>
      <c r="HS102">
        <v>20.2923</v>
      </c>
      <c r="HT102">
        <v>5.22133</v>
      </c>
      <c r="HU102">
        <v>11.979</v>
      </c>
      <c r="HV102">
        <v>4.9651</v>
      </c>
      <c r="HW102">
        <v>3.27595</v>
      </c>
      <c r="HX102">
        <v>9999</v>
      </c>
      <c r="HY102">
        <v>9999</v>
      </c>
      <c r="HZ102">
        <v>9999</v>
      </c>
      <c r="IA102">
        <v>999.9</v>
      </c>
      <c r="IB102">
        <v>1.86388</v>
      </c>
      <c r="IC102">
        <v>1.86005</v>
      </c>
      <c r="ID102">
        <v>1.85837</v>
      </c>
      <c r="IE102">
        <v>1.85968</v>
      </c>
      <c r="IF102">
        <v>1.85986</v>
      </c>
      <c r="IG102">
        <v>1.85837</v>
      </c>
      <c r="IH102">
        <v>1.85744</v>
      </c>
      <c r="II102">
        <v>1.85235</v>
      </c>
      <c r="IJ102">
        <v>0</v>
      </c>
      <c r="IK102">
        <v>0</v>
      </c>
      <c r="IL102">
        <v>0</v>
      </c>
      <c r="IM102">
        <v>0</v>
      </c>
      <c r="IN102" t="s">
        <v>441</v>
      </c>
      <c r="IO102" t="s">
        <v>442</v>
      </c>
      <c r="IP102" t="s">
        <v>443</v>
      </c>
      <c r="IQ102" t="s">
        <v>443</v>
      </c>
      <c r="IR102" t="s">
        <v>443</v>
      </c>
      <c r="IS102" t="s">
        <v>443</v>
      </c>
      <c r="IT102">
        <v>0</v>
      </c>
      <c r="IU102">
        <v>100</v>
      </c>
      <c r="IV102">
        <v>100</v>
      </c>
      <c r="IW102">
        <v>-0.082</v>
      </c>
      <c r="IX102">
        <v>0.074</v>
      </c>
      <c r="IY102">
        <v>-0.2348906015292304</v>
      </c>
      <c r="IZ102">
        <v>0.0001583678016168383</v>
      </c>
      <c r="JA102">
        <v>1.526473431467286E-06</v>
      </c>
      <c r="JB102">
        <v>-4.446382740029455E-10</v>
      </c>
      <c r="JC102">
        <v>-0.03998154309045963</v>
      </c>
      <c r="JD102">
        <v>-0.009941991807247691</v>
      </c>
      <c r="JE102">
        <v>0.001256427533001032</v>
      </c>
      <c r="JF102">
        <v>-1.689728105039484E-05</v>
      </c>
      <c r="JG102">
        <v>2</v>
      </c>
      <c r="JH102">
        <v>1984</v>
      </c>
      <c r="JI102">
        <v>0</v>
      </c>
      <c r="JJ102">
        <v>25</v>
      </c>
      <c r="JK102">
        <v>1.6</v>
      </c>
      <c r="JL102">
        <v>1.5</v>
      </c>
      <c r="JM102">
        <v>0.8691410000000001</v>
      </c>
      <c r="JN102">
        <v>2.6062</v>
      </c>
      <c r="JO102">
        <v>1.49658</v>
      </c>
      <c r="JP102">
        <v>2.34619</v>
      </c>
      <c r="JQ102">
        <v>1.54907</v>
      </c>
      <c r="JR102">
        <v>2.43774</v>
      </c>
      <c r="JS102">
        <v>35.638</v>
      </c>
      <c r="JT102">
        <v>24.1313</v>
      </c>
      <c r="JU102">
        <v>18</v>
      </c>
      <c r="JV102">
        <v>438.329</v>
      </c>
      <c r="JW102">
        <v>486.711</v>
      </c>
      <c r="JX102">
        <v>23.3378</v>
      </c>
      <c r="JY102">
        <v>27.724</v>
      </c>
      <c r="JZ102">
        <v>30.0001</v>
      </c>
      <c r="KA102">
        <v>28.0097</v>
      </c>
      <c r="KB102">
        <v>28.0168</v>
      </c>
      <c r="KC102">
        <v>17.4959</v>
      </c>
      <c r="KD102">
        <v>17.0263</v>
      </c>
      <c r="KE102">
        <v>37.9838</v>
      </c>
      <c r="KF102">
        <v>23.3414</v>
      </c>
      <c r="KG102">
        <v>300</v>
      </c>
      <c r="KH102">
        <v>17.4281</v>
      </c>
      <c r="KI102">
        <v>102.231</v>
      </c>
      <c r="KJ102">
        <v>91.6456</v>
      </c>
    </row>
    <row r="103" spans="1:296">
      <c r="A103">
        <v>85</v>
      </c>
      <c r="B103">
        <v>1765312117.6</v>
      </c>
      <c r="C103">
        <v>14684.59999990463</v>
      </c>
      <c r="D103" t="s">
        <v>701</v>
      </c>
      <c r="E103" t="s">
        <v>702</v>
      </c>
      <c r="F103">
        <v>5</v>
      </c>
      <c r="G103" t="s">
        <v>696</v>
      </c>
      <c r="H103">
        <v>1765312109.599999</v>
      </c>
      <c r="I103">
        <f>(J103)/1000</f>
        <v>0</v>
      </c>
      <c r="J103">
        <f>IF(DO103, AM103, AG103)</f>
        <v>0</v>
      </c>
      <c r="K103">
        <f>IF(DO103, AH103, AF103)</f>
        <v>0</v>
      </c>
      <c r="L103">
        <f>DQ103 - IF(AT103&gt;1, K103*DK103*100.0/(AV103), 0)</f>
        <v>0</v>
      </c>
      <c r="M103">
        <f>((S103-I103/2)*L103-K103)/(S103+I103/2)</f>
        <v>0</v>
      </c>
      <c r="N103">
        <f>M103*(DX103+DY103)/1000.0</f>
        <v>0</v>
      </c>
      <c r="O103">
        <f>(DQ103 - IF(AT103&gt;1, K103*DK103*100.0/(AV103), 0))*(DX103+DY103)/1000.0</f>
        <v>0</v>
      </c>
      <c r="P103">
        <f>2.0/((1/R103-1/Q103)+SIGN(R103)*SQRT((1/R103-1/Q103)*(1/R103-1/Q103) + 4*DL103/((DL103+1)*(DL103+1))*(2*1/R103*1/Q103-1/Q103*1/Q103)))</f>
        <v>0</v>
      </c>
      <c r="Q103">
        <f>IF(LEFT(DM103,1)&lt;&gt;"0",IF(LEFT(DM103,1)="1",3.0,DN103),$D$5+$E$5*(EE103*DX103/($K$5*1000))+$F$5*(EE103*DX103/($K$5*1000))*MAX(MIN(DK103,$J$5),$I$5)*MAX(MIN(DK103,$J$5),$I$5)+$G$5*MAX(MIN(DK103,$J$5),$I$5)*(EE103*DX103/($K$5*1000))+$H$5*(EE103*DX103/($K$5*1000))*(EE103*DX103/($K$5*1000)))</f>
        <v>0</v>
      </c>
      <c r="R103">
        <f>I103*(1000-(1000*0.61365*exp(17.502*V103/(240.97+V103))/(DX103+DY103)+DS103)/2)/(1000*0.61365*exp(17.502*V103/(240.97+V103))/(DX103+DY103)-DS103)</f>
        <v>0</v>
      </c>
      <c r="S103">
        <f>1/((DL103+1)/(P103/1.6)+1/(Q103/1.37)) + DL103/((DL103+1)/(P103/1.6) + DL103/(Q103/1.37))</f>
        <v>0</v>
      </c>
      <c r="T103">
        <f>(DG103*DJ103)</f>
        <v>0</v>
      </c>
      <c r="U103">
        <f>(DZ103+(T103+2*0.95*5.67E-8*(((DZ103+$B$9)+273)^4-(DZ103+273)^4)-44100*I103)/(1.84*29.3*Q103+8*0.95*5.67E-8*(DZ103+273)^3))</f>
        <v>0</v>
      </c>
      <c r="V103">
        <f>($C$9*EA103+$D$9*EB103+$E$9*U103)</f>
        <v>0</v>
      </c>
      <c r="W103">
        <f>0.61365*exp(17.502*V103/(240.97+V103))</f>
        <v>0</v>
      </c>
      <c r="X103">
        <f>(Y103/Z103*100)</f>
        <v>0</v>
      </c>
      <c r="Y103">
        <f>DS103*(DX103+DY103)/1000</f>
        <v>0</v>
      </c>
      <c r="Z103">
        <f>0.61365*exp(17.502*DZ103/(240.97+DZ103))</f>
        <v>0</v>
      </c>
      <c r="AA103">
        <f>(W103-DS103*(DX103+DY103)/1000)</f>
        <v>0</v>
      </c>
      <c r="AB103">
        <f>(-I103*44100)</f>
        <v>0</v>
      </c>
      <c r="AC103">
        <f>2*29.3*Q103*0.92*(DZ103-V103)</f>
        <v>0</v>
      </c>
      <c r="AD103">
        <f>2*0.95*5.67E-8*(((DZ103+$B$9)+273)^4-(V103+273)^4)</f>
        <v>0</v>
      </c>
      <c r="AE103">
        <f>T103+AD103+AB103+AC103</f>
        <v>0</v>
      </c>
      <c r="AF103">
        <f>DW103*AT103*(DR103-DQ103*(1000-AT103*DT103)/(1000-AT103*DS103))/(100*DK103)</f>
        <v>0</v>
      </c>
      <c r="AG103">
        <f>1000*DW103*AT103*(DS103-DT103)/(100*DK103*(1000-AT103*DS103))</f>
        <v>0</v>
      </c>
      <c r="AH103">
        <f>(AI103 - AJ103 - DX103*1E3/(8.314*(DZ103+273.15)) * AL103/DW103 * AK103) * DW103/(100*DK103) * (1000 - DT103)/1000</f>
        <v>0</v>
      </c>
      <c r="AI103">
        <v>203.5188616233766</v>
      </c>
      <c r="AJ103">
        <v>203.6837272727272</v>
      </c>
      <c r="AK103">
        <v>-6.214526214585069E-05</v>
      </c>
      <c r="AL103">
        <v>65.87</v>
      </c>
      <c r="AM103">
        <f>(AO103 - AN103 + DX103*1E3/(8.314*(DZ103+273.15)) * AQ103/DW103 * AP103) * DW103/(100*DK103) * 1000/(1000 - AO103)</f>
        <v>0</v>
      </c>
      <c r="AN103">
        <v>17.39779975624605</v>
      </c>
      <c r="AO103">
        <v>17.4693055944056</v>
      </c>
      <c r="AP103">
        <v>3.041123005359134E-05</v>
      </c>
      <c r="AQ103">
        <v>109.381812480065</v>
      </c>
      <c r="AR103">
        <v>35</v>
      </c>
      <c r="AS103">
        <v>7</v>
      </c>
      <c r="AT103">
        <f>IF(AR103*$H$15&gt;=AV103,1.0,(AV103/(AV103-AR103*$H$15)))</f>
        <v>0</v>
      </c>
      <c r="AU103">
        <f>(AT103-1)*100</f>
        <v>0</v>
      </c>
      <c r="AV103">
        <f>MAX(0,($B$15+$C$15*EE103)/(1+$D$15*EE103)*DX103/(DZ103+273)*$E$15)</f>
        <v>0</v>
      </c>
      <c r="AW103" t="s">
        <v>437</v>
      </c>
      <c r="AX103" t="s">
        <v>437</v>
      </c>
      <c r="AY103">
        <v>0</v>
      </c>
      <c r="AZ103">
        <v>0</v>
      </c>
      <c r="BA103">
        <f>1-AY103/AZ103</f>
        <v>0</v>
      </c>
      <c r="BB103">
        <v>0</v>
      </c>
      <c r="BC103" t="s">
        <v>437</v>
      </c>
      <c r="BD103" t="s">
        <v>437</v>
      </c>
      <c r="BE103">
        <v>0</v>
      </c>
      <c r="BF103">
        <v>0</v>
      </c>
      <c r="BG103">
        <f>1-BE103/BF103</f>
        <v>0</v>
      </c>
      <c r="BH103">
        <v>0.5</v>
      </c>
      <c r="BI103">
        <f>DH103</f>
        <v>0</v>
      </c>
      <c r="BJ103">
        <f>K103</f>
        <v>0</v>
      </c>
      <c r="BK103">
        <f>BG103*BH103*BI103</f>
        <v>0</v>
      </c>
      <c r="BL103">
        <f>(BJ103-BB103)/BI103</f>
        <v>0</v>
      </c>
      <c r="BM103">
        <f>(AZ103-BF103)/BF103</f>
        <v>0</v>
      </c>
      <c r="BN103">
        <f>AY103/(BA103+AY103/BF103)</f>
        <v>0</v>
      </c>
      <c r="BO103" t="s">
        <v>437</v>
      </c>
      <c r="BP103">
        <v>0</v>
      </c>
      <c r="BQ103">
        <f>IF(BP103&lt;&gt;0, BP103, BN103)</f>
        <v>0</v>
      </c>
      <c r="BR103">
        <f>1-BQ103/BF103</f>
        <v>0</v>
      </c>
      <c r="BS103">
        <f>(BF103-BE103)/(BF103-BQ103)</f>
        <v>0</v>
      </c>
      <c r="BT103">
        <f>(AZ103-BF103)/(AZ103-BQ103)</f>
        <v>0</v>
      </c>
      <c r="BU103">
        <f>(BF103-BE103)/(BF103-AY103)</f>
        <v>0</v>
      </c>
      <c r="BV103">
        <f>(AZ103-BF103)/(AZ103-AY103)</f>
        <v>0</v>
      </c>
      <c r="BW103">
        <f>(BS103*BQ103/BE103)</f>
        <v>0</v>
      </c>
      <c r="BX103">
        <f>(1-BW103)</f>
        <v>0</v>
      </c>
      <c r="DG103">
        <f>$B$13*EF103+$C$13*EG103+$F$13*ER103*(1-EU103)</f>
        <v>0</v>
      </c>
      <c r="DH103">
        <f>DG103*DI103</f>
        <v>0</v>
      </c>
      <c r="DI103">
        <f>($B$13*$D$11+$C$13*$D$11+$F$13*((FE103+EW103)/MAX(FE103+EW103+FF103, 0.1)*$I$11+FF103/MAX(FE103+EW103+FF103, 0.1)*$J$11))/($B$13+$C$13+$F$13)</f>
        <v>0</v>
      </c>
      <c r="DJ103">
        <f>($B$13*$K$11+$C$13*$K$11+$F$13*((FE103+EW103)/MAX(FE103+EW103+FF103, 0.1)*$P$11+FF103/MAX(FE103+EW103+FF103, 0.1)*$Q$11))/($B$13+$C$13+$F$13)</f>
        <v>0</v>
      </c>
      <c r="DK103">
        <v>5.66</v>
      </c>
      <c r="DL103">
        <v>0.5</v>
      </c>
      <c r="DM103" t="s">
        <v>438</v>
      </c>
      <c r="DN103">
        <v>2</v>
      </c>
      <c r="DO103" t="b">
        <v>1</v>
      </c>
      <c r="DP103">
        <v>1765312109.599999</v>
      </c>
      <c r="DQ103">
        <v>200.1993870967742</v>
      </c>
      <c r="DR103">
        <v>200.0022903225806</v>
      </c>
      <c r="DS103">
        <v>17.46223225806452</v>
      </c>
      <c r="DT103">
        <v>17.39345806451613</v>
      </c>
      <c r="DU103">
        <v>200.2973870967743</v>
      </c>
      <c r="DV103">
        <v>17.39023225806452</v>
      </c>
      <c r="DW103">
        <v>499.9937419354839</v>
      </c>
      <c r="DX103">
        <v>89.79044838709677</v>
      </c>
      <c r="DY103">
        <v>0.09996629677419354</v>
      </c>
      <c r="DZ103">
        <v>24.83344516129032</v>
      </c>
      <c r="EA103">
        <v>24.9883</v>
      </c>
      <c r="EB103">
        <v>999.9000000000003</v>
      </c>
      <c r="EC103">
        <v>0</v>
      </c>
      <c r="ED103">
        <v>0</v>
      </c>
      <c r="EE103">
        <v>10002.34322580645</v>
      </c>
      <c r="EF103">
        <v>0</v>
      </c>
      <c r="EG103">
        <v>9.710332903225806</v>
      </c>
      <c r="EH103">
        <v>0.1297553516129032</v>
      </c>
      <c r="EI103">
        <v>203.689064516129</v>
      </c>
      <c r="EJ103">
        <v>203.5425806451613</v>
      </c>
      <c r="EK103">
        <v>0.06991978387096774</v>
      </c>
      <c r="EL103">
        <v>200.0022903225806</v>
      </c>
      <c r="EM103">
        <v>17.39345806451613</v>
      </c>
      <c r="EN103">
        <v>1.568044193548388</v>
      </c>
      <c r="EO103">
        <v>1.561765161290323</v>
      </c>
      <c r="EP103">
        <v>13.6483064516129</v>
      </c>
      <c r="EQ103">
        <v>13.58665161290322</v>
      </c>
      <c r="ER103">
        <v>800.0106129032257</v>
      </c>
      <c r="ES103">
        <v>0.9499953225806451</v>
      </c>
      <c r="ET103">
        <v>0.05000462258064516</v>
      </c>
      <c r="EU103">
        <v>0</v>
      </c>
      <c r="EV103">
        <v>811.9496129032256</v>
      </c>
      <c r="EW103">
        <v>5.000779999999999</v>
      </c>
      <c r="EX103">
        <v>6115.438387096773</v>
      </c>
      <c r="EY103">
        <v>6463.494516129032</v>
      </c>
      <c r="EZ103">
        <v>36.4391935483871</v>
      </c>
      <c r="FA103">
        <v>39.78196774193547</v>
      </c>
      <c r="FB103">
        <v>38.31025806451613</v>
      </c>
      <c r="FC103">
        <v>39.63067741935483</v>
      </c>
      <c r="FD103">
        <v>38.65699999999998</v>
      </c>
      <c r="FE103">
        <v>755.2570967741935</v>
      </c>
      <c r="FF103">
        <v>39.75354838709677</v>
      </c>
      <c r="FG103">
        <v>0</v>
      </c>
      <c r="FH103">
        <v>1765312117.1</v>
      </c>
      <c r="FI103">
        <v>0</v>
      </c>
      <c r="FJ103">
        <v>811.8905199999999</v>
      </c>
      <c r="FK103">
        <v>-3.370384618100054</v>
      </c>
      <c r="FL103">
        <v>-11.97538471674179</v>
      </c>
      <c r="FM103">
        <v>6115.187999999999</v>
      </c>
      <c r="FN103">
        <v>15</v>
      </c>
      <c r="FO103">
        <v>1765312134.6</v>
      </c>
      <c r="FP103" t="s">
        <v>703</v>
      </c>
      <c r="FQ103">
        <v>1765312131.6</v>
      </c>
      <c r="FR103">
        <v>1765312134.6</v>
      </c>
      <c r="FS103">
        <v>86</v>
      </c>
      <c r="FT103">
        <v>0.068</v>
      </c>
      <c r="FU103">
        <v>0</v>
      </c>
      <c r="FV103">
        <v>-0.098</v>
      </c>
      <c r="FW103">
        <v>0.07199999999999999</v>
      </c>
      <c r="FX103">
        <v>200</v>
      </c>
      <c r="FY103">
        <v>17</v>
      </c>
      <c r="FZ103">
        <v>0.34</v>
      </c>
      <c r="GA103">
        <v>0.18</v>
      </c>
      <c r="GB103">
        <v>0.1408550219512195</v>
      </c>
      <c r="GC103">
        <v>-0.1503520808362366</v>
      </c>
      <c r="GD103">
        <v>0.03348158159427222</v>
      </c>
      <c r="GE103">
        <v>1</v>
      </c>
      <c r="GF103">
        <v>812.1414705882352</v>
      </c>
      <c r="GG103">
        <v>-3.93182581897737</v>
      </c>
      <c r="GH103">
        <v>0.4379433374102288</v>
      </c>
      <c r="GI103">
        <v>0</v>
      </c>
      <c r="GJ103">
        <v>0.07285579512195123</v>
      </c>
      <c r="GK103">
        <v>-0.05057617630661999</v>
      </c>
      <c r="GL103">
        <v>0.006718208860960516</v>
      </c>
      <c r="GM103">
        <v>1</v>
      </c>
      <c r="GN103">
        <v>2</v>
      </c>
      <c r="GO103">
        <v>3</v>
      </c>
      <c r="GP103" t="s">
        <v>453</v>
      </c>
      <c r="GQ103">
        <v>3.1084</v>
      </c>
      <c r="GR103">
        <v>2.79169</v>
      </c>
      <c r="GS103">
        <v>0.0479465</v>
      </c>
      <c r="GT103">
        <v>0.047884</v>
      </c>
      <c r="GU103">
        <v>0.0860638</v>
      </c>
      <c r="GV103">
        <v>0.0865877</v>
      </c>
      <c r="GW103">
        <v>24969.8</v>
      </c>
      <c r="GX103">
        <v>22677.3</v>
      </c>
      <c r="GY103">
        <v>26785.5</v>
      </c>
      <c r="GZ103">
        <v>24025.2</v>
      </c>
      <c r="HA103">
        <v>39121</v>
      </c>
      <c r="HB103">
        <v>32388.2</v>
      </c>
      <c r="HC103">
        <v>46751.4</v>
      </c>
      <c r="HD103">
        <v>37997.9</v>
      </c>
      <c r="HE103">
        <v>1.81397</v>
      </c>
      <c r="HF103">
        <v>1.8523</v>
      </c>
      <c r="HG103">
        <v>0.0675842</v>
      </c>
      <c r="HH103">
        <v>0</v>
      </c>
      <c r="HI103">
        <v>23.8739</v>
      </c>
      <c r="HJ103">
        <v>999.9</v>
      </c>
      <c r="HK103">
        <v>40.4</v>
      </c>
      <c r="HL103">
        <v>31.3</v>
      </c>
      <c r="HM103">
        <v>20.6481</v>
      </c>
      <c r="HN103">
        <v>61.5466</v>
      </c>
      <c r="HO103">
        <v>27.4519</v>
      </c>
      <c r="HP103">
        <v>1</v>
      </c>
      <c r="HQ103">
        <v>0.0388999</v>
      </c>
      <c r="HR103">
        <v>0.733598</v>
      </c>
      <c r="HS103">
        <v>20.2947</v>
      </c>
      <c r="HT103">
        <v>5.21819</v>
      </c>
      <c r="HU103">
        <v>11.9757</v>
      </c>
      <c r="HV103">
        <v>4.9657</v>
      </c>
      <c r="HW103">
        <v>3.27585</v>
      </c>
      <c r="HX103">
        <v>9999</v>
      </c>
      <c r="HY103">
        <v>9999</v>
      </c>
      <c r="HZ103">
        <v>9999</v>
      </c>
      <c r="IA103">
        <v>999.9</v>
      </c>
      <c r="IB103">
        <v>1.86388</v>
      </c>
      <c r="IC103">
        <v>1.86005</v>
      </c>
      <c r="ID103">
        <v>1.85837</v>
      </c>
      <c r="IE103">
        <v>1.85968</v>
      </c>
      <c r="IF103">
        <v>1.85981</v>
      </c>
      <c r="IG103">
        <v>1.85836</v>
      </c>
      <c r="IH103">
        <v>1.85742</v>
      </c>
      <c r="II103">
        <v>1.85238</v>
      </c>
      <c r="IJ103">
        <v>0</v>
      </c>
      <c r="IK103">
        <v>0</v>
      </c>
      <c r="IL103">
        <v>0</v>
      </c>
      <c r="IM103">
        <v>0</v>
      </c>
      <c r="IN103" t="s">
        <v>441</v>
      </c>
      <c r="IO103" t="s">
        <v>442</v>
      </c>
      <c r="IP103" t="s">
        <v>443</v>
      </c>
      <c r="IQ103" t="s">
        <v>443</v>
      </c>
      <c r="IR103" t="s">
        <v>443</v>
      </c>
      <c r="IS103" t="s">
        <v>443</v>
      </c>
      <c r="IT103">
        <v>0</v>
      </c>
      <c r="IU103">
        <v>100</v>
      </c>
      <c r="IV103">
        <v>100</v>
      </c>
      <c r="IW103">
        <v>-0.098</v>
      </c>
      <c r="IX103">
        <v>0.07199999999999999</v>
      </c>
      <c r="IY103">
        <v>-0.2548661043518948</v>
      </c>
      <c r="IZ103">
        <v>0.0001583678016168383</v>
      </c>
      <c r="JA103">
        <v>1.526473431467286E-06</v>
      </c>
      <c r="JB103">
        <v>-4.446382740029455E-10</v>
      </c>
      <c r="JC103">
        <v>-0.0450685987457103</v>
      </c>
      <c r="JD103">
        <v>-0.009941991807247691</v>
      </c>
      <c r="JE103">
        <v>0.001256427533001032</v>
      </c>
      <c r="JF103">
        <v>-1.689728105039484E-05</v>
      </c>
      <c r="JG103">
        <v>2</v>
      </c>
      <c r="JH103">
        <v>1984</v>
      </c>
      <c r="JI103">
        <v>0</v>
      </c>
      <c r="JJ103">
        <v>25</v>
      </c>
      <c r="JK103">
        <v>1.5</v>
      </c>
      <c r="JL103">
        <v>1.6</v>
      </c>
      <c r="JM103">
        <v>0.637207</v>
      </c>
      <c r="JN103">
        <v>2.63184</v>
      </c>
      <c r="JO103">
        <v>1.49658</v>
      </c>
      <c r="JP103">
        <v>2.34619</v>
      </c>
      <c r="JQ103">
        <v>1.54907</v>
      </c>
      <c r="JR103">
        <v>2.43408</v>
      </c>
      <c r="JS103">
        <v>35.6148</v>
      </c>
      <c r="JT103">
        <v>24.1225</v>
      </c>
      <c r="JU103">
        <v>18</v>
      </c>
      <c r="JV103">
        <v>439.247</v>
      </c>
      <c r="JW103">
        <v>486.506</v>
      </c>
      <c r="JX103">
        <v>23.3982</v>
      </c>
      <c r="JY103">
        <v>27.6748</v>
      </c>
      <c r="JZ103">
        <v>29.9997</v>
      </c>
      <c r="KA103">
        <v>27.9668</v>
      </c>
      <c r="KB103">
        <v>27.9749</v>
      </c>
      <c r="KC103">
        <v>12.8435</v>
      </c>
      <c r="KD103">
        <v>17.0122</v>
      </c>
      <c r="KE103">
        <v>37.9838</v>
      </c>
      <c r="KF103">
        <v>23.4039</v>
      </c>
      <c r="KG103">
        <v>200</v>
      </c>
      <c r="KH103">
        <v>17.4642</v>
      </c>
      <c r="KI103">
        <v>102.236</v>
      </c>
      <c r="KJ103">
        <v>91.6485</v>
      </c>
    </row>
    <row r="104" spans="1:296">
      <c r="A104">
        <v>86</v>
      </c>
      <c r="B104">
        <v>1765312225.6</v>
      </c>
      <c r="C104">
        <v>14792.59999990463</v>
      </c>
      <c r="D104" t="s">
        <v>704</v>
      </c>
      <c r="E104" t="s">
        <v>705</v>
      </c>
      <c r="F104">
        <v>5</v>
      </c>
      <c r="G104" t="s">
        <v>696</v>
      </c>
      <c r="H104">
        <v>1765312217.599999</v>
      </c>
      <c r="I104">
        <f>(J104)/1000</f>
        <v>0</v>
      </c>
      <c r="J104">
        <f>IF(DO104, AM104, AG104)</f>
        <v>0</v>
      </c>
      <c r="K104">
        <f>IF(DO104, AH104, AF104)</f>
        <v>0</v>
      </c>
      <c r="L104">
        <f>DQ104 - IF(AT104&gt;1, K104*DK104*100.0/(AV104), 0)</f>
        <v>0</v>
      </c>
      <c r="M104">
        <f>((S104-I104/2)*L104-K104)/(S104+I104/2)</f>
        <v>0</v>
      </c>
      <c r="N104">
        <f>M104*(DX104+DY104)/1000.0</f>
        <v>0</v>
      </c>
      <c r="O104">
        <f>(DQ104 - IF(AT104&gt;1, K104*DK104*100.0/(AV104), 0))*(DX104+DY104)/1000.0</f>
        <v>0</v>
      </c>
      <c r="P104">
        <f>2.0/((1/R104-1/Q104)+SIGN(R104)*SQRT((1/R104-1/Q104)*(1/R104-1/Q104) + 4*DL104/((DL104+1)*(DL104+1))*(2*1/R104*1/Q104-1/Q104*1/Q104)))</f>
        <v>0</v>
      </c>
      <c r="Q104">
        <f>IF(LEFT(DM104,1)&lt;&gt;"0",IF(LEFT(DM104,1)="1",3.0,DN104),$D$5+$E$5*(EE104*DX104/($K$5*1000))+$F$5*(EE104*DX104/($K$5*1000))*MAX(MIN(DK104,$J$5),$I$5)*MAX(MIN(DK104,$J$5),$I$5)+$G$5*MAX(MIN(DK104,$J$5),$I$5)*(EE104*DX104/($K$5*1000))+$H$5*(EE104*DX104/($K$5*1000))*(EE104*DX104/($K$5*1000)))</f>
        <v>0</v>
      </c>
      <c r="R104">
        <f>I104*(1000-(1000*0.61365*exp(17.502*V104/(240.97+V104))/(DX104+DY104)+DS104)/2)/(1000*0.61365*exp(17.502*V104/(240.97+V104))/(DX104+DY104)-DS104)</f>
        <v>0</v>
      </c>
      <c r="S104">
        <f>1/((DL104+1)/(P104/1.6)+1/(Q104/1.37)) + DL104/((DL104+1)/(P104/1.6) + DL104/(Q104/1.37))</f>
        <v>0</v>
      </c>
      <c r="T104">
        <f>(DG104*DJ104)</f>
        <v>0</v>
      </c>
      <c r="U104">
        <f>(DZ104+(T104+2*0.95*5.67E-8*(((DZ104+$B$9)+273)^4-(DZ104+273)^4)-44100*I104)/(1.84*29.3*Q104+8*0.95*5.67E-8*(DZ104+273)^3))</f>
        <v>0</v>
      </c>
      <c r="V104">
        <f>($C$9*EA104+$D$9*EB104+$E$9*U104)</f>
        <v>0</v>
      </c>
      <c r="W104">
        <f>0.61365*exp(17.502*V104/(240.97+V104))</f>
        <v>0</v>
      </c>
      <c r="X104">
        <f>(Y104/Z104*100)</f>
        <v>0</v>
      </c>
      <c r="Y104">
        <f>DS104*(DX104+DY104)/1000</f>
        <v>0</v>
      </c>
      <c r="Z104">
        <f>0.61365*exp(17.502*DZ104/(240.97+DZ104))</f>
        <v>0</v>
      </c>
      <c r="AA104">
        <f>(W104-DS104*(DX104+DY104)/1000)</f>
        <v>0</v>
      </c>
      <c r="AB104">
        <f>(-I104*44100)</f>
        <v>0</v>
      </c>
      <c r="AC104">
        <f>2*29.3*Q104*0.92*(DZ104-V104)</f>
        <v>0</v>
      </c>
      <c r="AD104">
        <f>2*0.95*5.67E-8*(((DZ104+$B$9)+273)^4-(V104+273)^4)</f>
        <v>0</v>
      </c>
      <c r="AE104">
        <f>T104+AD104+AB104+AC104</f>
        <v>0</v>
      </c>
      <c r="AF104">
        <f>DW104*AT104*(DR104-DQ104*(1000-AT104*DT104)/(1000-AT104*DS104))/(100*DK104)</f>
        <v>0</v>
      </c>
      <c r="AG104">
        <f>1000*DW104*AT104*(DS104-DT104)/(100*DK104*(1000-AT104*DS104))</f>
        <v>0</v>
      </c>
      <c r="AH104">
        <f>(AI104 - AJ104 - DX104*1E3/(8.314*(DZ104+273.15)) * AL104/DW104 * AK104) * DW104/(100*DK104) * (1000 - DT104)/1000</f>
        <v>0</v>
      </c>
      <c r="AI104">
        <v>101.7657725312815</v>
      </c>
      <c r="AJ104">
        <v>101.9774303030303</v>
      </c>
      <c r="AK104">
        <v>-0.0001294191514556233</v>
      </c>
      <c r="AL104">
        <v>65.62177391687143</v>
      </c>
      <c r="AM104">
        <f>(AO104 - AN104 + DX104*1E3/(8.314*(DZ104+273.15)) * AQ104/DW104 * AP104) * DW104/(100*DK104) * 1000/(1000 - AO104)</f>
        <v>0</v>
      </c>
      <c r="AN104">
        <v>17.45757212121212</v>
      </c>
      <c r="AO104">
        <v>17.52909939393939</v>
      </c>
      <c r="AP104">
        <v>-7.158994851319749E-06</v>
      </c>
      <c r="AQ104">
        <v>106.0170104257841</v>
      </c>
      <c r="AR104">
        <v>35</v>
      </c>
      <c r="AS104">
        <v>7</v>
      </c>
      <c r="AT104">
        <f>IF(AR104*$H$15&gt;=AV104,1.0,(AV104/(AV104-AR104*$H$15)))</f>
        <v>0</v>
      </c>
      <c r="AU104">
        <f>(AT104-1)*100</f>
        <v>0</v>
      </c>
      <c r="AV104">
        <f>MAX(0,($B$15+$C$15*EE104)/(1+$D$15*EE104)*DX104/(DZ104+273)*$E$15)</f>
        <v>0</v>
      </c>
      <c r="AW104" t="s">
        <v>437</v>
      </c>
      <c r="AX104" t="s">
        <v>437</v>
      </c>
      <c r="AY104">
        <v>0</v>
      </c>
      <c r="AZ104">
        <v>0</v>
      </c>
      <c r="BA104">
        <f>1-AY104/AZ104</f>
        <v>0</v>
      </c>
      <c r="BB104">
        <v>0</v>
      </c>
      <c r="BC104" t="s">
        <v>437</v>
      </c>
      <c r="BD104" t="s">
        <v>437</v>
      </c>
      <c r="BE104">
        <v>0</v>
      </c>
      <c r="BF104">
        <v>0</v>
      </c>
      <c r="BG104">
        <f>1-BE104/BF104</f>
        <v>0</v>
      </c>
      <c r="BH104">
        <v>0.5</v>
      </c>
      <c r="BI104">
        <f>DH104</f>
        <v>0</v>
      </c>
      <c r="BJ104">
        <f>K104</f>
        <v>0</v>
      </c>
      <c r="BK104">
        <f>BG104*BH104*BI104</f>
        <v>0</v>
      </c>
      <c r="BL104">
        <f>(BJ104-BB104)/BI104</f>
        <v>0</v>
      </c>
      <c r="BM104">
        <f>(AZ104-BF104)/BF104</f>
        <v>0</v>
      </c>
      <c r="BN104">
        <f>AY104/(BA104+AY104/BF104)</f>
        <v>0</v>
      </c>
      <c r="BO104" t="s">
        <v>437</v>
      </c>
      <c r="BP104">
        <v>0</v>
      </c>
      <c r="BQ104">
        <f>IF(BP104&lt;&gt;0, BP104, BN104)</f>
        <v>0</v>
      </c>
      <c r="BR104">
        <f>1-BQ104/BF104</f>
        <v>0</v>
      </c>
      <c r="BS104">
        <f>(BF104-BE104)/(BF104-BQ104)</f>
        <v>0</v>
      </c>
      <c r="BT104">
        <f>(AZ104-BF104)/(AZ104-BQ104)</f>
        <v>0</v>
      </c>
      <c r="BU104">
        <f>(BF104-BE104)/(BF104-AY104)</f>
        <v>0</v>
      </c>
      <c r="BV104">
        <f>(AZ104-BF104)/(AZ104-AY104)</f>
        <v>0</v>
      </c>
      <c r="BW104">
        <f>(BS104*BQ104/BE104)</f>
        <v>0</v>
      </c>
      <c r="BX104">
        <f>(1-BW104)</f>
        <v>0</v>
      </c>
      <c r="DG104">
        <f>$B$13*EF104+$C$13*EG104+$F$13*ER104*(1-EU104)</f>
        <v>0</v>
      </c>
      <c r="DH104">
        <f>DG104*DI104</f>
        <v>0</v>
      </c>
      <c r="DI104">
        <f>($B$13*$D$11+$C$13*$D$11+$F$13*((FE104+EW104)/MAX(FE104+EW104+FF104, 0.1)*$I$11+FF104/MAX(FE104+EW104+FF104, 0.1)*$J$11))/($B$13+$C$13+$F$13)</f>
        <v>0</v>
      </c>
      <c r="DJ104">
        <f>($B$13*$K$11+$C$13*$K$11+$F$13*((FE104+EW104)/MAX(FE104+EW104+FF104, 0.1)*$P$11+FF104/MAX(FE104+EW104+FF104, 0.1)*$Q$11))/($B$13+$C$13+$F$13)</f>
        <v>0</v>
      </c>
      <c r="DK104">
        <v>5.66</v>
      </c>
      <c r="DL104">
        <v>0.5</v>
      </c>
      <c r="DM104" t="s">
        <v>438</v>
      </c>
      <c r="DN104">
        <v>2</v>
      </c>
      <c r="DO104" t="b">
        <v>1</v>
      </c>
      <c r="DP104">
        <v>1765312217.599999</v>
      </c>
      <c r="DQ104">
        <v>100.2821290322581</v>
      </c>
      <c r="DR104">
        <v>99.98987741935483</v>
      </c>
      <c r="DS104">
        <v>17.53416451612904</v>
      </c>
      <c r="DT104">
        <v>17.46101612903226</v>
      </c>
      <c r="DU104">
        <v>100.3541290322581</v>
      </c>
      <c r="DV104">
        <v>17.45816451612903</v>
      </c>
      <c r="DW104">
        <v>500.0050967741936</v>
      </c>
      <c r="DX104">
        <v>89.79179354838709</v>
      </c>
      <c r="DY104">
        <v>0.09997011290322579</v>
      </c>
      <c r="DZ104">
        <v>24.88404838709677</v>
      </c>
      <c r="EA104">
        <v>25.00637741935484</v>
      </c>
      <c r="EB104">
        <v>999.9000000000003</v>
      </c>
      <c r="EC104">
        <v>0</v>
      </c>
      <c r="ED104">
        <v>0</v>
      </c>
      <c r="EE104">
        <v>10005.27580645161</v>
      </c>
      <c r="EF104">
        <v>0</v>
      </c>
      <c r="EG104">
        <v>9.710332903225806</v>
      </c>
      <c r="EH104">
        <v>0.2082559032258064</v>
      </c>
      <c r="EI104">
        <v>101.9862580645161</v>
      </c>
      <c r="EJ104">
        <v>101.7667741935484</v>
      </c>
      <c r="EK104">
        <v>0.07184945161290324</v>
      </c>
      <c r="EL104">
        <v>99.98987741935483</v>
      </c>
      <c r="EM104">
        <v>17.46101612903226</v>
      </c>
      <c r="EN104">
        <v>1.574307096774194</v>
      </c>
      <c r="EO104">
        <v>1.567855806451613</v>
      </c>
      <c r="EP104">
        <v>13.70959677419355</v>
      </c>
      <c r="EQ104">
        <v>13.64644838709677</v>
      </c>
      <c r="ER104">
        <v>800.0486451612904</v>
      </c>
      <c r="ES104">
        <v>0.9499989677419356</v>
      </c>
      <c r="ET104">
        <v>0.0500011</v>
      </c>
      <c r="EU104">
        <v>0</v>
      </c>
      <c r="EV104">
        <v>805.4955806451612</v>
      </c>
      <c r="EW104">
        <v>5.000779999999999</v>
      </c>
      <c r="EX104">
        <v>6094.113548387097</v>
      </c>
      <c r="EY104">
        <v>6463.809032258066</v>
      </c>
      <c r="EZ104">
        <v>37.52806451612903</v>
      </c>
      <c r="FA104">
        <v>41.33045161290322</v>
      </c>
      <c r="FB104">
        <v>39.63890322580644</v>
      </c>
      <c r="FC104">
        <v>41.7760322580645</v>
      </c>
      <c r="FD104">
        <v>39.79422580645161</v>
      </c>
      <c r="FE104">
        <v>755.2935483870967</v>
      </c>
      <c r="FF104">
        <v>39.75</v>
      </c>
      <c r="FG104">
        <v>0</v>
      </c>
      <c r="FH104">
        <v>1765312225.1</v>
      </c>
      <c r="FI104">
        <v>0</v>
      </c>
      <c r="FJ104">
        <v>805.4082</v>
      </c>
      <c r="FK104">
        <v>-2.982615387232392</v>
      </c>
      <c r="FL104">
        <v>-15.2753846712976</v>
      </c>
      <c r="FM104">
        <v>6093.677599999999</v>
      </c>
      <c r="FN104">
        <v>15</v>
      </c>
      <c r="FO104">
        <v>1765312241.6</v>
      </c>
      <c r="FP104" t="s">
        <v>706</v>
      </c>
      <c r="FQ104">
        <v>1765312241.6</v>
      </c>
      <c r="FR104">
        <v>1765312241.6</v>
      </c>
      <c r="FS104">
        <v>87</v>
      </c>
      <c r="FT104">
        <v>0.08400000000000001</v>
      </c>
      <c r="FU104">
        <v>0.003</v>
      </c>
      <c r="FV104">
        <v>-0.07199999999999999</v>
      </c>
      <c r="FW104">
        <v>0.076</v>
      </c>
      <c r="FX104">
        <v>100</v>
      </c>
      <c r="FY104">
        <v>17</v>
      </c>
      <c r="FZ104">
        <v>0.17</v>
      </c>
      <c r="GA104">
        <v>0.25</v>
      </c>
      <c r="GB104">
        <v>0.2179729512195122</v>
      </c>
      <c r="GC104">
        <v>-0.1482504668989544</v>
      </c>
      <c r="GD104">
        <v>0.03030497972518645</v>
      </c>
      <c r="GE104">
        <v>1</v>
      </c>
      <c r="GF104">
        <v>805.6466176470589</v>
      </c>
      <c r="GG104">
        <v>-3.403957219016093</v>
      </c>
      <c r="GH104">
        <v>0.3899622164733624</v>
      </c>
      <c r="GI104">
        <v>0</v>
      </c>
      <c r="GJ104">
        <v>0.07203185609756098</v>
      </c>
      <c r="GK104">
        <v>-0.00303471428571428</v>
      </c>
      <c r="GL104">
        <v>0.0006984018436013367</v>
      </c>
      <c r="GM104">
        <v>1</v>
      </c>
      <c r="GN104">
        <v>2</v>
      </c>
      <c r="GO104">
        <v>3</v>
      </c>
      <c r="GP104" t="s">
        <v>453</v>
      </c>
      <c r="GQ104">
        <v>3.10826</v>
      </c>
      <c r="GR104">
        <v>2.79164</v>
      </c>
      <c r="GS104">
        <v>0.0255719</v>
      </c>
      <c r="GT104">
        <v>0.0254525</v>
      </c>
      <c r="GU104">
        <v>0.086285</v>
      </c>
      <c r="GV104">
        <v>0.0868134</v>
      </c>
      <c r="GW104">
        <v>25560.6</v>
      </c>
      <c r="GX104">
        <v>23213.7</v>
      </c>
      <c r="GY104">
        <v>26789.4</v>
      </c>
      <c r="GZ104">
        <v>24027.1</v>
      </c>
      <c r="HA104">
        <v>39114</v>
      </c>
      <c r="HB104">
        <v>32380.1</v>
      </c>
      <c r="HC104">
        <v>46757.9</v>
      </c>
      <c r="HD104">
        <v>38000.6</v>
      </c>
      <c r="HE104">
        <v>1.81457</v>
      </c>
      <c r="HF104">
        <v>1.85345</v>
      </c>
      <c r="HG104">
        <v>0.06870179999999999</v>
      </c>
      <c r="HH104">
        <v>0</v>
      </c>
      <c r="HI104">
        <v>23.8736</v>
      </c>
      <c r="HJ104">
        <v>999.9</v>
      </c>
      <c r="HK104">
        <v>40.4</v>
      </c>
      <c r="HL104">
        <v>31.3</v>
      </c>
      <c r="HM104">
        <v>20.6476</v>
      </c>
      <c r="HN104">
        <v>61.1266</v>
      </c>
      <c r="HO104">
        <v>27.516</v>
      </c>
      <c r="HP104">
        <v>1</v>
      </c>
      <c r="HQ104">
        <v>0.0340955</v>
      </c>
      <c r="HR104">
        <v>0.865694</v>
      </c>
      <c r="HS104">
        <v>20.2942</v>
      </c>
      <c r="HT104">
        <v>5.22253</v>
      </c>
      <c r="HU104">
        <v>11.9784</v>
      </c>
      <c r="HV104">
        <v>4.96555</v>
      </c>
      <c r="HW104">
        <v>3.27583</v>
      </c>
      <c r="HX104">
        <v>9999</v>
      </c>
      <c r="HY104">
        <v>9999</v>
      </c>
      <c r="HZ104">
        <v>9999</v>
      </c>
      <c r="IA104">
        <v>999.9</v>
      </c>
      <c r="IB104">
        <v>1.86387</v>
      </c>
      <c r="IC104">
        <v>1.86005</v>
      </c>
      <c r="ID104">
        <v>1.85837</v>
      </c>
      <c r="IE104">
        <v>1.85965</v>
      </c>
      <c r="IF104">
        <v>1.85984</v>
      </c>
      <c r="IG104">
        <v>1.85835</v>
      </c>
      <c r="IH104">
        <v>1.85743</v>
      </c>
      <c r="II104">
        <v>1.8524</v>
      </c>
      <c r="IJ104">
        <v>0</v>
      </c>
      <c r="IK104">
        <v>0</v>
      </c>
      <c r="IL104">
        <v>0</v>
      </c>
      <c r="IM104">
        <v>0</v>
      </c>
      <c r="IN104" t="s">
        <v>441</v>
      </c>
      <c r="IO104" t="s">
        <v>442</v>
      </c>
      <c r="IP104" t="s">
        <v>443</v>
      </c>
      <c r="IQ104" t="s">
        <v>443</v>
      </c>
      <c r="IR104" t="s">
        <v>443</v>
      </c>
      <c r="IS104" t="s">
        <v>443</v>
      </c>
      <c r="IT104">
        <v>0</v>
      </c>
      <c r="IU104">
        <v>100</v>
      </c>
      <c r="IV104">
        <v>100</v>
      </c>
      <c r="IW104">
        <v>-0.07199999999999999</v>
      </c>
      <c r="IX104">
        <v>0.076</v>
      </c>
      <c r="IY104">
        <v>-0.1868484673404168</v>
      </c>
      <c r="IZ104">
        <v>0.0001583678016168383</v>
      </c>
      <c r="JA104">
        <v>1.526473431467286E-06</v>
      </c>
      <c r="JB104">
        <v>-4.446382740029455E-10</v>
      </c>
      <c r="JC104">
        <v>-0.04475734900401482</v>
      </c>
      <c r="JD104">
        <v>-0.009941991807247691</v>
      </c>
      <c r="JE104">
        <v>0.001256427533001032</v>
      </c>
      <c r="JF104">
        <v>-1.689728105039484E-05</v>
      </c>
      <c r="JG104">
        <v>2</v>
      </c>
      <c r="JH104">
        <v>1984</v>
      </c>
      <c r="JI104">
        <v>0</v>
      </c>
      <c r="JJ104">
        <v>25</v>
      </c>
      <c r="JK104">
        <v>1.6</v>
      </c>
      <c r="JL104">
        <v>1.5</v>
      </c>
      <c r="JM104">
        <v>0.395508</v>
      </c>
      <c r="JN104">
        <v>2.65015</v>
      </c>
      <c r="JO104">
        <v>1.49658</v>
      </c>
      <c r="JP104">
        <v>2.34619</v>
      </c>
      <c r="JQ104">
        <v>1.54907</v>
      </c>
      <c r="JR104">
        <v>2.38892</v>
      </c>
      <c r="JS104">
        <v>35.5915</v>
      </c>
      <c r="JT104">
        <v>24.1225</v>
      </c>
      <c r="JU104">
        <v>18</v>
      </c>
      <c r="JV104">
        <v>439.208</v>
      </c>
      <c r="JW104">
        <v>486.832</v>
      </c>
      <c r="JX104">
        <v>23.2954</v>
      </c>
      <c r="JY104">
        <v>27.6137</v>
      </c>
      <c r="JZ104">
        <v>29.9999</v>
      </c>
      <c r="KA104">
        <v>27.9141</v>
      </c>
      <c r="KB104">
        <v>27.9248</v>
      </c>
      <c r="KC104">
        <v>8.006080000000001</v>
      </c>
      <c r="KD104">
        <v>16.6404</v>
      </c>
      <c r="KE104">
        <v>38.3807</v>
      </c>
      <c r="KF104">
        <v>23.2965</v>
      </c>
      <c r="KG104">
        <v>100</v>
      </c>
      <c r="KH104">
        <v>17.4791</v>
      </c>
      <c r="KI104">
        <v>102.25</v>
      </c>
      <c r="KJ104">
        <v>91.6553</v>
      </c>
    </row>
    <row r="105" spans="1:296">
      <c r="A105">
        <v>87</v>
      </c>
      <c r="B105">
        <v>1765312316.6</v>
      </c>
      <c r="C105">
        <v>14883.59999990463</v>
      </c>
      <c r="D105" t="s">
        <v>707</v>
      </c>
      <c r="E105" t="s">
        <v>708</v>
      </c>
      <c r="F105">
        <v>5</v>
      </c>
      <c r="G105" t="s">
        <v>696</v>
      </c>
      <c r="H105">
        <v>1765312308.599999</v>
      </c>
      <c r="I105">
        <f>(J105)/1000</f>
        <v>0</v>
      </c>
      <c r="J105">
        <f>IF(DO105, AM105, AG105)</f>
        <v>0</v>
      </c>
      <c r="K105">
        <f>IF(DO105, AH105, AF105)</f>
        <v>0</v>
      </c>
      <c r="L105">
        <f>DQ105 - IF(AT105&gt;1, K105*DK105*100.0/(AV105), 0)</f>
        <v>0</v>
      </c>
      <c r="M105">
        <f>((S105-I105/2)*L105-K105)/(S105+I105/2)</f>
        <v>0</v>
      </c>
      <c r="N105">
        <f>M105*(DX105+DY105)/1000.0</f>
        <v>0</v>
      </c>
      <c r="O105">
        <f>(DQ105 - IF(AT105&gt;1, K105*DK105*100.0/(AV105), 0))*(DX105+DY105)/1000.0</f>
        <v>0</v>
      </c>
      <c r="P105">
        <f>2.0/((1/R105-1/Q105)+SIGN(R105)*SQRT((1/R105-1/Q105)*(1/R105-1/Q105) + 4*DL105/((DL105+1)*(DL105+1))*(2*1/R105*1/Q105-1/Q105*1/Q105)))</f>
        <v>0</v>
      </c>
      <c r="Q105">
        <f>IF(LEFT(DM105,1)&lt;&gt;"0",IF(LEFT(DM105,1)="1",3.0,DN105),$D$5+$E$5*(EE105*DX105/($K$5*1000))+$F$5*(EE105*DX105/($K$5*1000))*MAX(MIN(DK105,$J$5),$I$5)*MAX(MIN(DK105,$J$5),$I$5)+$G$5*MAX(MIN(DK105,$J$5),$I$5)*(EE105*DX105/($K$5*1000))+$H$5*(EE105*DX105/($K$5*1000))*(EE105*DX105/($K$5*1000)))</f>
        <v>0</v>
      </c>
      <c r="R105">
        <f>I105*(1000-(1000*0.61365*exp(17.502*V105/(240.97+V105))/(DX105+DY105)+DS105)/2)/(1000*0.61365*exp(17.502*V105/(240.97+V105))/(DX105+DY105)-DS105)</f>
        <v>0</v>
      </c>
      <c r="S105">
        <f>1/((DL105+1)/(P105/1.6)+1/(Q105/1.37)) + DL105/((DL105+1)/(P105/1.6) + DL105/(Q105/1.37))</f>
        <v>0</v>
      </c>
      <c r="T105">
        <f>(DG105*DJ105)</f>
        <v>0</v>
      </c>
      <c r="U105">
        <f>(DZ105+(T105+2*0.95*5.67E-8*(((DZ105+$B$9)+273)^4-(DZ105+273)^4)-44100*I105)/(1.84*29.3*Q105+8*0.95*5.67E-8*(DZ105+273)^3))</f>
        <v>0</v>
      </c>
      <c r="V105">
        <f>($C$9*EA105+$D$9*EB105+$E$9*U105)</f>
        <v>0</v>
      </c>
      <c r="W105">
        <f>0.61365*exp(17.502*V105/(240.97+V105))</f>
        <v>0</v>
      </c>
      <c r="X105">
        <f>(Y105/Z105*100)</f>
        <v>0</v>
      </c>
      <c r="Y105">
        <f>DS105*(DX105+DY105)/1000</f>
        <v>0</v>
      </c>
      <c r="Z105">
        <f>0.61365*exp(17.502*DZ105/(240.97+DZ105))</f>
        <v>0</v>
      </c>
      <c r="AA105">
        <f>(W105-DS105*(DX105+DY105)/1000)</f>
        <v>0</v>
      </c>
      <c r="AB105">
        <f>(-I105*44100)</f>
        <v>0</v>
      </c>
      <c r="AC105">
        <f>2*29.3*Q105*0.92*(DZ105-V105)</f>
        <v>0</v>
      </c>
      <c r="AD105">
        <f>2*0.95*5.67E-8*(((DZ105+$B$9)+273)^4-(V105+273)^4)</f>
        <v>0</v>
      </c>
      <c r="AE105">
        <f>T105+AD105+AB105+AC105</f>
        <v>0</v>
      </c>
      <c r="AF105">
        <f>DW105*AT105*(DR105-DQ105*(1000-AT105*DT105)/(1000-AT105*DS105))/(100*DK105)</f>
        <v>0</v>
      </c>
      <c r="AG105">
        <f>1000*DW105*AT105*(DS105-DT105)/(100*DK105*(1000-AT105*DS105))</f>
        <v>0</v>
      </c>
      <c r="AH105">
        <f>(AI105 - AJ105 - DX105*1E3/(8.314*(DZ105+273.15)) * AL105/DW105 * AK105) * DW105/(100*DK105) * (1000 - DT105)/1000</f>
        <v>0</v>
      </c>
      <c r="AI105">
        <v>50.86411601020927</v>
      </c>
      <c r="AJ105">
        <v>51.22014969696969</v>
      </c>
      <c r="AK105">
        <v>0.0008074519422925474</v>
      </c>
      <c r="AL105">
        <v>65.61980488114213</v>
      </c>
      <c r="AM105">
        <f>(AO105 - AN105 + DX105*1E3/(8.314*(DZ105+273.15)) * AQ105/DW105 * AP105) * DW105/(100*DK105) * 1000/(1000 - AO105)</f>
        <v>0</v>
      </c>
      <c r="AN105">
        <v>17.50458848484849</v>
      </c>
      <c r="AO105">
        <v>17.58135939393938</v>
      </c>
      <c r="AP105">
        <v>-4.088722274337597E-05</v>
      </c>
      <c r="AQ105">
        <v>105.9382085771494</v>
      </c>
      <c r="AR105">
        <v>35</v>
      </c>
      <c r="AS105">
        <v>7</v>
      </c>
      <c r="AT105">
        <f>IF(AR105*$H$15&gt;=AV105,1.0,(AV105/(AV105-AR105*$H$15)))</f>
        <v>0</v>
      </c>
      <c r="AU105">
        <f>(AT105-1)*100</f>
        <v>0</v>
      </c>
      <c r="AV105">
        <f>MAX(0,($B$15+$C$15*EE105)/(1+$D$15*EE105)*DX105/(DZ105+273)*$E$15)</f>
        <v>0</v>
      </c>
      <c r="AW105" t="s">
        <v>437</v>
      </c>
      <c r="AX105" t="s">
        <v>437</v>
      </c>
      <c r="AY105">
        <v>0</v>
      </c>
      <c r="AZ105">
        <v>0</v>
      </c>
      <c r="BA105">
        <f>1-AY105/AZ105</f>
        <v>0</v>
      </c>
      <c r="BB105">
        <v>0</v>
      </c>
      <c r="BC105" t="s">
        <v>437</v>
      </c>
      <c r="BD105" t="s">
        <v>437</v>
      </c>
      <c r="BE105">
        <v>0</v>
      </c>
      <c r="BF105">
        <v>0</v>
      </c>
      <c r="BG105">
        <f>1-BE105/BF105</f>
        <v>0</v>
      </c>
      <c r="BH105">
        <v>0.5</v>
      </c>
      <c r="BI105">
        <f>DH105</f>
        <v>0</v>
      </c>
      <c r="BJ105">
        <f>K105</f>
        <v>0</v>
      </c>
      <c r="BK105">
        <f>BG105*BH105*BI105</f>
        <v>0</v>
      </c>
      <c r="BL105">
        <f>(BJ105-BB105)/BI105</f>
        <v>0</v>
      </c>
      <c r="BM105">
        <f>(AZ105-BF105)/BF105</f>
        <v>0</v>
      </c>
      <c r="BN105">
        <f>AY105/(BA105+AY105/BF105)</f>
        <v>0</v>
      </c>
      <c r="BO105" t="s">
        <v>437</v>
      </c>
      <c r="BP105">
        <v>0</v>
      </c>
      <c r="BQ105">
        <f>IF(BP105&lt;&gt;0, BP105, BN105)</f>
        <v>0</v>
      </c>
      <c r="BR105">
        <f>1-BQ105/BF105</f>
        <v>0</v>
      </c>
      <c r="BS105">
        <f>(BF105-BE105)/(BF105-BQ105)</f>
        <v>0</v>
      </c>
      <c r="BT105">
        <f>(AZ105-BF105)/(AZ105-BQ105)</f>
        <v>0</v>
      </c>
      <c r="BU105">
        <f>(BF105-BE105)/(BF105-AY105)</f>
        <v>0</v>
      </c>
      <c r="BV105">
        <f>(AZ105-BF105)/(AZ105-AY105)</f>
        <v>0</v>
      </c>
      <c r="BW105">
        <f>(BS105*BQ105/BE105)</f>
        <v>0</v>
      </c>
      <c r="BX105">
        <f>(1-BW105)</f>
        <v>0</v>
      </c>
      <c r="DG105">
        <f>$B$13*EF105+$C$13*EG105+$F$13*ER105*(1-EU105)</f>
        <v>0</v>
      </c>
      <c r="DH105">
        <f>DG105*DI105</f>
        <v>0</v>
      </c>
      <c r="DI105">
        <f>($B$13*$D$11+$C$13*$D$11+$F$13*((FE105+EW105)/MAX(FE105+EW105+FF105, 0.1)*$I$11+FF105/MAX(FE105+EW105+FF105, 0.1)*$J$11))/($B$13+$C$13+$F$13)</f>
        <v>0</v>
      </c>
      <c r="DJ105">
        <f>($B$13*$K$11+$C$13*$K$11+$F$13*((FE105+EW105)/MAX(FE105+EW105+FF105, 0.1)*$P$11+FF105/MAX(FE105+EW105+FF105, 0.1)*$Q$11))/($B$13+$C$13+$F$13)</f>
        <v>0</v>
      </c>
      <c r="DK105">
        <v>5.66</v>
      </c>
      <c r="DL105">
        <v>0.5</v>
      </c>
      <c r="DM105" t="s">
        <v>438</v>
      </c>
      <c r="DN105">
        <v>2</v>
      </c>
      <c r="DO105" t="b">
        <v>1</v>
      </c>
      <c r="DP105">
        <v>1765312308.599999</v>
      </c>
      <c r="DQ105">
        <v>50.31387419354839</v>
      </c>
      <c r="DR105">
        <v>49.98949999999999</v>
      </c>
      <c r="DS105">
        <v>17.58612258064516</v>
      </c>
      <c r="DT105">
        <v>17.51073548387097</v>
      </c>
      <c r="DU105">
        <v>50.40587419354839</v>
      </c>
      <c r="DV105">
        <v>17.51012258064516</v>
      </c>
      <c r="DW105">
        <v>500.0109032258064</v>
      </c>
      <c r="DX105">
        <v>89.78948064516132</v>
      </c>
      <c r="DY105">
        <v>0.099980864516129</v>
      </c>
      <c r="DZ105">
        <v>24.87522903225807</v>
      </c>
      <c r="EA105">
        <v>24.99114838709677</v>
      </c>
      <c r="EB105">
        <v>999.9000000000003</v>
      </c>
      <c r="EC105">
        <v>0</v>
      </c>
      <c r="ED105">
        <v>0</v>
      </c>
      <c r="EE105">
        <v>10003.72612903226</v>
      </c>
      <c r="EF105">
        <v>0</v>
      </c>
      <c r="EG105">
        <v>10.13685096774193</v>
      </c>
      <c r="EH105">
        <v>0.3255616129032258</v>
      </c>
      <c r="EI105">
        <v>51.21586129032259</v>
      </c>
      <c r="EJ105">
        <v>50.88044838709677</v>
      </c>
      <c r="EK105">
        <v>0.07766735806451613</v>
      </c>
      <c r="EL105">
        <v>49.98949999999999</v>
      </c>
      <c r="EM105">
        <v>17.51073548387097</v>
      </c>
      <c r="EN105">
        <v>1.579253548387097</v>
      </c>
      <c r="EO105">
        <v>1.572279032258065</v>
      </c>
      <c r="EP105">
        <v>13.75784193548387</v>
      </c>
      <c r="EQ105">
        <v>13.68977741935484</v>
      </c>
      <c r="ER105">
        <v>800.0189354838708</v>
      </c>
      <c r="ES105">
        <v>0.9499899032258063</v>
      </c>
      <c r="ET105">
        <v>0.05000995483870967</v>
      </c>
      <c r="EU105">
        <v>0</v>
      </c>
      <c r="EV105">
        <v>802.7402903225807</v>
      </c>
      <c r="EW105">
        <v>5.000779999999999</v>
      </c>
      <c r="EX105">
        <v>6056.176774193548</v>
      </c>
      <c r="EY105">
        <v>6463.549354838708</v>
      </c>
      <c r="EZ105">
        <v>36.85264516129032</v>
      </c>
      <c r="FA105">
        <v>39.44535483870967</v>
      </c>
      <c r="FB105">
        <v>38.41112903225806</v>
      </c>
      <c r="FC105">
        <v>39.28609677419354</v>
      </c>
      <c r="FD105">
        <v>38.41512903225806</v>
      </c>
      <c r="FE105">
        <v>755.258064516129</v>
      </c>
      <c r="FF105">
        <v>39.76</v>
      </c>
      <c r="FG105">
        <v>0</v>
      </c>
      <c r="FH105">
        <v>1765312316.3</v>
      </c>
      <c r="FI105">
        <v>0</v>
      </c>
      <c r="FJ105">
        <v>802.6785600000002</v>
      </c>
      <c r="FK105">
        <v>-0.3520000075618171</v>
      </c>
      <c r="FL105">
        <v>-23.90230783432802</v>
      </c>
      <c r="FM105">
        <v>6055.746799999999</v>
      </c>
      <c r="FN105">
        <v>15</v>
      </c>
      <c r="FO105">
        <v>1765312332.6</v>
      </c>
      <c r="FP105" t="s">
        <v>709</v>
      </c>
      <c r="FQ105">
        <v>1765312332.6</v>
      </c>
      <c r="FR105">
        <v>1765312332.6</v>
      </c>
      <c r="FS105">
        <v>88</v>
      </c>
      <c r="FT105">
        <v>-0.001</v>
      </c>
      <c r="FU105">
        <v>-0</v>
      </c>
      <c r="FV105">
        <v>-0.092</v>
      </c>
      <c r="FW105">
        <v>0.076</v>
      </c>
      <c r="FX105">
        <v>50</v>
      </c>
      <c r="FY105">
        <v>17</v>
      </c>
      <c r="FZ105">
        <v>0.37</v>
      </c>
      <c r="GA105">
        <v>0.1</v>
      </c>
      <c r="GB105">
        <v>0.3397986829268293</v>
      </c>
      <c r="GC105">
        <v>-0.168781588850174</v>
      </c>
      <c r="GD105">
        <v>0.02816227094279796</v>
      </c>
      <c r="GE105">
        <v>1</v>
      </c>
      <c r="GF105">
        <v>802.7522647058825</v>
      </c>
      <c r="GG105">
        <v>-0.6146524160028861</v>
      </c>
      <c r="GH105">
        <v>0.2484714812400381</v>
      </c>
      <c r="GI105">
        <v>1</v>
      </c>
      <c r="GJ105">
        <v>0.07702650487804878</v>
      </c>
      <c r="GK105">
        <v>0.01644706829268314</v>
      </c>
      <c r="GL105">
        <v>0.001924091896409801</v>
      </c>
      <c r="GM105">
        <v>1</v>
      </c>
      <c r="GN105">
        <v>3</v>
      </c>
      <c r="GO105">
        <v>3</v>
      </c>
      <c r="GP105" t="s">
        <v>440</v>
      </c>
      <c r="GQ105">
        <v>3.1084</v>
      </c>
      <c r="GR105">
        <v>2.79172</v>
      </c>
      <c r="GS105">
        <v>0.0131743</v>
      </c>
      <c r="GT105">
        <v>0.0130532</v>
      </c>
      <c r="GU105">
        <v>0.08646909999999999</v>
      </c>
      <c r="GV105">
        <v>0.0869916</v>
      </c>
      <c r="GW105">
        <v>25888.3</v>
      </c>
      <c r="GX105">
        <v>23510.7</v>
      </c>
      <c r="GY105">
        <v>26791.7</v>
      </c>
      <c r="GZ105">
        <v>24028.4</v>
      </c>
      <c r="HA105">
        <v>39107.4</v>
      </c>
      <c r="HB105">
        <v>32373.9</v>
      </c>
      <c r="HC105">
        <v>46761.4</v>
      </c>
      <c r="HD105">
        <v>38002.4</v>
      </c>
      <c r="HE105">
        <v>1.81595</v>
      </c>
      <c r="HF105">
        <v>1.85415</v>
      </c>
      <c r="HG105">
        <v>0.07009509999999999</v>
      </c>
      <c r="HH105">
        <v>0</v>
      </c>
      <c r="HI105">
        <v>23.8342</v>
      </c>
      <c r="HJ105">
        <v>999.9</v>
      </c>
      <c r="HK105">
        <v>40.5</v>
      </c>
      <c r="HL105">
        <v>31.3</v>
      </c>
      <c r="HM105">
        <v>20.6987</v>
      </c>
      <c r="HN105">
        <v>60.9666</v>
      </c>
      <c r="HO105">
        <v>27.7724</v>
      </c>
      <c r="HP105">
        <v>1</v>
      </c>
      <c r="HQ105">
        <v>0.0287246</v>
      </c>
      <c r="HR105">
        <v>0.668919</v>
      </c>
      <c r="HS105">
        <v>20.2933</v>
      </c>
      <c r="HT105">
        <v>5.22298</v>
      </c>
      <c r="HU105">
        <v>11.9785</v>
      </c>
      <c r="HV105">
        <v>4.96575</v>
      </c>
      <c r="HW105">
        <v>3.27595</v>
      </c>
      <c r="HX105">
        <v>9999</v>
      </c>
      <c r="HY105">
        <v>9999</v>
      </c>
      <c r="HZ105">
        <v>9999</v>
      </c>
      <c r="IA105">
        <v>999.9</v>
      </c>
      <c r="IB105">
        <v>1.86388</v>
      </c>
      <c r="IC105">
        <v>1.86005</v>
      </c>
      <c r="ID105">
        <v>1.85837</v>
      </c>
      <c r="IE105">
        <v>1.85969</v>
      </c>
      <c r="IF105">
        <v>1.85985</v>
      </c>
      <c r="IG105">
        <v>1.85837</v>
      </c>
      <c r="IH105">
        <v>1.85743</v>
      </c>
      <c r="II105">
        <v>1.8524</v>
      </c>
      <c r="IJ105">
        <v>0</v>
      </c>
      <c r="IK105">
        <v>0</v>
      </c>
      <c r="IL105">
        <v>0</v>
      </c>
      <c r="IM105">
        <v>0</v>
      </c>
      <c r="IN105" t="s">
        <v>441</v>
      </c>
      <c r="IO105" t="s">
        <v>442</v>
      </c>
      <c r="IP105" t="s">
        <v>443</v>
      </c>
      <c r="IQ105" t="s">
        <v>443</v>
      </c>
      <c r="IR105" t="s">
        <v>443</v>
      </c>
      <c r="IS105" t="s">
        <v>443</v>
      </c>
      <c r="IT105">
        <v>0</v>
      </c>
      <c r="IU105">
        <v>100</v>
      </c>
      <c r="IV105">
        <v>100</v>
      </c>
      <c r="IW105">
        <v>-0.092</v>
      </c>
      <c r="IX105">
        <v>0.076</v>
      </c>
      <c r="IY105">
        <v>-0.1026240612005216</v>
      </c>
      <c r="IZ105">
        <v>0.0001583678016168383</v>
      </c>
      <c r="JA105">
        <v>1.526473431467286E-06</v>
      </c>
      <c r="JB105">
        <v>-4.446382740029455E-10</v>
      </c>
      <c r="JC105">
        <v>-0.04214940234140828</v>
      </c>
      <c r="JD105">
        <v>-0.009941991807247691</v>
      </c>
      <c r="JE105">
        <v>0.001256427533001032</v>
      </c>
      <c r="JF105">
        <v>-1.689728105039484E-05</v>
      </c>
      <c r="JG105">
        <v>2</v>
      </c>
      <c r="JH105">
        <v>1984</v>
      </c>
      <c r="JI105">
        <v>0</v>
      </c>
      <c r="JJ105">
        <v>25</v>
      </c>
      <c r="JK105">
        <v>1.2</v>
      </c>
      <c r="JL105">
        <v>1.2</v>
      </c>
      <c r="JM105">
        <v>0.272217</v>
      </c>
      <c r="JN105">
        <v>2.65991</v>
      </c>
      <c r="JO105">
        <v>1.49658</v>
      </c>
      <c r="JP105">
        <v>2.34619</v>
      </c>
      <c r="JQ105">
        <v>1.54907</v>
      </c>
      <c r="JR105">
        <v>2.43652</v>
      </c>
      <c r="JS105">
        <v>35.5683</v>
      </c>
      <c r="JT105">
        <v>24.1313</v>
      </c>
      <c r="JU105">
        <v>18</v>
      </c>
      <c r="JV105">
        <v>439.6</v>
      </c>
      <c r="JW105">
        <v>486.872</v>
      </c>
      <c r="JX105">
        <v>23.4362</v>
      </c>
      <c r="JY105">
        <v>27.5572</v>
      </c>
      <c r="JZ105">
        <v>29.9998</v>
      </c>
      <c r="KA105">
        <v>27.8634</v>
      </c>
      <c r="KB105">
        <v>27.8755</v>
      </c>
      <c r="KC105">
        <v>5.55693</v>
      </c>
      <c r="KD105">
        <v>16.5719</v>
      </c>
      <c r="KE105">
        <v>38.7528</v>
      </c>
      <c r="KF105">
        <v>23.4357</v>
      </c>
      <c r="KG105">
        <v>50</v>
      </c>
      <c r="KH105">
        <v>17.4749</v>
      </c>
      <c r="KI105">
        <v>102.258</v>
      </c>
      <c r="KJ105">
        <v>91.6598</v>
      </c>
    </row>
    <row r="106" spans="1:296">
      <c r="A106">
        <v>88</v>
      </c>
      <c r="B106">
        <v>1765312423.6</v>
      </c>
      <c r="C106">
        <v>14990.59999990463</v>
      </c>
      <c r="D106" t="s">
        <v>710</v>
      </c>
      <c r="E106" t="s">
        <v>711</v>
      </c>
      <c r="F106">
        <v>5</v>
      </c>
      <c r="G106" t="s">
        <v>696</v>
      </c>
      <c r="H106">
        <v>1765312415.599999</v>
      </c>
      <c r="I106">
        <f>(J106)/1000</f>
        <v>0</v>
      </c>
      <c r="J106">
        <f>IF(DO106, AM106, AG106)</f>
        <v>0</v>
      </c>
      <c r="K106">
        <f>IF(DO106, AH106, AF106)</f>
        <v>0</v>
      </c>
      <c r="L106">
        <f>DQ106 - IF(AT106&gt;1, K106*DK106*100.0/(AV106), 0)</f>
        <v>0</v>
      </c>
      <c r="M106">
        <f>((S106-I106/2)*L106-K106)/(S106+I106/2)</f>
        <v>0</v>
      </c>
      <c r="N106">
        <f>M106*(DX106+DY106)/1000.0</f>
        <v>0</v>
      </c>
      <c r="O106">
        <f>(DQ106 - IF(AT106&gt;1, K106*DK106*100.0/(AV106), 0))*(DX106+DY106)/1000.0</f>
        <v>0</v>
      </c>
      <c r="P106">
        <f>2.0/((1/R106-1/Q106)+SIGN(R106)*SQRT((1/R106-1/Q106)*(1/R106-1/Q106) + 4*DL106/((DL106+1)*(DL106+1))*(2*1/R106*1/Q106-1/Q106*1/Q106)))</f>
        <v>0</v>
      </c>
      <c r="Q106">
        <f>IF(LEFT(DM106,1)&lt;&gt;"0",IF(LEFT(DM106,1)="1",3.0,DN106),$D$5+$E$5*(EE106*DX106/($K$5*1000))+$F$5*(EE106*DX106/($K$5*1000))*MAX(MIN(DK106,$J$5),$I$5)*MAX(MIN(DK106,$J$5),$I$5)+$G$5*MAX(MIN(DK106,$J$5),$I$5)*(EE106*DX106/($K$5*1000))+$H$5*(EE106*DX106/($K$5*1000))*(EE106*DX106/($K$5*1000)))</f>
        <v>0</v>
      </c>
      <c r="R106">
        <f>I106*(1000-(1000*0.61365*exp(17.502*V106/(240.97+V106))/(DX106+DY106)+DS106)/2)/(1000*0.61365*exp(17.502*V106/(240.97+V106))/(DX106+DY106)-DS106)</f>
        <v>0</v>
      </c>
      <c r="S106">
        <f>1/((DL106+1)/(P106/1.6)+1/(Q106/1.37)) + DL106/((DL106+1)/(P106/1.6) + DL106/(Q106/1.37))</f>
        <v>0</v>
      </c>
      <c r="T106">
        <f>(DG106*DJ106)</f>
        <v>0</v>
      </c>
      <c r="U106">
        <f>(DZ106+(T106+2*0.95*5.67E-8*(((DZ106+$B$9)+273)^4-(DZ106+273)^4)-44100*I106)/(1.84*29.3*Q106+8*0.95*5.67E-8*(DZ106+273)^3))</f>
        <v>0</v>
      </c>
      <c r="V106">
        <f>($C$9*EA106+$D$9*EB106+$E$9*U106)</f>
        <v>0</v>
      </c>
      <c r="W106">
        <f>0.61365*exp(17.502*V106/(240.97+V106))</f>
        <v>0</v>
      </c>
      <c r="X106">
        <f>(Y106/Z106*100)</f>
        <v>0</v>
      </c>
      <c r="Y106">
        <f>DS106*(DX106+DY106)/1000</f>
        <v>0</v>
      </c>
      <c r="Z106">
        <f>0.61365*exp(17.502*DZ106/(240.97+DZ106))</f>
        <v>0</v>
      </c>
      <c r="AA106">
        <f>(W106-DS106*(DX106+DY106)/1000)</f>
        <v>0</v>
      </c>
      <c r="AB106">
        <f>(-I106*44100)</f>
        <v>0</v>
      </c>
      <c r="AC106">
        <f>2*29.3*Q106*0.92*(DZ106-V106)</f>
        <v>0</v>
      </c>
      <c r="AD106">
        <f>2*0.95*5.67E-8*(((DZ106+$B$9)+273)^4-(V106+273)^4)</f>
        <v>0</v>
      </c>
      <c r="AE106">
        <f>T106+AD106+AB106+AC106</f>
        <v>0</v>
      </c>
      <c r="AF106">
        <f>DW106*AT106*(DR106-DQ106*(1000-AT106*DT106)/(1000-AT106*DS106))/(100*DK106)</f>
        <v>0</v>
      </c>
      <c r="AG106">
        <f>1000*DW106*AT106*(DS106-DT106)/(100*DK106*(1000-AT106*DS106))</f>
        <v>0</v>
      </c>
      <c r="AH106">
        <f>(AI106 - AJ106 - DX106*1E3/(8.314*(DZ106+273.15)) * AL106/DW106 * AK106) * DW106/(100*DK106) * (1000 - DT106)/1000</f>
        <v>0</v>
      </c>
      <c r="AI106">
        <v>0.1879676495884761</v>
      </c>
      <c r="AJ106">
        <v>0.5266303333333329</v>
      </c>
      <c r="AK106">
        <v>0.0001004346084960694</v>
      </c>
      <c r="AL106">
        <v>65.61149852449554</v>
      </c>
      <c r="AM106">
        <f>(AO106 - AN106 + DX106*1E3/(8.314*(DZ106+273.15)) * AQ106/DW106 * AP106) * DW106/(100*DK106) * 1000/(1000 - AO106)</f>
        <v>0</v>
      </c>
      <c r="AN106">
        <v>17.51633151515151</v>
      </c>
      <c r="AO106">
        <v>17.59185515151515</v>
      </c>
      <c r="AP106">
        <v>-6.866310160527007E-05</v>
      </c>
      <c r="AQ106">
        <v>105.8784409388798</v>
      </c>
      <c r="AR106">
        <v>35</v>
      </c>
      <c r="AS106">
        <v>7</v>
      </c>
      <c r="AT106">
        <f>IF(AR106*$H$15&gt;=AV106,1.0,(AV106/(AV106-AR106*$H$15)))</f>
        <v>0</v>
      </c>
      <c r="AU106">
        <f>(AT106-1)*100</f>
        <v>0</v>
      </c>
      <c r="AV106">
        <f>MAX(0,($B$15+$C$15*EE106)/(1+$D$15*EE106)*DX106/(DZ106+273)*$E$15)</f>
        <v>0</v>
      </c>
      <c r="AW106" t="s">
        <v>437</v>
      </c>
      <c r="AX106" t="s">
        <v>437</v>
      </c>
      <c r="AY106">
        <v>0</v>
      </c>
      <c r="AZ106">
        <v>0</v>
      </c>
      <c r="BA106">
        <f>1-AY106/AZ106</f>
        <v>0</v>
      </c>
      <c r="BB106">
        <v>0</v>
      </c>
      <c r="BC106" t="s">
        <v>437</v>
      </c>
      <c r="BD106" t="s">
        <v>437</v>
      </c>
      <c r="BE106">
        <v>0</v>
      </c>
      <c r="BF106">
        <v>0</v>
      </c>
      <c r="BG106">
        <f>1-BE106/BF106</f>
        <v>0</v>
      </c>
      <c r="BH106">
        <v>0.5</v>
      </c>
      <c r="BI106">
        <f>DH106</f>
        <v>0</v>
      </c>
      <c r="BJ106">
        <f>K106</f>
        <v>0</v>
      </c>
      <c r="BK106">
        <f>BG106*BH106*BI106</f>
        <v>0</v>
      </c>
      <c r="BL106">
        <f>(BJ106-BB106)/BI106</f>
        <v>0</v>
      </c>
      <c r="BM106">
        <f>(AZ106-BF106)/BF106</f>
        <v>0</v>
      </c>
      <c r="BN106">
        <f>AY106/(BA106+AY106/BF106)</f>
        <v>0</v>
      </c>
      <c r="BO106" t="s">
        <v>437</v>
      </c>
      <c r="BP106">
        <v>0</v>
      </c>
      <c r="BQ106">
        <f>IF(BP106&lt;&gt;0, BP106, BN106)</f>
        <v>0</v>
      </c>
      <c r="BR106">
        <f>1-BQ106/BF106</f>
        <v>0</v>
      </c>
      <c r="BS106">
        <f>(BF106-BE106)/(BF106-BQ106)</f>
        <v>0</v>
      </c>
      <c r="BT106">
        <f>(AZ106-BF106)/(AZ106-BQ106)</f>
        <v>0</v>
      </c>
      <c r="BU106">
        <f>(BF106-BE106)/(BF106-AY106)</f>
        <v>0</v>
      </c>
      <c r="BV106">
        <f>(AZ106-BF106)/(AZ106-AY106)</f>
        <v>0</v>
      </c>
      <c r="BW106">
        <f>(BS106*BQ106/BE106)</f>
        <v>0</v>
      </c>
      <c r="BX106">
        <f>(1-BW106)</f>
        <v>0</v>
      </c>
      <c r="DG106">
        <f>$B$13*EF106+$C$13*EG106+$F$13*ER106*(1-EU106)</f>
        <v>0</v>
      </c>
      <c r="DH106">
        <f>DG106*DI106</f>
        <v>0</v>
      </c>
      <c r="DI106">
        <f>($B$13*$D$11+$C$13*$D$11+$F$13*((FE106+EW106)/MAX(FE106+EW106+FF106, 0.1)*$I$11+FF106/MAX(FE106+EW106+FF106, 0.1)*$J$11))/($B$13+$C$13+$F$13)</f>
        <v>0</v>
      </c>
      <c r="DJ106">
        <f>($B$13*$K$11+$C$13*$K$11+$F$13*((FE106+EW106)/MAX(FE106+EW106+FF106, 0.1)*$P$11+FF106/MAX(FE106+EW106+FF106, 0.1)*$Q$11))/($B$13+$C$13+$F$13)</f>
        <v>0</v>
      </c>
      <c r="DK106">
        <v>5.66</v>
      </c>
      <c r="DL106">
        <v>0.5</v>
      </c>
      <c r="DM106" t="s">
        <v>438</v>
      </c>
      <c r="DN106">
        <v>2</v>
      </c>
      <c r="DO106" t="b">
        <v>1</v>
      </c>
      <c r="DP106">
        <v>1765312415.599999</v>
      </c>
      <c r="DQ106">
        <v>0.5084307096774194</v>
      </c>
      <c r="DR106">
        <v>0.1810938064516129</v>
      </c>
      <c r="DS106">
        <v>17.59550967741935</v>
      </c>
      <c r="DT106">
        <v>17.52758709677419</v>
      </c>
      <c r="DU106">
        <v>0.6104307096774194</v>
      </c>
      <c r="DV106">
        <v>17.51650967741935</v>
      </c>
      <c r="DW106">
        <v>500.0208387096774</v>
      </c>
      <c r="DX106">
        <v>89.78433225806454</v>
      </c>
      <c r="DY106">
        <v>0.09999248387096774</v>
      </c>
      <c r="DZ106">
        <v>24.86668064516129</v>
      </c>
      <c r="EA106">
        <v>24.99495806451613</v>
      </c>
      <c r="EB106">
        <v>999.9000000000003</v>
      </c>
      <c r="EC106">
        <v>0</v>
      </c>
      <c r="ED106">
        <v>0</v>
      </c>
      <c r="EE106">
        <v>10002.27741935484</v>
      </c>
      <c r="EF106">
        <v>0</v>
      </c>
      <c r="EG106">
        <v>9.725316451612905</v>
      </c>
      <c r="EH106">
        <v>0.325857935483871</v>
      </c>
      <c r="EI106">
        <v>0.5160311612903227</v>
      </c>
      <c r="EJ106">
        <v>0.1843245161290323</v>
      </c>
      <c r="EK106">
        <v>0.06707597741935485</v>
      </c>
      <c r="EL106">
        <v>0.1810938064516129</v>
      </c>
      <c r="EM106">
        <v>17.52758709677419</v>
      </c>
      <c r="EN106">
        <v>1.579724193548387</v>
      </c>
      <c r="EO106">
        <v>1.573701935483871</v>
      </c>
      <c r="EP106">
        <v>13.76244193548387</v>
      </c>
      <c r="EQ106">
        <v>13.70367419354839</v>
      </c>
      <c r="ER106">
        <v>799.9978064516129</v>
      </c>
      <c r="ES106">
        <v>0.9499977096774193</v>
      </c>
      <c r="ET106">
        <v>0.05000228387096774</v>
      </c>
      <c r="EU106">
        <v>0</v>
      </c>
      <c r="EV106">
        <v>801.2502580645162</v>
      </c>
      <c r="EW106">
        <v>5.000779999999999</v>
      </c>
      <c r="EX106">
        <v>6024.720322580646</v>
      </c>
      <c r="EY106">
        <v>6463.394838709675</v>
      </c>
      <c r="EZ106">
        <v>35.96948387096774</v>
      </c>
      <c r="FA106">
        <v>38.34448387096772</v>
      </c>
      <c r="FB106">
        <v>37.46345161290322</v>
      </c>
      <c r="FC106">
        <v>37.91096774193549</v>
      </c>
      <c r="FD106">
        <v>37.57435483870967</v>
      </c>
      <c r="FE106">
        <v>755.2451612903226</v>
      </c>
      <c r="FF106">
        <v>39.74935483870968</v>
      </c>
      <c r="FG106">
        <v>0</v>
      </c>
      <c r="FH106">
        <v>1765312423.1</v>
      </c>
      <c r="FI106">
        <v>0</v>
      </c>
      <c r="FJ106">
        <v>801.2494</v>
      </c>
      <c r="FK106">
        <v>-0.716538476658232</v>
      </c>
      <c r="FL106">
        <v>-17.15538467626854</v>
      </c>
      <c r="FM106">
        <v>6024.563599999999</v>
      </c>
      <c r="FN106">
        <v>15</v>
      </c>
      <c r="FO106">
        <v>1765312442.1</v>
      </c>
      <c r="FP106" t="s">
        <v>712</v>
      </c>
      <c r="FQ106">
        <v>1765312442.1</v>
      </c>
      <c r="FR106">
        <v>1765312439.6</v>
      </c>
      <c r="FS106">
        <v>89</v>
      </c>
      <c r="FT106">
        <v>0.001</v>
      </c>
      <c r="FU106">
        <v>0.002</v>
      </c>
      <c r="FV106">
        <v>-0.102</v>
      </c>
      <c r="FW106">
        <v>0.079</v>
      </c>
      <c r="FX106">
        <v>0</v>
      </c>
      <c r="FY106">
        <v>17</v>
      </c>
      <c r="FZ106">
        <v>0.4</v>
      </c>
      <c r="GA106">
        <v>0.18</v>
      </c>
      <c r="GB106">
        <v>0.3244759268292683</v>
      </c>
      <c r="GC106">
        <v>0.03095422996515767</v>
      </c>
      <c r="GD106">
        <v>0.0127816371759288</v>
      </c>
      <c r="GE106">
        <v>1</v>
      </c>
      <c r="GF106">
        <v>801.3073235294119</v>
      </c>
      <c r="GG106">
        <v>-1.148892284126647</v>
      </c>
      <c r="GH106">
        <v>0.2798641183511758</v>
      </c>
      <c r="GI106">
        <v>0</v>
      </c>
      <c r="GJ106">
        <v>0.06198311219512195</v>
      </c>
      <c r="GK106">
        <v>0.09759003135888503</v>
      </c>
      <c r="GL106">
        <v>0.009826673556918512</v>
      </c>
      <c r="GM106">
        <v>1</v>
      </c>
      <c r="GN106">
        <v>2</v>
      </c>
      <c r="GO106">
        <v>3</v>
      </c>
      <c r="GP106" t="s">
        <v>453</v>
      </c>
      <c r="GQ106">
        <v>3.10824</v>
      </c>
      <c r="GR106">
        <v>2.79156</v>
      </c>
      <c r="GS106">
        <v>0.00016611</v>
      </c>
      <c r="GT106">
        <v>4.77419E-05</v>
      </c>
      <c r="GU106">
        <v>0.0865134</v>
      </c>
      <c r="GV106">
        <v>0.0870403</v>
      </c>
      <c r="GW106">
        <v>26234.2</v>
      </c>
      <c r="GX106">
        <v>23824.3</v>
      </c>
      <c r="GY106">
        <v>26796</v>
      </c>
      <c r="GZ106">
        <v>24031.8</v>
      </c>
      <c r="HA106">
        <v>39110</v>
      </c>
      <c r="HB106">
        <v>32374.2</v>
      </c>
      <c r="HC106">
        <v>46769</v>
      </c>
      <c r="HD106">
        <v>38006.4</v>
      </c>
      <c r="HE106">
        <v>1.81562</v>
      </c>
      <c r="HF106">
        <v>1.8554</v>
      </c>
      <c r="HG106">
        <v>0.0736415</v>
      </c>
      <c r="HH106">
        <v>0</v>
      </c>
      <c r="HI106">
        <v>23.7826</v>
      </c>
      <c r="HJ106">
        <v>999.9</v>
      </c>
      <c r="HK106">
        <v>40.5</v>
      </c>
      <c r="HL106">
        <v>31.3</v>
      </c>
      <c r="HM106">
        <v>20.6999</v>
      </c>
      <c r="HN106">
        <v>61.3367</v>
      </c>
      <c r="HO106">
        <v>27.8325</v>
      </c>
      <c r="HP106">
        <v>1</v>
      </c>
      <c r="HQ106">
        <v>0.0223933</v>
      </c>
      <c r="HR106">
        <v>0.596373</v>
      </c>
      <c r="HS106">
        <v>20.2929</v>
      </c>
      <c r="HT106">
        <v>5.21999</v>
      </c>
      <c r="HU106">
        <v>11.9779</v>
      </c>
      <c r="HV106">
        <v>4.9653</v>
      </c>
      <c r="HW106">
        <v>3.27515</v>
      </c>
      <c r="HX106">
        <v>9999</v>
      </c>
      <c r="HY106">
        <v>9999</v>
      </c>
      <c r="HZ106">
        <v>9999</v>
      </c>
      <c r="IA106">
        <v>999.9</v>
      </c>
      <c r="IB106">
        <v>1.86393</v>
      </c>
      <c r="IC106">
        <v>1.86006</v>
      </c>
      <c r="ID106">
        <v>1.85838</v>
      </c>
      <c r="IE106">
        <v>1.85973</v>
      </c>
      <c r="IF106">
        <v>1.85987</v>
      </c>
      <c r="IG106">
        <v>1.85837</v>
      </c>
      <c r="IH106">
        <v>1.85745</v>
      </c>
      <c r="II106">
        <v>1.85242</v>
      </c>
      <c r="IJ106">
        <v>0</v>
      </c>
      <c r="IK106">
        <v>0</v>
      </c>
      <c r="IL106">
        <v>0</v>
      </c>
      <c r="IM106">
        <v>0</v>
      </c>
      <c r="IN106" t="s">
        <v>441</v>
      </c>
      <c r="IO106" t="s">
        <v>442</v>
      </c>
      <c r="IP106" t="s">
        <v>443</v>
      </c>
      <c r="IQ106" t="s">
        <v>443</v>
      </c>
      <c r="IR106" t="s">
        <v>443</v>
      </c>
      <c r="IS106" t="s">
        <v>443</v>
      </c>
      <c r="IT106">
        <v>0</v>
      </c>
      <c r="IU106">
        <v>100</v>
      </c>
      <c r="IV106">
        <v>100</v>
      </c>
      <c r="IW106">
        <v>-0.102</v>
      </c>
      <c r="IX106">
        <v>0.079</v>
      </c>
      <c r="IY106">
        <v>-0.1035763572897255</v>
      </c>
      <c r="IZ106">
        <v>0.0001583678016168383</v>
      </c>
      <c r="JA106">
        <v>1.526473431467286E-06</v>
      </c>
      <c r="JB106">
        <v>-4.446382740029455E-10</v>
      </c>
      <c r="JC106">
        <v>-0.04239796880239413</v>
      </c>
      <c r="JD106">
        <v>-0.009941991807247691</v>
      </c>
      <c r="JE106">
        <v>0.001256427533001032</v>
      </c>
      <c r="JF106">
        <v>-1.689728105039484E-05</v>
      </c>
      <c r="JG106">
        <v>2</v>
      </c>
      <c r="JH106">
        <v>1984</v>
      </c>
      <c r="JI106">
        <v>0</v>
      </c>
      <c r="JJ106">
        <v>25</v>
      </c>
      <c r="JK106">
        <v>1.5</v>
      </c>
      <c r="JL106">
        <v>1.5</v>
      </c>
      <c r="JM106">
        <v>0.0292969</v>
      </c>
      <c r="JN106">
        <v>4.99634</v>
      </c>
      <c r="JO106">
        <v>1.49658</v>
      </c>
      <c r="JP106">
        <v>2.34497</v>
      </c>
      <c r="JQ106">
        <v>1.54907</v>
      </c>
      <c r="JR106">
        <v>2.41455</v>
      </c>
      <c r="JS106">
        <v>35.5683</v>
      </c>
      <c r="JT106">
        <v>24.1138</v>
      </c>
      <c r="JU106">
        <v>18</v>
      </c>
      <c r="JV106">
        <v>438.96</v>
      </c>
      <c r="JW106">
        <v>487.125</v>
      </c>
      <c r="JX106">
        <v>23.5035</v>
      </c>
      <c r="JY106">
        <v>27.4799</v>
      </c>
      <c r="JZ106">
        <v>29.9998</v>
      </c>
      <c r="KA106">
        <v>27.7957</v>
      </c>
      <c r="KB106">
        <v>27.8092</v>
      </c>
      <c r="KC106">
        <v>0</v>
      </c>
      <c r="KD106">
        <v>16.0264</v>
      </c>
      <c r="KE106">
        <v>39.1505</v>
      </c>
      <c r="KF106">
        <v>23.5046</v>
      </c>
      <c r="KG106">
        <v>0</v>
      </c>
      <c r="KH106">
        <v>17.5114</v>
      </c>
      <c r="KI106">
        <v>102.275</v>
      </c>
      <c r="KJ106">
        <v>91.6708</v>
      </c>
    </row>
    <row r="107" spans="1:296">
      <c r="A107">
        <v>89</v>
      </c>
      <c r="B107">
        <v>1765312533.1</v>
      </c>
      <c r="C107">
        <v>15100.09999990463</v>
      </c>
      <c r="D107" t="s">
        <v>713</v>
      </c>
      <c r="E107" t="s">
        <v>714</v>
      </c>
      <c r="F107">
        <v>5</v>
      </c>
      <c r="G107" t="s">
        <v>696</v>
      </c>
      <c r="H107">
        <v>1765312525.099999</v>
      </c>
      <c r="I107">
        <f>(J107)/1000</f>
        <v>0</v>
      </c>
      <c r="J107">
        <f>IF(DO107, AM107, AG107)</f>
        <v>0</v>
      </c>
      <c r="K107">
        <f>IF(DO107, AH107, AF107)</f>
        <v>0</v>
      </c>
      <c r="L107">
        <f>DQ107 - IF(AT107&gt;1, K107*DK107*100.0/(AV107), 0)</f>
        <v>0</v>
      </c>
      <c r="M107">
        <f>((S107-I107/2)*L107-K107)/(S107+I107/2)</f>
        <v>0</v>
      </c>
      <c r="N107">
        <f>M107*(DX107+DY107)/1000.0</f>
        <v>0</v>
      </c>
      <c r="O107">
        <f>(DQ107 - IF(AT107&gt;1, K107*DK107*100.0/(AV107), 0))*(DX107+DY107)/1000.0</f>
        <v>0</v>
      </c>
      <c r="P107">
        <f>2.0/((1/R107-1/Q107)+SIGN(R107)*SQRT((1/R107-1/Q107)*(1/R107-1/Q107) + 4*DL107/((DL107+1)*(DL107+1))*(2*1/R107*1/Q107-1/Q107*1/Q107)))</f>
        <v>0</v>
      </c>
      <c r="Q107">
        <f>IF(LEFT(DM107,1)&lt;&gt;"0",IF(LEFT(DM107,1)="1",3.0,DN107),$D$5+$E$5*(EE107*DX107/($K$5*1000))+$F$5*(EE107*DX107/($K$5*1000))*MAX(MIN(DK107,$J$5),$I$5)*MAX(MIN(DK107,$J$5),$I$5)+$G$5*MAX(MIN(DK107,$J$5),$I$5)*(EE107*DX107/($K$5*1000))+$H$5*(EE107*DX107/($K$5*1000))*(EE107*DX107/($K$5*1000)))</f>
        <v>0</v>
      </c>
      <c r="R107">
        <f>I107*(1000-(1000*0.61365*exp(17.502*V107/(240.97+V107))/(DX107+DY107)+DS107)/2)/(1000*0.61365*exp(17.502*V107/(240.97+V107))/(DX107+DY107)-DS107)</f>
        <v>0</v>
      </c>
      <c r="S107">
        <f>1/((DL107+1)/(P107/1.6)+1/(Q107/1.37)) + DL107/((DL107+1)/(P107/1.6) + DL107/(Q107/1.37))</f>
        <v>0</v>
      </c>
      <c r="T107">
        <f>(DG107*DJ107)</f>
        <v>0</v>
      </c>
      <c r="U107">
        <f>(DZ107+(T107+2*0.95*5.67E-8*(((DZ107+$B$9)+273)^4-(DZ107+273)^4)-44100*I107)/(1.84*29.3*Q107+8*0.95*5.67E-8*(DZ107+273)^3))</f>
        <v>0</v>
      </c>
      <c r="V107">
        <f>($C$9*EA107+$D$9*EB107+$E$9*U107)</f>
        <v>0</v>
      </c>
      <c r="W107">
        <f>0.61365*exp(17.502*V107/(240.97+V107))</f>
        <v>0</v>
      </c>
      <c r="X107">
        <f>(Y107/Z107*100)</f>
        <v>0</v>
      </c>
      <c r="Y107">
        <f>DS107*(DX107+DY107)/1000</f>
        <v>0</v>
      </c>
      <c r="Z107">
        <f>0.61365*exp(17.502*DZ107/(240.97+DZ107))</f>
        <v>0</v>
      </c>
      <c r="AA107">
        <f>(W107-DS107*(DX107+DY107)/1000)</f>
        <v>0</v>
      </c>
      <c r="AB107">
        <f>(-I107*44100)</f>
        <v>0</v>
      </c>
      <c r="AC107">
        <f>2*29.3*Q107*0.92*(DZ107-V107)</f>
        <v>0</v>
      </c>
      <c r="AD107">
        <f>2*0.95*5.67E-8*(((DZ107+$B$9)+273)^4-(V107+273)^4)</f>
        <v>0</v>
      </c>
      <c r="AE107">
        <f>T107+AD107+AB107+AC107</f>
        <v>0</v>
      </c>
      <c r="AF107">
        <f>DW107*AT107*(DR107-DQ107*(1000-AT107*DT107)/(1000-AT107*DS107))/(100*DK107)</f>
        <v>0</v>
      </c>
      <c r="AG107">
        <f>1000*DW107*AT107*(DS107-DT107)/(100*DK107*(1000-AT107*DS107))</f>
        <v>0</v>
      </c>
      <c r="AH107">
        <f>(AI107 - AJ107 - DX107*1E3/(8.314*(DZ107+273.15)) * AL107/DW107 * AK107) * DW107/(100*DK107) * (1000 - DT107)/1000</f>
        <v>0</v>
      </c>
      <c r="AI107">
        <v>407.2701973631311</v>
      </c>
      <c r="AJ107">
        <v>407.3651393939396</v>
      </c>
      <c r="AK107">
        <v>0.004071684668393163</v>
      </c>
      <c r="AL107">
        <v>65.03214567938804</v>
      </c>
      <c r="AM107">
        <f>(AO107 - AN107 + DX107*1E3/(8.314*(DZ107+273.15)) * AQ107/DW107 * AP107) * DW107/(100*DK107) * 1000/(1000 - AO107)</f>
        <v>0</v>
      </c>
      <c r="AN107">
        <v>17.41498121212122</v>
      </c>
      <c r="AO107">
        <v>17.52219878787878</v>
      </c>
      <c r="AP107">
        <v>-0.000237022977023625</v>
      </c>
      <c r="AQ107">
        <v>103.4276225563434</v>
      </c>
      <c r="AR107">
        <v>35</v>
      </c>
      <c r="AS107">
        <v>7</v>
      </c>
      <c r="AT107">
        <f>IF(AR107*$H$15&gt;=AV107,1.0,(AV107/(AV107-AR107*$H$15)))</f>
        <v>0</v>
      </c>
      <c r="AU107">
        <f>(AT107-1)*100</f>
        <v>0</v>
      </c>
      <c r="AV107">
        <f>MAX(0,($B$15+$C$15*EE107)/(1+$D$15*EE107)*DX107/(DZ107+273)*$E$15)</f>
        <v>0</v>
      </c>
      <c r="AW107" t="s">
        <v>437</v>
      </c>
      <c r="AX107" t="s">
        <v>437</v>
      </c>
      <c r="AY107">
        <v>0</v>
      </c>
      <c r="AZ107">
        <v>0</v>
      </c>
      <c r="BA107">
        <f>1-AY107/AZ107</f>
        <v>0</v>
      </c>
      <c r="BB107">
        <v>0</v>
      </c>
      <c r="BC107" t="s">
        <v>437</v>
      </c>
      <c r="BD107" t="s">
        <v>437</v>
      </c>
      <c r="BE107">
        <v>0</v>
      </c>
      <c r="BF107">
        <v>0</v>
      </c>
      <c r="BG107">
        <f>1-BE107/BF107</f>
        <v>0</v>
      </c>
      <c r="BH107">
        <v>0.5</v>
      </c>
      <c r="BI107">
        <f>DH107</f>
        <v>0</v>
      </c>
      <c r="BJ107">
        <f>K107</f>
        <v>0</v>
      </c>
      <c r="BK107">
        <f>BG107*BH107*BI107</f>
        <v>0</v>
      </c>
      <c r="BL107">
        <f>(BJ107-BB107)/BI107</f>
        <v>0</v>
      </c>
      <c r="BM107">
        <f>(AZ107-BF107)/BF107</f>
        <v>0</v>
      </c>
      <c r="BN107">
        <f>AY107/(BA107+AY107/BF107)</f>
        <v>0</v>
      </c>
      <c r="BO107" t="s">
        <v>437</v>
      </c>
      <c r="BP107">
        <v>0</v>
      </c>
      <c r="BQ107">
        <f>IF(BP107&lt;&gt;0, BP107, BN107)</f>
        <v>0</v>
      </c>
      <c r="BR107">
        <f>1-BQ107/BF107</f>
        <v>0</v>
      </c>
      <c r="BS107">
        <f>(BF107-BE107)/(BF107-BQ107)</f>
        <v>0</v>
      </c>
      <c r="BT107">
        <f>(AZ107-BF107)/(AZ107-BQ107)</f>
        <v>0</v>
      </c>
      <c r="BU107">
        <f>(BF107-BE107)/(BF107-AY107)</f>
        <v>0</v>
      </c>
      <c r="BV107">
        <f>(AZ107-BF107)/(AZ107-AY107)</f>
        <v>0</v>
      </c>
      <c r="BW107">
        <f>(BS107*BQ107/BE107)</f>
        <v>0</v>
      </c>
      <c r="BX107">
        <f>(1-BW107)</f>
        <v>0</v>
      </c>
      <c r="DG107">
        <f>$B$13*EF107+$C$13*EG107+$F$13*ER107*(1-EU107)</f>
        <v>0</v>
      </c>
      <c r="DH107">
        <f>DG107*DI107</f>
        <v>0</v>
      </c>
      <c r="DI107">
        <f>($B$13*$D$11+$C$13*$D$11+$F$13*((FE107+EW107)/MAX(FE107+EW107+FF107, 0.1)*$I$11+FF107/MAX(FE107+EW107+FF107, 0.1)*$J$11))/($B$13+$C$13+$F$13)</f>
        <v>0</v>
      </c>
      <c r="DJ107">
        <f>($B$13*$K$11+$C$13*$K$11+$F$13*((FE107+EW107)/MAX(FE107+EW107+FF107, 0.1)*$P$11+FF107/MAX(FE107+EW107+FF107, 0.1)*$Q$11))/($B$13+$C$13+$F$13)</f>
        <v>0</v>
      </c>
      <c r="DK107">
        <v>5.66</v>
      </c>
      <c r="DL107">
        <v>0.5</v>
      </c>
      <c r="DM107" t="s">
        <v>438</v>
      </c>
      <c r="DN107">
        <v>2</v>
      </c>
      <c r="DO107" t="b">
        <v>1</v>
      </c>
      <c r="DP107">
        <v>1765312525.099999</v>
      </c>
      <c r="DQ107">
        <v>400.1159032258066</v>
      </c>
      <c r="DR107">
        <v>400.222935483871</v>
      </c>
      <c r="DS107">
        <v>17.5424</v>
      </c>
      <c r="DT107">
        <v>17.42872580645162</v>
      </c>
      <c r="DU107">
        <v>400.0849032258066</v>
      </c>
      <c r="DV107">
        <v>17.4674</v>
      </c>
      <c r="DW107">
        <v>500.0297096774194</v>
      </c>
      <c r="DX107">
        <v>89.78753870967742</v>
      </c>
      <c r="DY107">
        <v>0.1000230096774194</v>
      </c>
      <c r="DZ107">
        <v>24.86873548387096</v>
      </c>
      <c r="EA107">
        <v>25.00445806451613</v>
      </c>
      <c r="EB107">
        <v>999.9000000000003</v>
      </c>
      <c r="EC107">
        <v>0</v>
      </c>
      <c r="ED107">
        <v>0</v>
      </c>
      <c r="EE107">
        <v>9995.018387096772</v>
      </c>
      <c r="EF107">
        <v>0</v>
      </c>
      <c r="EG107">
        <v>9.77497</v>
      </c>
      <c r="EH107">
        <v>0.03875239483870967</v>
      </c>
      <c r="EI107">
        <v>407.4105161290323</v>
      </c>
      <c r="EJ107">
        <v>407.3220000000001</v>
      </c>
      <c r="EK107">
        <v>0.1183871935483871</v>
      </c>
      <c r="EL107">
        <v>400.222935483871</v>
      </c>
      <c r="EM107">
        <v>17.42872580645162</v>
      </c>
      <c r="EN107">
        <v>1.575512258064516</v>
      </c>
      <c r="EO107">
        <v>1.564882903225807</v>
      </c>
      <c r="EP107">
        <v>13.72136451612903</v>
      </c>
      <c r="EQ107">
        <v>13.61728064516129</v>
      </c>
      <c r="ER107">
        <v>799.9630645161292</v>
      </c>
      <c r="ES107">
        <v>0.9499948064516128</v>
      </c>
      <c r="ET107">
        <v>0.05000510967741935</v>
      </c>
      <c r="EU107">
        <v>0</v>
      </c>
      <c r="EV107">
        <v>797.8717419354838</v>
      </c>
      <c r="EW107">
        <v>5.000779999999999</v>
      </c>
      <c r="EX107">
        <v>6005.942258064515</v>
      </c>
      <c r="EY107">
        <v>6463.106129032256</v>
      </c>
      <c r="EZ107">
        <v>36.21148387096773</v>
      </c>
      <c r="FA107">
        <v>39.31025806451612</v>
      </c>
      <c r="FB107">
        <v>38.09854838709677</v>
      </c>
      <c r="FC107">
        <v>39.00780645161289</v>
      </c>
      <c r="FD107">
        <v>38.56622580645161</v>
      </c>
      <c r="FE107">
        <v>755.2103225806453</v>
      </c>
      <c r="FF107">
        <v>39.75129032258064</v>
      </c>
      <c r="FG107">
        <v>0</v>
      </c>
      <c r="FH107">
        <v>1765312532.3</v>
      </c>
      <c r="FI107">
        <v>0</v>
      </c>
      <c r="FJ107">
        <v>797.8334800000001</v>
      </c>
      <c r="FK107">
        <v>-3.280230773160186</v>
      </c>
      <c r="FL107">
        <v>-4.874615273809057</v>
      </c>
      <c r="FM107">
        <v>6006.151599999999</v>
      </c>
      <c r="FN107">
        <v>15</v>
      </c>
      <c r="FO107">
        <v>1765312550.6</v>
      </c>
      <c r="FP107" t="s">
        <v>715</v>
      </c>
      <c r="FQ107">
        <v>1765312545.6</v>
      </c>
      <c r="FR107">
        <v>1765312550.6</v>
      </c>
      <c r="FS107">
        <v>90</v>
      </c>
      <c r="FT107">
        <v>-0.146</v>
      </c>
      <c r="FU107">
        <v>-0.002</v>
      </c>
      <c r="FV107">
        <v>0.031</v>
      </c>
      <c r="FW107">
        <v>0.075</v>
      </c>
      <c r="FX107">
        <v>400</v>
      </c>
      <c r="FY107">
        <v>17</v>
      </c>
      <c r="FZ107">
        <v>0.4</v>
      </c>
      <c r="GA107">
        <v>0.24</v>
      </c>
      <c r="GB107">
        <v>0.0598632435</v>
      </c>
      <c r="GC107">
        <v>-0.3167871343339592</v>
      </c>
      <c r="GD107">
        <v>0.04820786578306586</v>
      </c>
      <c r="GE107">
        <v>1</v>
      </c>
      <c r="GF107">
        <v>797.987294117647</v>
      </c>
      <c r="GG107">
        <v>-2.606722687673658</v>
      </c>
      <c r="GH107">
        <v>0.3160249924416502</v>
      </c>
      <c r="GI107">
        <v>0</v>
      </c>
      <c r="GJ107">
        <v>0.113995755</v>
      </c>
      <c r="GK107">
        <v>0.02162888330206372</v>
      </c>
      <c r="GL107">
        <v>0.01364637888236198</v>
      </c>
      <c r="GM107">
        <v>1</v>
      </c>
      <c r="GN107">
        <v>2</v>
      </c>
      <c r="GO107">
        <v>3</v>
      </c>
      <c r="GP107" t="s">
        <v>453</v>
      </c>
      <c r="GQ107">
        <v>3.10833</v>
      </c>
      <c r="GR107">
        <v>2.79163</v>
      </c>
      <c r="GS107">
        <v>0.0844061</v>
      </c>
      <c r="GT107">
        <v>0.08445569999999999</v>
      </c>
      <c r="GU107">
        <v>0.08627460000000001</v>
      </c>
      <c r="GV107">
        <v>0.08669</v>
      </c>
      <c r="GW107">
        <v>24026.7</v>
      </c>
      <c r="GX107">
        <v>21814.9</v>
      </c>
      <c r="GY107">
        <v>26799.2</v>
      </c>
      <c r="GZ107">
        <v>24033.7</v>
      </c>
      <c r="HA107">
        <v>39135.7</v>
      </c>
      <c r="HB107">
        <v>32397.3</v>
      </c>
      <c r="HC107">
        <v>46774.9</v>
      </c>
      <c r="HD107">
        <v>38008.8</v>
      </c>
      <c r="HE107">
        <v>1.8167</v>
      </c>
      <c r="HF107">
        <v>1.85765</v>
      </c>
      <c r="HG107">
        <v>0.07462870000000001</v>
      </c>
      <c r="HH107">
        <v>0</v>
      </c>
      <c r="HI107">
        <v>23.7928</v>
      </c>
      <c r="HJ107">
        <v>999.9</v>
      </c>
      <c r="HK107">
        <v>40.3</v>
      </c>
      <c r="HL107">
        <v>31.3</v>
      </c>
      <c r="HM107">
        <v>20.5982</v>
      </c>
      <c r="HN107">
        <v>61.5267</v>
      </c>
      <c r="HO107">
        <v>27.6603</v>
      </c>
      <c r="HP107">
        <v>1</v>
      </c>
      <c r="HQ107">
        <v>0.0164736</v>
      </c>
      <c r="HR107">
        <v>0.604779</v>
      </c>
      <c r="HS107">
        <v>20.2955</v>
      </c>
      <c r="HT107">
        <v>5.22283</v>
      </c>
      <c r="HU107">
        <v>11.9791</v>
      </c>
      <c r="HV107">
        <v>4.9656</v>
      </c>
      <c r="HW107">
        <v>3.27595</v>
      </c>
      <c r="HX107">
        <v>9999</v>
      </c>
      <c r="HY107">
        <v>9999</v>
      </c>
      <c r="HZ107">
        <v>9999</v>
      </c>
      <c r="IA107">
        <v>999.9</v>
      </c>
      <c r="IB107">
        <v>1.86386</v>
      </c>
      <c r="IC107">
        <v>1.86005</v>
      </c>
      <c r="ID107">
        <v>1.85837</v>
      </c>
      <c r="IE107">
        <v>1.85967</v>
      </c>
      <c r="IF107">
        <v>1.85983</v>
      </c>
      <c r="IG107">
        <v>1.85837</v>
      </c>
      <c r="IH107">
        <v>1.85743</v>
      </c>
      <c r="II107">
        <v>1.85238</v>
      </c>
      <c r="IJ107">
        <v>0</v>
      </c>
      <c r="IK107">
        <v>0</v>
      </c>
      <c r="IL107">
        <v>0</v>
      </c>
      <c r="IM107">
        <v>0</v>
      </c>
      <c r="IN107" t="s">
        <v>441</v>
      </c>
      <c r="IO107" t="s">
        <v>442</v>
      </c>
      <c r="IP107" t="s">
        <v>443</v>
      </c>
      <c r="IQ107" t="s">
        <v>443</v>
      </c>
      <c r="IR107" t="s">
        <v>443</v>
      </c>
      <c r="IS107" t="s">
        <v>443</v>
      </c>
      <c r="IT107">
        <v>0</v>
      </c>
      <c r="IU107">
        <v>100</v>
      </c>
      <c r="IV107">
        <v>100</v>
      </c>
      <c r="IW107">
        <v>0.031</v>
      </c>
      <c r="IX107">
        <v>0.075</v>
      </c>
      <c r="IY107">
        <v>-0.102457770682609</v>
      </c>
      <c r="IZ107">
        <v>0.0001583678016168383</v>
      </c>
      <c r="JA107">
        <v>1.526473431467286E-06</v>
      </c>
      <c r="JB107">
        <v>-4.446382740029455E-10</v>
      </c>
      <c r="JC107">
        <v>-0.03993061111737703</v>
      </c>
      <c r="JD107">
        <v>-0.009941991807247691</v>
      </c>
      <c r="JE107">
        <v>0.001256427533001032</v>
      </c>
      <c r="JF107">
        <v>-1.689728105039484E-05</v>
      </c>
      <c r="JG107">
        <v>2</v>
      </c>
      <c r="JH107">
        <v>1984</v>
      </c>
      <c r="JI107">
        <v>0</v>
      </c>
      <c r="JJ107">
        <v>25</v>
      </c>
      <c r="JK107">
        <v>1.5</v>
      </c>
      <c r="JL107">
        <v>1.6</v>
      </c>
      <c r="JM107">
        <v>1.09863</v>
      </c>
      <c r="JN107">
        <v>2.64404</v>
      </c>
      <c r="JO107">
        <v>1.49658</v>
      </c>
      <c r="JP107">
        <v>2.34619</v>
      </c>
      <c r="JQ107">
        <v>1.54907</v>
      </c>
      <c r="JR107">
        <v>2.35107</v>
      </c>
      <c r="JS107">
        <v>35.5683</v>
      </c>
      <c r="JT107">
        <v>24.1313</v>
      </c>
      <c r="JU107">
        <v>18</v>
      </c>
      <c r="JV107">
        <v>439.022</v>
      </c>
      <c r="JW107">
        <v>487.987</v>
      </c>
      <c r="JX107">
        <v>23.4915</v>
      </c>
      <c r="JY107">
        <v>27.3987</v>
      </c>
      <c r="JZ107">
        <v>29.9999</v>
      </c>
      <c r="KA107">
        <v>27.7209</v>
      </c>
      <c r="KB107">
        <v>27.7382</v>
      </c>
      <c r="KC107">
        <v>22.103</v>
      </c>
      <c r="KD107">
        <v>16.2998</v>
      </c>
      <c r="KE107">
        <v>39.5229</v>
      </c>
      <c r="KF107">
        <v>23.4919</v>
      </c>
      <c r="KG107">
        <v>400</v>
      </c>
      <c r="KH107">
        <v>17.4472</v>
      </c>
      <c r="KI107">
        <v>102.287</v>
      </c>
      <c r="KJ107">
        <v>91.6771</v>
      </c>
    </row>
    <row r="108" spans="1:296">
      <c r="A108">
        <v>90</v>
      </c>
      <c r="B108">
        <v>1765312641.6</v>
      </c>
      <c r="C108">
        <v>15208.59999990463</v>
      </c>
      <c r="D108" t="s">
        <v>716</v>
      </c>
      <c r="E108" t="s">
        <v>717</v>
      </c>
      <c r="F108">
        <v>5</v>
      </c>
      <c r="G108" t="s">
        <v>696</v>
      </c>
      <c r="H108">
        <v>1765312633.599999</v>
      </c>
      <c r="I108">
        <f>(J108)/1000</f>
        <v>0</v>
      </c>
      <c r="J108">
        <f>IF(DO108, AM108, AG108)</f>
        <v>0</v>
      </c>
      <c r="K108">
        <f>IF(DO108, AH108, AF108)</f>
        <v>0</v>
      </c>
      <c r="L108">
        <f>DQ108 - IF(AT108&gt;1, K108*DK108*100.0/(AV108), 0)</f>
        <v>0</v>
      </c>
      <c r="M108">
        <f>((S108-I108/2)*L108-K108)/(S108+I108/2)</f>
        <v>0</v>
      </c>
      <c r="N108">
        <f>M108*(DX108+DY108)/1000.0</f>
        <v>0</v>
      </c>
      <c r="O108">
        <f>(DQ108 - IF(AT108&gt;1, K108*DK108*100.0/(AV108), 0))*(DX108+DY108)/1000.0</f>
        <v>0</v>
      </c>
      <c r="P108">
        <f>2.0/((1/R108-1/Q108)+SIGN(R108)*SQRT((1/R108-1/Q108)*(1/R108-1/Q108) + 4*DL108/((DL108+1)*(DL108+1))*(2*1/R108*1/Q108-1/Q108*1/Q108)))</f>
        <v>0</v>
      </c>
      <c r="Q108">
        <f>IF(LEFT(DM108,1)&lt;&gt;"0",IF(LEFT(DM108,1)="1",3.0,DN108),$D$5+$E$5*(EE108*DX108/($K$5*1000))+$F$5*(EE108*DX108/($K$5*1000))*MAX(MIN(DK108,$J$5),$I$5)*MAX(MIN(DK108,$J$5),$I$5)+$G$5*MAX(MIN(DK108,$J$5),$I$5)*(EE108*DX108/($K$5*1000))+$H$5*(EE108*DX108/($K$5*1000))*(EE108*DX108/($K$5*1000)))</f>
        <v>0</v>
      </c>
      <c r="R108">
        <f>I108*(1000-(1000*0.61365*exp(17.502*V108/(240.97+V108))/(DX108+DY108)+DS108)/2)/(1000*0.61365*exp(17.502*V108/(240.97+V108))/(DX108+DY108)-DS108)</f>
        <v>0</v>
      </c>
      <c r="S108">
        <f>1/((DL108+1)/(P108/1.6)+1/(Q108/1.37)) + DL108/((DL108+1)/(P108/1.6) + DL108/(Q108/1.37))</f>
        <v>0</v>
      </c>
      <c r="T108">
        <f>(DG108*DJ108)</f>
        <v>0</v>
      </c>
      <c r="U108">
        <f>(DZ108+(T108+2*0.95*5.67E-8*(((DZ108+$B$9)+273)^4-(DZ108+273)^4)-44100*I108)/(1.84*29.3*Q108+8*0.95*5.67E-8*(DZ108+273)^3))</f>
        <v>0</v>
      </c>
      <c r="V108">
        <f>($C$9*EA108+$D$9*EB108+$E$9*U108)</f>
        <v>0</v>
      </c>
      <c r="W108">
        <f>0.61365*exp(17.502*V108/(240.97+V108))</f>
        <v>0</v>
      </c>
      <c r="X108">
        <f>(Y108/Z108*100)</f>
        <v>0</v>
      </c>
      <c r="Y108">
        <f>DS108*(DX108+DY108)/1000</f>
        <v>0</v>
      </c>
      <c r="Z108">
        <f>0.61365*exp(17.502*DZ108/(240.97+DZ108))</f>
        <v>0</v>
      </c>
      <c r="AA108">
        <f>(W108-DS108*(DX108+DY108)/1000)</f>
        <v>0</v>
      </c>
      <c r="AB108">
        <f>(-I108*44100)</f>
        <v>0</v>
      </c>
      <c r="AC108">
        <f>2*29.3*Q108*0.92*(DZ108-V108)</f>
        <v>0</v>
      </c>
      <c r="AD108">
        <f>2*0.95*5.67E-8*(((DZ108+$B$9)+273)^4-(V108+273)^4)</f>
        <v>0</v>
      </c>
      <c r="AE108">
        <f>T108+AD108+AB108+AC108</f>
        <v>0</v>
      </c>
      <c r="AF108">
        <f>DW108*AT108*(DR108-DQ108*(1000-AT108*DT108)/(1000-AT108*DS108))/(100*DK108)</f>
        <v>0</v>
      </c>
      <c r="AG108">
        <f>1000*DW108*AT108*(DS108-DT108)/(100*DK108*(1000-AT108*DS108))</f>
        <v>0</v>
      </c>
      <c r="AH108">
        <f>(AI108 - AJ108 - DX108*1E3/(8.314*(DZ108+273.15)) * AL108/DW108 * AK108) * DW108/(100*DK108) * (1000 - DT108)/1000</f>
        <v>0</v>
      </c>
      <c r="AI108">
        <v>407.1327484427774</v>
      </c>
      <c r="AJ108">
        <v>407.1558606060606</v>
      </c>
      <c r="AK108">
        <v>-7.17163848080171E-05</v>
      </c>
      <c r="AL108">
        <v>65.67724110002278</v>
      </c>
      <c r="AM108">
        <f>(AO108 - AN108 + DX108*1E3/(8.314*(DZ108+273.15)) * AQ108/DW108 * AP108) * DW108/(100*DK108) * 1000/(1000 - AO108)</f>
        <v>0</v>
      </c>
      <c r="AN108">
        <v>17.45493212121212</v>
      </c>
      <c r="AO108">
        <v>17.53900666666667</v>
      </c>
      <c r="AP108">
        <v>-2.348318348332419E-05</v>
      </c>
      <c r="AQ108">
        <v>106.4490079242787</v>
      </c>
      <c r="AR108">
        <v>35</v>
      </c>
      <c r="AS108">
        <v>7</v>
      </c>
      <c r="AT108">
        <f>IF(AR108*$H$15&gt;=AV108,1.0,(AV108/(AV108-AR108*$H$15)))</f>
        <v>0</v>
      </c>
      <c r="AU108">
        <f>(AT108-1)*100</f>
        <v>0</v>
      </c>
      <c r="AV108">
        <f>MAX(0,($B$15+$C$15*EE108)/(1+$D$15*EE108)*DX108/(DZ108+273)*$E$15)</f>
        <v>0</v>
      </c>
      <c r="AW108" t="s">
        <v>437</v>
      </c>
      <c r="AX108" t="s">
        <v>437</v>
      </c>
      <c r="AY108">
        <v>0</v>
      </c>
      <c r="AZ108">
        <v>0</v>
      </c>
      <c r="BA108">
        <f>1-AY108/AZ108</f>
        <v>0</v>
      </c>
      <c r="BB108">
        <v>0</v>
      </c>
      <c r="BC108" t="s">
        <v>437</v>
      </c>
      <c r="BD108" t="s">
        <v>437</v>
      </c>
      <c r="BE108">
        <v>0</v>
      </c>
      <c r="BF108">
        <v>0</v>
      </c>
      <c r="BG108">
        <f>1-BE108/BF108</f>
        <v>0</v>
      </c>
      <c r="BH108">
        <v>0.5</v>
      </c>
      <c r="BI108">
        <f>DH108</f>
        <v>0</v>
      </c>
      <c r="BJ108">
        <f>K108</f>
        <v>0</v>
      </c>
      <c r="BK108">
        <f>BG108*BH108*BI108</f>
        <v>0</v>
      </c>
      <c r="BL108">
        <f>(BJ108-BB108)/BI108</f>
        <v>0</v>
      </c>
      <c r="BM108">
        <f>(AZ108-BF108)/BF108</f>
        <v>0</v>
      </c>
      <c r="BN108">
        <f>AY108/(BA108+AY108/BF108)</f>
        <v>0</v>
      </c>
      <c r="BO108" t="s">
        <v>437</v>
      </c>
      <c r="BP108">
        <v>0</v>
      </c>
      <c r="BQ108">
        <f>IF(BP108&lt;&gt;0, BP108, BN108)</f>
        <v>0</v>
      </c>
      <c r="BR108">
        <f>1-BQ108/BF108</f>
        <v>0</v>
      </c>
      <c r="BS108">
        <f>(BF108-BE108)/(BF108-BQ108)</f>
        <v>0</v>
      </c>
      <c r="BT108">
        <f>(AZ108-BF108)/(AZ108-BQ108)</f>
        <v>0</v>
      </c>
      <c r="BU108">
        <f>(BF108-BE108)/(BF108-AY108)</f>
        <v>0</v>
      </c>
      <c r="BV108">
        <f>(AZ108-BF108)/(AZ108-AY108)</f>
        <v>0</v>
      </c>
      <c r="BW108">
        <f>(BS108*BQ108/BE108)</f>
        <v>0</v>
      </c>
      <c r="BX108">
        <f>(1-BW108)</f>
        <v>0</v>
      </c>
      <c r="DG108">
        <f>$B$13*EF108+$C$13*EG108+$F$13*ER108*(1-EU108)</f>
        <v>0</v>
      </c>
      <c r="DH108">
        <f>DG108*DI108</f>
        <v>0</v>
      </c>
      <c r="DI108">
        <f>($B$13*$D$11+$C$13*$D$11+$F$13*((FE108+EW108)/MAX(FE108+EW108+FF108, 0.1)*$I$11+FF108/MAX(FE108+EW108+FF108, 0.1)*$J$11))/($B$13+$C$13+$F$13)</f>
        <v>0</v>
      </c>
      <c r="DJ108">
        <f>($B$13*$K$11+$C$13*$K$11+$F$13*((FE108+EW108)/MAX(FE108+EW108+FF108, 0.1)*$P$11+FF108/MAX(FE108+EW108+FF108, 0.1)*$Q$11))/($B$13+$C$13+$F$13)</f>
        <v>0</v>
      </c>
      <c r="DK108">
        <v>5.66</v>
      </c>
      <c r="DL108">
        <v>0.5</v>
      </c>
      <c r="DM108" t="s">
        <v>438</v>
      </c>
      <c r="DN108">
        <v>2</v>
      </c>
      <c r="DO108" t="b">
        <v>1</v>
      </c>
      <c r="DP108">
        <v>1765312633.599999</v>
      </c>
      <c r="DQ108">
        <v>400.0008387096775</v>
      </c>
      <c r="DR108">
        <v>400.0663870967742</v>
      </c>
      <c r="DS108">
        <v>17.54344838709677</v>
      </c>
      <c r="DT108">
        <v>17.46557741935484</v>
      </c>
      <c r="DU108">
        <v>399.9698387096774</v>
      </c>
      <c r="DV108">
        <v>17.46744838709677</v>
      </c>
      <c r="DW108">
        <v>499.9978709677419</v>
      </c>
      <c r="DX108">
        <v>89.77473225806452</v>
      </c>
      <c r="DY108">
        <v>0.09999116774193549</v>
      </c>
      <c r="DZ108">
        <v>24.88526774193548</v>
      </c>
      <c r="EA108">
        <v>25.00384193548386</v>
      </c>
      <c r="EB108">
        <v>999.9000000000003</v>
      </c>
      <c r="EC108">
        <v>0</v>
      </c>
      <c r="ED108">
        <v>0</v>
      </c>
      <c r="EE108">
        <v>9995.317096774193</v>
      </c>
      <c r="EF108">
        <v>0</v>
      </c>
      <c r="EG108">
        <v>9.77497</v>
      </c>
      <c r="EH108">
        <v>-0.06586187774193548</v>
      </c>
      <c r="EI108">
        <v>407.144</v>
      </c>
      <c r="EJ108">
        <v>407.177935483871</v>
      </c>
      <c r="EK108">
        <v>0.07977024516129032</v>
      </c>
      <c r="EL108">
        <v>400.0663870967742</v>
      </c>
      <c r="EM108">
        <v>17.46557741935484</v>
      </c>
      <c r="EN108">
        <v>1.575129677419355</v>
      </c>
      <c r="EO108">
        <v>1.567968387096774</v>
      </c>
      <c r="EP108">
        <v>13.71762580645161</v>
      </c>
      <c r="EQ108">
        <v>13.64756129032258</v>
      </c>
      <c r="ER108">
        <v>800.0000645161291</v>
      </c>
      <c r="ES108">
        <v>0.9499953225806452</v>
      </c>
      <c r="ET108">
        <v>0.05000477419354839</v>
      </c>
      <c r="EU108">
        <v>0</v>
      </c>
      <c r="EV108">
        <v>793.1151612903224</v>
      </c>
      <c r="EW108">
        <v>5.000779999999999</v>
      </c>
      <c r="EX108">
        <v>5995.894193548387</v>
      </c>
      <c r="EY108">
        <v>6463.407741935484</v>
      </c>
      <c r="EZ108">
        <v>37.33032258064515</v>
      </c>
      <c r="FA108">
        <v>41.06032258064516</v>
      </c>
      <c r="FB108">
        <v>39.47564516129032</v>
      </c>
      <c r="FC108">
        <v>41.37077419354839</v>
      </c>
      <c r="FD108">
        <v>39.65687096774192</v>
      </c>
      <c r="FE108">
        <v>755.2461290322578</v>
      </c>
      <c r="FF108">
        <v>39.75</v>
      </c>
      <c r="FG108">
        <v>0</v>
      </c>
      <c r="FH108">
        <v>1765312640.9</v>
      </c>
      <c r="FI108">
        <v>0</v>
      </c>
      <c r="FJ108">
        <v>793.1016153846152</v>
      </c>
      <c r="FK108">
        <v>-2.606564095621593</v>
      </c>
      <c r="FL108">
        <v>-9.407179469328184</v>
      </c>
      <c r="FM108">
        <v>5995.858461538461</v>
      </c>
      <c r="FN108">
        <v>15</v>
      </c>
      <c r="FO108">
        <v>1765312661.1</v>
      </c>
      <c r="FP108" t="s">
        <v>718</v>
      </c>
      <c r="FQ108">
        <v>1765312661.1</v>
      </c>
      <c r="FR108">
        <v>1765312658.6</v>
      </c>
      <c r="FS108">
        <v>91</v>
      </c>
      <c r="FT108">
        <v>-0</v>
      </c>
      <c r="FU108">
        <v>0</v>
      </c>
      <c r="FV108">
        <v>0.031</v>
      </c>
      <c r="FW108">
        <v>0.076</v>
      </c>
      <c r="FX108">
        <v>400</v>
      </c>
      <c r="FY108">
        <v>17</v>
      </c>
      <c r="FZ108">
        <v>0.66</v>
      </c>
      <c r="GA108">
        <v>0.33</v>
      </c>
      <c r="GB108">
        <v>-0.06562579274999999</v>
      </c>
      <c r="GC108">
        <v>0.1604855566604129</v>
      </c>
      <c r="GD108">
        <v>0.03316269124193632</v>
      </c>
      <c r="GE108">
        <v>1</v>
      </c>
      <c r="GF108">
        <v>793.228205882353</v>
      </c>
      <c r="GG108">
        <v>-2.728754774212958</v>
      </c>
      <c r="GH108">
        <v>0.3595039703136536</v>
      </c>
      <c r="GI108">
        <v>0</v>
      </c>
      <c r="GJ108">
        <v>0.0762786</v>
      </c>
      <c r="GK108">
        <v>0.05913194071294542</v>
      </c>
      <c r="GL108">
        <v>0.006178058898391955</v>
      </c>
      <c r="GM108">
        <v>1</v>
      </c>
      <c r="GN108">
        <v>2</v>
      </c>
      <c r="GO108">
        <v>3</v>
      </c>
      <c r="GP108" t="s">
        <v>453</v>
      </c>
      <c r="GQ108">
        <v>3.10828</v>
      </c>
      <c r="GR108">
        <v>2.79172</v>
      </c>
      <c r="GS108">
        <v>0.0843984</v>
      </c>
      <c r="GT108">
        <v>0.0844563</v>
      </c>
      <c r="GU108">
        <v>0.0863442</v>
      </c>
      <c r="GV108">
        <v>0.08683680000000001</v>
      </c>
      <c r="GW108">
        <v>24029.4</v>
      </c>
      <c r="GX108">
        <v>21816.6</v>
      </c>
      <c r="GY108">
        <v>26801.7</v>
      </c>
      <c r="GZ108">
        <v>24035.3</v>
      </c>
      <c r="HA108">
        <v>39136.3</v>
      </c>
      <c r="HB108">
        <v>32393.5</v>
      </c>
      <c r="HC108">
        <v>46779.3</v>
      </c>
      <c r="HD108">
        <v>38010.5</v>
      </c>
      <c r="HE108">
        <v>1.81647</v>
      </c>
      <c r="HF108">
        <v>1.85885</v>
      </c>
      <c r="HG108">
        <v>0.0714809</v>
      </c>
      <c r="HH108">
        <v>0</v>
      </c>
      <c r="HI108">
        <v>23.8274</v>
      </c>
      <c r="HJ108">
        <v>999.9</v>
      </c>
      <c r="HK108">
        <v>40.3</v>
      </c>
      <c r="HL108">
        <v>31.3</v>
      </c>
      <c r="HM108">
        <v>20.5994</v>
      </c>
      <c r="HN108">
        <v>61.5867</v>
      </c>
      <c r="HO108">
        <v>27.7925</v>
      </c>
      <c r="HP108">
        <v>1</v>
      </c>
      <c r="HQ108">
        <v>0.0116235</v>
      </c>
      <c r="HR108">
        <v>0.713897</v>
      </c>
      <c r="HS108">
        <v>20.295</v>
      </c>
      <c r="HT108">
        <v>5.22253</v>
      </c>
      <c r="HU108">
        <v>11.9787</v>
      </c>
      <c r="HV108">
        <v>4.96565</v>
      </c>
      <c r="HW108">
        <v>3.276</v>
      </c>
      <c r="HX108">
        <v>9999</v>
      </c>
      <c r="HY108">
        <v>9999</v>
      </c>
      <c r="HZ108">
        <v>9999</v>
      </c>
      <c r="IA108">
        <v>999.9</v>
      </c>
      <c r="IB108">
        <v>1.86387</v>
      </c>
      <c r="IC108">
        <v>1.86005</v>
      </c>
      <c r="ID108">
        <v>1.85837</v>
      </c>
      <c r="IE108">
        <v>1.85967</v>
      </c>
      <c r="IF108">
        <v>1.85984</v>
      </c>
      <c r="IG108">
        <v>1.85836</v>
      </c>
      <c r="IH108">
        <v>1.85743</v>
      </c>
      <c r="II108">
        <v>1.85237</v>
      </c>
      <c r="IJ108">
        <v>0</v>
      </c>
      <c r="IK108">
        <v>0</v>
      </c>
      <c r="IL108">
        <v>0</v>
      </c>
      <c r="IM108">
        <v>0</v>
      </c>
      <c r="IN108" t="s">
        <v>441</v>
      </c>
      <c r="IO108" t="s">
        <v>442</v>
      </c>
      <c r="IP108" t="s">
        <v>443</v>
      </c>
      <c r="IQ108" t="s">
        <v>443</v>
      </c>
      <c r="IR108" t="s">
        <v>443</v>
      </c>
      <c r="IS108" t="s">
        <v>443</v>
      </c>
      <c r="IT108">
        <v>0</v>
      </c>
      <c r="IU108">
        <v>100</v>
      </c>
      <c r="IV108">
        <v>100</v>
      </c>
      <c r="IW108">
        <v>0.031</v>
      </c>
      <c r="IX108">
        <v>0.076</v>
      </c>
      <c r="IY108">
        <v>-0.2483827705393421</v>
      </c>
      <c r="IZ108">
        <v>0.0001583678016168383</v>
      </c>
      <c r="JA108">
        <v>1.526473431467286E-06</v>
      </c>
      <c r="JB108">
        <v>-4.446382740029455E-10</v>
      </c>
      <c r="JC108">
        <v>-0.0417241778259171</v>
      </c>
      <c r="JD108">
        <v>-0.009941991807247691</v>
      </c>
      <c r="JE108">
        <v>0.001256427533001032</v>
      </c>
      <c r="JF108">
        <v>-1.689728105039484E-05</v>
      </c>
      <c r="JG108">
        <v>2</v>
      </c>
      <c r="JH108">
        <v>1984</v>
      </c>
      <c r="JI108">
        <v>0</v>
      </c>
      <c r="JJ108">
        <v>25</v>
      </c>
      <c r="JK108">
        <v>1.6</v>
      </c>
      <c r="JL108">
        <v>1.5</v>
      </c>
      <c r="JM108">
        <v>1.09497</v>
      </c>
      <c r="JN108">
        <v>2.62451</v>
      </c>
      <c r="JO108">
        <v>1.49658</v>
      </c>
      <c r="JP108">
        <v>2.34619</v>
      </c>
      <c r="JQ108">
        <v>1.54907</v>
      </c>
      <c r="JR108">
        <v>2.40479</v>
      </c>
      <c r="JS108">
        <v>35.5683</v>
      </c>
      <c r="JT108">
        <v>24.1313</v>
      </c>
      <c r="JU108">
        <v>18</v>
      </c>
      <c r="JV108">
        <v>438.452</v>
      </c>
      <c r="JW108">
        <v>488.222</v>
      </c>
      <c r="JX108">
        <v>23.3714</v>
      </c>
      <c r="JY108">
        <v>27.3338</v>
      </c>
      <c r="JZ108">
        <v>29.9999</v>
      </c>
      <c r="KA108">
        <v>27.6556</v>
      </c>
      <c r="KB108">
        <v>27.6738</v>
      </c>
      <c r="KC108">
        <v>22.0171</v>
      </c>
      <c r="KD108">
        <v>15.6891</v>
      </c>
      <c r="KE108">
        <v>40.2898</v>
      </c>
      <c r="KF108">
        <v>23.3727</v>
      </c>
      <c r="KG108">
        <v>400</v>
      </c>
      <c r="KH108">
        <v>17.5035</v>
      </c>
      <c r="KI108">
        <v>102.297</v>
      </c>
      <c r="KJ108">
        <v>91.682</v>
      </c>
    </row>
    <row r="109" spans="1:296">
      <c r="A109">
        <v>91</v>
      </c>
      <c r="B109">
        <v>1765312750.6</v>
      </c>
      <c r="C109">
        <v>15317.59999990463</v>
      </c>
      <c r="D109" t="s">
        <v>719</v>
      </c>
      <c r="E109" t="s">
        <v>720</v>
      </c>
      <c r="F109">
        <v>5</v>
      </c>
      <c r="G109" t="s">
        <v>696</v>
      </c>
      <c r="H109">
        <v>1765312742.849999</v>
      </c>
      <c r="I109">
        <f>(J109)/1000</f>
        <v>0</v>
      </c>
      <c r="J109">
        <f>IF(DO109, AM109, AG109)</f>
        <v>0</v>
      </c>
      <c r="K109">
        <f>IF(DO109, AH109, AF109)</f>
        <v>0</v>
      </c>
      <c r="L109">
        <f>DQ109 - IF(AT109&gt;1, K109*DK109*100.0/(AV109), 0)</f>
        <v>0</v>
      </c>
      <c r="M109">
        <f>((S109-I109/2)*L109-K109)/(S109+I109/2)</f>
        <v>0</v>
      </c>
      <c r="N109">
        <f>M109*(DX109+DY109)/1000.0</f>
        <v>0</v>
      </c>
      <c r="O109">
        <f>(DQ109 - IF(AT109&gt;1, K109*DK109*100.0/(AV109), 0))*(DX109+DY109)/1000.0</f>
        <v>0</v>
      </c>
      <c r="P109">
        <f>2.0/((1/R109-1/Q109)+SIGN(R109)*SQRT((1/R109-1/Q109)*(1/R109-1/Q109) + 4*DL109/((DL109+1)*(DL109+1))*(2*1/R109*1/Q109-1/Q109*1/Q109)))</f>
        <v>0</v>
      </c>
      <c r="Q109">
        <f>IF(LEFT(DM109,1)&lt;&gt;"0",IF(LEFT(DM109,1)="1",3.0,DN109),$D$5+$E$5*(EE109*DX109/($K$5*1000))+$F$5*(EE109*DX109/($K$5*1000))*MAX(MIN(DK109,$J$5),$I$5)*MAX(MIN(DK109,$J$5),$I$5)+$G$5*MAX(MIN(DK109,$J$5),$I$5)*(EE109*DX109/($K$5*1000))+$H$5*(EE109*DX109/($K$5*1000))*(EE109*DX109/($K$5*1000)))</f>
        <v>0</v>
      </c>
      <c r="R109">
        <f>I109*(1000-(1000*0.61365*exp(17.502*V109/(240.97+V109))/(DX109+DY109)+DS109)/2)/(1000*0.61365*exp(17.502*V109/(240.97+V109))/(DX109+DY109)-DS109)</f>
        <v>0</v>
      </c>
      <c r="S109">
        <f>1/((DL109+1)/(P109/1.6)+1/(Q109/1.37)) + DL109/((DL109+1)/(P109/1.6) + DL109/(Q109/1.37))</f>
        <v>0</v>
      </c>
      <c r="T109">
        <f>(DG109*DJ109)</f>
        <v>0</v>
      </c>
      <c r="U109">
        <f>(DZ109+(T109+2*0.95*5.67E-8*(((DZ109+$B$9)+273)^4-(DZ109+273)^4)-44100*I109)/(1.84*29.3*Q109+8*0.95*5.67E-8*(DZ109+273)^3))</f>
        <v>0</v>
      </c>
      <c r="V109">
        <f>($C$9*EA109+$D$9*EB109+$E$9*U109)</f>
        <v>0</v>
      </c>
      <c r="W109">
        <f>0.61365*exp(17.502*V109/(240.97+V109))</f>
        <v>0</v>
      </c>
      <c r="X109">
        <f>(Y109/Z109*100)</f>
        <v>0</v>
      </c>
      <c r="Y109">
        <f>DS109*(DX109+DY109)/1000</f>
        <v>0</v>
      </c>
      <c r="Z109">
        <f>0.61365*exp(17.502*DZ109/(240.97+DZ109))</f>
        <v>0</v>
      </c>
      <c r="AA109">
        <f>(W109-DS109*(DX109+DY109)/1000)</f>
        <v>0</v>
      </c>
      <c r="AB109">
        <f>(-I109*44100)</f>
        <v>0</v>
      </c>
      <c r="AC109">
        <f>2*29.3*Q109*0.92*(DZ109-V109)</f>
        <v>0</v>
      </c>
      <c r="AD109">
        <f>2*0.95*5.67E-8*(((DZ109+$B$9)+273)^4-(V109+273)^4)</f>
        <v>0</v>
      </c>
      <c r="AE109">
        <f>T109+AD109+AB109+AC109</f>
        <v>0</v>
      </c>
      <c r="AF109">
        <f>DW109*AT109*(DR109-DQ109*(1000-AT109*DT109)/(1000-AT109*DS109))/(100*DK109)</f>
        <v>0</v>
      </c>
      <c r="AG109">
        <f>1000*DW109*AT109*(DS109-DT109)/(100*DK109*(1000-AT109*DS109))</f>
        <v>0</v>
      </c>
      <c r="AH109">
        <f>(AI109 - AJ109 - DX109*1E3/(8.314*(DZ109+273.15)) * AL109/DW109 * AK109) * DW109/(100*DK109) * (1000 - DT109)/1000</f>
        <v>0</v>
      </c>
      <c r="AI109">
        <v>610.7539331013002</v>
      </c>
      <c r="AJ109">
        <v>610.2971636363635</v>
      </c>
      <c r="AK109">
        <v>-0.0007486853231878957</v>
      </c>
      <c r="AL109">
        <v>65.63400932431904</v>
      </c>
      <c r="AM109">
        <f>(AO109 - AN109 + DX109*1E3/(8.314*(DZ109+273.15)) * AQ109/DW109 * AP109) * DW109/(100*DK109) * 1000/(1000 - AO109)</f>
        <v>0</v>
      </c>
      <c r="AN109">
        <v>17.50345393939393</v>
      </c>
      <c r="AO109">
        <v>17.5757503030303</v>
      </c>
      <c r="AP109">
        <v>8.935064935038529E-05</v>
      </c>
      <c r="AQ109">
        <v>106.1030932006778</v>
      </c>
      <c r="AR109">
        <v>36</v>
      </c>
      <c r="AS109">
        <v>7</v>
      </c>
      <c r="AT109">
        <f>IF(AR109*$H$15&gt;=AV109,1.0,(AV109/(AV109-AR109*$H$15)))</f>
        <v>0</v>
      </c>
      <c r="AU109">
        <f>(AT109-1)*100</f>
        <v>0</v>
      </c>
      <c r="AV109">
        <f>MAX(0,($B$15+$C$15*EE109)/(1+$D$15*EE109)*DX109/(DZ109+273)*$E$15)</f>
        <v>0</v>
      </c>
      <c r="AW109" t="s">
        <v>437</v>
      </c>
      <c r="AX109" t="s">
        <v>437</v>
      </c>
      <c r="AY109">
        <v>0</v>
      </c>
      <c r="AZ109">
        <v>0</v>
      </c>
      <c r="BA109">
        <f>1-AY109/AZ109</f>
        <v>0</v>
      </c>
      <c r="BB109">
        <v>0</v>
      </c>
      <c r="BC109" t="s">
        <v>437</v>
      </c>
      <c r="BD109" t="s">
        <v>437</v>
      </c>
      <c r="BE109">
        <v>0</v>
      </c>
      <c r="BF109">
        <v>0</v>
      </c>
      <c r="BG109">
        <f>1-BE109/BF109</f>
        <v>0</v>
      </c>
      <c r="BH109">
        <v>0.5</v>
      </c>
      <c r="BI109">
        <f>DH109</f>
        <v>0</v>
      </c>
      <c r="BJ109">
        <f>K109</f>
        <v>0</v>
      </c>
      <c r="BK109">
        <f>BG109*BH109*BI109</f>
        <v>0</v>
      </c>
      <c r="BL109">
        <f>(BJ109-BB109)/BI109</f>
        <v>0</v>
      </c>
      <c r="BM109">
        <f>(AZ109-BF109)/BF109</f>
        <v>0</v>
      </c>
      <c r="BN109">
        <f>AY109/(BA109+AY109/BF109)</f>
        <v>0</v>
      </c>
      <c r="BO109" t="s">
        <v>437</v>
      </c>
      <c r="BP109">
        <v>0</v>
      </c>
      <c r="BQ109">
        <f>IF(BP109&lt;&gt;0, BP109, BN109)</f>
        <v>0</v>
      </c>
      <c r="BR109">
        <f>1-BQ109/BF109</f>
        <v>0</v>
      </c>
      <c r="BS109">
        <f>(BF109-BE109)/(BF109-BQ109)</f>
        <v>0</v>
      </c>
      <c r="BT109">
        <f>(AZ109-BF109)/(AZ109-BQ109)</f>
        <v>0</v>
      </c>
      <c r="BU109">
        <f>(BF109-BE109)/(BF109-AY109)</f>
        <v>0</v>
      </c>
      <c r="BV109">
        <f>(AZ109-BF109)/(AZ109-AY109)</f>
        <v>0</v>
      </c>
      <c r="BW109">
        <f>(BS109*BQ109/BE109)</f>
        <v>0</v>
      </c>
      <c r="BX109">
        <f>(1-BW109)</f>
        <v>0</v>
      </c>
      <c r="DG109">
        <f>$B$13*EF109+$C$13*EG109+$F$13*ER109*(1-EU109)</f>
        <v>0</v>
      </c>
      <c r="DH109">
        <f>DG109*DI109</f>
        <v>0</v>
      </c>
      <c r="DI109">
        <f>($B$13*$D$11+$C$13*$D$11+$F$13*((FE109+EW109)/MAX(FE109+EW109+FF109, 0.1)*$I$11+FF109/MAX(FE109+EW109+FF109, 0.1)*$J$11))/($B$13+$C$13+$F$13)</f>
        <v>0</v>
      </c>
      <c r="DJ109">
        <f>($B$13*$K$11+$C$13*$K$11+$F$13*((FE109+EW109)/MAX(FE109+EW109+FF109, 0.1)*$P$11+FF109/MAX(FE109+EW109+FF109, 0.1)*$Q$11))/($B$13+$C$13+$F$13)</f>
        <v>0</v>
      </c>
      <c r="DK109">
        <v>5.66</v>
      </c>
      <c r="DL109">
        <v>0.5</v>
      </c>
      <c r="DM109" t="s">
        <v>438</v>
      </c>
      <c r="DN109">
        <v>2</v>
      </c>
      <c r="DO109" t="b">
        <v>1</v>
      </c>
      <c r="DP109">
        <v>1765312742.849999</v>
      </c>
      <c r="DQ109">
        <v>599.6929333333333</v>
      </c>
      <c r="DR109">
        <v>600.0109666666666</v>
      </c>
      <c r="DS109">
        <v>17.56241666666667</v>
      </c>
      <c r="DT109">
        <v>17.50709</v>
      </c>
      <c r="DU109">
        <v>599.2799333333332</v>
      </c>
      <c r="DV109">
        <v>17.48441666666667</v>
      </c>
      <c r="DW109">
        <v>500.0137000000001</v>
      </c>
      <c r="DX109">
        <v>89.76651000000001</v>
      </c>
      <c r="DY109">
        <v>0.1000308933333333</v>
      </c>
      <c r="DZ109">
        <v>24.88124666666666</v>
      </c>
      <c r="EA109">
        <v>24.98753666666666</v>
      </c>
      <c r="EB109">
        <v>999.9000000000002</v>
      </c>
      <c r="EC109">
        <v>0</v>
      </c>
      <c r="ED109">
        <v>0</v>
      </c>
      <c r="EE109">
        <v>9992.940000000001</v>
      </c>
      <c r="EF109">
        <v>0</v>
      </c>
      <c r="EG109">
        <v>9.77497</v>
      </c>
      <c r="EH109">
        <v>-0.4319091333333332</v>
      </c>
      <c r="EI109">
        <v>610.2976</v>
      </c>
      <c r="EJ109">
        <v>610.7024666666667</v>
      </c>
      <c r="EK109">
        <v>0.05565890666666666</v>
      </c>
      <c r="EL109">
        <v>600.0109666666666</v>
      </c>
      <c r="EM109">
        <v>17.50709</v>
      </c>
      <c r="EN109">
        <v>1.576546666666667</v>
      </c>
      <c r="EO109">
        <v>1.571548666666666</v>
      </c>
      <c r="EP109">
        <v>13.73145</v>
      </c>
      <c r="EQ109">
        <v>13.68263666666667</v>
      </c>
      <c r="ER109">
        <v>800.0209000000001</v>
      </c>
      <c r="ES109">
        <v>0.9499929999999998</v>
      </c>
      <c r="ET109">
        <v>0.0500068</v>
      </c>
      <c r="EU109">
        <v>0</v>
      </c>
      <c r="EV109">
        <v>790.421</v>
      </c>
      <c r="EW109">
        <v>5.00078</v>
      </c>
      <c r="EX109">
        <v>5966.111</v>
      </c>
      <c r="EY109">
        <v>6463.572</v>
      </c>
      <c r="EZ109">
        <v>36.98313333333333</v>
      </c>
      <c r="FA109">
        <v>39.57893333333332</v>
      </c>
      <c r="FB109">
        <v>38.53726666666666</v>
      </c>
      <c r="FC109">
        <v>39.5372</v>
      </c>
      <c r="FD109">
        <v>38.57053333333332</v>
      </c>
      <c r="FE109">
        <v>755.2636666666666</v>
      </c>
      <c r="FF109">
        <v>39.76</v>
      </c>
      <c r="FG109">
        <v>0</v>
      </c>
      <c r="FH109">
        <v>1765312750.1</v>
      </c>
      <c r="FI109">
        <v>0</v>
      </c>
      <c r="FJ109">
        <v>790.4331923076924</v>
      </c>
      <c r="FK109">
        <v>0.2027692227488199</v>
      </c>
      <c r="FL109">
        <v>-18.5593162137791</v>
      </c>
      <c r="FM109">
        <v>5965.91923076923</v>
      </c>
      <c r="FN109">
        <v>15</v>
      </c>
      <c r="FO109">
        <v>1765312769.6</v>
      </c>
      <c r="FP109" t="s">
        <v>721</v>
      </c>
      <c r="FQ109">
        <v>1765312769.6</v>
      </c>
      <c r="FR109">
        <v>1765312766.6</v>
      </c>
      <c r="FS109">
        <v>92</v>
      </c>
      <c r="FT109">
        <v>0.113</v>
      </c>
      <c r="FU109">
        <v>0.001</v>
      </c>
      <c r="FV109">
        <v>0.413</v>
      </c>
      <c r="FW109">
        <v>0.078</v>
      </c>
      <c r="FX109">
        <v>600</v>
      </c>
      <c r="FY109">
        <v>17</v>
      </c>
      <c r="FZ109">
        <v>0.39</v>
      </c>
      <c r="GA109">
        <v>0.15</v>
      </c>
      <c r="GB109">
        <v>-0.4390585609756098</v>
      </c>
      <c r="GC109">
        <v>0.1017935331010454</v>
      </c>
      <c r="GD109">
        <v>0.0413934720210035</v>
      </c>
      <c r="GE109">
        <v>1</v>
      </c>
      <c r="GF109">
        <v>790.420205882353</v>
      </c>
      <c r="GG109">
        <v>-0.1477005373920249</v>
      </c>
      <c r="GH109">
        <v>0.2063565987502047</v>
      </c>
      <c r="GI109">
        <v>1</v>
      </c>
      <c r="GJ109">
        <v>0.06475443658536587</v>
      </c>
      <c r="GK109">
        <v>-0.08709999094076666</v>
      </c>
      <c r="GL109">
        <v>0.01748664387569812</v>
      </c>
      <c r="GM109">
        <v>1</v>
      </c>
      <c r="GN109">
        <v>3</v>
      </c>
      <c r="GO109">
        <v>3</v>
      </c>
      <c r="GP109" t="s">
        <v>440</v>
      </c>
      <c r="GQ109">
        <v>3.10826</v>
      </c>
      <c r="GR109">
        <v>2.79159</v>
      </c>
      <c r="GS109">
        <v>0.113444</v>
      </c>
      <c r="GT109">
        <v>0.113596</v>
      </c>
      <c r="GU109">
        <v>0.0864765</v>
      </c>
      <c r="GV109">
        <v>0.0870132</v>
      </c>
      <c r="GW109">
        <v>23269.2</v>
      </c>
      <c r="GX109">
        <v>21123.6</v>
      </c>
      <c r="GY109">
        <v>26803.8</v>
      </c>
      <c r="GZ109">
        <v>24036.5</v>
      </c>
      <c r="HA109">
        <v>39136.9</v>
      </c>
      <c r="HB109">
        <v>32391.2</v>
      </c>
      <c r="HC109">
        <v>46782.7</v>
      </c>
      <c r="HD109">
        <v>38011.8</v>
      </c>
      <c r="HE109">
        <v>1.81635</v>
      </c>
      <c r="HF109">
        <v>1.86052</v>
      </c>
      <c r="HG109">
        <v>0.0724196</v>
      </c>
      <c r="HH109">
        <v>0</v>
      </c>
      <c r="HI109">
        <v>23.7972</v>
      </c>
      <c r="HJ109">
        <v>999.9</v>
      </c>
      <c r="HK109">
        <v>40.3</v>
      </c>
      <c r="HL109">
        <v>31.2</v>
      </c>
      <c r="HM109">
        <v>20.4865</v>
      </c>
      <c r="HN109">
        <v>61.0967</v>
      </c>
      <c r="HO109">
        <v>27.5441</v>
      </c>
      <c r="HP109">
        <v>1</v>
      </c>
      <c r="HQ109">
        <v>0.00739329</v>
      </c>
      <c r="HR109">
        <v>0.602121</v>
      </c>
      <c r="HS109">
        <v>20.2936</v>
      </c>
      <c r="HT109">
        <v>5.22223</v>
      </c>
      <c r="HU109">
        <v>11.9773</v>
      </c>
      <c r="HV109">
        <v>4.96545</v>
      </c>
      <c r="HW109">
        <v>3.276</v>
      </c>
      <c r="HX109">
        <v>9999</v>
      </c>
      <c r="HY109">
        <v>9999</v>
      </c>
      <c r="HZ109">
        <v>9999</v>
      </c>
      <c r="IA109">
        <v>999.9</v>
      </c>
      <c r="IB109">
        <v>1.86388</v>
      </c>
      <c r="IC109">
        <v>1.86005</v>
      </c>
      <c r="ID109">
        <v>1.85836</v>
      </c>
      <c r="IE109">
        <v>1.85965</v>
      </c>
      <c r="IF109">
        <v>1.85987</v>
      </c>
      <c r="IG109">
        <v>1.85837</v>
      </c>
      <c r="IH109">
        <v>1.85739</v>
      </c>
      <c r="II109">
        <v>1.85236</v>
      </c>
      <c r="IJ109">
        <v>0</v>
      </c>
      <c r="IK109">
        <v>0</v>
      </c>
      <c r="IL109">
        <v>0</v>
      </c>
      <c r="IM109">
        <v>0</v>
      </c>
      <c r="IN109" t="s">
        <v>441</v>
      </c>
      <c r="IO109" t="s">
        <v>442</v>
      </c>
      <c r="IP109" t="s">
        <v>443</v>
      </c>
      <c r="IQ109" t="s">
        <v>443</v>
      </c>
      <c r="IR109" t="s">
        <v>443</v>
      </c>
      <c r="IS109" t="s">
        <v>443</v>
      </c>
      <c r="IT109">
        <v>0</v>
      </c>
      <c r="IU109">
        <v>100</v>
      </c>
      <c r="IV109">
        <v>100</v>
      </c>
      <c r="IW109">
        <v>0.413</v>
      </c>
      <c r="IX109">
        <v>0.078</v>
      </c>
      <c r="IY109">
        <v>-0.2484162129829952</v>
      </c>
      <c r="IZ109">
        <v>0.0001583678016168383</v>
      </c>
      <c r="JA109">
        <v>1.526473431467286E-06</v>
      </c>
      <c r="JB109">
        <v>-4.446382740029455E-10</v>
      </c>
      <c r="JC109">
        <v>-0.04163074582997078</v>
      </c>
      <c r="JD109">
        <v>-0.009941991807247691</v>
      </c>
      <c r="JE109">
        <v>0.001256427533001032</v>
      </c>
      <c r="JF109">
        <v>-1.689728105039484E-05</v>
      </c>
      <c r="JG109">
        <v>2</v>
      </c>
      <c r="JH109">
        <v>1984</v>
      </c>
      <c r="JI109">
        <v>0</v>
      </c>
      <c r="JJ109">
        <v>25</v>
      </c>
      <c r="JK109">
        <v>1.5</v>
      </c>
      <c r="JL109">
        <v>1.5</v>
      </c>
      <c r="JM109">
        <v>1.51489</v>
      </c>
      <c r="JN109">
        <v>2.65015</v>
      </c>
      <c r="JO109">
        <v>1.49658</v>
      </c>
      <c r="JP109">
        <v>2.34619</v>
      </c>
      <c r="JQ109">
        <v>1.54907</v>
      </c>
      <c r="JR109">
        <v>2.37061</v>
      </c>
      <c r="JS109">
        <v>35.5451</v>
      </c>
      <c r="JT109">
        <v>24.1225</v>
      </c>
      <c r="JU109">
        <v>18</v>
      </c>
      <c r="JV109">
        <v>437.988</v>
      </c>
      <c r="JW109">
        <v>488.809</v>
      </c>
      <c r="JX109">
        <v>23.3945</v>
      </c>
      <c r="JY109">
        <v>27.2805</v>
      </c>
      <c r="JZ109">
        <v>30</v>
      </c>
      <c r="KA109">
        <v>27.5979</v>
      </c>
      <c r="KB109">
        <v>27.6145</v>
      </c>
      <c r="KC109">
        <v>30.4388</v>
      </c>
      <c r="KD109">
        <v>15.9471</v>
      </c>
      <c r="KE109">
        <v>41.4776</v>
      </c>
      <c r="KF109">
        <v>23.3999</v>
      </c>
      <c r="KG109">
        <v>600</v>
      </c>
      <c r="KH109">
        <v>17.4844</v>
      </c>
      <c r="KI109">
        <v>102.305</v>
      </c>
      <c r="KJ109">
        <v>91.6858</v>
      </c>
    </row>
    <row r="110" spans="1:296">
      <c r="A110">
        <v>92</v>
      </c>
      <c r="B110">
        <v>1765312846.6</v>
      </c>
      <c r="C110">
        <v>15413.59999990463</v>
      </c>
      <c r="D110" t="s">
        <v>722</v>
      </c>
      <c r="E110" t="s">
        <v>723</v>
      </c>
      <c r="F110">
        <v>5</v>
      </c>
      <c r="G110" t="s">
        <v>696</v>
      </c>
      <c r="H110">
        <v>1765312838.599999</v>
      </c>
      <c r="I110">
        <f>(J110)/1000</f>
        <v>0</v>
      </c>
      <c r="J110">
        <f>IF(DO110, AM110, AG110)</f>
        <v>0</v>
      </c>
      <c r="K110">
        <f>IF(DO110, AH110, AF110)</f>
        <v>0</v>
      </c>
      <c r="L110">
        <f>DQ110 - IF(AT110&gt;1, K110*DK110*100.0/(AV110), 0)</f>
        <v>0</v>
      </c>
      <c r="M110">
        <f>((S110-I110/2)*L110-K110)/(S110+I110/2)</f>
        <v>0</v>
      </c>
      <c r="N110">
        <f>M110*(DX110+DY110)/1000.0</f>
        <v>0</v>
      </c>
      <c r="O110">
        <f>(DQ110 - IF(AT110&gt;1, K110*DK110*100.0/(AV110), 0))*(DX110+DY110)/1000.0</f>
        <v>0</v>
      </c>
      <c r="P110">
        <f>2.0/((1/R110-1/Q110)+SIGN(R110)*SQRT((1/R110-1/Q110)*(1/R110-1/Q110) + 4*DL110/((DL110+1)*(DL110+1))*(2*1/R110*1/Q110-1/Q110*1/Q110)))</f>
        <v>0</v>
      </c>
      <c r="Q110">
        <f>IF(LEFT(DM110,1)&lt;&gt;"0",IF(LEFT(DM110,1)="1",3.0,DN110),$D$5+$E$5*(EE110*DX110/($K$5*1000))+$F$5*(EE110*DX110/($K$5*1000))*MAX(MIN(DK110,$J$5),$I$5)*MAX(MIN(DK110,$J$5),$I$5)+$G$5*MAX(MIN(DK110,$J$5),$I$5)*(EE110*DX110/($K$5*1000))+$H$5*(EE110*DX110/($K$5*1000))*(EE110*DX110/($K$5*1000)))</f>
        <v>0</v>
      </c>
      <c r="R110">
        <f>I110*(1000-(1000*0.61365*exp(17.502*V110/(240.97+V110))/(DX110+DY110)+DS110)/2)/(1000*0.61365*exp(17.502*V110/(240.97+V110))/(DX110+DY110)-DS110)</f>
        <v>0</v>
      </c>
      <c r="S110">
        <f>1/((DL110+1)/(P110/1.6)+1/(Q110/1.37)) + DL110/((DL110+1)/(P110/1.6) + DL110/(Q110/1.37))</f>
        <v>0</v>
      </c>
      <c r="T110">
        <f>(DG110*DJ110)</f>
        <v>0</v>
      </c>
      <c r="U110">
        <f>(DZ110+(T110+2*0.95*5.67E-8*(((DZ110+$B$9)+273)^4-(DZ110+273)^4)-44100*I110)/(1.84*29.3*Q110+8*0.95*5.67E-8*(DZ110+273)^3))</f>
        <v>0</v>
      </c>
      <c r="V110">
        <f>($C$9*EA110+$D$9*EB110+$E$9*U110)</f>
        <v>0</v>
      </c>
      <c r="W110">
        <f>0.61365*exp(17.502*V110/(240.97+V110))</f>
        <v>0</v>
      </c>
      <c r="X110">
        <f>(Y110/Z110*100)</f>
        <v>0</v>
      </c>
      <c r="Y110">
        <f>DS110*(DX110+DY110)/1000</f>
        <v>0</v>
      </c>
      <c r="Z110">
        <f>0.61365*exp(17.502*DZ110/(240.97+DZ110))</f>
        <v>0</v>
      </c>
      <c r="AA110">
        <f>(W110-DS110*(DX110+DY110)/1000)</f>
        <v>0</v>
      </c>
      <c r="AB110">
        <f>(-I110*44100)</f>
        <v>0</v>
      </c>
      <c r="AC110">
        <f>2*29.3*Q110*0.92*(DZ110-V110)</f>
        <v>0</v>
      </c>
      <c r="AD110">
        <f>2*0.95*5.67E-8*(((DZ110+$B$9)+273)^4-(V110+273)^4)</f>
        <v>0</v>
      </c>
      <c r="AE110">
        <f>T110+AD110+AB110+AC110</f>
        <v>0</v>
      </c>
      <c r="AF110">
        <f>DW110*AT110*(DR110-DQ110*(1000-AT110*DT110)/(1000-AT110*DS110))/(100*DK110)</f>
        <v>0</v>
      </c>
      <c r="AG110">
        <f>1000*DW110*AT110*(DS110-DT110)/(100*DK110*(1000-AT110*DS110))</f>
        <v>0</v>
      </c>
      <c r="AH110">
        <f>(AI110 - AJ110 - DX110*1E3/(8.314*(DZ110+273.15)) * AL110/DW110 * AK110) * DW110/(100*DK110) * (1000 - DT110)/1000</f>
        <v>0</v>
      </c>
      <c r="AI110">
        <v>814.2794777567498</v>
      </c>
      <c r="AJ110">
        <v>813.7041939393943</v>
      </c>
      <c r="AK110">
        <v>-0.0004756982502501152</v>
      </c>
      <c r="AL110">
        <v>65.64310473753197</v>
      </c>
      <c r="AM110">
        <f>(AO110 - AN110 + DX110*1E3/(8.314*(DZ110+273.15)) * AQ110/DW110 * AP110) * DW110/(100*DK110) * 1000/(1000 - AO110)</f>
        <v>0</v>
      </c>
      <c r="AN110">
        <v>17.52344121212121</v>
      </c>
      <c r="AO110">
        <v>17.59878545454545</v>
      </c>
      <c r="AP110">
        <v>-1.006926406934433E-05</v>
      </c>
      <c r="AQ110">
        <v>106.1709247090799</v>
      </c>
      <c r="AR110">
        <v>36</v>
      </c>
      <c r="AS110">
        <v>7</v>
      </c>
      <c r="AT110">
        <f>IF(AR110*$H$15&gt;=AV110,1.0,(AV110/(AV110-AR110*$H$15)))</f>
        <v>0</v>
      </c>
      <c r="AU110">
        <f>(AT110-1)*100</f>
        <v>0</v>
      </c>
      <c r="AV110">
        <f>MAX(0,($B$15+$C$15*EE110)/(1+$D$15*EE110)*DX110/(DZ110+273)*$E$15)</f>
        <v>0</v>
      </c>
      <c r="AW110" t="s">
        <v>437</v>
      </c>
      <c r="AX110" t="s">
        <v>437</v>
      </c>
      <c r="AY110">
        <v>0</v>
      </c>
      <c r="AZ110">
        <v>0</v>
      </c>
      <c r="BA110">
        <f>1-AY110/AZ110</f>
        <v>0</v>
      </c>
      <c r="BB110">
        <v>0</v>
      </c>
      <c r="BC110" t="s">
        <v>437</v>
      </c>
      <c r="BD110" t="s">
        <v>437</v>
      </c>
      <c r="BE110">
        <v>0</v>
      </c>
      <c r="BF110">
        <v>0</v>
      </c>
      <c r="BG110">
        <f>1-BE110/BF110</f>
        <v>0</v>
      </c>
      <c r="BH110">
        <v>0.5</v>
      </c>
      <c r="BI110">
        <f>DH110</f>
        <v>0</v>
      </c>
      <c r="BJ110">
        <f>K110</f>
        <v>0</v>
      </c>
      <c r="BK110">
        <f>BG110*BH110*BI110</f>
        <v>0</v>
      </c>
      <c r="BL110">
        <f>(BJ110-BB110)/BI110</f>
        <v>0</v>
      </c>
      <c r="BM110">
        <f>(AZ110-BF110)/BF110</f>
        <v>0</v>
      </c>
      <c r="BN110">
        <f>AY110/(BA110+AY110/BF110)</f>
        <v>0</v>
      </c>
      <c r="BO110" t="s">
        <v>437</v>
      </c>
      <c r="BP110">
        <v>0</v>
      </c>
      <c r="BQ110">
        <f>IF(BP110&lt;&gt;0, BP110, BN110)</f>
        <v>0</v>
      </c>
      <c r="BR110">
        <f>1-BQ110/BF110</f>
        <v>0</v>
      </c>
      <c r="BS110">
        <f>(BF110-BE110)/(BF110-BQ110)</f>
        <v>0</v>
      </c>
      <c r="BT110">
        <f>(AZ110-BF110)/(AZ110-BQ110)</f>
        <v>0</v>
      </c>
      <c r="BU110">
        <f>(BF110-BE110)/(BF110-AY110)</f>
        <v>0</v>
      </c>
      <c r="BV110">
        <f>(AZ110-BF110)/(AZ110-AY110)</f>
        <v>0</v>
      </c>
      <c r="BW110">
        <f>(BS110*BQ110/BE110)</f>
        <v>0</v>
      </c>
      <c r="BX110">
        <f>(1-BW110)</f>
        <v>0</v>
      </c>
      <c r="DG110">
        <f>$B$13*EF110+$C$13*EG110+$F$13*ER110*(1-EU110)</f>
        <v>0</v>
      </c>
      <c r="DH110">
        <f>DG110*DI110</f>
        <v>0</v>
      </c>
      <c r="DI110">
        <f>($B$13*$D$11+$C$13*$D$11+$F$13*((FE110+EW110)/MAX(FE110+EW110+FF110, 0.1)*$I$11+FF110/MAX(FE110+EW110+FF110, 0.1)*$J$11))/($B$13+$C$13+$F$13)</f>
        <v>0</v>
      </c>
      <c r="DJ110">
        <f>($B$13*$K$11+$C$13*$K$11+$F$13*((FE110+EW110)/MAX(FE110+EW110+FF110, 0.1)*$P$11+FF110/MAX(FE110+EW110+FF110, 0.1)*$Q$11))/($B$13+$C$13+$F$13)</f>
        <v>0</v>
      </c>
      <c r="DK110">
        <v>5.66</v>
      </c>
      <c r="DL110">
        <v>0.5</v>
      </c>
      <c r="DM110" t="s">
        <v>438</v>
      </c>
      <c r="DN110">
        <v>2</v>
      </c>
      <c r="DO110" t="b">
        <v>1</v>
      </c>
      <c r="DP110">
        <v>1765312838.599999</v>
      </c>
      <c r="DQ110">
        <v>799.5350322580645</v>
      </c>
      <c r="DR110">
        <v>799.9946451612904</v>
      </c>
      <c r="DS110">
        <v>17.59632580645161</v>
      </c>
      <c r="DT110">
        <v>17.53341290322581</v>
      </c>
      <c r="DU110">
        <v>798.6260322580645</v>
      </c>
      <c r="DV110">
        <v>17.51632580645161</v>
      </c>
      <c r="DW110">
        <v>500.0035161290323</v>
      </c>
      <c r="DX110">
        <v>89.75943870967741</v>
      </c>
      <c r="DY110">
        <v>0.09999052258064516</v>
      </c>
      <c r="DZ110">
        <v>24.87228709677419</v>
      </c>
      <c r="EA110">
        <v>24.99026129032258</v>
      </c>
      <c r="EB110">
        <v>999.9000000000003</v>
      </c>
      <c r="EC110">
        <v>0</v>
      </c>
      <c r="ED110">
        <v>0</v>
      </c>
      <c r="EE110">
        <v>9999.812903225808</v>
      </c>
      <c r="EF110">
        <v>0</v>
      </c>
      <c r="EG110">
        <v>9.745686774193548</v>
      </c>
      <c r="EH110">
        <v>-0.6305267096774193</v>
      </c>
      <c r="EI110">
        <v>813.6819677419354</v>
      </c>
      <c r="EJ110">
        <v>814.2715161290322</v>
      </c>
      <c r="EK110">
        <v>0.06301430645161292</v>
      </c>
      <c r="EL110">
        <v>799.9946451612904</v>
      </c>
      <c r="EM110">
        <v>17.53341290322581</v>
      </c>
      <c r="EN110">
        <v>1.579445806451613</v>
      </c>
      <c r="EO110">
        <v>1.573789677419355</v>
      </c>
      <c r="EP110">
        <v>13.75972258064516</v>
      </c>
      <c r="EQ110">
        <v>13.70453870967742</v>
      </c>
      <c r="ER110">
        <v>800.0100322580648</v>
      </c>
      <c r="ES110">
        <v>0.9499868709677419</v>
      </c>
      <c r="ET110">
        <v>0.0500129935483871</v>
      </c>
      <c r="EU110">
        <v>0</v>
      </c>
      <c r="EV110">
        <v>789.7129999999999</v>
      </c>
      <c r="EW110">
        <v>5.000779999999999</v>
      </c>
      <c r="EX110">
        <v>5942.518709677419</v>
      </c>
      <c r="EY110">
        <v>6463.472258064516</v>
      </c>
      <c r="EZ110">
        <v>36.13883870967742</v>
      </c>
      <c r="FA110">
        <v>38.48154838709676</v>
      </c>
      <c r="FB110">
        <v>37.62670967741935</v>
      </c>
      <c r="FC110">
        <v>38.10470967741934</v>
      </c>
      <c r="FD110">
        <v>37.68119354838708</v>
      </c>
      <c r="FE110">
        <v>755.2480645161288</v>
      </c>
      <c r="FF110">
        <v>39.76</v>
      </c>
      <c r="FG110">
        <v>0</v>
      </c>
      <c r="FH110">
        <v>1765312846.1</v>
      </c>
      <c r="FI110">
        <v>0</v>
      </c>
      <c r="FJ110">
        <v>789.689846153846</v>
      </c>
      <c r="FK110">
        <v>-0.5198632420832718</v>
      </c>
      <c r="FL110">
        <v>-14.33230770219813</v>
      </c>
      <c r="FM110">
        <v>5942.460769230768</v>
      </c>
      <c r="FN110">
        <v>15</v>
      </c>
      <c r="FO110">
        <v>1765312875.6</v>
      </c>
      <c r="FP110" t="s">
        <v>724</v>
      </c>
      <c r="FQ110">
        <v>1765312875.6</v>
      </c>
      <c r="FR110">
        <v>1765312862.6</v>
      </c>
      <c r="FS110">
        <v>93</v>
      </c>
      <c r="FT110">
        <v>0.171</v>
      </c>
      <c r="FU110">
        <v>0.002</v>
      </c>
      <c r="FV110">
        <v>0.909</v>
      </c>
      <c r="FW110">
        <v>0.08</v>
      </c>
      <c r="FX110">
        <v>800</v>
      </c>
      <c r="FY110">
        <v>17</v>
      </c>
      <c r="FZ110">
        <v>0.77</v>
      </c>
      <c r="GA110">
        <v>0.25</v>
      </c>
      <c r="GB110">
        <v>-0.6669788536585366</v>
      </c>
      <c r="GC110">
        <v>0.4648150034843189</v>
      </c>
      <c r="GD110">
        <v>0.07507586080516906</v>
      </c>
      <c r="GE110">
        <v>1</v>
      </c>
      <c r="GF110">
        <v>789.7064999999999</v>
      </c>
      <c r="GG110">
        <v>-0.2165775384647565</v>
      </c>
      <c r="GH110">
        <v>0.2169839042553276</v>
      </c>
      <c r="GI110">
        <v>1</v>
      </c>
      <c r="GJ110">
        <v>0.05910850243902438</v>
      </c>
      <c r="GK110">
        <v>0.08965891149825783</v>
      </c>
      <c r="GL110">
        <v>0.01124203966463442</v>
      </c>
      <c r="GM110">
        <v>1</v>
      </c>
      <c r="GN110">
        <v>3</v>
      </c>
      <c r="GO110">
        <v>3</v>
      </c>
      <c r="GP110" t="s">
        <v>440</v>
      </c>
      <c r="GQ110">
        <v>3.10834</v>
      </c>
      <c r="GR110">
        <v>2.79166</v>
      </c>
      <c r="GS110">
        <v>0.138056</v>
      </c>
      <c r="GT110">
        <v>0.138278</v>
      </c>
      <c r="GU110">
        <v>0.0865602</v>
      </c>
      <c r="GV110">
        <v>0.0870918</v>
      </c>
      <c r="GW110">
        <v>22625.8</v>
      </c>
      <c r="GX110">
        <v>20536.5</v>
      </c>
      <c r="GY110">
        <v>26806.5</v>
      </c>
      <c r="GZ110">
        <v>24037.4</v>
      </c>
      <c r="HA110">
        <v>39139.5</v>
      </c>
      <c r="HB110">
        <v>32392.1</v>
      </c>
      <c r="HC110">
        <v>46786.6</v>
      </c>
      <c r="HD110">
        <v>38013.1</v>
      </c>
      <c r="HE110">
        <v>1.81578</v>
      </c>
      <c r="HF110">
        <v>1.8616</v>
      </c>
      <c r="HG110">
        <v>0.07268040000000001</v>
      </c>
      <c r="HH110">
        <v>0</v>
      </c>
      <c r="HI110">
        <v>23.7913</v>
      </c>
      <c r="HJ110">
        <v>999.9</v>
      </c>
      <c r="HK110">
        <v>40.4</v>
      </c>
      <c r="HL110">
        <v>31.2</v>
      </c>
      <c r="HM110">
        <v>20.5391</v>
      </c>
      <c r="HN110">
        <v>61.2767</v>
      </c>
      <c r="HO110">
        <v>27.7724</v>
      </c>
      <c r="HP110">
        <v>1</v>
      </c>
      <c r="HQ110">
        <v>0.00381098</v>
      </c>
      <c r="HR110">
        <v>0.608023</v>
      </c>
      <c r="HS110">
        <v>20.2935</v>
      </c>
      <c r="HT110">
        <v>5.22163</v>
      </c>
      <c r="HU110">
        <v>11.9773</v>
      </c>
      <c r="HV110">
        <v>4.96555</v>
      </c>
      <c r="HW110">
        <v>3.276</v>
      </c>
      <c r="HX110">
        <v>9999</v>
      </c>
      <c r="HY110">
        <v>9999</v>
      </c>
      <c r="HZ110">
        <v>9999</v>
      </c>
      <c r="IA110">
        <v>999.9</v>
      </c>
      <c r="IB110">
        <v>1.86386</v>
      </c>
      <c r="IC110">
        <v>1.86005</v>
      </c>
      <c r="ID110">
        <v>1.85836</v>
      </c>
      <c r="IE110">
        <v>1.85962</v>
      </c>
      <c r="IF110">
        <v>1.8598</v>
      </c>
      <c r="IG110">
        <v>1.85836</v>
      </c>
      <c r="IH110">
        <v>1.85736</v>
      </c>
      <c r="II110">
        <v>1.85231</v>
      </c>
      <c r="IJ110">
        <v>0</v>
      </c>
      <c r="IK110">
        <v>0</v>
      </c>
      <c r="IL110">
        <v>0</v>
      </c>
      <c r="IM110">
        <v>0</v>
      </c>
      <c r="IN110" t="s">
        <v>441</v>
      </c>
      <c r="IO110" t="s">
        <v>442</v>
      </c>
      <c r="IP110" t="s">
        <v>443</v>
      </c>
      <c r="IQ110" t="s">
        <v>443</v>
      </c>
      <c r="IR110" t="s">
        <v>443</v>
      </c>
      <c r="IS110" t="s">
        <v>443</v>
      </c>
      <c r="IT110">
        <v>0</v>
      </c>
      <c r="IU110">
        <v>100</v>
      </c>
      <c r="IV110">
        <v>100</v>
      </c>
      <c r="IW110">
        <v>0.909</v>
      </c>
      <c r="IX110">
        <v>0.08</v>
      </c>
      <c r="IY110">
        <v>-0.1355034684719812</v>
      </c>
      <c r="IZ110">
        <v>0.0001583678016168383</v>
      </c>
      <c r="JA110">
        <v>1.526473431467286E-06</v>
      </c>
      <c r="JB110">
        <v>-4.446382740029455E-10</v>
      </c>
      <c r="JC110">
        <v>-0.04042876325688011</v>
      </c>
      <c r="JD110">
        <v>-0.009941991807247691</v>
      </c>
      <c r="JE110">
        <v>0.001256427533001032</v>
      </c>
      <c r="JF110">
        <v>-1.689728105039484E-05</v>
      </c>
      <c r="JG110">
        <v>2</v>
      </c>
      <c r="JH110">
        <v>1984</v>
      </c>
      <c r="JI110">
        <v>0</v>
      </c>
      <c r="JJ110">
        <v>25</v>
      </c>
      <c r="JK110">
        <v>1.3</v>
      </c>
      <c r="JL110">
        <v>1.3</v>
      </c>
      <c r="JM110">
        <v>1.91162</v>
      </c>
      <c r="JN110">
        <v>2.63428</v>
      </c>
      <c r="JO110">
        <v>1.49658</v>
      </c>
      <c r="JP110">
        <v>2.34619</v>
      </c>
      <c r="JQ110">
        <v>1.54907</v>
      </c>
      <c r="JR110">
        <v>2.38647</v>
      </c>
      <c r="JS110">
        <v>35.4986</v>
      </c>
      <c r="JT110">
        <v>24.1225</v>
      </c>
      <c r="JU110">
        <v>18</v>
      </c>
      <c r="JV110">
        <v>437.34</v>
      </c>
      <c r="JW110">
        <v>489.084</v>
      </c>
      <c r="JX110">
        <v>23.4092</v>
      </c>
      <c r="JY110">
        <v>27.2334</v>
      </c>
      <c r="JZ110">
        <v>30</v>
      </c>
      <c r="KA110">
        <v>27.5484</v>
      </c>
      <c r="KB110">
        <v>27.5646</v>
      </c>
      <c r="KC110">
        <v>38.3857</v>
      </c>
      <c r="KD110">
        <v>15.9471</v>
      </c>
      <c r="KE110">
        <v>42.2225</v>
      </c>
      <c r="KF110">
        <v>23.4099</v>
      </c>
      <c r="KG110">
        <v>800</v>
      </c>
      <c r="KH110">
        <v>17.4891</v>
      </c>
      <c r="KI110">
        <v>102.314</v>
      </c>
      <c r="KJ110">
        <v>91.68899999999999</v>
      </c>
    </row>
    <row r="111" spans="1:296">
      <c r="A111">
        <v>93</v>
      </c>
      <c r="B111">
        <v>1765312966.6</v>
      </c>
      <c r="C111">
        <v>15533.59999990463</v>
      </c>
      <c r="D111" t="s">
        <v>725</v>
      </c>
      <c r="E111" t="s">
        <v>726</v>
      </c>
      <c r="F111">
        <v>5</v>
      </c>
      <c r="G111" t="s">
        <v>696</v>
      </c>
      <c r="H111">
        <v>1765312958.599999</v>
      </c>
      <c r="I111">
        <f>(J111)/1000</f>
        <v>0</v>
      </c>
      <c r="J111">
        <f>IF(DO111, AM111, AG111)</f>
        <v>0</v>
      </c>
      <c r="K111">
        <f>IF(DO111, AH111, AF111)</f>
        <v>0</v>
      </c>
      <c r="L111">
        <f>DQ111 - IF(AT111&gt;1, K111*DK111*100.0/(AV111), 0)</f>
        <v>0</v>
      </c>
      <c r="M111">
        <f>((S111-I111/2)*L111-K111)/(S111+I111/2)</f>
        <v>0</v>
      </c>
      <c r="N111">
        <f>M111*(DX111+DY111)/1000.0</f>
        <v>0</v>
      </c>
      <c r="O111">
        <f>(DQ111 - IF(AT111&gt;1, K111*DK111*100.0/(AV111), 0))*(DX111+DY111)/1000.0</f>
        <v>0</v>
      </c>
      <c r="P111">
        <f>2.0/((1/R111-1/Q111)+SIGN(R111)*SQRT((1/R111-1/Q111)*(1/R111-1/Q111) + 4*DL111/((DL111+1)*(DL111+1))*(2*1/R111*1/Q111-1/Q111*1/Q111)))</f>
        <v>0</v>
      </c>
      <c r="Q111">
        <f>IF(LEFT(DM111,1)&lt;&gt;"0",IF(LEFT(DM111,1)="1",3.0,DN111),$D$5+$E$5*(EE111*DX111/($K$5*1000))+$F$5*(EE111*DX111/($K$5*1000))*MAX(MIN(DK111,$J$5),$I$5)*MAX(MIN(DK111,$J$5),$I$5)+$G$5*MAX(MIN(DK111,$J$5),$I$5)*(EE111*DX111/($K$5*1000))+$H$5*(EE111*DX111/($K$5*1000))*(EE111*DX111/($K$5*1000)))</f>
        <v>0</v>
      </c>
      <c r="R111">
        <f>I111*(1000-(1000*0.61365*exp(17.502*V111/(240.97+V111))/(DX111+DY111)+DS111)/2)/(1000*0.61365*exp(17.502*V111/(240.97+V111))/(DX111+DY111)-DS111)</f>
        <v>0</v>
      </c>
      <c r="S111">
        <f>1/((DL111+1)/(P111/1.6)+1/(Q111/1.37)) + DL111/((DL111+1)/(P111/1.6) + DL111/(Q111/1.37))</f>
        <v>0</v>
      </c>
      <c r="T111">
        <f>(DG111*DJ111)</f>
        <v>0</v>
      </c>
      <c r="U111">
        <f>(DZ111+(T111+2*0.95*5.67E-8*(((DZ111+$B$9)+273)^4-(DZ111+273)^4)-44100*I111)/(1.84*29.3*Q111+8*0.95*5.67E-8*(DZ111+273)^3))</f>
        <v>0</v>
      </c>
      <c r="V111">
        <f>($C$9*EA111+$D$9*EB111+$E$9*U111)</f>
        <v>0</v>
      </c>
      <c r="W111">
        <f>0.61365*exp(17.502*V111/(240.97+V111))</f>
        <v>0</v>
      </c>
      <c r="X111">
        <f>(Y111/Z111*100)</f>
        <v>0</v>
      </c>
      <c r="Y111">
        <f>DS111*(DX111+DY111)/1000</f>
        <v>0</v>
      </c>
      <c r="Z111">
        <f>0.61365*exp(17.502*DZ111/(240.97+DZ111))</f>
        <v>0</v>
      </c>
      <c r="AA111">
        <f>(W111-DS111*(DX111+DY111)/1000)</f>
        <v>0</v>
      </c>
      <c r="AB111">
        <f>(-I111*44100)</f>
        <v>0</v>
      </c>
      <c r="AC111">
        <f>2*29.3*Q111*0.92*(DZ111-V111)</f>
        <v>0</v>
      </c>
      <c r="AD111">
        <f>2*0.95*5.67E-8*(((DZ111+$B$9)+273)^4-(V111+273)^4)</f>
        <v>0</v>
      </c>
      <c r="AE111">
        <f>T111+AD111+AB111+AC111</f>
        <v>0</v>
      </c>
      <c r="AF111">
        <f>DW111*AT111*(DR111-DQ111*(1000-AT111*DT111)/(1000-AT111*DS111))/(100*DK111)</f>
        <v>0</v>
      </c>
      <c r="AG111">
        <f>1000*DW111*AT111*(DS111-DT111)/(100*DK111*(1000-AT111*DS111))</f>
        <v>0</v>
      </c>
      <c r="AH111">
        <f>(AI111 - AJ111 - DX111*1E3/(8.314*(DZ111+273.15)) * AL111/DW111 * AK111) * DW111/(100*DK111) * (1000 - DT111)/1000</f>
        <v>0</v>
      </c>
      <c r="AI111">
        <v>1017.826242265457</v>
      </c>
      <c r="AJ111">
        <v>1017.65612121212</v>
      </c>
      <c r="AK111">
        <v>0.001702517471666205</v>
      </c>
      <c r="AL111">
        <v>65.65023928157936</v>
      </c>
      <c r="AM111">
        <f>(AO111 - AN111 + DX111*1E3/(8.314*(DZ111+273.15)) * AQ111/DW111 * AP111) * DW111/(100*DK111) * 1000/(1000 - AO111)</f>
        <v>0</v>
      </c>
      <c r="AN111">
        <v>17.47634181818182</v>
      </c>
      <c r="AO111">
        <v>17.56255696969696</v>
      </c>
      <c r="AP111">
        <v>-1.915446255904237E-05</v>
      </c>
      <c r="AQ111">
        <v>106.2298239300299</v>
      </c>
      <c r="AR111">
        <v>37</v>
      </c>
      <c r="AS111">
        <v>7</v>
      </c>
      <c r="AT111">
        <f>IF(AR111*$H$15&gt;=AV111,1.0,(AV111/(AV111-AR111*$H$15)))</f>
        <v>0</v>
      </c>
      <c r="AU111">
        <f>(AT111-1)*100</f>
        <v>0</v>
      </c>
      <c r="AV111">
        <f>MAX(0,($B$15+$C$15*EE111)/(1+$D$15*EE111)*DX111/(DZ111+273)*$E$15)</f>
        <v>0</v>
      </c>
      <c r="AW111" t="s">
        <v>437</v>
      </c>
      <c r="AX111" t="s">
        <v>437</v>
      </c>
      <c r="AY111">
        <v>0</v>
      </c>
      <c r="AZ111">
        <v>0</v>
      </c>
      <c r="BA111">
        <f>1-AY111/AZ111</f>
        <v>0</v>
      </c>
      <c r="BB111">
        <v>0</v>
      </c>
      <c r="BC111" t="s">
        <v>437</v>
      </c>
      <c r="BD111" t="s">
        <v>437</v>
      </c>
      <c r="BE111">
        <v>0</v>
      </c>
      <c r="BF111">
        <v>0</v>
      </c>
      <c r="BG111">
        <f>1-BE111/BF111</f>
        <v>0</v>
      </c>
      <c r="BH111">
        <v>0.5</v>
      </c>
      <c r="BI111">
        <f>DH111</f>
        <v>0</v>
      </c>
      <c r="BJ111">
        <f>K111</f>
        <v>0</v>
      </c>
      <c r="BK111">
        <f>BG111*BH111*BI111</f>
        <v>0</v>
      </c>
      <c r="BL111">
        <f>(BJ111-BB111)/BI111</f>
        <v>0</v>
      </c>
      <c r="BM111">
        <f>(AZ111-BF111)/BF111</f>
        <v>0</v>
      </c>
      <c r="BN111">
        <f>AY111/(BA111+AY111/BF111)</f>
        <v>0</v>
      </c>
      <c r="BO111" t="s">
        <v>437</v>
      </c>
      <c r="BP111">
        <v>0</v>
      </c>
      <c r="BQ111">
        <f>IF(BP111&lt;&gt;0, BP111, BN111)</f>
        <v>0</v>
      </c>
      <c r="BR111">
        <f>1-BQ111/BF111</f>
        <v>0</v>
      </c>
      <c r="BS111">
        <f>(BF111-BE111)/(BF111-BQ111)</f>
        <v>0</v>
      </c>
      <c r="BT111">
        <f>(AZ111-BF111)/(AZ111-BQ111)</f>
        <v>0</v>
      </c>
      <c r="BU111">
        <f>(BF111-BE111)/(BF111-AY111)</f>
        <v>0</v>
      </c>
      <c r="BV111">
        <f>(AZ111-BF111)/(AZ111-AY111)</f>
        <v>0</v>
      </c>
      <c r="BW111">
        <f>(BS111*BQ111/BE111)</f>
        <v>0</v>
      </c>
      <c r="BX111">
        <f>(1-BW111)</f>
        <v>0</v>
      </c>
      <c r="DG111">
        <f>$B$13*EF111+$C$13*EG111+$F$13*ER111*(1-EU111)</f>
        <v>0</v>
      </c>
      <c r="DH111">
        <f>DG111*DI111</f>
        <v>0</v>
      </c>
      <c r="DI111">
        <f>($B$13*$D$11+$C$13*$D$11+$F$13*((FE111+EW111)/MAX(FE111+EW111+FF111, 0.1)*$I$11+FF111/MAX(FE111+EW111+FF111, 0.1)*$J$11))/($B$13+$C$13+$F$13)</f>
        <v>0</v>
      </c>
      <c r="DJ111">
        <f>($B$13*$K$11+$C$13*$K$11+$F$13*((FE111+EW111)/MAX(FE111+EW111+FF111, 0.1)*$P$11+FF111/MAX(FE111+EW111+FF111, 0.1)*$Q$11))/($B$13+$C$13+$F$13)</f>
        <v>0</v>
      </c>
      <c r="DK111">
        <v>5.66</v>
      </c>
      <c r="DL111">
        <v>0.5</v>
      </c>
      <c r="DM111" t="s">
        <v>438</v>
      </c>
      <c r="DN111">
        <v>2</v>
      </c>
      <c r="DO111" t="b">
        <v>1</v>
      </c>
      <c r="DP111">
        <v>1765312958.599999</v>
      </c>
      <c r="DQ111">
        <v>999.4655483870966</v>
      </c>
      <c r="DR111">
        <v>1000.017935483871</v>
      </c>
      <c r="DS111">
        <v>17.56691935483871</v>
      </c>
      <c r="DT111">
        <v>17.48832258064516</v>
      </c>
      <c r="DU111">
        <v>998.5305483870967</v>
      </c>
      <c r="DV111">
        <v>17.48691935483872</v>
      </c>
      <c r="DW111">
        <v>499.9947419354838</v>
      </c>
      <c r="DX111">
        <v>89.75405806451612</v>
      </c>
      <c r="DY111">
        <v>0.09991028709677419</v>
      </c>
      <c r="DZ111">
        <v>24.84993870967742</v>
      </c>
      <c r="EA111">
        <v>24.99229032258064</v>
      </c>
      <c r="EB111">
        <v>999.9000000000003</v>
      </c>
      <c r="EC111">
        <v>0</v>
      </c>
      <c r="ED111">
        <v>0</v>
      </c>
      <c r="EE111">
        <v>10006.14032258065</v>
      </c>
      <c r="EF111">
        <v>0</v>
      </c>
      <c r="EG111">
        <v>9.726052258064518</v>
      </c>
      <c r="EH111">
        <v>-0.2150367419354839</v>
      </c>
      <c r="EI111">
        <v>1017.68129032258</v>
      </c>
      <c r="EJ111">
        <v>1017.818387096774</v>
      </c>
      <c r="EK111">
        <v>0.07974009354838708</v>
      </c>
      <c r="EL111">
        <v>1000.017935483871</v>
      </c>
      <c r="EM111">
        <v>17.48832258064516</v>
      </c>
      <c r="EN111">
        <v>1.576805806451613</v>
      </c>
      <c r="EO111">
        <v>1.569649354838709</v>
      </c>
      <c r="EP111">
        <v>13.73398387096774</v>
      </c>
      <c r="EQ111">
        <v>13.66402258064516</v>
      </c>
      <c r="ER111">
        <v>800.0027741935485</v>
      </c>
      <c r="ES111">
        <v>0.9499926451612906</v>
      </c>
      <c r="ET111">
        <v>0.05000728709677419</v>
      </c>
      <c r="EU111">
        <v>0</v>
      </c>
      <c r="EV111">
        <v>788.0304193548386</v>
      </c>
      <c r="EW111">
        <v>5.000779999999999</v>
      </c>
      <c r="EX111">
        <v>5933.785161290321</v>
      </c>
      <c r="EY111">
        <v>6463.424193548388</v>
      </c>
      <c r="EZ111">
        <v>36.21558064516129</v>
      </c>
      <c r="FA111">
        <v>39.20335483870966</v>
      </c>
      <c r="FB111">
        <v>38.19735483870967</v>
      </c>
      <c r="FC111">
        <v>38.95535483870967</v>
      </c>
      <c r="FD111">
        <v>38.40496774193547</v>
      </c>
      <c r="FE111">
        <v>755.2461290322581</v>
      </c>
      <c r="FF111">
        <v>39.75322580645161</v>
      </c>
      <c r="FG111">
        <v>0</v>
      </c>
      <c r="FH111">
        <v>1765312966.1</v>
      </c>
      <c r="FI111">
        <v>0</v>
      </c>
      <c r="FJ111">
        <v>787.9938846153847</v>
      </c>
      <c r="FK111">
        <v>-2.435521364860867</v>
      </c>
      <c r="FL111">
        <v>1.324444437236816</v>
      </c>
      <c r="FM111">
        <v>5933.767692307692</v>
      </c>
      <c r="FN111">
        <v>15</v>
      </c>
      <c r="FO111">
        <v>1765312987.1</v>
      </c>
      <c r="FP111" t="s">
        <v>727</v>
      </c>
      <c r="FQ111">
        <v>1765312987.1</v>
      </c>
      <c r="FR111">
        <v>1765312982.6</v>
      </c>
      <c r="FS111">
        <v>94</v>
      </c>
      <c r="FT111">
        <v>-0.338</v>
      </c>
      <c r="FU111">
        <v>0.001</v>
      </c>
      <c r="FV111">
        <v>0.9350000000000001</v>
      </c>
      <c r="FW111">
        <v>0.08</v>
      </c>
      <c r="FX111">
        <v>1000</v>
      </c>
      <c r="FY111">
        <v>17</v>
      </c>
      <c r="FZ111">
        <v>0.78</v>
      </c>
      <c r="GA111">
        <v>0.13</v>
      </c>
      <c r="GB111">
        <v>-0.2109271219512195</v>
      </c>
      <c r="GC111">
        <v>-0.1342823205574919</v>
      </c>
      <c r="GD111">
        <v>0.05383092036439477</v>
      </c>
      <c r="GE111">
        <v>1</v>
      </c>
      <c r="GF111">
        <v>788.0783529411765</v>
      </c>
      <c r="GG111">
        <v>-1.773781507028684</v>
      </c>
      <c r="GH111">
        <v>0.2774610605804135</v>
      </c>
      <c r="GI111">
        <v>0</v>
      </c>
      <c r="GJ111">
        <v>0.07508943170731706</v>
      </c>
      <c r="GK111">
        <v>0.08721616933797917</v>
      </c>
      <c r="GL111">
        <v>0.008849072675060752</v>
      </c>
      <c r="GM111">
        <v>1</v>
      </c>
      <c r="GN111">
        <v>2</v>
      </c>
      <c r="GO111">
        <v>3</v>
      </c>
      <c r="GP111" t="s">
        <v>453</v>
      </c>
      <c r="GQ111">
        <v>3.10821</v>
      </c>
      <c r="GR111">
        <v>2.79182</v>
      </c>
      <c r="GS111">
        <v>0.159691</v>
      </c>
      <c r="GT111">
        <v>0.159913</v>
      </c>
      <c r="GU111">
        <v>0.08643049999999999</v>
      </c>
      <c r="GV111">
        <v>0.0869284</v>
      </c>
      <c r="GW111">
        <v>22058.7</v>
      </c>
      <c r="GX111">
        <v>20021.2</v>
      </c>
      <c r="GY111">
        <v>26806.9</v>
      </c>
      <c r="GZ111">
        <v>24037.3</v>
      </c>
      <c r="HA111">
        <v>39148.5</v>
      </c>
      <c r="HB111">
        <v>32399.6</v>
      </c>
      <c r="HC111">
        <v>46787.5</v>
      </c>
      <c r="HD111">
        <v>38012.6</v>
      </c>
      <c r="HE111">
        <v>1.81488</v>
      </c>
      <c r="HF111">
        <v>1.86315</v>
      </c>
      <c r="HG111">
        <v>0.0727549</v>
      </c>
      <c r="HH111">
        <v>0</v>
      </c>
      <c r="HI111">
        <v>23.7953</v>
      </c>
      <c r="HJ111">
        <v>999.9</v>
      </c>
      <c r="HK111">
        <v>40.5</v>
      </c>
      <c r="HL111">
        <v>31.2</v>
      </c>
      <c r="HM111">
        <v>20.5928</v>
      </c>
      <c r="HN111">
        <v>60.8267</v>
      </c>
      <c r="HO111">
        <v>27.6883</v>
      </c>
      <c r="HP111">
        <v>1</v>
      </c>
      <c r="HQ111">
        <v>0.00125</v>
      </c>
      <c r="HR111">
        <v>0.5542319999999999</v>
      </c>
      <c r="HS111">
        <v>20.2954</v>
      </c>
      <c r="HT111">
        <v>5.21939</v>
      </c>
      <c r="HU111">
        <v>11.976</v>
      </c>
      <c r="HV111">
        <v>4.9657</v>
      </c>
      <c r="HW111">
        <v>3.276</v>
      </c>
      <c r="HX111">
        <v>9999</v>
      </c>
      <c r="HY111">
        <v>9999</v>
      </c>
      <c r="HZ111">
        <v>9999</v>
      </c>
      <c r="IA111">
        <v>999.9</v>
      </c>
      <c r="IB111">
        <v>1.8639</v>
      </c>
      <c r="IC111">
        <v>1.86005</v>
      </c>
      <c r="ID111">
        <v>1.85836</v>
      </c>
      <c r="IE111">
        <v>1.85964</v>
      </c>
      <c r="IF111">
        <v>1.85986</v>
      </c>
      <c r="IG111">
        <v>1.85837</v>
      </c>
      <c r="IH111">
        <v>1.85743</v>
      </c>
      <c r="II111">
        <v>1.85231</v>
      </c>
      <c r="IJ111">
        <v>0</v>
      </c>
      <c r="IK111">
        <v>0</v>
      </c>
      <c r="IL111">
        <v>0</v>
      </c>
      <c r="IM111">
        <v>0</v>
      </c>
      <c r="IN111" t="s">
        <v>441</v>
      </c>
      <c r="IO111" t="s">
        <v>442</v>
      </c>
      <c r="IP111" t="s">
        <v>443</v>
      </c>
      <c r="IQ111" t="s">
        <v>443</v>
      </c>
      <c r="IR111" t="s">
        <v>443</v>
      </c>
      <c r="IS111" t="s">
        <v>443</v>
      </c>
      <c r="IT111">
        <v>0</v>
      </c>
      <c r="IU111">
        <v>100</v>
      </c>
      <c r="IV111">
        <v>100</v>
      </c>
      <c r="IW111">
        <v>0.9350000000000001</v>
      </c>
      <c r="IX111">
        <v>0.08</v>
      </c>
      <c r="IY111">
        <v>0.0349713723011349</v>
      </c>
      <c r="IZ111">
        <v>0.0001583678016168383</v>
      </c>
      <c r="JA111">
        <v>1.526473431467286E-06</v>
      </c>
      <c r="JB111">
        <v>-4.446382740029455E-10</v>
      </c>
      <c r="JC111">
        <v>-0.03885120661186835</v>
      </c>
      <c r="JD111">
        <v>-0.009941991807247691</v>
      </c>
      <c r="JE111">
        <v>0.001256427533001032</v>
      </c>
      <c r="JF111">
        <v>-1.689728105039484E-05</v>
      </c>
      <c r="JG111">
        <v>2</v>
      </c>
      <c r="JH111">
        <v>1984</v>
      </c>
      <c r="JI111">
        <v>0</v>
      </c>
      <c r="JJ111">
        <v>25</v>
      </c>
      <c r="JK111">
        <v>1.5</v>
      </c>
      <c r="JL111">
        <v>1.7</v>
      </c>
      <c r="JM111">
        <v>2.29004</v>
      </c>
      <c r="JN111">
        <v>2.63184</v>
      </c>
      <c r="JO111">
        <v>1.49658</v>
      </c>
      <c r="JP111">
        <v>2.34619</v>
      </c>
      <c r="JQ111">
        <v>1.54907</v>
      </c>
      <c r="JR111">
        <v>2.36816</v>
      </c>
      <c r="JS111">
        <v>35.4523</v>
      </c>
      <c r="JT111">
        <v>24.1225</v>
      </c>
      <c r="JU111">
        <v>18</v>
      </c>
      <c r="JV111">
        <v>436.491</v>
      </c>
      <c r="JW111">
        <v>489.63</v>
      </c>
      <c r="JX111">
        <v>23.4575</v>
      </c>
      <c r="JY111">
        <v>27.1836</v>
      </c>
      <c r="JZ111">
        <v>29.9999</v>
      </c>
      <c r="KA111">
        <v>27.4949</v>
      </c>
      <c r="KB111">
        <v>27.5102</v>
      </c>
      <c r="KC111">
        <v>45.9668</v>
      </c>
      <c r="KD111">
        <v>16.2358</v>
      </c>
      <c r="KE111">
        <v>42.9985</v>
      </c>
      <c r="KF111">
        <v>23.4598</v>
      </c>
      <c r="KG111">
        <v>1000</v>
      </c>
      <c r="KH111">
        <v>17.4673</v>
      </c>
      <c r="KI111">
        <v>102.316</v>
      </c>
      <c r="KJ111">
        <v>91.68810000000001</v>
      </c>
    </row>
    <row r="112" spans="1:296">
      <c r="A112">
        <v>94</v>
      </c>
      <c r="B112">
        <v>1765313078.5</v>
      </c>
      <c r="C112">
        <v>15645.5</v>
      </c>
      <c r="D112" t="s">
        <v>728</v>
      </c>
      <c r="E112" t="s">
        <v>729</v>
      </c>
      <c r="F112">
        <v>5</v>
      </c>
      <c r="G112" t="s">
        <v>696</v>
      </c>
      <c r="H112">
        <v>1765313070.75</v>
      </c>
      <c r="I112">
        <f>(J112)/1000</f>
        <v>0</v>
      </c>
      <c r="J112">
        <f>IF(DO112, AM112, AG112)</f>
        <v>0</v>
      </c>
      <c r="K112">
        <f>IF(DO112, AH112, AF112)</f>
        <v>0</v>
      </c>
      <c r="L112">
        <f>DQ112 - IF(AT112&gt;1, K112*DK112*100.0/(AV112), 0)</f>
        <v>0</v>
      </c>
      <c r="M112">
        <f>((S112-I112/2)*L112-K112)/(S112+I112/2)</f>
        <v>0</v>
      </c>
      <c r="N112">
        <f>M112*(DX112+DY112)/1000.0</f>
        <v>0</v>
      </c>
      <c r="O112">
        <f>(DQ112 - IF(AT112&gt;1, K112*DK112*100.0/(AV112), 0))*(DX112+DY112)/1000.0</f>
        <v>0</v>
      </c>
      <c r="P112">
        <f>2.0/((1/R112-1/Q112)+SIGN(R112)*SQRT((1/R112-1/Q112)*(1/R112-1/Q112) + 4*DL112/((DL112+1)*(DL112+1))*(2*1/R112*1/Q112-1/Q112*1/Q112)))</f>
        <v>0</v>
      </c>
      <c r="Q112">
        <f>IF(LEFT(DM112,1)&lt;&gt;"0",IF(LEFT(DM112,1)="1",3.0,DN112),$D$5+$E$5*(EE112*DX112/($K$5*1000))+$F$5*(EE112*DX112/($K$5*1000))*MAX(MIN(DK112,$J$5),$I$5)*MAX(MIN(DK112,$J$5),$I$5)+$G$5*MAX(MIN(DK112,$J$5),$I$5)*(EE112*DX112/($K$5*1000))+$H$5*(EE112*DX112/($K$5*1000))*(EE112*DX112/($K$5*1000)))</f>
        <v>0</v>
      </c>
      <c r="R112">
        <f>I112*(1000-(1000*0.61365*exp(17.502*V112/(240.97+V112))/(DX112+DY112)+DS112)/2)/(1000*0.61365*exp(17.502*V112/(240.97+V112))/(DX112+DY112)-DS112)</f>
        <v>0</v>
      </c>
      <c r="S112">
        <f>1/((DL112+1)/(P112/1.6)+1/(Q112/1.37)) + DL112/((DL112+1)/(P112/1.6) + DL112/(Q112/1.37))</f>
        <v>0</v>
      </c>
      <c r="T112">
        <f>(DG112*DJ112)</f>
        <v>0</v>
      </c>
      <c r="U112">
        <f>(DZ112+(T112+2*0.95*5.67E-8*(((DZ112+$B$9)+273)^4-(DZ112+273)^4)-44100*I112)/(1.84*29.3*Q112+8*0.95*5.67E-8*(DZ112+273)^3))</f>
        <v>0</v>
      </c>
      <c r="V112">
        <f>($C$9*EA112+$D$9*EB112+$E$9*U112)</f>
        <v>0</v>
      </c>
      <c r="W112">
        <f>0.61365*exp(17.502*V112/(240.97+V112))</f>
        <v>0</v>
      </c>
      <c r="X112">
        <f>(Y112/Z112*100)</f>
        <v>0</v>
      </c>
      <c r="Y112">
        <f>DS112*(DX112+DY112)/1000</f>
        <v>0</v>
      </c>
      <c r="Z112">
        <f>0.61365*exp(17.502*DZ112/(240.97+DZ112))</f>
        <v>0</v>
      </c>
      <c r="AA112">
        <f>(W112-DS112*(DX112+DY112)/1000)</f>
        <v>0</v>
      </c>
      <c r="AB112">
        <f>(-I112*44100)</f>
        <v>0</v>
      </c>
      <c r="AC112">
        <f>2*29.3*Q112*0.92*(DZ112-V112)</f>
        <v>0</v>
      </c>
      <c r="AD112">
        <f>2*0.95*5.67E-8*(((DZ112+$B$9)+273)^4-(V112+273)^4)</f>
        <v>0</v>
      </c>
      <c r="AE112">
        <f>T112+AD112+AB112+AC112</f>
        <v>0</v>
      </c>
      <c r="AF112">
        <f>DW112*AT112*(DR112-DQ112*(1000-AT112*DT112)/(1000-AT112*DS112))/(100*DK112)</f>
        <v>0</v>
      </c>
      <c r="AG112">
        <f>1000*DW112*AT112*(DS112-DT112)/(100*DK112*(1000-AT112*DS112))</f>
        <v>0</v>
      </c>
      <c r="AH112">
        <f>(AI112 - AJ112 - DX112*1E3/(8.314*(DZ112+273.15)) * AL112/DW112 * AK112) * DW112/(100*DK112) * (1000 - DT112)/1000</f>
        <v>0</v>
      </c>
      <c r="AI112">
        <v>1221.328450363268</v>
      </c>
      <c r="AJ112">
        <v>1220.669515151515</v>
      </c>
      <c r="AK112">
        <v>0.01420444766736823</v>
      </c>
      <c r="AL112">
        <v>65.65465682856792</v>
      </c>
      <c r="AM112">
        <f>(AO112 - AN112 + DX112*1E3/(8.314*(DZ112+273.15)) * AQ112/DW112 * AP112) * DW112/(100*DK112) * 1000/(1000 - AO112)</f>
        <v>0</v>
      </c>
      <c r="AN112">
        <v>17.45953818181817</v>
      </c>
      <c r="AO112">
        <v>17.54047090909092</v>
      </c>
      <c r="AP112">
        <v>-3.690444820876528E-05</v>
      </c>
      <c r="AQ112">
        <v>106.2591659225613</v>
      </c>
      <c r="AR112">
        <v>38</v>
      </c>
      <c r="AS112">
        <v>8</v>
      </c>
      <c r="AT112">
        <f>IF(AR112*$H$15&gt;=AV112,1.0,(AV112/(AV112-AR112*$H$15)))</f>
        <v>0</v>
      </c>
      <c r="AU112">
        <f>(AT112-1)*100</f>
        <v>0</v>
      </c>
      <c r="AV112">
        <f>MAX(0,($B$15+$C$15*EE112)/(1+$D$15*EE112)*DX112/(DZ112+273)*$E$15)</f>
        <v>0</v>
      </c>
      <c r="AW112" t="s">
        <v>437</v>
      </c>
      <c r="AX112" t="s">
        <v>437</v>
      </c>
      <c r="AY112">
        <v>0</v>
      </c>
      <c r="AZ112">
        <v>0</v>
      </c>
      <c r="BA112">
        <f>1-AY112/AZ112</f>
        <v>0</v>
      </c>
      <c r="BB112">
        <v>0</v>
      </c>
      <c r="BC112" t="s">
        <v>437</v>
      </c>
      <c r="BD112" t="s">
        <v>437</v>
      </c>
      <c r="BE112">
        <v>0</v>
      </c>
      <c r="BF112">
        <v>0</v>
      </c>
      <c r="BG112">
        <f>1-BE112/BF112</f>
        <v>0</v>
      </c>
      <c r="BH112">
        <v>0.5</v>
      </c>
      <c r="BI112">
        <f>DH112</f>
        <v>0</v>
      </c>
      <c r="BJ112">
        <f>K112</f>
        <v>0</v>
      </c>
      <c r="BK112">
        <f>BG112*BH112*BI112</f>
        <v>0</v>
      </c>
      <c r="BL112">
        <f>(BJ112-BB112)/BI112</f>
        <v>0</v>
      </c>
      <c r="BM112">
        <f>(AZ112-BF112)/BF112</f>
        <v>0</v>
      </c>
      <c r="BN112">
        <f>AY112/(BA112+AY112/BF112)</f>
        <v>0</v>
      </c>
      <c r="BO112" t="s">
        <v>437</v>
      </c>
      <c r="BP112">
        <v>0</v>
      </c>
      <c r="BQ112">
        <f>IF(BP112&lt;&gt;0, BP112, BN112)</f>
        <v>0</v>
      </c>
      <c r="BR112">
        <f>1-BQ112/BF112</f>
        <v>0</v>
      </c>
      <c r="BS112">
        <f>(BF112-BE112)/(BF112-BQ112)</f>
        <v>0</v>
      </c>
      <c r="BT112">
        <f>(AZ112-BF112)/(AZ112-BQ112)</f>
        <v>0</v>
      </c>
      <c r="BU112">
        <f>(BF112-BE112)/(BF112-AY112)</f>
        <v>0</v>
      </c>
      <c r="BV112">
        <f>(AZ112-BF112)/(AZ112-AY112)</f>
        <v>0</v>
      </c>
      <c r="BW112">
        <f>(BS112*BQ112/BE112)</f>
        <v>0</v>
      </c>
      <c r="BX112">
        <f>(1-BW112)</f>
        <v>0</v>
      </c>
      <c r="DG112">
        <f>$B$13*EF112+$C$13*EG112+$F$13*ER112*(1-EU112)</f>
        <v>0</v>
      </c>
      <c r="DH112">
        <f>DG112*DI112</f>
        <v>0</v>
      </c>
      <c r="DI112">
        <f>($B$13*$D$11+$C$13*$D$11+$F$13*((FE112+EW112)/MAX(FE112+EW112+FF112, 0.1)*$I$11+FF112/MAX(FE112+EW112+FF112, 0.1)*$J$11))/($B$13+$C$13+$F$13)</f>
        <v>0</v>
      </c>
      <c r="DJ112">
        <f>($B$13*$K$11+$C$13*$K$11+$F$13*((FE112+EW112)/MAX(FE112+EW112+FF112, 0.1)*$P$11+FF112/MAX(FE112+EW112+FF112, 0.1)*$Q$11))/($B$13+$C$13+$F$13)</f>
        <v>0</v>
      </c>
      <c r="DK112">
        <v>5.66</v>
      </c>
      <c r="DL112">
        <v>0.5</v>
      </c>
      <c r="DM112" t="s">
        <v>438</v>
      </c>
      <c r="DN112">
        <v>2</v>
      </c>
      <c r="DO112" t="b">
        <v>1</v>
      </c>
      <c r="DP112">
        <v>1765313070.75</v>
      </c>
      <c r="DQ112">
        <v>1199.363</v>
      </c>
      <c r="DR112">
        <v>1200.040666666667</v>
      </c>
      <c r="DS112">
        <v>17.54005</v>
      </c>
      <c r="DT112">
        <v>17.47011333333334</v>
      </c>
      <c r="DU112">
        <v>1197.954</v>
      </c>
      <c r="DV112">
        <v>17.46005</v>
      </c>
      <c r="DW112">
        <v>500.0168666666667</v>
      </c>
      <c r="DX112">
        <v>89.76130333333336</v>
      </c>
      <c r="DY112">
        <v>0.09983116333333333</v>
      </c>
      <c r="DZ112">
        <v>24.88766666666667</v>
      </c>
      <c r="EA112">
        <v>25.00802333333333</v>
      </c>
      <c r="EB112">
        <v>999.9000000000002</v>
      </c>
      <c r="EC112">
        <v>0</v>
      </c>
      <c r="ED112">
        <v>0</v>
      </c>
      <c r="EE112">
        <v>10024.274</v>
      </c>
      <c r="EF112">
        <v>0</v>
      </c>
      <c r="EG112">
        <v>9.714249999999998</v>
      </c>
      <c r="EH112">
        <v>-0.7745484</v>
      </c>
      <c r="EI112">
        <v>1220.678</v>
      </c>
      <c r="EJ112">
        <v>1221.378</v>
      </c>
      <c r="EK112">
        <v>0.07138213333333332</v>
      </c>
      <c r="EL112">
        <v>1200.040666666667</v>
      </c>
      <c r="EM112">
        <v>17.47011333333334</v>
      </c>
      <c r="EN112">
        <v>1.574546666666667</v>
      </c>
      <c r="EO112">
        <v>1.568138666666667</v>
      </c>
      <c r="EP112">
        <v>13.71192666666667</v>
      </c>
      <c r="EQ112">
        <v>13.64923666666667</v>
      </c>
      <c r="ER112">
        <v>799.9865666666666</v>
      </c>
      <c r="ES112">
        <v>0.9499973666666667</v>
      </c>
      <c r="ET112">
        <v>0.05000269666666667</v>
      </c>
      <c r="EU112">
        <v>0</v>
      </c>
      <c r="EV112">
        <v>784.1567666666668</v>
      </c>
      <c r="EW112">
        <v>5.00078</v>
      </c>
      <c r="EX112">
        <v>5932.322000000001</v>
      </c>
      <c r="EY112">
        <v>6463.301666666667</v>
      </c>
      <c r="EZ112">
        <v>37.42899999999999</v>
      </c>
      <c r="FA112">
        <v>41.05813333333333</v>
      </c>
      <c r="FB112">
        <v>39.79153333333333</v>
      </c>
      <c r="FC112">
        <v>41.50813333333333</v>
      </c>
      <c r="FD112">
        <v>39.6998</v>
      </c>
      <c r="FE112">
        <v>755.2339999999999</v>
      </c>
      <c r="FF112">
        <v>39.75</v>
      </c>
      <c r="FG112">
        <v>0</v>
      </c>
      <c r="FH112">
        <v>1765313078.3</v>
      </c>
      <c r="FI112">
        <v>0</v>
      </c>
      <c r="FJ112">
        <v>784.1677599999999</v>
      </c>
      <c r="FK112">
        <v>-2.261538459147957</v>
      </c>
      <c r="FL112">
        <v>-0.03307694481926796</v>
      </c>
      <c r="FM112">
        <v>5932.474</v>
      </c>
      <c r="FN112">
        <v>15</v>
      </c>
      <c r="FO112">
        <v>1765313094.5</v>
      </c>
      <c r="FP112" t="s">
        <v>730</v>
      </c>
      <c r="FQ112">
        <v>1765313094.5</v>
      </c>
      <c r="FR112">
        <v>1765313094.5</v>
      </c>
      <c r="FS112">
        <v>95</v>
      </c>
      <c r="FT112">
        <v>0.095</v>
      </c>
      <c r="FU112">
        <v>0.001</v>
      </c>
      <c r="FV112">
        <v>1.409</v>
      </c>
      <c r="FW112">
        <v>0.08</v>
      </c>
      <c r="FX112">
        <v>1200</v>
      </c>
      <c r="FY112">
        <v>17</v>
      </c>
      <c r="FZ112">
        <v>0.7</v>
      </c>
      <c r="GA112">
        <v>0.07000000000000001</v>
      </c>
      <c r="GB112">
        <v>-0.7626373500000001</v>
      </c>
      <c r="GC112">
        <v>-0.3523225215759828</v>
      </c>
      <c r="GD112">
        <v>0.05648104285755973</v>
      </c>
      <c r="GE112">
        <v>1</v>
      </c>
      <c r="GF112">
        <v>784.2881176470589</v>
      </c>
      <c r="GG112">
        <v>-1.826768524343283</v>
      </c>
      <c r="GH112">
        <v>0.2631564916553352</v>
      </c>
      <c r="GI112">
        <v>0</v>
      </c>
      <c r="GJ112">
        <v>0.06397461</v>
      </c>
      <c r="GK112">
        <v>0.1232563564727956</v>
      </c>
      <c r="GL112">
        <v>0.01213217318044875</v>
      </c>
      <c r="GM112">
        <v>0</v>
      </c>
      <c r="GN112">
        <v>1</v>
      </c>
      <c r="GO112">
        <v>3</v>
      </c>
      <c r="GP112" t="s">
        <v>469</v>
      </c>
      <c r="GQ112">
        <v>3.10823</v>
      </c>
      <c r="GR112">
        <v>2.79193</v>
      </c>
      <c r="GS112">
        <v>0.179077</v>
      </c>
      <c r="GT112">
        <v>0.179363</v>
      </c>
      <c r="GU112">
        <v>0.08636729999999999</v>
      </c>
      <c r="GV112">
        <v>0.08688170000000001</v>
      </c>
      <c r="GW112">
        <v>21552.1</v>
      </c>
      <c r="GX112">
        <v>19559.4</v>
      </c>
      <c r="GY112">
        <v>26809.3</v>
      </c>
      <c r="GZ112">
        <v>24039</v>
      </c>
      <c r="HA112">
        <v>39156.8</v>
      </c>
      <c r="HB112">
        <v>32404.9</v>
      </c>
      <c r="HC112">
        <v>46791.3</v>
      </c>
      <c r="HD112">
        <v>38014.6</v>
      </c>
      <c r="HE112">
        <v>1.81323</v>
      </c>
      <c r="HF112">
        <v>1.86467</v>
      </c>
      <c r="HG112">
        <v>0.0749379</v>
      </c>
      <c r="HH112">
        <v>0</v>
      </c>
      <c r="HI112">
        <v>23.7873</v>
      </c>
      <c r="HJ112">
        <v>999.9</v>
      </c>
      <c r="HK112">
        <v>40.5</v>
      </c>
      <c r="HL112">
        <v>31.2</v>
      </c>
      <c r="HM112">
        <v>20.5862</v>
      </c>
      <c r="HN112">
        <v>60.4266</v>
      </c>
      <c r="HO112">
        <v>27.8245</v>
      </c>
      <c r="HP112">
        <v>1</v>
      </c>
      <c r="HQ112">
        <v>-0.00236535</v>
      </c>
      <c r="HR112">
        <v>0.635395</v>
      </c>
      <c r="HS112">
        <v>20.2951</v>
      </c>
      <c r="HT112">
        <v>5.22178</v>
      </c>
      <c r="HU112">
        <v>11.9766</v>
      </c>
      <c r="HV112">
        <v>4.9656</v>
      </c>
      <c r="HW112">
        <v>3.27593</v>
      </c>
      <c r="HX112">
        <v>9999</v>
      </c>
      <c r="HY112">
        <v>9999</v>
      </c>
      <c r="HZ112">
        <v>9999</v>
      </c>
      <c r="IA112">
        <v>999.9</v>
      </c>
      <c r="IB112">
        <v>1.86388</v>
      </c>
      <c r="IC112">
        <v>1.86005</v>
      </c>
      <c r="ID112">
        <v>1.85837</v>
      </c>
      <c r="IE112">
        <v>1.8597</v>
      </c>
      <c r="IF112">
        <v>1.85982</v>
      </c>
      <c r="IG112">
        <v>1.85837</v>
      </c>
      <c r="IH112">
        <v>1.85743</v>
      </c>
      <c r="II112">
        <v>1.85236</v>
      </c>
      <c r="IJ112">
        <v>0</v>
      </c>
      <c r="IK112">
        <v>0</v>
      </c>
      <c r="IL112">
        <v>0</v>
      </c>
      <c r="IM112">
        <v>0</v>
      </c>
      <c r="IN112" t="s">
        <v>441</v>
      </c>
      <c r="IO112" t="s">
        <v>442</v>
      </c>
      <c r="IP112" t="s">
        <v>443</v>
      </c>
      <c r="IQ112" t="s">
        <v>443</v>
      </c>
      <c r="IR112" t="s">
        <v>443</v>
      </c>
      <c r="IS112" t="s">
        <v>443</v>
      </c>
      <c r="IT112">
        <v>0</v>
      </c>
      <c r="IU112">
        <v>100</v>
      </c>
      <c r="IV112">
        <v>100</v>
      </c>
      <c r="IW112">
        <v>1.409</v>
      </c>
      <c r="IX112">
        <v>0.08</v>
      </c>
      <c r="IY112">
        <v>-0.3031508938495606</v>
      </c>
      <c r="IZ112">
        <v>0.0001583678016168383</v>
      </c>
      <c r="JA112">
        <v>1.526473431467286E-06</v>
      </c>
      <c r="JB112">
        <v>-4.446382740029455E-10</v>
      </c>
      <c r="JC112">
        <v>-0.03805291190907963</v>
      </c>
      <c r="JD112">
        <v>-0.009941991807247691</v>
      </c>
      <c r="JE112">
        <v>0.001256427533001032</v>
      </c>
      <c r="JF112">
        <v>-1.689728105039484E-05</v>
      </c>
      <c r="JG112">
        <v>2</v>
      </c>
      <c r="JH112">
        <v>1984</v>
      </c>
      <c r="JI112">
        <v>0</v>
      </c>
      <c r="JJ112">
        <v>25</v>
      </c>
      <c r="JK112">
        <v>1.5</v>
      </c>
      <c r="JL112">
        <v>1.6</v>
      </c>
      <c r="JM112">
        <v>2.65259</v>
      </c>
      <c r="JN112">
        <v>2.61597</v>
      </c>
      <c r="JO112">
        <v>1.49658</v>
      </c>
      <c r="JP112">
        <v>2.34619</v>
      </c>
      <c r="JQ112">
        <v>1.54907</v>
      </c>
      <c r="JR112">
        <v>2.42432</v>
      </c>
      <c r="JS112">
        <v>35.4059</v>
      </c>
      <c r="JT112">
        <v>24.1313</v>
      </c>
      <c r="JU112">
        <v>18</v>
      </c>
      <c r="JV112">
        <v>435.314</v>
      </c>
      <c r="JW112">
        <v>490.244</v>
      </c>
      <c r="JX112">
        <v>23.4226</v>
      </c>
      <c r="JY112">
        <v>27.146</v>
      </c>
      <c r="JZ112">
        <v>30</v>
      </c>
      <c r="KA112">
        <v>27.4516</v>
      </c>
      <c r="KB112">
        <v>27.4658</v>
      </c>
      <c r="KC112">
        <v>53.2313</v>
      </c>
      <c r="KD112">
        <v>16.2358</v>
      </c>
      <c r="KE112">
        <v>43.7418</v>
      </c>
      <c r="KF112">
        <v>23.414</v>
      </c>
      <c r="KG112">
        <v>1200</v>
      </c>
      <c r="KH112">
        <v>17.4722</v>
      </c>
      <c r="KI112">
        <v>102.324</v>
      </c>
      <c r="KJ112">
        <v>91.6935</v>
      </c>
    </row>
    <row r="113" spans="1:296">
      <c r="A113">
        <v>95</v>
      </c>
      <c r="B113">
        <v>1765313172</v>
      </c>
      <c r="C113">
        <v>15739</v>
      </c>
      <c r="D113" t="s">
        <v>731</v>
      </c>
      <c r="E113" t="s">
        <v>732</v>
      </c>
      <c r="F113">
        <v>5</v>
      </c>
      <c r="G113" t="s">
        <v>696</v>
      </c>
      <c r="H113">
        <v>1765313164.25</v>
      </c>
      <c r="I113">
        <f>(J113)/1000</f>
        <v>0</v>
      </c>
      <c r="J113">
        <f>IF(DO113, AM113, AG113)</f>
        <v>0</v>
      </c>
      <c r="K113">
        <f>IF(DO113, AH113, AF113)</f>
        <v>0</v>
      </c>
      <c r="L113">
        <f>DQ113 - IF(AT113&gt;1, K113*DK113*100.0/(AV113), 0)</f>
        <v>0</v>
      </c>
      <c r="M113">
        <f>((S113-I113/2)*L113-K113)/(S113+I113/2)</f>
        <v>0</v>
      </c>
      <c r="N113">
        <f>M113*(DX113+DY113)/1000.0</f>
        <v>0</v>
      </c>
      <c r="O113">
        <f>(DQ113 - IF(AT113&gt;1, K113*DK113*100.0/(AV113), 0))*(DX113+DY113)/1000.0</f>
        <v>0</v>
      </c>
      <c r="P113">
        <f>2.0/((1/R113-1/Q113)+SIGN(R113)*SQRT((1/R113-1/Q113)*(1/R113-1/Q113) + 4*DL113/((DL113+1)*(DL113+1))*(2*1/R113*1/Q113-1/Q113*1/Q113)))</f>
        <v>0</v>
      </c>
      <c r="Q113">
        <f>IF(LEFT(DM113,1)&lt;&gt;"0",IF(LEFT(DM113,1)="1",3.0,DN113),$D$5+$E$5*(EE113*DX113/($K$5*1000))+$F$5*(EE113*DX113/($K$5*1000))*MAX(MIN(DK113,$J$5),$I$5)*MAX(MIN(DK113,$J$5),$I$5)+$G$5*MAX(MIN(DK113,$J$5),$I$5)*(EE113*DX113/($K$5*1000))+$H$5*(EE113*DX113/($K$5*1000))*(EE113*DX113/($K$5*1000)))</f>
        <v>0</v>
      </c>
      <c r="R113">
        <f>I113*(1000-(1000*0.61365*exp(17.502*V113/(240.97+V113))/(DX113+DY113)+DS113)/2)/(1000*0.61365*exp(17.502*V113/(240.97+V113))/(DX113+DY113)-DS113)</f>
        <v>0</v>
      </c>
      <c r="S113">
        <f>1/((DL113+1)/(P113/1.6)+1/(Q113/1.37)) + DL113/((DL113+1)/(P113/1.6) + DL113/(Q113/1.37))</f>
        <v>0</v>
      </c>
      <c r="T113">
        <f>(DG113*DJ113)</f>
        <v>0</v>
      </c>
      <c r="U113">
        <f>(DZ113+(T113+2*0.95*5.67E-8*(((DZ113+$B$9)+273)^4-(DZ113+273)^4)-44100*I113)/(1.84*29.3*Q113+8*0.95*5.67E-8*(DZ113+273)^3))</f>
        <v>0</v>
      </c>
      <c r="V113">
        <f>($C$9*EA113+$D$9*EB113+$E$9*U113)</f>
        <v>0</v>
      </c>
      <c r="W113">
        <f>0.61365*exp(17.502*V113/(240.97+V113))</f>
        <v>0</v>
      </c>
      <c r="X113">
        <f>(Y113/Z113*100)</f>
        <v>0</v>
      </c>
      <c r="Y113">
        <f>DS113*(DX113+DY113)/1000</f>
        <v>0</v>
      </c>
      <c r="Z113">
        <f>0.61365*exp(17.502*DZ113/(240.97+DZ113))</f>
        <v>0</v>
      </c>
      <c r="AA113">
        <f>(W113-DS113*(DX113+DY113)/1000)</f>
        <v>0</v>
      </c>
      <c r="AB113">
        <f>(-I113*44100)</f>
        <v>0</v>
      </c>
      <c r="AC113">
        <f>2*29.3*Q113*0.92*(DZ113-V113)</f>
        <v>0</v>
      </c>
      <c r="AD113">
        <f>2*0.95*5.67E-8*(((DZ113+$B$9)+273)^4-(V113+273)^4)</f>
        <v>0</v>
      </c>
      <c r="AE113">
        <f>T113+AD113+AB113+AC113</f>
        <v>0</v>
      </c>
      <c r="AF113">
        <f>DW113*AT113*(DR113-DQ113*(1000-AT113*DT113)/(1000-AT113*DS113))/(100*DK113)</f>
        <v>0</v>
      </c>
      <c r="AG113">
        <f>1000*DW113*AT113*(DS113-DT113)/(100*DK113*(1000-AT113*DS113))</f>
        <v>0</v>
      </c>
      <c r="AH113">
        <f>(AI113 - AJ113 - DX113*1E3/(8.314*(DZ113+273.15)) * AL113/DW113 * AK113) * DW113/(100*DK113) * (1000 - DT113)/1000</f>
        <v>0</v>
      </c>
      <c r="AI113">
        <v>1526.754588276093</v>
      </c>
      <c r="AJ113">
        <v>1525.669272727273</v>
      </c>
      <c r="AK113">
        <v>0.00500257715692659</v>
      </c>
      <c r="AL113">
        <v>65.63317763949682</v>
      </c>
      <c r="AM113">
        <f>(AO113 - AN113 + DX113*1E3/(8.314*(DZ113+273.15)) * AQ113/DW113 * AP113) * DW113/(100*DK113) * 1000/(1000 - AO113)</f>
        <v>0</v>
      </c>
      <c r="AN113">
        <v>17.47764606060607</v>
      </c>
      <c r="AO113">
        <v>17.5515206060606</v>
      </c>
      <c r="AP113">
        <v>-3.750985333091742E-05</v>
      </c>
      <c r="AQ113">
        <v>106.0989699151167</v>
      </c>
      <c r="AR113">
        <v>38</v>
      </c>
      <c r="AS113">
        <v>8</v>
      </c>
      <c r="AT113">
        <f>IF(AR113*$H$15&gt;=AV113,1.0,(AV113/(AV113-AR113*$H$15)))</f>
        <v>0</v>
      </c>
      <c r="AU113">
        <f>(AT113-1)*100</f>
        <v>0</v>
      </c>
      <c r="AV113">
        <f>MAX(0,($B$15+$C$15*EE113)/(1+$D$15*EE113)*DX113/(DZ113+273)*$E$15)</f>
        <v>0</v>
      </c>
      <c r="AW113" t="s">
        <v>437</v>
      </c>
      <c r="AX113" t="s">
        <v>437</v>
      </c>
      <c r="AY113">
        <v>0</v>
      </c>
      <c r="AZ113">
        <v>0</v>
      </c>
      <c r="BA113">
        <f>1-AY113/AZ113</f>
        <v>0</v>
      </c>
      <c r="BB113">
        <v>0</v>
      </c>
      <c r="BC113" t="s">
        <v>437</v>
      </c>
      <c r="BD113" t="s">
        <v>437</v>
      </c>
      <c r="BE113">
        <v>0</v>
      </c>
      <c r="BF113">
        <v>0</v>
      </c>
      <c r="BG113">
        <f>1-BE113/BF113</f>
        <v>0</v>
      </c>
      <c r="BH113">
        <v>0.5</v>
      </c>
      <c r="BI113">
        <f>DH113</f>
        <v>0</v>
      </c>
      <c r="BJ113">
        <f>K113</f>
        <v>0</v>
      </c>
      <c r="BK113">
        <f>BG113*BH113*BI113</f>
        <v>0</v>
      </c>
      <c r="BL113">
        <f>(BJ113-BB113)/BI113</f>
        <v>0</v>
      </c>
      <c r="BM113">
        <f>(AZ113-BF113)/BF113</f>
        <v>0</v>
      </c>
      <c r="BN113">
        <f>AY113/(BA113+AY113/BF113)</f>
        <v>0</v>
      </c>
      <c r="BO113" t="s">
        <v>437</v>
      </c>
      <c r="BP113">
        <v>0</v>
      </c>
      <c r="BQ113">
        <f>IF(BP113&lt;&gt;0, BP113, BN113)</f>
        <v>0</v>
      </c>
      <c r="BR113">
        <f>1-BQ113/BF113</f>
        <v>0</v>
      </c>
      <c r="BS113">
        <f>(BF113-BE113)/(BF113-BQ113)</f>
        <v>0</v>
      </c>
      <c r="BT113">
        <f>(AZ113-BF113)/(AZ113-BQ113)</f>
        <v>0</v>
      </c>
      <c r="BU113">
        <f>(BF113-BE113)/(BF113-AY113)</f>
        <v>0</v>
      </c>
      <c r="BV113">
        <f>(AZ113-BF113)/(AZ113-AY113)</f>
        <v>0</v>
      </c>
      <c r="BW113">
        <f>(BS113*BQ113/BE113)</f>
        <v>0</v>
      </c>
      <c r="BX113">
        <f>(1-BW113)</f>
        <v>0</v>
      </c>
      <c r="DG113">
        <f>$B$13*EF113+$C$13*EG113+$F$13*ER113*(1-EU113)</f>
        <v>0</v>
      </c>
      <c r="DH113">
        <f>DG113*DI113</f>
        <v>0</v>
      </c>
      <c r="DI113">
        <f>($B$13*$D$11+$C$13*$D$11+$F$13*((FE113+EW113)/MAX(FE113+EW113+FF113, 0.1)*$I$11+FF113/MAX(FE113+EW113+FF113, 0.1)*$J$11))/($B$13+$C$13+$F$13)</f>
        <v>0</v>
      </c>
      <c r="DJ113">
        <f>($B$13*$K$11+$C$13*$K$11+$F$13*((FE113+EW113)/MAX(FE113+EW113+FF113, 0.1)*$P$11+FF113/MAX(FE113+EW113+FF113, 0.1)*$Q$11))/($B$13+$C$13+$F$13)</f>
        <v>0</v>
      </c>
      <c r="DK113">
        <v>5.66</v>
      </c>
      <c r="DL113">
        <v>0.5</v>
      </c>
      <c r="DM113" t="s">
        <v>438</v>
      </c>
      <c r="DN113">
        <v>2</v>
      </c>
      <c r="DO113" t="b">
        <v>1</v>
      </c>
      <c r="DP113">
        <v>1765313164.25</v>
      </c>
      <c r="DQ113">
        <v>1499.082666666667</v>
      </c>
      <c r="DR113">
        <v>1500.020666666667</v>
      </c>
      <c r="DS113">
        <v>17.55791333333334</v>
      </c>
      <c r="DT113">
        <v>17.47667</v>
      </c>
      <c r="DU113">
        <v>1496.913666666667</v>
      </c>
      <c r="DV113">
        <v>17.47691333333334</v>
      </c>
      <c r="DW113">
        <v>499.9983</v>
      </c>
      <c r="DX113">
        <v>89.76041000000002</v>
      </c>
      <c r="DY113">
        <v>0.09994048666666665</v>
      </c>
      <c r="DZ113">
        <v>24.89962666666666</v>
      </c>
      <c r="EA113">
        <v>24.99681</v>
      </c>
      <c r="EB113">
        <v>999.9000000000002</v>
      </c>
      <c r="EC113">
        <v>0</v>
      </c>
      <c r="ED113">
        <v>0</v>
      </c>
      <c r="EE113">
        <v>10000.126</v>
      </c>
      <c r="EF113">
        <v>0</v>
      </c>
      <c r="EG113">
        <v>9.714249999999998</v>
      </c>
      <c r="EH113">
        <v>-1.149519333333333</v>
      </c>
      <c r="EI113">
        <v>1525.660666666667</v>
      </c>
      <c r="EJ113">
        <v>1526.701666666667</v>
      </c>
      <c r="EK113">
        <v>0.08267981666666667</v>
      </c>
      <c r="EL113">
        <v>1500.020666666667</v>
      </c>
      <c r="EM113">
        <v>17.47667</v>
      </c>
      <c r="EN113">
        <v>1.576133666666667</v>
      </c>
      <c r="EO113">
        <v>1.568711666666667</v>
      </c>
      <c r="EP113">
        <v>13.72743</v>
      </c>
      <c r="EQ113">
        <v>13.65485</v>
      </c>
      <c r="ER113">
        <v>799.9924666666667</v>
      </c>
      <c r="ES113">
        <v>0.9499949333333331</v>
      </c>
      <c r="ET113">
        <v>0.05000486666666667</v>
      </c>
      <c r="EU113">
        <v>0</v>
      </c>
      <c r="EV113">
        <v>782.6456999999998</v>
      </c>
      <c r="EW113">
        <v>5.00078</v>
      </c>
      <c r="EX113">
        <v>5912.357666666667</v>
      </c>
      <c r="EY113">
        <v>6463.343666666667</v>
      </c>
      <c r="EZ113">
        <v>37.14546666666667</v>
      </c>
      <c r="FA113">
        <v>39.68929999999999</v>
      </c>
      <c r="FB113">
        <v>38.97483333333333</v>
      </c>
      <c r="FC113">
        <v>39.8227</v>
      </c>
      <c r="FD113">
        <v>38.77273333333333</v>
      </c>
      <c r="FE113">
        <v>755.2386666666669</v>
      </c>
      <c r="FF113">
        <v>39.75</v>
      </c>
      <c r="FG113">
        <v>0</v>
      </c>
      <c r="FH113">
        <v>1765313171.3</v>
      </c>
      <c r="FI113">
        <v>0</v>
      </c>
      <c r="FJ113">
        <v>782.6413461538463</v>
      </c>
      <c r="FK113">
        <v>0.04837606833745025</v>
      </c>
      <c r="FL113">
        <v>-11.73128205641778</v>
      </c>
      <c r="FM113">
        <v>5912.299999999999</v>
      </c>
      <c r="FN113">
        <v>15</v>
      </c>
      <c r="FO113">
        <v>1765313189</v>
      </c>
      <c r="FP113" t="s">
        <v>733</v>
      </c>
      <c r="FQ113">
        <v>1765313189</v>
      </c>
      <c r="FR113">
        <v>1765313188</v>
      </c>
      <c r="FS113">
        <v>96</v>
      </c>
      <c r="FT113">
        <v>0.211</v>
      </c>
      <c r="FU113">
        <v>-0.001</v>
      </c>
      <c r="FV113">
        <v>2.169</v>
      </c>
      <c r="FW113">
        <v>0.081</v>
      </c>
      <c r="FX113">
        <v>1500</v>
      </c>
      <c r="FY113">
        <v>18</v>
      </c>
      <c r="FZ113">
        <v>0.77</v>
      </c>
      <c r="GA113">
        <v>0.15</v>
      </c>
      <c r="GB113">
        <v>-1.1773645</v>
      </c>
      <c r="GC113">
        <v>0.3501343339587265</v>
      </c>
      <c r="GD113">
        <v>0.08014392372319938</v>
      </c>
      <c r="GE113">
        <v>1</v>
      </c>
      <c r="GF113">
        <v>782.612794117647</v>
      </c>
      <c r="GG113">
        <v>0.4774484318060446</v>
      </c>
      <c r="GH113">
        <v>0.2264920177027144</v>
      </c>
      <c r="GI113">
        <v>1</v>
      </c>
      <c r="GJ113">
        <v>0.08175683250000002</v>
      </c>
      <c r="GK113">
        <v>0.02082161988742961</v>
      </c>
      <c r="GL113">
        <v>0.00250994018846939</v>
      </c>
      <c r="GM113">
        <v>1</v>
      </c>
      <c r="GN113">
        <v>3</v>
      </c>
      <c r="GO113">
        <v>3</v>
      </c>
      <c r="GP113" t="s">
        <v>440</v>
      </c>
      <c r="GQ113">
        <v>3.10834</v>
      </c>
      <c r="GR113">
        <v>2.79162</v>
      </c>
      <c r="GS113">
        <v>0.20493</v>
      </c>
      <c r="GT113">
        <v>0.205313</v>
      </c>
      <c r="GU113">
        <v>0.0864125</v>
      </c>
      <c r="GV113">
        <v>0.0869814</v>
      </c>
      <c r="GW113">
        <v>20874.5</v>
      </c>
      <c r="GX113">
        <v>18941.8</v>
      </c>
      <c r="GY113">
        <v>26809.9</v>
      </c>
      <c r="GZ113">
        <v>24039.5</v>
      </c>
      <c r="HA113">
        <v>39159.4</v>
      </c>
      <c r="HB113">
        <v>32404.7</v>
      </c>
      <c r="HC113">
        <v>46793</v>
      </c>
      <c r="HD113">
        <v>38015.4</v>
      </c>
      <c r="HE113">
        <v>1.81367</v>
      </c>
      <c r="HF113">
        <v>1.8659</v>
      </c>
      <c r="HG113">
        <v>0.0738762</v>
      </c>
      <c r="HH113">
        <v>0</v>
      </c>
      <c r="HI113">
        <v>23.7773</v>
      </c>
      <c r="HJ113">
        <v>999.9</v>
      </c>
      <c r="HK113">
        <v>40.6</v>
      </c>
      <c r="HL113">
        <v>31.1</v>
      </c>
      <c r="HM113">
        <v>20.521</v>
      </c>
      <c r="HN113">
        <v>61.2567</v>
      </c>
      <c r="HO113">
        <v>27.7404</v>
      </c>
      <c r="HP113">
        <v>1</v>
      </c>
      <c r="HQ113">
        <v>-0.00480691</v>
      </c>
      <c r="HR113">
        <v>0.6134039999999999</v>
      </c>
      <c r="HS113">
        <v>20.2934</v>
      </c>
      <c r="HT113">
        <v>5.22103</v>
      </c>
      <c r="HU113">
        <v>11.979</v>
      </c>
      <c r="HV113">
        <v>4.9655</v>
      </c>
      <c r="HW113">
        <v>3.27588</v>
      </c>
      <c r="HX113">
        <v>9999</v>
      </c>
      <c r="HY113">
        <v>9999</v>
      </c>
      <c r="HZ113">
        <v>9999</v>
      </c>
      <c r="IA113">
        <v>999.9</v>
      </c>
      <c r="IB113">
        <v>1.86386</v>
      </c>
      <c r="IC113">
        <v>1.86005</v>
      </c>
      <c r="ID113">
        <v>1.85836</v>
      </c>
      <c r="IE113">
        <v>1.85962</v>
      </c>
      <c r="IF113">
        <v>1.85977</v>
      </c>
      <c r="IG113">
        <v>1.85837</v>
      </c>
      <c r="IH113">
        <v>1.85737</v>
      </c>
      <c r="II113">
        <v>1.8523</v>
      </c>
      <c r="IJ113">
        <v>0</v>
      </c>
      <c r="IK113">
        <v>0</v>
      </c>
      <c r="IL113">
        <v>0</v>
      </c>
      <c r="IM113">
        <v>0</v>
      </c>
      <c r="IN113" t="s">
        <v>441</v>
      </c>
      <c r="IO113" t="s">
        <v>442</v>
      </c>
      <c r="IP113" t="s">
        <v>443</v>
      </c>
      <c r="IQ113" t="s">
        <v>443</v>
      </c>
      <c r="IR113" t="s">
        <v>443</v>
      </c>
      <c r="IS113" t="s">
        <v>443</v>
      </c>
      <c r="IT113">
        <v>0</v>
      </c>
      <c r="IU113">
        <v>100</v>
      </c>
      <c r="IV113">
        <v>100</v>
      </c>
      <c r="IW113">
        <v>2.169</v>
      </c>
      <c r="IX113">
        <v>0.081</v>
      </c>
      <c r="IY113">
        <v>-0.2082929624073738</v>
      </c>
      <c r="IZ113">
        <v>0.0001583678016168383</v>
      </c>
      <c r="JA113">
        <v>1.526473431467286E-06</v>
      </c>
      <c r="JB113">
        <v>-4.446382740029455E-10</v>
      </c>
      <c r="JC113">
        <v>-0.03738804728649846</v>
      </c>
      <c r="JD113">
        <v>-0.009941991807247691</v>
      </c>
      <c r="JE113">
        <v>0.001256427533001032</v>
      </c>
      <c r="JF113">
        <v>-1.689728105039484E-05</v>
      </c>
      <c r="JG113">
        <v>2</v>
      </c>
      <c r="JH113">
        <v>1984</v>
      </c>
      <c r="JI113">
        <v>0</v>
      </c>
      <c r="JJ113">
        <v>25</v>
      </c>
      <c r="JK113">
        <v>1.3</v>
      </c>
      <c r="JL113">
        <v>1.3</v>
      </c>
      <c r="JM113">
        <v>3.16772</v>
      </c>
      <c r="JN113">
        <v>2.60986</v>
      </c>
      <c r="JO113">
        <v>1.49658</v>
      </c>
      <c r="JP113">
        <v>2.34619</v>
      </c>
      <c r="JQ113">
        <v>1.54907</v>
      </c>
      <c r="JR113">
        <v>2.45972</v>
      </c>
      <c r="JS113">
        <v>35.3596</v>
      </c>
      <c r="JT113">
        <v>24.1313</v>
      </c>
      <c r="JU113">
        <v>18</v>
      </c>
      <c r="JV113">
        <v>435.347</v>
      </c>
      <c r="JW113">
        <v>490.773</v>
      </c>
      <c r="JX113">
        <v>23.394</v>
      </c>
      <c r="JY113">
        <v>27.1215</v>
      </c>
      <c r="JZ113">
        <v>30</v>
      </c>
      <c r="KA113">
        <v>27.4214</v>
      </c>
      <c r="KB113">
        <v>27.4343</v>
      </c>
      <c r="KC113">
        <v>63.5634</v>
      </c>
      <c r="KD113">
        <v>16.2358</v>
      </c>
      <c r="KE113">
        <v>44.8808</v>
      </c>
      <c r="KF113">
        <v>23.4072</v>
      </c>
      <c r="KG113">
        <v>1500</v>
      </c>
      <c r="KH113">
        <v>17.4999</v>
      </c>
      <c r="KI113">
        <v>102.327</v>
      </c>
      <c r="KJ113">
        <v>91.69540000000001</v>
      </c>
    </row>
    <row r="114" spans="1:296">
      <c r="A114">
        <v>96</v>
      </c>
      <c r="B114">
        <v>1765313280</v>
      </c>
      <c r="C114">
        <v>15847</v>
      </c>
      <c r="D114" t="s">
        <v>734</v>
      </c>
      <c r="E114" t="s">
        <v>735</v>
      </c>
      <c r="F114">
        <v>5</v>
      </c>
      <c r="G114" t="s">
        <v>696</v>
      </c>
      <c r="H114">
        <v>1765313272</v>
      </c>
      <c r="I114">
        <f>(J114)/1000</f>
        <v>0</v>
      </c>
      <c r="J114">
        <f>IF(DO114, AM114, AG114)</f>
        <v>0</v>
      </c>
      <c r="K114">
        <f>IF(DO114, AH114, AF114)</f>
        <v>0</v>
      </c>
      <c r="L114">
        <f>DQ114 - IF(AT114&gt;1, K114*DK114*100.0/(AV114), 0)</f>
        <v>0</v>
      </c>
      <c r="M114">
        <f>((S114-I114/2)*L114-K114)/(S114+I114/2)</f>
        <v>0</v>
      </c>
      <c r="N114">
        <f>M114*(DX114+DY114)/1000.0</f>
        <v>0</v>
      </c>
      <c r="O114">
        <f>(DQ114 - IF(AT114&gt;1, K114*DK114*100.0/(AV114), 0))*(DX114+DY114)/1000.0</f>
        <v>0</v>
      </c>
      <c r="P114">
        <f>2.0/((1/R114-1/Q114)+SIGN(R114)*SQRT((1/R114-1/Q114)*(1/R114-1/Q114) + 4*DL114/((DL114+1)*(DL114+1))*(2*1/R114*1/Q114-1/Q114*1/Q114)))</f>
        <v>0</v>
      </c>
      <c r="Q114">
        <f>IF(LEFT(DM114,1)&lt;&gt;"0",IF(LEFT(DM114,1)="1",3.0,DN114),$D$5+$E$5*(EE114*DX114/($K$5*1000))+$F$5*(EE114*DX114/($K$5*1000))*MAX(MIN(DK114,$J$5),$I$5)*MAX(MIN(DK114,$J$5),$I$5)+$G$5*MAX(MIN(DK114,$J$5),$I$5)*(EE114*DX114/($K$5*1000))+$H$5*(EE114*DX114/($K$5*1000))*(EE114*DX114/($K$5*1000)))</f>
        <v>0</v>
      </c>
      <c r="R114">
        <f>I114*(1000-(1000*0.61365*exp(17.502*V114/(240.97+V114))/(DX114+DY114)+DS114)/2)/(1000*0.61365*exp(17.502*V114/(240.97+V114))/(DX114+DY114)-DS114)</f>
        <v>0</v>
      </c>
      <c r="S114">
        <f>1/((DL114+1)/(P114/1.6)+1/(Q114/1.37)) + DL114/((DL114+1)/(P114/1.6) + DL114/(Q114/1.37))</f>
        <v>0</v>
      </c>
      <c r="T114">
        <f>(DG114*DJ114)</f>
        <v>0</v>
      </c>
      <c r="U114">
        <f>(DZ114+(T114+2*0.95*5.67E-8*(((DZ114+$B$9)+273)^4-(DZ114+273)^4)-44100*I114)/(1.84*29.3*Q114+8*0.95*5.67E-8*(DZ114+273)^3))</f>
        <v>0</v>
      </c>
      <c r="V114">
        <f>($C$9*EA114+$D$9*EB114+$E$9*U114)</f>
        <v>0</v>
      </c>
      <c r="W114">
        <f>0.61365*exp(17.502*V114/(240.97+V114))</f>
        <v>0</v>
      </c>
      <c r="X114">
        <f>(Y114/Z114*100)</f>
        <v>0</v>
      </c>
      <c r="Y114">
        <f>DS114*(DX114+DY114)/1000</f>
        <v>0</v>
      </c>
      <c r="Z114">
        <f>0.61365*exp(17.502*DZ114/(240.97+DZ114))</f>
        <v>0</v>
      </c>
      <c r="AA114">
        <f>(W114-DS114*(DX114+DY114)/1000)</f>
        <v>0</v>
      </c>
      <c r="AB114">
        <f>(-I114*44100)</f>
        <v>0</v>
      </c>
      <c r="AC114">
        <f>2*29.3*Q114*0.92*(DZ114-V114)</f>
        <v>0</v>
      </c>
      <c r="AD114">
        <f>2*0.95*5.67E-8*(((DZ114+$B$9)+273)^4-(V114+273)^4)</f>
        <v>0</v>
      </c>
      <c r="AE114">
        <f>T114+AD114+AB114+AC114</f>
        <v>0</v>
      </c>
      <c r="AF114">
        <f>DW114*AT114*(DR114-DQ114*(1000-AT114*DT114)/(1000-AT114*DS114))/(100*DK114)</f>
        <v>0</v>
      </c>
      <c r="AG114">
        <f>1000*DW114*AT114*(DS114-DT114)/(100*DK114*(1000-AT114*DS114))</f>
        <v>0</v>
      </c>
      <c r="AH114">
        <f>(AI114 - AJ114 - DX114*1E3/(8.314*(DZ114+273.15)) * AL114/DW114 * AK114) * DW114/(100*DK114) * (1000 - DT114)/1000</f>
        <v>0</v>
      </c>
      <c r="AI114">
        <v>407.1477940417442</v>
      </c>
      <c r="AJ114">
        <v>407.970387878788</v>
      </c>
      <c r="AK114">
        <v>-0.001064856835433245</v>
      </c>
      <c r="AL114">
        <v>65.32594554413281</v>
      </c>
      <c r="AM114">
        <f>(AO114 - AN114 + DX114*1E3/(8.314*(DZ114+273.15)) * AQ114/DW114 * AP114) * DW114/(100*DK114) * 1000/(1000 - AO114)</f>
        <v>0</v>
      </c>
      <c r="AN114">
        <v>17.55662666666666</v>
      </c>
      <c r="AO114">
        <v>17.63541212121212</v>
      </c>
      <c r="AP114">
        <v>3.890200708353455E-05</v>
      </c>
      <c r="AQ114">
        <v>104.4112421687722</v>
      </c>
      <c r="AR114">
        <v>39</v>
      </c>
      <c r="AS114">
        <v>8</v>
      </c>
      <c r="AT114">
        <f>IF(AR114*$H$15&gt;=AV114,1.0,(AV114/(AV114-AR114*$H$15)))</f>
        <v>0</v>
      </c>
      <c r="AU114">
        <f>(AT114-1)*100</f>
        <v>0</v>
      </c>
      <c r="AV114">
        <f>MAX(0,($B$15+$C$15*EE114)/(1+$D$15*EE114)*DX114/(DZ114+273)*$E$15)</f>
        <v>0</v>
      </c>
      <c r="AW114" t="s">
        <v>437</v>
      </c>
      <c r="AX114" t="s">
        <v>437</v>
      </c>
      <c r="AY114">
        <v>0</v>
      </c>
      <c r="AZ114">
        <v>0</v>
      </c>
      <c r="BA114">
        <f>1-AY114/AZ114</f>
        <v>0</v>
      </c>
      <c r="BB114">
        <v>0</v>
      </c>
      <c r="BC114" t="s">
        <v>437</v>
      </c>
      <c r="BD114" t="s">
        <v>437</v>
      </c>
      <c r="BE114">
        <v>0</v>
      </c>
      <c r="BF114">
        <v>0</v>
      </c>
      <c r="BG114">
        <f>1-BE114/BF114</f>
        <v>0</v>
      </c>
      <c r="BH114">
        <v>0.5</v>
      </c>
      <c r="BI114">
        <f>DH114</f>
        <v>0</v>
      </c>
      <c r="BJ114">
        <f>K114</f>
        <v>0</v>
      </c>
      <c r="BK114">
        <f>BG114*BH114*BI114</f>
        <v>0</v>
      </c>
      <c r="BL114">
        <f>(BJ114-BB114)/BI114</f>
        <v>0</v>
      </c>
      <c r="BM114">
        <f>(AZ114-BF114)/BF114</f>
        <v>0</v>
      </c>
      <c r="BN114">
        <f>AY114/(BA114+AY114/BF114)</f>
        <v>0</v>
      </c>
      <c r="BO114" t="s">
        <v>437</v>
      </c>
      <c r="BP114">
        <v>0</v>
      </c>
      <c r="BQ114">
        <f>IF(BP114&lt;&gt;0, BP114, BN114)</f>
        <v>0</v>
      </c>
      <c r="BR114">
        <f>1-BQ114/BF114</f>
        <v>0</v>
      </c>
      <c r="BS114">
        <f>(BF114-BE114)/(BF114-BQ114)</f>
        <v>0</v>
      </c>
      <c r="BT114">
        <f>(AZ114-BF114)/(AZ114-BQ114)</f>
        <v>0</v>
      </c>
      <c r="BU114">
        <f>(BF114-BE114)/(BF114-AY114)</f>
        <v>0</v>
      </c>
      <c r="BV114">
        <f>(AZ114-BF114)/(AZ114-AY114)</f>
        <v>0</v>
      </c>
      <c r="BW114">
        <f>(BS114*BQ114/BE114)</f>
        <v>0</v>
      </c>
      <c r="BX114">
        <f>(1-BW114)</f>
        <v>0</v>
      </c>
      <c r="DG114">
        <f>$B$13*EF114+$C$13*EG114+$F$13*ER114*(1-EU114)</f>
        <v>0</v>
      </c>
      <c r="DH114">
        <f>DG114*DI114</f>
        <v>0</v>
      </c>
      <c r="DI114">
        <f>($B$13*$D$11+$C$13*$D$11+$F$13*((FE114+EW114)/MAX(FE114+EW114+FF114, 0.1)*$I$11+FF114/MAX(FE114+EW114+FF114, 0.1)*$J$11))/($B$13+$C$13+$F$13)</f>
        <v>0</v>
      </c>
      <c r="DJ114">
        <f>($B$13*$K$11+$C$13*$K$11+$F$13*((FE114+EW114)/MAX(FE114+EW114+FF114, 0.1)*$P$11+FF114/MAX(FE114+EW114+FF114, 0.1)*$Q$11))/($B$13+$C$13+$F$13)</f>
        <v>0</v>
      </c>
      <c r="DK114">
        <v>5.66</v>
      </c>
      <c r="DL114">
        <v>0.5</v>
      </c>
      <c r="DM114" t="s">
        <v>438</v>
      </c>
      <c r="DN114">
        <v>2</v>
      </c>
      <c r="DO114" t="b">
        <v>1</v>
      </c>
      <c r="DP114">
        <v>1765313272</v>
      </c>
      <c r="DQ114">
        <v>400.4107741935484</v>
      </c>
      <c r="DR114">
        <v>399.9673548387096</v>
      </c>
      <c r="DS114">
        <v>17.62601290322581</v>
      </c>
      <c r="DT114">
        <v>17.56538064516129</v>
      </c>
      <c r="DU114">
        <v>400.5287741935484</v>
      </c>
      <c r="DV114">
        <v>17.55101290322581</v>
      </c>
      <c r="DW114">
        <v>500.0052258064516</v>
      </c>
      <c r="DX114">
        <v>89.76378387096773</v>
      </c>
      <c r="DY114">
        <v>0.09998262903225806</v>
      </c>
      <c r="DZ114">
        <v>24.87831612903226</v>
      </c>
      <c r="EA114">
        <v>24.99574516129033</v>
      </c>
      <c r="EB114">
        <v>999.9000000000003</v>
      </c>
      <c r="EC114">
        <v>0</v>
      </c>
      <c r="ED114">
        <v>0</v>
      </c>
      <c r="EE114">
        <v>9996.99935483871</v>
      </c>
      <c r="EF114">
        <v>0</v>
      </c>
      <c r="EG114">
        <v>9.714249999999998</v>
      </c>
      <c r="EH114">
        <v>0.842943741935484</v>
      </c>
      <c r="EI114">
        <v>408.0050000000002</v>
      </c>
      <c r="EJ114">
        <v>407.1185483870968</v>
      </c>
      <c r="EK114">
        <v>0.06851060645161289</v>
      </c>
      <c r="EL114">
        <v>399.9673548387096</v>
      </c>
      <c r="EM114">
        <v>17.56538064516129</v>
      </c>
      <c r="EN114">
        <v>1.582885161290323</v>
      </c>
      <c r="EO114">
        <v>1.576734838709678</v>
      </c>
      <c r="EP114">
        <v>13.7931935483871</v>
      </c>
      <c r="EQ114">
        <v>13.73329032258065</v>
      </c>
      <c r="ER114">
        <v>800.0149677419354</v>
      </c>
      <c r="ES114">
        <v>0.9499893548387095</v>
      </c>
      <c r="ET114">
        <v>0.05001054193548388</v>
      </c>
      <c r="EU114">
        <v>0</v>
      </c>
      <c r="EV114">
        <v>783.2988064516129</v>
      </c>
      <c r="EW114">
        <v>5.000779999999999</v>
      </c>
      <c r="EX114">
        <v>5896.462580645162</v>
      </c>
      <c r="EY114">
        <v>6463.517096774194</v>
      </c>
      <c r="EZ114">
        <v>36.23761290322581</v>
      </c>
      <c r="FA114">
        <v>38.48767741935483</v>
      </c>
      <c r="FB114">
        <v>38.07238709677419</v>
      </c>
      <c r="FC114">
        <v>38.21545161290322</v>
      </c>
      <c r="FD114">
        <v>37.87070967741935</v>
      </c>
      <c r="FE114">
        <v>755.2545161290324</v>
      </c>
      <c r="FF114">
        <v>39.76</v>
      </c>
      <c r="FG114">
        <v>0</v>
      </c>
      <c r="FH114">
        <v>1765313279.3</v>
      </c>
      <c r="FI114">
        <v>0</v>
      </c>
      <c r="FJ114">
        <v>783.268</v>
      </c>
      <c r="FK114">
        <v>0.5736752111638935</v>
      </c>
      <c r="FL114">
        <v>-7.32547002727904</v>
      </c>
      <c r="FM114">
        <v>5896.365</v>
      </c>
      <c r="FN114">
        <v>15</v>
      </c>
      <c r="FO114">
        <v>1765313301</v>
      </c>
      <c r="FP114" t="s">
        <v>736</v>
      </c>
      <c r="FQ114">
        <v>1765313301</v>
      </c>
      <c r="FR114">
        <v>1765313296</v>
      </c>
      <c r="FS114">
        <v>97</v>
      </c>
      <c r="FT114">
        <v>-0.399</v>
      </c>
      <c r="FU114">
        <v>-0.006</v>
      </c>
      <c r="FV114">
        <v>-0.118</v>
      </c>
      <c r="FW114">
        <v>0.075</v>
      </c>
      <c r="FX114">
        <v>400</v>
      </c>
      <c r="FY114">
        <v>18</v>
      </c>
      <c r="FZ114">
        <v>0.51</v>
      </c>
      <c r="GA114">
        <v>0.15</v>
      </c>
      <c r="GB114">
        <v>0.874076075</v>
      </c>
      <c r="GC114">
        <v>-0.6427945103189512</v>
      </c>
      <c r="GD114">
        <v>0.07290870620110725</v>
      </c>
      <c r="GE114">
        <v>0</v>
      </c>
      <c r="GF114">
        <v>783.2755882352941</v>
      </c>
      <c r="GG114">
        <v>0.3222918260834305</v>
      </c>
      <c r="GH114">
        <v>0.2379169550676208</v>
      </c>
      <c r="GI114">
        <v>1</v>
      </c>
      <c r="GJ114">
        <v>0.06320419250000001</v>
      </c>
      <c r="GK114">
        <v>0.1028872018761726</v>
      </c>
      <c r="GL114">
        <v>0.01024728751771384</v>
      </c>
      <c r="GM114">
        <v>0</v>
      </c>
      <c r="GN114">
        <v>1</v>
      </c>
      <c r="GO114">
        <v>3</v>
      </c>
      <c r="GP114" t="s">
        <v>469</v>
      </c>
      <c r="GQ114">
        <v>3.10825</v>
      </c>
      <c r="GR114">
        <v>2.79182</v>
      </c>
      <c r="GS114">
        <v>0.08452320000000001</v>
      </c>
      <c r="GT114">
        <v>0.08446960000000001</v>
      </c>
      <c r="GU114">
        <v>0.08671479999999999</v>
      </c>
      <c r="GV114">
        <v>0.08724320000000001</v>
      </c>
      <c r="GW114">
        <v>24033.9</v>
      </c>
      <c r="GX114">
        <v>21820.6</v>
      </c>
      <c r="GY114">
        <v>26809.6</v>
      </c>
      <c r="GZ114">
        <v>24039.2</v>
      </c>
      <c r="HA114">
        <v>39131.2</v>
      </c>
      <c r="HB114">
        <v>32381.9</v>
      </c>
      <c r="HC114">
        <v>46792.9</v>
      </c>
      <c r="HD114">
        <v>38014.1</v>
      </c>
      <c r="HE114">
        <v>1.81238</v>
      </c>
      <c r="HF114">
        <v>1.8644</v>
      </c>
      <c r="HG114">
        <v>0.0741966</v>
      </c>
      <c r="HH114">
        <v>0</v>
      </c>
      <c r="HI114">
        <v>23.7853</v>
      </c>
      <c r="HJ114">
        <v>999.9</v>
      </c>
      <c r="HK114">
        <v>40.8</v>
      </c>
      <c r="HL114">
        <v>31.1</v>
      </c>
      <c r="HM114">
        <v>20.6227</v>
      </c>
      <c r="HN114">
        <v>61.2567</v>
      </c>
      <c r="HO114">
        <v>27.8486</v>
      </c>
      <c r="HP114">
        <v>1</v>
      </c>
      <c r="HQ114">
        <v>-0.00590701</v>
      </c>
      <c r="HR114">
        <v>0.600218</v>
      </c>
      <c r="HS114">
        <v>20.2937</v>
      </c>
      <c r="HT114">
        <v>5.22058</v>
      </c>
      <c r="HU114">
        <v>11.9757</v>
      </c>
      <c r="HV114">
        <v>4.96525</v>
      </c>
      <c r="HW114">
        <v>3.27598</v>
      </c>
      <c r="HX114">
        <v>9999</v>
      </c>
      <c r="HY114">
        <v>9999</v>
      </c>
      <c r="HZ114">
        <v>9999</v>
      </c>
      <c r="IA114">
        <v>999.9</v>
      </c>
      <c r="IB114">
        <v>1.86388</v>
      </c>
      <c r="IC114">
        <v>1.86005</v>
      </c>
      <c r="ID114">
        <v>1.85836</v>
      </c>
      <c r="IE114">
        <v>1.85967</v>
      </c>
      <c r="IF114">
        <v>1.85983</v>
      </c>
      <c r="IG114">
        <v>1.85835</v>
      </c>
      <c r="IH114">
        <v>1.85741</v>
      </c>
      <c r="II114">
        <v>1.85233</v>
      </c>
      <c r="IJ114">
        <v>0</v>
      </c>
      <c r="IK114">
        <v>0</v>
      </c>
      <c r="IL114">
        <v>0</v>
      </c>
      <c r="IM114">
        <v>0</v>
      </c>
      <c r="IN114" t="s">
        <v>441</v>
      </c>
      <c r="IO114" t="s">
        <v>442</v>
      </c>
      <c r="IP114" t="s">
        <v>443</v>
      </c>
      <c r="IQ114" t="s">
        <v>443</v>
      </c>
      <c r="IR114" t="s">
        <v>443</v>
      </c>
      <c r="IS114" t="s">
        <v>443</v>
      </c>
      <c r="IT114">
        <v>0</v>
      </c>
      <c r="IU114">
        <v>100</v>
      </c>
      <c r="IV114">
        <v>100</v>
      </c>
      <c r="IW114">
        <v>-0.118</v>
      </c>
      <c r="IX114">
        <v>0.075</v>
      </c>
      <c r="IY114">
        <v>0.00172940893481377</v>
      </c>
      <c r="IZ114">
        <v>0.0001583678016168383</v>
      </c>
      <c r="JA114">
        <v>1.526473431467286E-06</v>
      </c>
      <c r="JB114">
        <v>-4.446382740029455E-10</v>
      </c>
      <c r="JC114">
        <v>-0.0382989333598325</v>
      </c>
      <c r="JD114">
        <v>-0.009941991807247691</v>
      </c>
      <c r="JE114">
        <v>0.001256427533001032</v>
      </c>
      <c r="JF114">
        <v>-1.689728105039484E-05</v>
      </c>
      <c r="JG114">
        <v>2</v>
      </c>
      <c r="JH114">
        <v>1984</v>
      </c>
      <c r="JI114">
        <v>0</v>
      </c>
      <c r="JJ114">
        <v>25</v>
      </c>
      <c r="JK114">
        <v>1.5</v>
      </c>
      <c r="JL114">
        <v>1.5</v>
      </c>
      <c r="JM114">
        <v>1.09253</v>
      </c>
      <c r="JN114">
        <v>2.60986</v>
      </c>
      <c r="JO114">
        <v>1.49658</v>
      </c>
      <c r="JP114">
        <v>2.34619</v>
      </c>
      <c r="JQ114">
        <v>1.54907</v>
      </c>
      <c r="JR114">
        <v>2.40967</v>
      </c>
      <c r="JS114">
        <v>35.3133</v>
      </c>
      <c r="JT114">
        <v>24.1225</v>
      </c>
      <c r="JU114">
        <v>18</v>
      </c>
      <c r="JV114">
        <v>434.486</v>
      </c>
      <c r="JW114">
        <v>489.572</v>
      </c>
      <c r="JX114">
        <v>23.4166</v>
      </c>
      <c r="JY114">
        <v>27.1032</v>
      </c>
      <c r="JZ114">
        <v>30.0001</v>
      </c>
      <c r="KA114">
        <v>27.3968</v>
      </c>
      <c r="KB114">
        <v>27.4081</v>
      </c>
      <c r="KC114">
        <v>21.9768</v>
      </c>
      <c r="KD114">
        <v>15.3965</v>
      </c>
      <c r="KE114">
        <v>45.6306</v>
      </c>
      <c r="KF114">
        <v>23.4186</v>
      </c>
      <c r="KG114">
        <v>400</v>
      </c>
      <c r="KH114">
        <v>17.5079</v>
      </c>
      <c r="KI114">
        <v>102.327</v>
      </c>
      <c r="KJ114">
        <v>91.6931</v>
      </c>
    </row>
    <row r="115" spans="1:296">
      <c r="A115">
        <v>97</v>
      </c>
      <c r="B115">
        <v>1765314161</v>
      </c>
      <c r="C115">
        <v>16728</v>
      </c>
      <c r="D115" t="s">
        <v>737</v>
      </c>
      <c r="E115" t="s">
        <v>738</v>
      </c>
      <c r="F115">
        <v>5</v>
      </c>
      <c r="G115" t="s">
        <v>739</v>
      </c>
      <c r="H115">
        <v>1765314153</v>
      </c>
      <c r="I115">
        <f>(J115)/1000</f>
        <v>0</v>
      </c>
      <c r="J115">
        <f>IF(DO115, AM115, AG115)</f>
        <v>0</v>
      </c>
      <c r="K115">
        <f>IF(DO115, AH115, AF115)</f>
        <v>0</v>
      </c>
      <c r="L115">
        <f>DQ115 - IF(AT115&gt;1, K115*DK115*100.0/(AV115), 0)</f>
        <v>0</v>
      </c>
      <c r="M115">
        <f>((S115-I115/2)*L115-K115)/(S115+I115/2)</f>
        <v>0</v>
      </c>
      <c r="N115">
        <f>M115*(DX115+DY115)/1000.0</f>
        <v>0</v>
      </c>
      <c r="O115">
        <f>(DQ115 - IF(AT115&gt;1, K115*DK115*100.0/(AV115), 0))*(DX115+DY115)/1000.0</f>
        <v>0</v>
      </c>
      <c r="P115">
        <f>2.0/((1/R115-1/Q115)+SIGN(R115)*SQRT((1/R115-1/Q115)*(1/R115-1/Q115) + 4*DL115/((DL115+1)*(DL115+1))*(2*1/R115*1/Q115-1/Q115*1/Q115)))</f>
        <v>0</v>
      </c>
      <c r="Q115">
        <f>IF(LEFT(DM115,1)&lt;&gt;"0",IF(LEFT(DM115,1)="1",3.0,DN115),$D$5+$E$5*(EE115*DX115/($K$5*1000))+$F$5*(EE115*DX115/($K$5*1000))*MAX(MIN(DK115,$J$5),$I$5)*MAX(MIN(DK115,$J$5),$I$5)+$G$5*MAX(MIN(DK115,$J$5),$I$5)*(EE115*DX115/($K$5*1000))+$H$5*(EE115*DX115/($K$5*1000))*(EE115*DX115/($K$5*1000)))</f>
        <v>0</v>
      </c>
      <c r="R115">
        <f>I115*(1000-(1000*0.61365*exp(17.502*V115/(240.97+V115))/(DX115+DY115)+DS115)/2)/(1000*0.61365*exp(17.502*V115/(240.97+V115))/(DX115+DY115)-DS115)</f>
        <v>0</v>
      </c>
      <c r="S115">
        <f>1/((DL115+1)/(P115/1.6)+1/(Q115/1.37)) + DL115/((DL115+1)/(P115/1.6) + DL115/(Q115/1.37))</f>
        <v>0</v>
      </c>
      <c r="T115">
        <f>(DG115*DJ115)</f>
        <v>0</v>
      </c>
      <c r="U115">
        <f>(DZ115+(T115+2*0.95*5.67E-8*(((DZ115+$B$9)+273)^4-(DZ115+273)^4)-44100*I115)/(1.84*29.3*Q115+8*0.95*5.67E-8*(DZ115+273)^3))</f>
        <v>0</v>
      </c>
      <c r="V115">
        <f>($C$9*EA115+$D$9*EB115+$E$9*U115)</f>
        <v>0</v>
      </c>
      <c r="W115">
        <f>0.61365*exp(17.502*V115/(240.97+V115))</f>
        <v>0</v>
      </c>
      <c r="X115">
        <f>(Y115/Z115*100)</f>
        <v>0</v>
      </c>
      <c r="Y115">
        <f>DS115*(DX115+DY115)/1000</f>
        <v>0</v>
      </c>
      <c r="Z115">
        <f>0.61365*exp(17.502*DZ115/(240.97+DZ115))</f>
        <v>0</v>
      </c>
      <c r="AA115">
        <f>(W115-DS115*(DX115+DY115)/1000)</f>
        <v>0</v>
      </c>
      <c r="AB115">
        <f>(-I115*44100)</f>
        <v>0</v>
      </c>
      <c r="AC115">
        <f>2*29.3*Q115*0.92*(DZ115-V115)</f>
        <v>0</v>
      </c>
      <c r="AD115">
        <f>2*0.95*5.67E-8*(((DZ115+$B$9)+273)^4-(V115+273)^4)</f>
        <v>0</v>
      </c>
      <c r="AE115">
        <f>T115+AD115+AB115+AC115</f>
        <v>0</v>
      </c>
      <c r="AF115">
        <f>DW115*AT115*(DR115-DQ115*(1000-AT115*DT115)/(1000-AT115*DS115))/(100*DK115)</f>
        <v>0</v>
      </c>
      <c r="AG115">
        <f>1000*DW115*AT115*(DS115-DT115)/(100*DK115*(1000-AT115*DS115))</f>
        <v>0</v>
      </c>
      <c r="AH115">
        <f>(AI115 - AJ115 - DX115*1E3/(8.314*(DZ115+273.15)) * AL115/DW115 * AK115) * DW115/(100*DK115) * (1000 - DT115)/1000</f>
        <v>0</v>
      </c>
      <c r="AI115">
        <v>407.1223856130874</v>
      </c>
      <c r="AJ115">
        <v>406.9830363636365</v>
      </c>
      <c r="AK115">
        <v>0.001236415306818846</v>
      </c>
      <c r="AL115">
        <v>65.86459263988536</v>
      </c>
      <c r="AM115">
        <f>(AO115 - AN115 + DX115*1E3/(8.314*(DZ115+273.15)) * AQ115/DW115 * AP115) * DW115/(100*DK115) * 1000/(1000 - AO115)</f>
        <v>0</v>
      </c>
      <c r="AN115">
        <v>17.45614880030304</v>
      </c>
      <c r="AO115">
        <v>17.61090209790211</v>
      </c>
      <c r="AP115">
        <v>-2.620302573182754E-05</v>
      </c>
      <c r="AQ115">
        <v>109.62</v>
      </c>
      <c r="AR115">
        <v>43</v>
      </c>
      <c r="AS115">
        <v>9</v>
      </c>
      <c r="AT115">
        <f>IF(AR115*$H$15&gt;=AV115,1.0,(AV115/(AV115-AR115*$H$15)))</f>
        <v>0</v>
      </c>
      <c r="AU115">
        <f>(AT115-1)*100</f>
        <v>0</v>
      </c>
      <c r="AV115">
        <f>MAX(0,($B$15+$C$15*EE115)/(1+$D$15*EE115)*DX115/(DZ115+273)*$E$15)</f>
        <v>0</v>
      </c>
      <c r="AW115" t="s">
        <v>437</v>
      </c>
      <c r="AX115" t="s">
        <v>437</v>
      </c>
      <c r="AY115">
        <v>0</v>
      </c>
      <c r="AZ115">
        <v>0</v>
      </c>
      <c r="BA115">
        <f>1-AY115/AZ115</f>
        <v>0</v>
      </c>
      <c r="BB115">
        <v>0</v>
      </c>
      <c r="BC115" t="s">
        <v>437</v>
      </c>
      <c r="BD115" t="s">
        <v>437</v>
      </c>
      <c r="BE115">
        <v>0</v>
      </c>
      <c r="BF115">
        <v>0</v>
      </c>
      <c r="BG115">
        <f>1-BE115/BF115</f>
        <v>0</v>
      </c>
      <c r="BH115">
        <v>0.5</v>
      </c>
      <c r="BI115">
        <f>DH115</f>
        <v>0</v>
      </c>
      <c r="BJ115">
        <f>K115</f>
        <v>0</v>
      </c>
      <c r="BK115">
        <f>BG115*BH115*BI115</f>
        <v>0</v>
      </c>
      <c r="BL115">
        <f>(BJ115-BB115)/BI115</f>
        <v>0</v>
      </c>
      <c r="BM115">
        <f>(AZ115-BF115)/BF115</f>
        <v>0</v>
      </c>
      <c r="BN115">
        <f>AY115/(BA115+AY115/BF115)</f>
        <v>0</v>
      </c>
      <c r="BO115" t="s">
        <v>437</v>
      </c>
      <c r="BP115">
        <v>0</v>
      </c>
      <c r="BQ115">
        <f>IF(BP115&lt;&gt;0, BP115, BN115)</f>
        <v>0</v>
      </c>
      <c r="BR115">
        <f>1-BQ115/BF115</f>
        <v>0</v>
      </c>
      <c r="BS115">
        <f>(BF115-BE115)/(BF115-BQ115)</f>
        <v>0</v>
      </c>
      <c r="BT115">
        <f>(AZ115-BF115)/(AZ115-BQ115)</f>
        <v>0</v>
      </c>
      <c r="BU115">
        <f>(BF115-BE115)/(BF115-AY115)</f>
        <v>0</v>
      </c>
      <c r="BV115">
        <f>(AZ115-BF115)/(AZ115-AY115)</f>
        <v>0</v>
      </c>
      <c r="BW115">
        <f>(BS115*BQ115/BE115)</f>
        <v>0</v>
      </c>
      <c r="BX115">
        <f>(1-BW115)</f>
        <v>0</v>
      </c>
      <c r="DG115">
        <f>$B$13*EF115+$C$13*EG115+$F$13*ER115*(1-EU115)</f>
        <v>0</v>
      </c>
      <c r="DH115">
        <f>DG115*DI115</f>
        <v>0</v>
      </c>
      <c r="DI115">
        <f>($B$13*$D$11+$C$13*$D$11+$F$13*((FE115+EW115)/MAX(FE115+EW115+FF115, 0.1)*$I$11+FF115/MAX(FE115+EW115+FF115, 0.1)*$J$11))/($B$13+$C$13+$F$13)</f>
        <v>0</v>
      </c>
      <c r="DJ115">
        <f>($B$13*$K$11+$C$13*$K$11+$F$13*((FE115+EW115)/MAX(FE115+EW115+FF115, 0.1)*$P$11+FF115/MAX(FE115+EW115+FF115, 0.1)*$Q$11))/($B$13+$C$13+$F$13)</f>
        <v>0</v>
      </c>
      <c r="DK115">
        <v>5.66</v>
      </c>
      <c r="DL115">
        <v>0.5</v>
      </c>
      <c r="DM115" t="s">
        <v>438</v>
      </c>
      <c r="DN115">
        <v>2</v>
      </c>
      <c r="DO115" t="b">
        <v>1</v>
      </c>
      <c r="DP115">
        <v>1765314153</v>
      </c>
      <c r="DQ115">
        <v>399.8267419354839</v>
      </c>
      <c r="DR115">
        <v>400.0130322580645</v>
      </c>
      <c r="DS115">
        <v>17.60976451612903</v>
      </c>
      <c r="DT115">
        <v>17.45454838709678</v>
      </c>
      <c r="DU115">
        <v>399.9447419354839</v>
      </c>
      <c r="DV115">
        <v>17.53776451612903</v>
      </c>
      <c r="DW115">
        <v>500.0052903225805</v>
      </c>
      <c r="DX115">
        <v>89.76455483870967</v>
      </c>
      <c r="DY115">
        <v>0.09996062903225808</v>
      </c>
      <c r="DZ115">
        <v>24.83109032258065</v>
      </c>
      <c r="EA115">
        <v>24.99097741935483</v>
      </c>
      <c r="EB115">
        <v>999.9000000000003</v>
      </c>
      <c r="EC115">
        <v>0</v>
      </c>
      <c r="ED115">
        <v>0</v>
      </c>
      <c r="EE115">
        <v>9998.968064516128</v>
      </c>
      <c r="EF115">
        <v>0</v>
      </c>
      <c r="EG115">
        <v>9.77497</v>
      </c>
      <c r="EH115">
        <v>-0.1862989032258064</v>
      </c>
      <c r="EI115">
        <v>406.9959032258064</v>
      </c>
      <c r="EJ115">
        <v>407.119193548387</v>
      </c>
      <c r="EK115">
        <v>0.159912</v>
      </c>
      <c r="EL115">
        <v>400.0130322580645</v>
      </c>
      <c r="EM115">
        <v>17.45454838709678</v>
      </c>
      <c r="EN115">
        <v>1.581154193548387</v>
      </c>
      <c r="EO115">
        <v>1.566799677419355</v>
      </c>
      <c r="EP115">
        <v>13.77634516129032</v>
      </c>
      <c r="EQ115">
        <v>13.6360935483871</v>
      </c>
      <c r="ER115">
        <v>799.9925161290324</v>
      </c>
      <c r="ES115">
        <v>0.9500093225806451</v>
      </c>
      <c r="ET115">
        <v>0.0499906193548387</v>
      </c>
      <c r="EU115">
        <v>0</v>
      </c>
      <c r="EV115">
        <v>791.2103870967742</v>
      </c>
      <c r="EW115">
        <v>5.000779999999999</v>
      </c>
      <c r="EX115">
        <v>5971.287741935485</v>
      </c>
      <c r="EY115">
        <v>6463.376129032257</v>
      </c>
      <c r="EZ115">
        <v>36.2134193548387</v>
      </c>
      <c r="FA115">
        <v>38.56825806451612</v>
      </c>
      <c r="FB115">
        <v>37.69532258064515</v>
      </c>
      <c r="FC115">
        <v>38.19125806451611</v>
      </c>
      <c r="FD115">
        <v>37.74761290322581</v>
      </c>
      <c r="FE115">
        <v>755.2493548387099</v>
      </c>
      <c r="FF115">
        <v>39.74</v>
      </c>
      <c r="FG115">
        <v>0</v>
      </c>
      <c r="FH115">
        <v>1765314160.7</v>
      </c>
      <c r="FI115">
        <v>0</v>
      </c>
      <c r="FJ115">
        <v>791.2014800000001</v>
      </c>
      <c r="FK115">
        <v>-0.2807692196715099</v>
      </c>
      <c r="FL115">
        <v>-9.452307689495708</v>
      </c>
      <c r="FM115">
        <v>5971.0448</v>
      </c>
      <c r="FN115">
        <v>15</v>
      </c>
      <c r="FO115">
        <v>1765314178</v>
      </c>
      <c r="FP115" t="s">
        <v>740</v>
      </c>
      <c r="FQ115">
        <v>1765314177</v>
      </c>
      <c r="FR115">
        <v>1765314178</v>
      </c>
      <c r="FS115">
        <v>98</v>
      </c>
      <c r="FT115">
        <v>-0.001</v>
      </c>
      <c r="FU115">
        <v>-0.001</v>
      </c>
      <c r="FV115">
        <v>-0.118</v>
      </c>
      <c r="FW115">
        <v>0.07199999999999999</v>
      </c>
      <c r="FX115">
        <v>400</v>
      </c>
      <c r="FY115">
        <v>17</v>
      </c>
      <c r="FZ115">
        <v>0.41</v>
      </c>
      <c r="GA115">
        <v>0.14</v>
      </c>
      <c r="GB115">
        <v>-0.1905524390243903</v>
      </c>
      <c r="GC115">
        <v>0.05883959999999978</v>
      </c>
      <c r="GD115">
        <v>0.0504937884509685</v>
      </c>
      <c r="GE115">
        <v>1</v>
      </c>
      <c r="GF115">
        <v>791.185294117647</v>
      </c>
      <c r="GG115">
        <v>0.260779219224069</v>
      </c>
      <c r="GH115">
        <v>0.1804226295660148</v>
      </c>
      <c r="GI115">
        <v>1</v>
      </c>
      <c r="GJ115">
        <v>0.1599384390243902</v>
      </c>
      <c r="GK115">
        <v>-0.01411108013937262</v>
      </c>
      <c r="GL115">
        <v>0.003022532721272016</v>
      </c>
      <c r="GM115">
        <v>1</v>
      </c>
      <c r="GN115">
        <v>3</v>
      </c>
      <c r="GO115">
        <v>3</v>
      </c>
      <c r="GP115" t="s">
        <v>440</v>
      </c>
      <c r="GQ115">
        <v>3.10825</v>
      </c>
      <c r="GR115">
        <v>2.79162</v>
      </c>
      <c r="GS115">
        <v>0.0844641</v>
      </c>
      <c r="GT115">
        <v>0.0845148</v>
      </c>
      <c r="GU115">
        <v>0.0866794</v>
      </c>
      <c r="GV115">
        <v>0.0868356</v>
      </c>
      <c r="GW115">
        <v>24039.3</v>
      </c>
      <c r="GX115">
        <v>21820.3</v>
      </c>
      <c r="GY115">
        <v>26813.5</v>
      </c>
      <c r="GZ115">
        <v>24039.6</v>
      </c>
      <c r="HA115">
        <v>39138.3</v>
      </c>
      <c r="HB115">
        <v>32395.6</v>
      </c>
      <c r="HC115">
        <v>46799.8</v>
      </c>
      <c r="HD115">
        <v>38013.3</v>
      </c>
      <c r="HE115">
        <v>1.80558</v>
      </c>
      <c r="HF115">
        <v>1.87068</v>
      </c>
      <c r="HG115">
        <v>0.07529180000000001</v>
      </c>
      <c r="HH115">
        <v>0</v>
      </c>
      <c r="HI115">
        <v>23.7593</v>
      </c>
      <c r="HJ115">
        <v>999.9</v>
      </c>
      <c r="HK115">
        <v>41.6</v>
      </c>
      <c r="HL115">
        <v>30.7</v>
      </c>
      <c r="HM115">
        <v>20.5518</v>
      </c>
      <c r="HN115">
        <v>60.6367</v>
      </c>
      <c r="HO115">
        <v>27.5361</v>
      </c>
      <c r="HP115">
        <v>1</v>
      </c>
      <c r="HQ115">
        <v>-0.0150813</v>
      </c>
      <c r="HR115">
        <v>0.556187</v>
      </c>
      <c r="HS115">
        <v>20.294</v>
      </c>
      <c r="HT115">
        <v>5.22208</v>
      </c>
      <c r="HU115">
        <v>11.9743</v>
      </c>
      <c r="HV115">
        <v>4.96565</v>
      </c>
      <c r="HW115">
        <v>3.27595</v>
      </c>
      <c r="HX115">
        <v>9999</v>
      </c>
      <c r="HY115">
        <v>9999</v>
      </c>
      <c r="HZ115">
        <v>9999</v>
      </c>
      <c r="IA115">
        <v>999.9</v>
      </c>
      <c r="IB115">
        <v>1.86388</v>
      </c>
      <c r="IC115">
        <v>1.86005</v>
      </c>
      <c r="ID115">
        <v>1.85836</v>
      </c>
      <c r="IE115">
        <v>1.85965</v>
      </c>
      <c r="IF115">
        <v>1.85986</v>
      </c>
      <c r="IG115">
        <v>1.85835</v>
      </c>
      <c r="IH115">
        <v>1.85743</v>
      </c>
      <c r="II115">
        <v>1.85238</v>
      </c>
      <c r="IJ115">
        <v>0</v>
      </c>
      <c r="IK115">
        <v>0</v>
      </c>
      <c r="IL115">
        <v>0</v>
      </c>
      <c r="IM115">
        <v>0</v>
      </c>
      <c r="IN115" t="s">
        <v>441</v>
      </c>
      <c r="IO115" t="s">
        <v>442</v>
      </c>
      <c r="IP115" t="s">
        <v>443</v>
      </c>
      <c r="IQ115" t="s">
        <v>443</v>
      </c>
      <c r="IR115" t="s">
        <v>443</v>
      </c>
      <c r="IS115" t="s">
        <v>443</v>
      </c>
      <c r="IT115">
        <v>0</v>
      </c>
      <c r="IU115">
        <v>100</v>
      </c>
      <c r="IV115">
        <v>100</v>
      </c>
      <c r="IW115">
        <v>-0.118</v>
      </c>
      <c r="IX115">
        <v>0.07199999999999999</v>
      </c>
      <c r="IY115">
        <v>-0.3969142193279666</v>
      </c>
      <c r="IZ115">
        <v>0.0001583678016168383</v>
      </c>
      <c r="JA115">
        <v>1.526473431467286E-06</v>
      </c>
      <c r="JB115">
        <v>-4.446382740029455E-10</v>
      </c>
      <c r="JC115">
        <v>-0.04424373381825561</v>
      </c>
      <c r="JD115">
        <v>-0.009941991807247691</v>
      </c>
      <c r="JE115">
        <v>0.001256427533001032</v>
      </c>
      <c r="JF115">
        <v>-1.689728105039484E-05</v>
      </c>
      <c r="JG115">
        <v>2</v>
      </c>
      <c r="JH115">
        <v>1984</v>
      </c>
      <c r="JI115">
        <v>0</v>
      </c>
      <c r="JJ115">
        <v>25</v>
      </c>
      <c r="JK115">
        <v>14.3</v>
      </c>
      <c r="JL115">
        <v>14.4</v>
      </c>
      <c r="JM115">
        <v>1.09375</v>
      </c>
      <c r="JN115">
        <v>2.62085</v>
      </c>
      <c r="JO115">
        <v>1.49658</v>
      </c>
      <c r="JP115">
        <v>2.34741</v>
      </c>
      <c r="JQ115">
        <v>1.54907</v>
      </c>
      <c r="JR115">
        <v>2.43042</v>
      </c>
      <c r="JS115">
        <v>34.9444</v>
      </c>
      <c r="JT115">
        <v>24.1225</v>
      </c>
      <c r="JU115">
        <v>18</v>
      </c>
      <c r="JV115">
        <v>429.986</v>
      </c>
      <c r="JW115">
        <v>492.479</v>
      </c>
      <c r="JX115">
        <v>23.3822</v>
      </c>
      <c r="JY115">
        <v>26.9864</v>
      </c>
      <c r="JZ115">
        <v>30</v>
      </c>
      <c r="KA115">
        <v>27.2646</v>
      </c>
      <c r="KB115">
        <v>27.2703</v>
      </c>
      <c r="KC115">
        <v>21.9876</v>
      </c>
      <c r="KD115">
        <v>17.3641</v>
      </c>
      <c r="KE115">
        <v>51.5392</v>
      </c>
      <c r="KF115">
        <v>23.3897</v>
      </c>
      <c r="KG115">
        <v>400</v>
      </c>
      <c r="KH115">
        <v>17.4025</v>
      </c>
      <c r="KI115">
        <v>102.342</v>
      </c>
      <c r="KJ115">
        <v>91.69240000000001</v>
      </c>
    </row>
    <row r="116" spans="1:296">
      <c r="A116">
        <v>98</v>
      </c>
      <c r="B116">
        <v>1765314252</v>
      </c>
      <c r="C116">
        <v>16819</v>
      </c>
      <c r="D116" t="s">
        <v>741</v>
      </c>
      <c r="E116" t="s">
        <v>742</v>
      </c>
      <c r="F116">
        <v>5</v>
      </c>
      <c r="G116" t="s">
        <v>739</v>
      </c>
      <c r="H116">
        <v>1765314244</v>
      </c>
      <c r="I116">
        <f>(J116)/1000</f>
        <v>0</v>
      </c>
      <c r="J116">
        <f>IF(DO116, AM116, AG116)</f>
        <v>0</v>
      </c>
      <c r="K116">
        <f>IF(DO116, AH116, AF116)</f>
        <v>0</v>
      </c>
      <c r="L116">
        <f>DQ116 - IF(AT116&gt;1, K116*DK116*100.0/(AV116), 0)</f>
        <v>0</v>
      </c>
      <c r="M116">
        <f>((S116-I116/2)*L116-K116)/(S116+I116/2)</f>
        <v>0</v>
      </c>
      <c r="N116">
        <f>M116*(DX116+DY116)/1000.0</f>
        <v>0</v>
      </c>
      <c r="O116">
        <f>(DQ116 - IF(AT116&gt;1, K116*DK116*100.0/(AV116), 0))*(DX116+DY116)/1000.0</f>
        <v>0</v>
      </c>
      <c r="P116">
        <f>2.0/((1/R116-1/Q116)+SIGN(R116)*SQRT((1/R116-1/Q116)*(1/R116-1/Q116) + 4*DL116/((DL116+1)*(DL116+1))*(2*1/R116*1/Q116-1/Q116*1/Q116)))</f>
        <v>0</v>
      </c>
      <c r="Q116">
        <f>IF(LEFT(DM116,1)&lt;&gt;"0",IF(LEFT(DM116,1)="1",3.0,DN116),$D$5+$E$5*(EE116*DX116/($K$5*1000))+$F$5*(EE116*DX116/($K$5*1000))*MAX(MIN(DK116,$J$5),$I$5)*MAX(MIN(DK116,$J$5),$I$5)+$G$5*MAX(MIN(DK116,$J$5),$I$5)*(EE116*DX116/($K$5*1000))+$H$5*(EE116*DX116/($K$5*1000))*(EE116*DX116/($K$5*1000)))</f>
        <v>0</v>
      </c>
      <c r="R116">
        <f>I116*(1000-(1000*0.61365*exp(17.502*V116/(240.97+V116))/(DX116+DY116)+DS116)/2)/(1000*0.61365*exp(17.502*V116/(240.97+V116))/(DX116+DY116)-DS116)</f>
        <v>0</v>
      </c>
      <c r="S116">
        <f>1/((DL116+1)/(P116/1.6)+1/(Q116/1.37)) + DL116/((DL116+1)/(P116/1.6) + DL116/(Q116/1.37))</f>
        <v>0</v>
      </c>
      <c r="T116">
        <f>(DG116*DJ116)</f>
        <v>0</v>
      </c>
      <c r="U116">
        <f>(DZ116+(T116+2*0.95*5.67E-8*(((DZ116+$B$9)+273)^4-(DZ116+273)^4)-44100*I116)/(1.84*29.3*Q116+8*0.95*5.67E-8*(DZ116+273)^3))</f>
        <v>0</v>
      </c>
      <c r="V116">
        <f>($C$9*EA116+$D$9*EB116+$E$9*U116)</f>
        <v>0</v>
      </c>
      <c r="W116">
        <f>0.61365*exp(17.502*V116/(240.97+V116))</f>
        <v>0</v>
      </c>
      <c r="X116">
        <f>(Y116/Z116*100)</f>
        <v>0</v>
      </c>
      <c r="Y116">
        <f>DS116*(DX116+DY116)/1000</f>
        <v>0</v>
      </c>
      <c r="Z116">
        <f>0.61365*exp(17.502*DZ116/(240.97+DZ116))</f>
        <v>0</v>
      </c>
      <c r="AA116">
        <f>(W116-DS116*(DX116+DY116)/1000)</f>
        <v>0</v>
      </c>
      <c r="AB116">
        <f>(-I116*44100)</f>
        <v>0</v>
      </c>
      <c r="AC116">
        <f>2*29.3*Q116*0.92*(DZ116-V116)</f>
        <v>0</v>
      </c>
      <c r="AD116">
        <f>2*0.95*5.67E-8*(((DZ116+$B$9)+273)^4-(V116+273)^4)</f>
        <v>0</v>
      </c>
      <c r="AE116">
        <f>T116+AD116+AB116+AC116</f>
        <v>0</v>
      </c>
      <c r="AF116">
        <f>DW116*AT116*(DR116-DQ116*(1000-AT116*DT116)/(1000-AT116*DS116))/(100*DK116)</f>
        <v>0</v>
      </c>
      <c r="AG116">
        <f>1000*DW116*AT116*(DS116-DT116)/(100*DK116*(1000-AT116*DS116))</f>
        <v>0</v>
      </c>
      <c r="AH116">
        <f>(AI116 - AJ116 - DX116*1E3/(8.314*(DZ116+273.15)) * AL116/DW116 * AK116) * DW116/(100*DK116) * (1000 - DT116)/1000</f>
        <v>0</v>
      </c>
      <c r="AI116">
        <v>305.241041377255</v>
      </c>
      <c r="AJ116">
        <v>305.3330848484848</v>
      </c>
      <c r="AK116">
        <v>-0.002406087890516619</v>
      </c>
      <c r="AL116">
        <v>65.49909085091964</v>
      </c>
      <c r="AM116">
        <f>(AO116 - AN116 + DX116*1E3/(8.314*(DZ116+273.15)) * AQ116/DW116 * AP116) * DW116/(100*DK116) * 1000/(1000 - AO116)</f>
        <v>0</v>
      </c>
      <c r="AN116">
        <v>17.33372727272727</v>
      </c>
      <c r="AO116">
        <v>17.49628545454545</v>
      </c>
      <c r="AP116">
        <v>-7.060134585031933E-06</v>
      </c>
      <c r="AQ116">
        <v>105.1649382191318</v>
      </c>
      <c r="AR116">
        <v>42</v>
      </c>
      <c r="AS116">
        <v>8</v>
      </c>
      <c r="AT116">
        <f>IF(AR116*$H$15&gt;=AV116,1.0,(AV116/(AV116-AR116*$H$15)))</f>
        <v>0</v>
      </c>
      <c r="AU116">
        <f>(AT116-1)*100</f>
        <v>0</v>
      </c>
      <c r="AV116">
        <f>MAX(0,($B$15+$C$15*EE116)/(1+$D$15*EE116)*DX116/(DZ116+273)*$E$15)</f>
        <v>0</v>
      </c>
      <c r="AW116" t="s">
        <v>437</v>
      </c>
      <c r="AX116" t="s">
        <v>437</v>
      </c>
      <c r="AY116">
        <v>0</v>
      </c>
      <c r="AZ116">
        <v>0</v>
      </c>
      <c r="BA116">
        <f>1-AY116/AZ116</f>
        <v>0</v>
      </c>
      <c r="BB116">
        <v>0</v>
      </c>
      <c r="BC116" t="s">
        <v>437</v>
      </c>
      <c r="BD116" t="s">
        <v>437</v>
      </c>
      <c r="BE116">
        <v>0</v>
      </c>
      <c r="BF116">
        <v>0</v>
      </c>
      <c r="BG116">
        <f>1-BE116/BF116</f>
        <v>0</v>
      </c>
      <c r="BH116">
        <v>0.5</v>
      </c>
      <c r="BI116">
        <f>DH116</f>
        <v>0</v>
      </c>
      <c r="BJ116">
        <f>K116</f>
        <v>0</v>
      </c>
      <c r="BK116">
        <f>BG116*BH116*BI116</f>
        <v>0</v>
      </c>
      <c r="BL116">
        <f>(BJ116-BB116)/BI116</f>
        <v>0</v>
      </c>
      <c r="BM116">
        <f>(AZ116-BF116)/BF116</f>
        <v>0</v>
      </c>
      <c r="BN116">
        <f>AY116/(BA116+AY116/BF116)</f>
        <v>0</v>
      </c>
      <c r="BO116" t="s">
        <v>437</v>
      </c>
      <c r="BP116">
        <v>0</v>
      </c>
      <c r="BQ116">
        <f>IF(BP116&lt;&gt;0, BP116, BN116)</f>
        <v>0</v>
      </c>
      <c r="BR116">
        <f>1-BQ116/BF116</f>
        <v>0</v>
      </c>
      <c r="BS116">
        <f>(BF116-BE116)/(BF116-BQ116)</f>
        <v>0</v>
      </c>
      <c r="BT116">
        <f>(AZ116-BF116)/(AZ116-BQ116)</f>
        <v>0</v>
      </c>
      <c r="BU116">
        <f>(BF116-BE116)/(BF116-AY116)</f>
        <v>0</v>
      </c>
      <c r="BV116">
        <f>(AZ116-BF116)/(AZ116-AY116)</f>
        <v>0</v>
      </c>
      <c r="BW116">
        <f>(BS116*BQ116/BE116)</f>
        <v>0</v>
      </c>
      <c r="BX116">
        <f>(1-BW116)</f>
        <v>0</v>
      </c>
      <c r="DG116">
        <f>$B$13*EF116+$C$13*EG116+$F$13*ER116*(1-EU116)</f>
        <v>0</v>
      </c>
      <c r="DH116">
        <f>DG116*DI116</f>
        <v>0</v>
      </c>
      <c r="DI116">
        <f>($B$13*$D$11+$C$13*$D$11+$F$13*((FE116+EW116)/MAX(FE116+EW116+FF116, 0.1)*$I$11+FF116/MAX(FE116+EW116+FF116, 0.1)*$J$11))/($B$13+$C$13+$F$13)</f>
        <v>0</v>
      </c>
      <c r="DJ116">
        <f>($B$13*$K$11+$C$13*$K$11+$F$13*((FE116+EW116)/MAX(FE116+EW116+FF116, 0.1)*$P$11+FF116/MAX(FE116+EW116+FF116, 0.1)*$Q$11))/($B$13+$C$13+$F$13)</f>
        <v>0</v>
      </c>
      <c r="DK116">
        <v>5.66</v>
      </c>
      <c r="DL116">
        <v>0.5</v>
      </c>
      <c r="DM116" t="s">
        <v>438</v>
      </c>
      <c r="DN116">
        <v>2</v>
      </c>
      <c r="DO116" t="b">
        <v>1</v>
      </c>
      <c r="DP116">
        <v>1765314244</v>
      </c>
      <c r="DQ116">
        <v>300.004</v>
      </c>
      <c r="DR116">
        <v>299.9870967741936</v>
      </c>
      <c r="DS116">
        <v>17.49159677419355</v>
      </c>
      <c r="DT116">
        <v>17.331</v>
      </c>
      <c r="DU116">
        <v>300.26</v>
      </c>
      <c r="DV116">
        <v>17.42259677419355</v>
      </c>
      <c r="DW116">
        <v>500.0115161290322</v>
      </c>
      <c r="DX116">
        <v>89.76789354838711</v>
      </c>
      <c r="DY116">
        <v>0.09999175806451613</v>
      </c>
      <c r="DZ116">
        <v>24.82361612903226</v>
      </c>
      <c r="EA116">
        <v>25.00713548387097</v>
      </c>
      <c r="EB116">
        <v>999.9000000000003</v>
      </c>
      <c r="EC116">
        <v>0</v>
      </c>
      <c r="ED116">
        <v>0</v>
      </c>
      <c r="EE116">
        <v>10001.22580645161</v>
      </c>
      <c r="EF116">
        <v>0</v>
      </c>
      <c r="EG116">
        <v>9.77497</v>
      </c>
      <c r="EH116">
        <v>0.04863421290322581</v>
      </c>
      <c r="EI116">
        <v>305.3786129032258</v>
      </c>
      <c r="EJ116">
        <v>305.2777741935483</v>
      </c>
      <c r="EK116">
        <v>0.1647224516129032</v>
      </c>
      <c r="EL116">
        <v>299.9870967741936</v>
      </c>
      <c r="EM116">
        <v>17.331</v>
      </c>
      <c r="EN116">
        <v>1.570553548387097</v>
      </c>
      <c r="EO116">
        <v>1.555768064516129</v>
      </c>
      <c r="EP116">
        <v>13.67290967741935</v>
      </c>
      <c r="EQ116">
        <v>13.52754193548387</v>
      </c>
      <c r="ER116">
        <v>799.999064516129</v>
      </c>
      <c r="ES116">
        <v>0.9500121935483873</v>
      </c>
      <c r="ET116">
        <v>0.04998767419354837</v>
      </c>
      <c r="EU116">
        <v>0</v>
      </c>
      <c r="EV116">
        <v>791.8924193548386</v>
      </c>
      <c r="EW116">
        <v>5.000779999999999</v>
      </c>
      <c r="EX116">
        <v>5961.990967741936</v>
      </c>
      <c r="EY116">
        <v>6463.436129032259</v>
      </c>
      <c r="EZ116">
        <v>35.7154193548387</v>
      </c>
      <c r="FA116">
        <v>38.06438709677419</v>
      </c>
      <c r="FB116">
        <v>37.57238709677419</v>
      </c>
      <c r="FC116">
        <v>37.65493548387096</v>
      </c>
      <c r="FD116">
        <v>37.42316129032258</v>
      </c>
      <c r="FE116">
        <v>755.2567741935485</v>
      </c>
      <c r="FF116">
        <v>39.7383870967742</v>
      </c>
      <c r="FG116">
        <v>0</v>
      </c>
      <c r="FH116">
        <v>1765314251.3</v>
      </c>
      <c r="FI116">
        <v>0</v>
      </c>
      <c r="FJ116">
        <v>791.8772307692307</v>
      </c>
      <c r="FK116">
        <v>-0.7662222271984418</v>
      </c>
      <c r="FL116">
        <v>-8.403076921938322</v>
      </c>
      <c r="FM116">
        <v>5961.924999999999</v>
      </c>
      <c r="FN116">
        <v>15</v>
      </c>
      <c r="FO116">
        <v>1765314269.5</v>
      </c>
      <c r="FP116" t="s">
        <v>743</v>
      </c>
      <c r="FQ116">
        <v>1765314269.5</v>
      </c>
      <c r="FR116">
        <v>1765314269</v>
      </c>
      <c r="FS116">
        <v>99</v>
      </c>
      <c r="FT116">
        <v>-0.032</v>
      </c>
      <c r="FU116">
        <v>-0.002</v>
      </c>
      <c r="FV116">
        <v>-0.256</v>
      </c>
      <c r="FW116">
        <v>0.06900000000000001</v>
      </c>
      <c r="FX116">
        <v>300</v>
      </c>
      <c r="FY116">
        <v>17</v>
      </c>
      <c r="FZ116">
        <v>0.47</v>
      </c>
      <c r="GA116">
        <v>0.24</v>
      </c>
      <c r="GB116">
        <v>0.06592637999999999</v>
      </c>
      <c r="GC116">
        <v>-0.3517986393996249</v>
      </c>
      <c r="GD116">
        <v>0.05278469425127515</v>
      </c>
      <c r="GE116">
        <v>1</v>
      </c>
      <c r="GF116">
        <v>791.8689999999999</v>
      </c>
      <c r="GG116">
        <v>-0.09210084279944777</v>
      </c>
      <c r="GH116">
        <v>0.1744321880711614</v>
      </c>
      <c r="GI116">
        <v>1</v>
      </c>
      <c r="GJ116">
        <v>0.16571985</v>
      </c>
      <c r="GK116">
        <v>-0.01711456660412765</v>
      </c>
      <c r="GL116">
        <v>0.001913494493720847</v>
      </c>
      <c r="GM116">
        <v>1</v>
      </c>
      <c r="GN116">
        <v>3</v>
      </c>
      <c r="GO116">
        <v>3</v>
      </c>
      <c r="GP116" t="s">
        <v>440</v>
      </c>
      <c r="GQ116">
        <v>3.10824</v>
      </c>
      <c r="GR116">
        <v>2.79152</v>
      </c>
      <c r="GS116">
        <v>0.0674415</v>
      </c>
      <c r="GT116">
        <v>0.06742869999999999</v>
      </c>
      <c r="GU116">
        <v>0.08628520000000001</v>
      </c>
      <c r="GV116">
        <v>0.0864786</v>
      </c>
      <c r="GW116">
        <v>24486.6</v>
      </c>
      <c r="GX116">
        <v>22227.8</v>
      </c>
      <c r="GY116">
        <v>26813.9</v>
      </c>
      <c r="GZ116">
        <v>24039.8</v>
      </c>
      <c r="HA116">
        <v>39153.8</v>
      </c>
      <c r="HB116">
        <v>32406.5</v>
      </c>
      <c r="HC116">
        <v>46800.4</v>
      </c>
      <c r="HD116">
        <v>38013.1</v>
      </c>
      <c r="HE116">
        <v>1.8084</v>
      </c>
      <c r="HF116">
        <v>1.8709</v>
      </c>
      <c r="HG116">
        <v>0.07550419999999999</v>
      </c>
      <c r="HH116">
        <v>0</v>
      </c>
      <c r="HI116">
        <v>23.7682</v>
      </c>
      <c r="HJ116">
        <v>999.9</v>
      </c>
      <c r="HK116">
        <v>41.7</v>
      </c>
      <c r="HL116">
        <v>30.7</v>
      </c>
      <c r="HM116">
        <v>20.6032</v>
      </c>
      <c r="HN116">
        <v>61.1668</v>
      </c>
      <c r="HO116">
        <v>27.508</v>
      </c>
      <c r="HP116">
        <v>1</v>
      </c>
      <c r="HQ116">
        <v>-0.0157749</v>
      </c>
      <c r="HR116">
        <v>0.633145</v>
      </c>
      <c r="HS116">
        <v>20.2957</v>
      </c>
      <c r="HT116">
        <v>5.22238</v>
      </c>
      <c r="HU116">
        <v>11.9745</v>
      </c>
      <c r="HV116">
        <v>4.9657</v>
      </c>
      <c r="HW116">
        <v>3.276</v>
      </c>
      <c r="HX116">
        <v>9999</v>
      </c>
      <c r="HY116">
        <v>9999</v>
      </c>
      <c r="HZ116">
        <v>9999</v>
      </c>
      <c r="IA116">
        <v>999.9</v>
      </c>
      <c r="IB116">
        <v>1.86386</v>
      </c>
      <c r="IC116">
        <v>1.86004</v>
      </c>
      <c r="ID116">
        <v>1.85835</v>
      </c>
      <c r="IE116">
        <v>1.85963</v>
      </c>
      <c r="IF116">
        <v>1.85984</v>
      </c>
      <c r="IG116">
        <v>1.85835</v>
      </c>
      <c r="IH116">
        <v>1.85743</v>
      </c>
      <c r="II116">
        <v>1.85237</v>
      </c>
      <c r="IJ116">
        <v>0</v>
      </c>
      <c r="IK116">
        <v>0</v>
      </c>
      <c r="IL116">
        <v>0</v>
      </c>
      <c r="IM116">
        <v>0</v>
      </c>
      <c r="IN116" t="s">
        <v>441</v>
      </c>
      <c r="IO116" t="s">
        <v>442</v>
      </c>
      <c r="IP116" t="s">
        <v>443</v>
      </c>
      <c r="IQ116" t="s">
        <v>443</v>
      </c>
      <c r="IR116" t="s">
        <v>443</v>
      </c>
      <c r="IS116" t="s">
        <v>443</v>
      </c>
      <c r="IT116">
        <v>0</v>
      </c>
      <c r="IU116">
        <v>100</v>
      </c>
      <c r="IV116">
        <v>100</v>
      </c>
      <c r="IW116">
        <v>-0.256</v>
      </c>
      <c r="IX116">
        <v>0.06900000000000001</v>
      </c>
      <c r="IY116">
        <v>-0.3974527101397383</v>
      </c>
      <c r="IZ116">
        <v>0.0001583678016168383</v>
      </c>
      <c r="JA116">
        <v>1.526473431467286E-06</v>
      </c>
      <c r="JB116">
        <v>-4.446382740029455E-10</v>
      </c>
      <c r="JC116">
        <v>-0.04568079607187546</v>
      </c>
      <c r="JD116">
        <v>-0.009941991807247691</v>
      </c>
      <c r="JE116">
        <v>0.001256427533001032</v>
      </c>
      <c r="JF116">
        <v>-1.689728105039484E-05</v>
      </c>
      <c r="JG116">
        <v>2</v>
      </c>
      <c r="JH116">
        <v>1984</v>
      </c>
      <c r="JI116">
        <v>0</v>
      </c>
      <c r="JJ116">
        <v>25</v>
      </c>
      <c r="JK116">
        <v>1.2</v>
      </c>
      <c r="JL116">
        <v>1.2</v>
      </c>
      <c r="JM116">
        <v>0.871582</v>
      </c>
      <c r="JN116">
        <v>2.62085</v>
      </c>
      <c r="JO116">
        <v>1.49658</v>
      </c>
      <c r="JP116">
        <v>2.34741</v>
      </c>
      <c r="JQ116">
        <v>1.54907</v>
      </c>
      <c r="JR116">
        <v>2.42676</v>
      </c>
      <c r="JS116">
        <v>34.9444</v>
      </c>
      <c r="JT116">
        <v>24.1313</v>
      </c>
      <c r="JU116">
        <v>18</v>
      </c>
      <c r="JV116">
        <v>431.414</v>
      </c>
      <c r="JW116">
        <v>492.547</v>
      </c>
      <c r="JX116">
        <v>23.3943</v>
      </c>
      <c r="JY116">
        <v>26.9795</v>
      </c>
      <c r="JZ116">
        <v>30</v>
      </c>
      <c r="KA116">
        <v>27.2554</v>
      </c>
      <c r="KB116">
        <v>27.2612</v>
      </c>
      <c r="KC116">
        <v>17.5211</v>
      </c>
      <c r="KD116">
        <v>17.6357</v>
      </c>
      <c r="KE116">
        <v>51.5392</v>
      </c>
      <c r="KF116">
        <v>23.3836</v>
      </c>
      <c r="KG116">
        <v>300</v>
      </c>
      <c r="KH116">
        <v>17.3413</v>
      </c>
      <c r="KI116">
        <v>102.343</v>
      </c>
      <c r="KJ116">
        <v>91.69240000000001</v>
      </c>
    </row>
    <row r="117" spans="1:296">
      <c r="A117">
        <v>99</v>
      </c>
      <c r="B117">
        <v>1765314360.5</v>
      </c>
      <c r="C117">
        <v>16927.5</v>
      </c>
      <c r="D117" t="s">
        <v>744</v>
      </c>
      <c r="E117" t="s">
        <v>745</v>
      </c>
      <c r="F117">
        <v>5</v>
      </c>
      <c r="G117" t="s">
        <v>739</v>
      </c>
      <c r="H117">
        <v>1765314352.5</v>
      </c>
      <c r="I117">
        <f>(J117)/1000</f>
        <v>0</v>
      </c>
      <c r="J117">
        <f>IF(DO117, AM117, AG117)</f>
        <v>0</v>
      </c>
      <c r="K117">
        <f>IF(DO117, AH117, AF117)</f>
        <v>0</v>
      </c>
      <c r="L117">
        <f>DQ117 - IF(AT117&gt;1, K117*DK117*100.0/(AV117), 0)</f>
        <v>0</v>
      </c>
      <c r="M117">
        <f>((S117-I117/2)*L117-K117)/(S117+I117/2)</f>
        <v>0</v>
      </c>
      <c r="N117">
        <f>M117*(DX117+DY117)/1000.0</f>
        <v>0</v>
      </c>
      <c r="O117">
        <f>(DQ117 - IF(AT117&gt;1, K117*DK117*100.0/(AV117), 0))*(DX117+DY117)/1000.0</f>
        <v>0</v>
      </c>
      <c r="P117">
        <f>2.0/((1/R117-1/Q117)+SIGN(R117)*SQRT((1/R117-1/Q117)*(1/R117-1/Q117) + 4*DL117/((DL117+1)*(DL117+1))*(2*1/R117*1/Q117-1/Q117*1/Q117)))</f>
        <v>0</v>
      </c>
      <c r="Q117">
        <f>IF(LEFT(DM117,1)&lt;&gt;"0",IF(LEFT(DM117,1)="1",3.0,DN117),$D$5+$E$5*(EE117*DX117/($K$5*1000))+$F$5*(EE117*DX117/($K$5*1000))*MAX(MIN(DK117,$J$5),$I$5)*MAX(MIN(DK117,$J$5),$I$5)+$G$5*MAX(MIN(DK117,$J$5),$I$5)*(EE117*DX117/($K$5*1000))+$H$5*(EE117*DX117/($K$5*1000))*(EE117*DX117/($K$5*1000)))</f>
        <v>0</v>
      </c>
      <c r="R117">
        <f>I117*(1000-(1000*0.61365*exp(17.502*V117/(240.97+V117))/(DX117+DY117)+DS117)/2)/(1000*0.61365*exp(17.502*V117/(240.97+V117))/(DX117+DY117)-DS117)</f>
        <v>0</v>
      </c>
      <c r="S117">
        <f>1/((DL117+1)/(P117/1.6)+1/(Q117/1.37)) + DL117/((DL117+1)/(P117/1.6) + DL117/(Q117/1.37))</f>
        <v>0</v>
      </c>
      <c r="T117">
        <f>(DG117*DJ117)</f>
        <v>0</v>
      </c>
      <c r="U117">
        <f>(DZ117+(T117+2*0.95*5.67E-8*(((DZ117+$B$9)+273)^4-(DZ117+273)^4)-44100*I117)/(1.84*29.3*Q117+8*0.95*5.67E-8*(DZ117+273)^3))</f>
        <v>0</v>
      </c>
      <c r="V117">
        <f>($C$9*EA117+$D$9*EB117+$E$9*U117)</f>
        <v>0</v>
      </c>
      <c r="W117">
        <f>0.61365*exp(17.502*V117/(240.97+V117))</f>
        <v>0</v>
      </c>
      <c r="X117">
        <f>(Y117/Z117*100)</f>
        <v>0</v>
      </c>
      <c r="Y117">
        <f>DS117*(DX117+DY117)/1000</f>
        <v>0</v>
      </c>
      <c r="Z117">
        <f>0.61365*exp(17.502*DZ117/(240.97+DZ117))</f>
        <v>0</v>
      </c>
      <c r="AA117">
        <f>(W117-DS117*(DX117+DY117)/1000)</f>
        <v>0</v>
      </c>
      <c r="AB117">
        <f>(-I117*44100)</f>
        <v>0</v>
      </c>
      <c r="AC117">
        <f>2*29.3*Q117*0.92*(DZ117-V117)</f>
        <v>0</v>
      </c>
      <c r="AD117">
        <f>2*0.95*5.67E-8*(((DZ117+$B$9)+273)^4-(V117+273)^4)</f>
        <v>0</v>
      </c>
      <c r="AE117">
        <f>T117+AD117+AB117+AC117</f>
        <v>0</v>
      </c>
      <c r="AF117">
        <f>DW117*AT117*(DR117-DQ117*(1000-AT117*DT117)/(1000-AT117*DS117))/(100*DK117)</f>
        <v>0</v>
      </c>
      <c r="AG117">
        <f>1000*DW117*AT117*(DS117-DT117)/(100*DK117*(1000-AT117*DS117))</f>
        <v>0</v>
      </c>
      <c r="AH117">
        <f>(AI117 - AJ117 - DX117*1E3/(8.314*(DZ117+273.15)) * AL117/DW117 * AK117) * DW117/(100*DK117) * (1000 - DT117)/1000</f>
        <v>0</v>
      </c>
      <c r="AI117">
        <v>203.5072177020253</v>
      </c>
      <c r="AJ117">
        <v>203.6164606060606</v>
      </c>
      <c r="AK117">
        <v>0.0001858518928303487</v>
      </c>
      <c r="AL117">
        <v>65.17338805124685</v>
      </c>
      <c r="AM117">
        <f>(AO117 - AN117 + DX117*1E3/(8.314*(DZ117+273.15)) * AQ117/DW117 * AP117) * DW117/(100*DK117) * 1000/(1000 - AO117)</f>
        <v>0</v>
      </c>
      <c r="AN117">
        <v>17.32716666666667</v>
      </c>
      <c r="AO117">
        <v>17.4906509090909</v>
      </c>
      <c r="AP117">
        <v>-2.482529375389639E-05</v>
      </c>
      <c r="AQ117">
        <v>103.847901999238</v>
      </c>
      <c r="AR117">
        <v>40</v>
      </c>
      <c r="AS117">
        <v>8</v>
      </c>
      <c r="AT117">
        <f>IF(AR117*$H$15&gt;=AV117,1.0,(AV117/(AV117-AR117*$H$15)))</f>
        <v>0</v>
      </c>
      <c r="AU117">
        <f>(AT117-1)*100</f>
        <v>0</v>
      </c>
      <c r="AV117">
        <f>MAX(0,($B$15+$C$15*EE117)/(1+$D$15*EE117)*DX117/(DZ117+273)*$E$15)</f>
        <v>0</v>
      </c>
      <c r="AW117" t="s">
        <v>437</v>
      </c>
      <c r="AX117" t="s">
        <v>437</v>
      </c>
      <c r="AY117">
        <v>0</v>
      </c>
      <c r="AZ117">
        <v>0</v>
      </c>
      <c r="BA117">
        <f>1-AY117/AZ117</f>
        <v>0</v>
      </c>
      <c r="BB117">
        <v>0</v>
      </c>
      <c r="BC117" t="s">
        <v>437</v>
      </c>
      <c r="BD117" t="s">
        <v>437</v>
      </c>
      <c r="BE117">
        <v>0</v>
      </c>
      <c r="BF117">
        <v>0</v>
      </c>
      <c r="BG117">
        <f>1-BE117/BF117</f>
        <v>0</v>
      </c>
      <c r="BH117">
        <v>0.5</v>
      </c>
      <c r="BI117">
        <f>DH117</f>
        <v>0</v>
      </c>
      <c r="BJ117">
        <f>K117</f>
        <v>0</v>
      </c>
      <c r="BK117">
        <f>BG117*BH117*BI117</f>
        <v>0</v>
      </c>
      <c r="BL117">
        <f>(BJ117-BB117)/BI117</f>
        <v>0</v>
      </c>
      <c r="BM117">
        <f>(AZ117-BF117)/BF117</f>
        <v>0</v>
      </c>
      <c r="BN117">
        <f>AY117/(BA117+AY117/BF117)</f>
        <v>0</v>
      </c>
      <c r="BO117" t="s">
        <v>437</v>
      </c>
      <c r="BP117">
        <v>0</v>
      </c>
      <c r="BQ117">
        <f>IF(BP117&lt;&gt;0, BP117, BN117)</f>
        <v>0</v>
      </c>
      <c r="BR117">
        <f>1-BQ117/BF117</f>
        <v>0</v>
      </c>
      <c r="BS117">
        <f>(BF117-BE117)/(BF117-BQ117)</f>
        <v>0</v>
      </c>
      <c r="BT117">
        <f>(AZ117-BF117)/(AZ117-BQ117)</f>
        <v>0</v>
      </c>
      <c r="BU117">
        <f>(BF117-BE117)/(BF117-AY117)</f>
        <v>0</v>
      </c>
      <c r="BV117">
        <f>(AZ117-BF117)/(AZ117-AY117)</f>
        <v>0</v>
      </c>
      <c r="BW117">
        <f>(BS117*BQ117/BE117)</f>
        <v>0</v>
      </c>
      <c r="BX117">
        <f>(1-BW117)</f>
        <v>0</v>
      </c>
      <c r="DG117">
        <f>$B$13*EF117+$C$13*EG117+$F$13*ER117*(1-EU117)</f>
        <v>0</v>
      </c>
      <c r="DH117">
        <f>DG117*DI117</f>
        <v>0</v>
      </c>
      <c r="DI117">
        <f>($B$13*$D$11+$C$13*$D$11+$F$13*((FE117+EW117)/MAX(FE117+EW117+FF117, 0.1)*$I$11+FF117/MAX(FE117+EW117+FF117, 0.1)*$J$11))/($B$13+$C$13+$F$13)</f>
        <v>0</v>
      </c>
      <c r="DJ117">
        <f>($B$13*$K$11+$C$13*$K$11+$F$13*((FE117+EW117)/MAX(FE117+EW117+FF117, 0.1)*$P$11+FF117/MAX(FE117+EW117+FF117, 0.1)*$Q$11))/($B$13+$C$13+$F$13)</f>
        <v>0</v>
      </c>
      <c r="DK117">
        <v>5.66</v>
      </c>
      <c r="DL117">
        <v>0.5</v>
      </c>
      <c r="DM117" t="s">
        <v>438</v>
      </c>
      <c r="DN117">
        <v>2</v>
      </c>
      <c r="DO117" t="b">
        <v>1</v>
      </c>
      <c r="DP117">
        <v>1765314352.5</v>
      </c>
      <c r="DQ117">
        <v>200.1785806451613</v>
      </c>
      <c r="DR117">
        <v>199.9879677419355</v>
      </c>
      <c r="DS117">
        <v>17.49715483870968</v>
      </c>
      <c r="DT117">
        <v>17.3241064516129</v>
      </c>
      <c r="DU117">
        <v>200.3875806451613</v>
      </c>
      <c r="DV117">
        <v>17.42915483870967</v>
      </c>
      <c r="DW117">
        <v>500.0188387096775</v>
      </c>
      <c r="DX117">
        <v>89.76882580645162</v>
      </c>
      <c r="DY117">
        <v>0.1000802903225806</v>
      </c>
      <c r="DZ117">
        <v>24.8199129032258</v>
      </c>
      <c r="EA117">
        <v>25.00770967741936</v>
      </c>
      <c r="EB117">
        <v>999.9000000000003</v>
      </c>
      <c r="EC117">
        <v>0</v>
      </c>
      <c r="ED117">
        <v>0</v>
      </c>
      <c r="EE117">
        <v>9984.563870967741</v>
      </c>
      <c r="EF117">
        <v>0</v>
      </c>
      <c r="EG117">
        <v>9.771052580645161</v>
      </c>
      <c r="EH117">
        <v>0.05962988548387097</v>
      </c>
      <c r="EI117">
        <v>203.611</v>
      </c>
      <c r="EJ117">
        <v>203.5137419354839</v>
      </c>
      <c r="EK117">
        <v>0.176491064516129</v>
      </c>
      <c r="EL117">
        <v>199.9879677419355</v>
      </c>
      <c r="EM117">
        <v>17.3241064516129</v>
      </c>
      <c r="EN117">
        <v>1.571008064516129</v>
      </c>
      <c r="EO117">
        <v>1.555164193548387</v>
      </c>
      <c r="EP117">
        <v>13.67731935483871</v>
      </c>
      <c r="EQ117">
        <v>13.52157741935484</v>
      </c>
      <c r="ER117">
        <v>799.9671612903227</v>
      </c>
      <c r="ES117">
        <v>0.9500114516129031</v>
      </c>
      <c r="ET117">
        <v>0.04998862258064516</v>
      </c>
      <c r="EU117">
        <v>0</v>
      </c>
      <c r="EV117">
        <v>789.4338064516129</v>
      </c>
      <c r="EW117">
        <v>5.000779999999999</v>
      </c>
      <c r="EX117">
        <v>5974.117096774195</v>
      </c>
      <c r="EY117">
        <v>6463.175161290323</v>
      </c>
      <c r="EZ117">
        <v>36.95951612903225</v>
      </c>
      <c r="FA117">
        <v>40.40709677419355</v>
      </c>
      <c r="FB117">
        <v>39.0864193548387</v>
      </c>
      <c r="FC117">
        <v>40.57029032258063</v>
      </c>
      <c r="FD117">
        <v>39.24964516129031</v>
      </c>
      <c r="FE117">
        <v>755.2270967741935</v>
      </c>
      <c r="FF117">
        <v>39.74</v>
      </c>
      <c r="FG117">
        <v>0</v>
      </c>
      <c r="FH117">
        <v>1765314359.9</v>
      </c>
      <c r="FI117">
        <v>0</v>
      </c>
      <c r="FJ117">
        <v>789.44156</v>
      </c>
      <c r="FK117">
        <v>-0.04576921452581637</v>
      </c>
      <c r="FL117">
        <v>0.4338461256424475</v>
      </c>
      <c r="FM117">
        <v>5974.107199999999</v>
      </c>
      <c r="FN117">
        <v>15</v>
      </c>
      <c r="FO117">
        <v>1765314378.5</v>
      </c>
      <c r="FP117" t="s">
        <v>746</v>
      </c>
      <c r="FQ117">
        <v>1765314378.5</v>
      </c>
      <c r="FR117">
        <v>1765314377.5</v>
      </c>
      <c r="FS117">
        <v>100</v>
      </c>
      <c r="FT117">
        <v>0.131</v>
      </c>
      <c r="FU117">
        <v>-0</v>
      </c>
      <c r="FV117">
        <v>-0.209</v>
      </c>
      <c r="FW117">
        <v>0.068</v>
      </c>
      <c r="FX117">
        <v>200</v>
      </c>
      <c r="FY117">
        <v>17</v>
      </c>
      <c r="FZ117">
        <v>0.39</v>
      </c>
      <c r="GA117">
        <v>0.17</v>
      </c>
      <c r="GB117">
        <v>0.06434747375000001</v>
      </c>
      <c r="GC117">
        <v>-0.1782662049906192</v>
      </c>
      <c r="GD117">
        <v>0.03420414071748738</v>
      </c>
      <c r="GE117">
        <v>1</v>
      </c>
      <c r="GF117">
        <v>789.5456764705882</v>
      </c>
      <c r="GG117">
        <v>-1.591000763746018</v>
      </c>
      <c r="GH117">
        <v>0.3089181997750305</v>
      </c>
      <c r="GI117">
        <v>0</v>
      </c>
      <c r="GJ117">
        <v>0.1797019</v>
      </c>
      <c r="GK117">
        <v>-0.06737678048780514</v>
      </c>
      <c r="GL117">
        <v>0.01025243005291916</v>
      </c>
      <c r="GM117">
        <v>1</v>
      </c>
      <c r="GN117">
        <v>2</v>
      </c>
      <c r="GO117">
        <v>3</v>
      </c>
      <c r="GP117" t="s">
        <v>453</v>
      </c>
      <c r="GQ117">
        <v>3.10843</v>
      </c>
      <c r="GR117">
        <v>2.79176</v>
      </c>
      <c r="GS117">
        <v>0.0480537</v>
      </c>
      <c r="GT117">
        <v>0.047977</v>
      </c>
      <c r="GU117">
        <v>0.0862726</v>
      </c>
      <c r="GV117">
        <v>0.08646280000000001</v>
      </c>
      <c r="GW117">
        <v>24995.1</v>
      </c>
      <c r="GX117">
        <v>22689.9</v>
      </c>
      <c r="GY117">
        <v>26813.2</v>
      </c>
      <c r="GZ117">
        <v>24038.1</v>
      </c>
      <c r="HA117">
        <v>39150.8</v>
      </c>
      <c r="HB117">
        <v>32403.4</v>
      </c>
      <c r="HC117">
        <v>46799.1</v>
      </c>
      <c r="HD117">
        <v>38011.1</v>
      </c>
      <c r="HE117">
        <v>1.81187</v>
      </c>
      <c r="HF117">
        <v>1.87053</v>
      </c>
      <c r="HG117">
        <v>0.0730157</v>
      </c>
      <c r="HH117">
        <v>0</v>
      </c>
      <c r="HI117">
        <v>23.8094</v>
      </c>
      <c r="HJ117">
        <v>999.9</v>
      </c>
      <c r="HK117">
        <v>42.1</v>
      </c>
      <c r="HL117">
        <v>30.6</v>
      </c>
      <c r="HM117">
        <v>20.6794</v>
      </c>
      <c r="HN117">
        <v>60.7168</v>
      </c>
      <c r="HO117">
        <v>27.4479</v>
      </c>
      <c r="HP117">
        <v>1</v>
      </c>
      <c r="HQ117">
        <v>-0.0143852</v>
      </c>
      <c r="HR117">
        <v>0.728309</v>
      </c>
      <c r="HS117">
        <v>20.295</v>
      </c>
      <c r="HT117">
        <v>5.22253</v>
      </c>
      <c r="HU117">
        <v>11.9742</v>
      </c>
      <c r="HV117">
        <v>4.9657</v>
      </c>
      <c r="HW117">
        <v>3.27595</v>
      </c>
      <c r="HX117">
        <v>9999</v>
      </c>
      <c r="HY117">
        <v>9999</v>
      </c>
      <c r="HZ117">
        <v>9999</v>
      </c>
      <c r="IA117">
        <v>999.9</v>
      </c>
      <c r="IB117">
        <v>1.86386</v>
      </c>
      <c r="IC117">
        <v>1.86005</v>
      </c>
      <c r="ID117">
        <v>1.85837</v>
      </c>
      <c r="IE117">
        <v>1.85967</v>
      </c>
      <c r="IF117">
        <v>1.85984</v>
      </c>
      <c r="IG117">
        <v>1.85836</v>
      </c>
      <c r="IH117">
        <v>1.8574</v>
      </c>
      <c r="II117">
        <v>1.85237</v>
      </c>
      <c r="IJ117">
        <v>0</v>
      </c>
      <c r="IK117">
        <v>0</v>
      </c>
      <c r="IL117">
        <v>0</v>
      </c>
      <c r="IM117">
        <v>0</v>
      </c>
      <c r="IN117" t="s">
        <v>441</v>
      </c>
      <c r="IO117" t="s">
        <v>442</v>
      </c>
      <c r="IP117" t="s">
        <v>443</v>
      </c>
      <c r="IQ117" t="s">
        <v>443</v>
      </c>
      <c r="IR117" t="s">
        <v>443</v>
      </c>
      <c r="IS117" t="s">
        <v>443</v>
      </c>
      <c r="IT117">
        <v>0</v>
      </c>
      <c r="IU117">
        <v>100</v>
      </c>
      <c r="IV117">
        <v>100</v>
      </c>
      <c r="IW117">
        <v>-0.209</v>
      </c>
      <c r="IX117">
        <v>0.068</v>
      </c>
      <c r="IY117">
        <v>-0.4295120169440829</v>
      </c>
      <c r="IZ117">
        <v>0.0001583678016168383</v>
      </c>
      <c r="JA117">
        <v>1.526473431467286E-06</v>
      </c>
      <c r="JB117">
        <v>-4.446382740029455E-10</v>
      </c>
      <c r="JC117">
        <v>-0.04749070897581061</v>
      </c>
      <c r="JD117">
        <v>-0.009941991807247691</v>
      </c>
      <c r="JE117">
        <v>0.001256427533001032</v>
      </c>
      <c r="JF117">
        <v>-1.689728105039484E-05</v>
      </c>
      <c r="JG117">
        <v>2</v>
      </c>
      <c r="JH117">
        <v>1984</v>
      </c>
      <c r="JI117">
        <v>0</v>
      </c>
      <c r="JJ117">
        <v>25</v>
      </c>
      <c r="JK117">
        <v>1.5</v>
      </c>
      <c r="JL117">
        <v>1.5</v>
      </c>
      <c r="JM117">
        <v>0.638428</v>
      </c>
      <c r="JN117">
        <v>2.62939</v>
      </c>
      <c r="JO117">
        <v>1.49658</v>
      </c>
      <c r="JP117">
        <v>2.34741</v>
      </c>
      <c r="JQ117">
        <v>1.54907</v>
      </c>
      <c r="JR117">
        <v>2.41821</v>
      </c>
      <c r="JS117">
        <v>34.9444</v>
      </c>
      <c r="JT117">
        <v>24.1225</v>
      </c>
      <c r="JU117">
        <v>18</v>
      </c>
      <c r="JV117">
        <v>433.257</v>
      </c>
      <c r="JW117">
        <v>492.302</v>
      </c>
      <c r="JX117">
        <v>23.3222</v>
      </c>
      <c r="JY117">
        <v>26.9886</v>
      </c>
      <c r="JZ117">
        <v>30.0002</v>
      </c>
      <c r="KA117">
        <v>27.2559</v>
      </c>
      <c r="KB117">
        <v>27.2612</v>
      </c>
      <c r="KC117">
        <v>12.862</v>
      </c>
      <c r="KD117">
        <v>18.1812</v>
      </c>
      <c r="KE117">
        <v>51.9095</v>
      </c>
      <c r="KF117">
        <v>23.3172</v>
      </c>
      <c r="KG117">
        <v>200</v>
      </c>
      <c r="KH117">
        <v>17.3191</v>
      </c>
      <c r="KI117">
        <v>102.34</v>
      </c>
      <c r="KJ117">
        <v>91.6871</v>
      </c>
    </row>
    <row r="118" spans="1:296">
      <c r="A118">
        <v>100</v>
      </c>
      <c r="B118">
        <v>1765314456</v>
      </c>
      <c r="C118">
        <v>17023</v>
      </c>
      <c r="D118" t="s">
        <v>747</v>
      </c>
      <c r="E118" t="s">
        <v>748</v>
      </c>
      <c r="F118">
        <v>5</v>
      </c>
      <c r="G118" t="s">
        <v>739</v>
      </c>
      <c r="H118">
        <v>1765314448.25</v>
      </c>
      <c r="I118">
        <f>(J118)/1000</f>
        <v>0</v>
      </c>
      <c r="J118">
        <f>IF(DO118, AM118, AG118)</f>
        <v>0</v>
      </c>
      <c r="K118">
        <f>IF(DO118, AH118, AF118)</f>
        <v>0</v>
      </c>
      <c r="L118">
        <f>DQ118 - IF(AT118&gt;1, K118*DK118*100.0/(AV118), 0)</f>
        <v>0</v>
      </c>
      <c r="M118">
        <f>((S118-I118/2)*L118-K118)/(S118+I118/2)</f>
        <v>0</v>
      </c>
      <c r="N118">
        <f>M118*(DX118+DY118)/1000.0</f>
        <v>0</v>
      </c>
      <c r="O118">
        <f>(DQ118 - IF(AT118&gt;1, K118*DK118*100.0/(AV118), 0))*(DX118+DY118)/1000.0</f>
        <v>0</v>
      </c>
      <c r="P118">
        <f>2.0/((1/R118-1/Q118)+SIGN(R118)*SQRT((1/R118-1/Q118)*(1/R118-1/Q118) + 4*DL118/((DL118+1)*(DL118+1))*(2*1/R118*1/Q118-1/Q118*1/Q118)))</f>
        <v>0</v>
      </c>
      <c r="Q118">
        <f>IF(LEFT(DM118,1)&lt;&gt;"0",IF(LEFT(DM118,1)="1",3.0,DN118),$D$5+$E$5*(EE118*DX118/($K$5*1000))+$F$5*(EE118*DX118/($K$5*1000))*MAX(MIN(DK118,$J$5),$I$5)*MAX(MIN(DK118,$J$5),$I$5)+$G$5*MAX(MIN(DK118,$J$5),$I$5)*(EE118*DX118/($K$5*1000))+$H$5*(EE118*DX118/($K$5*1000))*(EE118*DX118/($K$5*1000)))</f>
        <v>0</v>
      </c>
      <c r="R118">
        <f>I118*(1000-(1000*0.61365*exp(17.502*V118/(240.97+V118))/(DX118+DY118)+DS118)/2)/(1000*0.61365*exp(17.502*V118/(240.97+V118))/(DX118+DY118)-DS118)</f>
        <v>0</v>
      </c>
      <c r="S118">
        <f>1/((DL118+1)/(P118/1.6)+1/(Q118/1.37)) + DL118/((DL118+1)/(P118/1.6) + DL118/(Q118/1.37))</f>
        <v>0</v>
      </c>
      <c r="T118">
        <f>(DG118*DJ118)</f>
        <v>0</v>
      </c>
      <c r="U118">
        <f>(DZ118+(T118+2*0.95*5.67E-8*(((DZ118+$B$9)+273)^4-(DZ118+273)^4)-44100*I118)/(1.84*29.3*Q118+8*0.95*5.67E-8*(DZ118+273)^3))</f>
        <v>0</v>
      </c>
      <c r="V118">
        <f>($C$9*EA118+$D$9*EB118+$E$9*U118)</f>
        <v>0</v>
      </c>
      <c r="W118">
        <f>0.61365*exp(17.502*V118/(240.97+V118))</f>
        <v>0</v>
      </c>
      <c r="X118">
        <f>(Y118/Z118*100)</f>
        <v>0</v>
      </c>
      <c r="Y118">
        <f>DS118*(DX118+DY118)/1000</f>
        <v>0</v>
      </c>
      <c r="Z118">
        <f>0.61365*exp(17.502*DZ118/(240.97+DZ118))</f>
        <v>0</v>
      </c>
      <c r="AA118">
        <f>(W118-DS118*(DX118+DY118)/1000)</f>
        <v>0</v>
      </c>
      <c r="AB118">
        <f>(-I118*44100)</f>
        <v>0</v>
      </c>
      <c r="AC118">
        <f>2*29.3*Q118*0.92*(DZ118-V118)</f>
        <v>0</v>
      </c>
      <c r="AD118">
        <f>2*0.95*5.67E-8*(((DZ118+$B$9)+273)^4-(V118+273)^4)</f>
        <v>0</v>
      </c>
      <c r="AE118">
        <f>T118+AD118+AB118+AC118</f>
        <v>0</v>
      </c>
      <c r="AF118">
        <f>DW118*AT118*(DR118-DQ118*(1000-AT118*DT118)/(1000-AT118*DS118))/(100*DK118)</f>
        <v>0</v>
      </c>
      <c r="AG118">
        <f>1000*DW118*AT118*(DS118-DT118)/(100*DK118*(1000-AT118*DS118))</f>
        <v>0</v>
      </c>
      <c r="AH118">
        <f>(AI118 - AJ118 - DX118*1E3/(8.314*(DZ118+273.15)) * AL118/DW118 * AK118) * DW118/(100*DK118) * (1000 - DT118)/1000</f>
        <v>0</v>
      </c>
      <c r="AI118">
        <v>101.7304437829555</v>
      </c>
      <c r="AJ118">
        <v>102.0705757575757</v>
      </c>
      <c r="AK118">
        <v>0.0004822067429098371</v>
      </c>
      <c r="AL118">
        <v>65.46030290045137</v>
      </c>
      <c r="AM118">
        <f>(AO118 - AN118 + DX118*1E3/(8.314*(DZ118+273.15)) * AQ118/DW118 * AP118) * DW118/(100*DK118) * 1000/(1000 - AO118)</f>
        <v>0</v>
      </c>
      <c r="AN118">
        <v>17.35381212121212</v>
      </c>
      <c r="AO118">
        <v>17.50229939393938</v>
      </c>
      <c r="AP118">
        <v>1.363231492678689E-05</v>
      </c>
      <c r="AQ118">
        <v>104.9540907973209</v>
      </c>
      <c r="AR118">
        <v>39</v>
      </c>
      <c r="AS118">
        <v>8</v>
      </c>
      <c r="AT118">
        <f>IF(AR118*$H$15&gt;=AV118,1.0,(AV118/(AV118-AR118*$H$15)))</f>
        <v>0</v>
      </c>
      <c r="AU118">
        <f>(AT118-1)*100</f>
        <v>0</v>
      </c>
      <c r="AV118">
        <f>MAX(0,($B$15+$C$15*EE118)/(1+$D$15*EE118)*DX118/(DZ118+273)*$E$15)</f>
        <v>0</v>
      </c>
      <c r="AW118" t="s">
        <v>437</v>
      </c>
      <c r="AX118" t="s">
        <v>437</v>
      </c>
      <c r="AY118">
        <v>0</v>
      </c>
      <c r="AZ118">
        <v>0</v>
      </c>
      <c r="BA118">
        <f>1-AY118/AZ118</f>
        <v>0</v>
      </c>
      <c r="BB118">
        <v>0</v>
      </c>
      <c r="BC118" t="s">
        <v>437</v>
      </c>
      <c r="BD118" t="s">
        <v>437</v>
      </c>
      <c r="BE118">
        <v>0</v>
      </c>
      <c r="BF118">
        <v>0</v>
      </c>
      <c r="BG118">
        <f>1-BE118/BF118</f>
        <v>0</v>
      </c>
      <c r="BH118">
        <v>0.5</v>
      </c>
      <c r="BI118">
        <f>DH118</f>
        <v>0</v>
      </c>
      <c r="BJ118">
        <f>K118</f>
        <v>0</v>
      </c>
      <c r="BK118">
        <f>BG118*BH118*BI118</f>
        <v>0</v>
      </c>
      <c r="BL118">
        <f>(BJ118-BB118)/BI118</f>
        <v>0</v>
      </c>
      <c r="BM118">
        <f>(AZ118-BF118)/BF118</f>
        <v>0</v>
      </c>
      <c r="BN118">
        <f>AY118/(BA118+AY118/BF118)</f>
        <v>0</v>
      </c>
      <c r="BO118" t="s">
        <v>437</v>
      </c>
      <c r="BP118">
        <v>0</v>
      </c>
      <c r="BQ118">
        <f>IF(BP118&lt;&gt;0, BP118, BN118)</f>
        <v>0</v>
      </c>
      <c r="BR118">
        <f>1-BQ118/BF118</f>
        <v>0</v>
      </c>
      <c r="BS118">
        <f>(BF118-BE118)/(BF118-BQ118)</f>
        <v>0</v>
      </c>
      <c r="BT118">
        <f>(AZ118-BF118)/(AZ118-BQ118)</f>
        <v>0</v>
      </c>
      <c r="BU118">
        <f>(BF118-BE118)/(BF118-AY118)</f>
        <v>0</v>
      </c>
      <c r="BV118">
        <f>(AZ118-BF118)/(AZ118-AY118)</f>
        <v>0</v>
      </c>
      <c r="BW118">
        <f>(BS118*BQ118/BE118)</f>
        <v>0</v>
      </c>
      <c r="BX118">
        <f>(1-BW118)</f>
        <v>0</v>
      </c>
      <c r="DG118">
        <f>$B$13*EF118+$C$13*EG118+$F$13*ER118*(1-EU118)</f>
        <v>0</v>
      </c>
      <c r="DH118">
        <f>DG118*DI118</f>
        <v>0</v>
      </c>
      <c r="DI118">
        <f>($B$13*$D$11+$C$13*$D$11+$F$13*((FE118+EW118)/MAX(FE118+EW118+FF118, 0.1)*$I$11+FF118/MAX(FE118+EW118+FF118, 0.1)*$J$11))/($B$13+$C$13+$F$13)</f>
        <v>0</v>
      </c>
      <c r="DJ118">
        <f>($B$13*$K$11+$C$13*$K$11+$F$13*((FE118+EW118)/MAX(FE118+EW118+FF118, 0.1)*$P$11+FF118/MAX(FE118+EW118+FF118, 0.1)*$Q$11))/($B$13+$C$13+$F$13)</f>
        <v>0</v>
      </c>
      <c r="DK118">
        <v>5.66</v>
      </c>
      <c r="DL118">
        <v>0.5</v>
      </c>
      <c r="DM118" t="s">
        <v>438</v>
      </c>
      <c r="DN118">
        <v>2</v>
      </c>
      <c r="DO118" t="b">
        <v>1</v>
      </c>
      <c r="DP118">
        <v>1765314448.25</v>
      </c>
      <c r="DQ118">
        <v>100.3585333333333</v>
      </c>
      <c r="DR118">
        <v>99.99695999999997</v>
      </c>
      <c r="DS118">
        <v>17.49968333333333</v>
      </c>
      <c r="DT118">
        <v>17.35164</v>
      </c>
      <c r="DU118">
        <v>100.5715333333333</v>
      </c>
      <c r="DV118">
        <v>17.42868333333333</v>
      </c>
      <c r="DW118">
        <v>499.9949333333333</v>
      </c>
      <c r="DX118">
        <v>89.76744000000001</v>
      </c>
      <c r="DY118">
        <v>0.1000204666666667</v>
      </c>
      <c r="DZ118">
        <v>24.83982666666667</v>
      </c>
      <c r="EA118">
        <v>25.01265666666666</v>
      </c>
      <c r="EB118">
        <v>999.9000000000002</v>
      </c>
      <c r="EC118">
        <v>0</v>
      </c>
      <c r="ED118">
        <v>0</v>
      </c>
      <c r="EE118">
        <v>9987.436333333333</v>
      </c>
      <c r="EF118">
        <v>0</v>
      </c>
      <c r="EG118">
        <v>10.117498</v>
      </c>
      <c r="EH118">
        <v>0.3074084333333333</v>
      </c>
      <c r="EI118">
        <v>102.0908666666667</v>
      </c>
      <c r="EJ118">
        <v>101.7627</v>
      </c>
      <c r="EK118">
        <v>0.1480350333333333</v>
      </c>
      <c r="EL118">
        <v>99.99695999999997</v>
      </c>
      <c r="EM118">
        <v>17.35164</v>
      </c>
      <c r="EN118">
        <v>1.570901</v>
      </c>
      <c r="EO118">
        <v>1.557612333333333</v>
      </c>
      <c r="EP118">
        <v>13.67628</v>
      </c>
      <c r="EQ118">
        <v>13.54573333333333</v>
      </c>
      <c r="ER118">
        <v>800.0514333333332</v>
      </c>
      <c r="ES118">
        <v>0.9499932666666665</v>
      </c>
      <c r="ET118">
        <v>0.05000689000000001</v>
      </c>
      <c r="EU118">
        <v>0</v>
      </c>
      <c r="EV118">
        <v>787.6283000000002</v>
      </c>
      <c r="EW118">
        <v>5.00078</v>
      </c>
      <c r="EX118">
        <v>5973.340999999999</v>
      </c>
      <c r="EY118">
        <v>6463.820999999999</v>
      </c>
      <c r="EZ118">
        <v>37.57466666666666</v>
      </c>
      <c r="FA118">
        <v>40.70596666666666</v>
      </c>
      <c r="FB118">
        <v>39.54563333333332</v>
      </c>
      <c r="FC118">
        <v>41.17473333333332</v>
      </c>
      <c r="FD118">
        <v>39.39146666666666</v>
      </c>
      <c r="FE118">
        <v>755.2923333333332</v>
      </c>
      <c r="FF118">
        <v>39.75733333333333</v>
      </c>
      <c r="FG118">
        <v>0</v>
      </c>
      <c r="FH118">
        <v>1765314455.3</v>
      </c>
      <c r="FI118">
        <v>0</v>
      </c>
      <c r="FJ118">
        <v>787.6367307692308</v>
      </c>
      <c r="FK118">
        <v>0.2413333405745899</v>
      </c>
      <c r="FL118">
        <v>-22.27658120799407</v>
      </c>
      <c r="FM118">
        <v>5973.292692307692</v>
      </c>
      <c r="FN118">
        <v>15</v>
      </c>
      <c r="FO118">
        <v>1765314474.5</v>
      </c>
      <c r="FP118" t="s">
        <v>749</v>
      </c>
      <c r="FQ118">
        <v>1765314472</v>
      </c>
      <c r="FR118">
        <v>1765314474.5</v>
      </c>
      <c r="FS118">
        <v>101</v>
      </c>
      <c r="FT118">
        <v>0.054</v>
      </c>
      <c r="FU118">
        <v>0.002</v>
      </c>
      <c r="FV118">
        <v>-0.213</v>
      </c>
      <c r="FW118">
        <v>0.07099999999999999</v>
      </c>
      <c r="FX118">
        <v>100</v>
      </c>
      <c r="FY118">
        <v>17</v>
      </c>
      <c r="FZ118">
        <v>0.32</v>
      </c>
      <c r="GA118">
        <v>0.25</v>
      </c>
      <c r="GB118">
        <v>0.33349725</v>
      </c>
      <c r="GC118">
        <v>-0.4829912645403387</v>
      </c>
      <c r="GD118">
        <v>0.05738243047865348</v>
      </c>
      <c r="GE118">
        <v>1</v>
      </c>
      <c r="GF118">
        <v>787.6445882352941</v>
      </c>
      <c r="GG118">
        <v>0.3205194851903826</v>
      </c>
      <c r="GH118">
        <v>0.2099595363883665</v>
      </c>
      <c r="GI118">
        <v>1</v>
      </c>
      <c r="GJ118">
        <v>0.148131475</v>
      </c>
      <c r="GK118">
        <v>0.0003052570356465239</v>
      </c>
      <c r="GL118">
        <v>0.001443257270681495</v>
      </c>
      <c r="GM118">
        <v>1</v>
      </c>
      <c r="GN118">
        <v>3</v>
      </c>
      <c r="GO118">
        <v>3</v>
      </c>
      <c r="GP118" t="s">
        <v>440</v>
      </c>
      <c r="GQ118">
        <v>3.1082</v>
      </c>
      <c r="GR118">
        <v>2.79147</v>
      </c>
      <c r="GS118">
        <v>0.025666</v>
      </c>
      <c r="GT118">
        <v>0.0255042</v>
      </c>
      <c r="GU118">
        <v>0.0863141</v>
      </c>
      <c r="GV118">
        <v>0.0865596</v>
      </c>
      <c r="GW118">
        <v>25581.9</v>
      </c>
      <c r="GX118">
        <v>23224.2</v>
      </c>
      <c r="GY118">
        <v>26812</v>
      </c>
      <c r="GZ118">
        <v>24036.7</v>
      </c>
      <c r="HA118">
        <v>39144.4</v>
      </c>
      <c r="HB118">
        <v>32395.8</v>
      </c>
      <c r="HC118">
        <v>46796.8</v>
      </c>
      <c r="HD118">
        <v>38009</v>
      </c>
      <c r="HE118">
        <v>1.8141</v>
      </c>
      <c r="HF118">
        <v>1.87038</v>
      </c>
      <c r="HG118">
        <v>0.0712797</v>
      </c>
      <c r="HH118">
        <v>0</v>
      </c>
      <c r="HI118">
        <v>23.8406</v>
      </c>
      <c r="HJ118">
        <v>999.9</v>
      </c>
      <c r="HK118">
        <v>42.3</v>
      </c>
      <c r="HL118">
        <v>30.6</v>
      </c>
      <c r="HM118">
        <v>20.7761</v>
      </c>
      <c r="HN118">
        <v>61.5567</v>
      </c>
      <c r="HO118">
        <v>27.7444</v>
      </c>
      <c r="HP118">
        <v>1</v>
      </c>
      <c r="HQ118">
        <v>-0.0119868</v>
      </c>
      <c r="HR118">
        <v>0.919894</v>
      </c>
      <c r="HS118">
        <v>20.2919</v>
      </c>
      <c r="HT118">
        <v>5.22223</v>
      </c>
      <c r="HU118">
        <v>11.9743</v>
      </c>
      <c r="HV118">
        <v>4.96565</v>
      </c>
      <c r="HW118">
        <v>3.27595</v>
      </c>
      <c r="HX118">
        <v>9999</v>
      </c>
      <c r="HY118">
        <v>9999</v>
      </c>
      <c r="HZ118">
        <v>9999</v>
      </c>
      <c r="IA118">
        <v>999.9</v>
      </c>
      <c r="IB118">
        <v>1.86386</v>
      </c>
      <c r="IC118">
        <v>1.86005</v>
      </c>
      <c r="ID118">
        <v>1.85836</v>
      </c>
      <c r="IE118">
        <v>1.85967</v>
      </c>
      <c r="IF118">
        <v>1.85983</v>
      </c>
      <c r="IG118">
        <v>1.85835</v>
      </c>
      <c r="IH118">
        <v>1.85741</v>
      </c>
      <c r="II118">
        <v>1.85235</v>
      </c>
      <c r="IJ118">
        <v>0</v>
      </c>
      <c r="IK118">
        <v>0</v>
      </c>
      <c r="IL118">
        <v>0</v>
      </c>
      <c r="IM118">
        <v>0</v>
      </c>
      <c r="IN118" t="s">
        <v>441</v>
      </c>
      <c r="IO118" t="s">
        <v>442</v>
      </c>
      <c r="IP118" t="s">
        <v>443</v>
      </c>
      <c r="IQ118" t="s">
        <v>443</v>
      </c>
      <c r="IR118" t="s">
        <v>443</v>
      </c>
      <c r="IS118" t="s">
        <v>443</v>
      </c>
      <c r="IT118">
        <v>0</v>
      </c>
      <c r="IU118">
        <v>100</v>
      </c>
      <c r="IV118">
        <v>100</v>
      </c>
      <c r="IW118">
        <v>-0.213</v>
      </c>
      <c r="IX118">
        <v>0.07099999999999999</v>
      </c>
      <c r="IY118">
        <v>-0.2981022215793869</v>
      </c>
      <c r="IZ118">
        <v>0.0001583678016168383</v>
      </c>
      <c r="JA118">
        <v>1.526473431467286E-06</v>
      </c>
      <c r="JB118">
        <v>-4.446382740029455E-10</v>
      </c>
      <c r="JC118">
        <v>-0.0479343098113566</v>
      </c>
      <c r="JD118">
        <v>-0.009941991807247691</v>
      </c>
      <c r="JE118">
        <v>0.001256427533001032</v>
      </c>
      <c r="JF118">
        <v>-1.689728105039484E-05</v>
      </c>
      <c r="JG118">
        <v>2</v>
      </c>
      <c r="JH118">
        <v>1984</v>
      </c>
      <c r="JI118">
        <v>0</v>
      </c>
      <c r="JJ118">
        <v>25</v>
      </c>
      <c r="JK118">
        <v>1.3</v>
      </c>
      <c r="JL118">
        <v>1.3</v>
      </c>
      <c r="JM118">
        <v>0.395508</v>
      </c>
      <c r="JN118">
        <v>2.65137</v>
      </c>
      <c r="JO118">
        <v>1.49658</v>
      </c>
      <c r="JP118">
        <v>2.34741</v>
      </c>
      <c r="JQ118">
        <v>1.54907</v>
      </c>
      <c r="JR118">
        <v>2.36206</v>
      </c>
      <c r="JS118">
        <v>34.9444</v>
      </c>
      <c r="JT118">
        <v>24.1225</v>
      </c>
      <c r="JU118">
        <v>18</v>
      </c>
      <c r="JV118">
        <v>434.538</v>
      </c>
      <c r="JW118">
        <v>492.303</v>
      </c>
      <c r="JX118">
        <v>23.1711</v>
      </c>
      <c r="JY118">
        <v>27.0138</v>
      </c>
      <c r="JZ118">
        <v>30.0002</v>
      </c>
      <c r="KA118">
        <v>27.2706</v>
      </c>
      <c r="KB118">
        <v>27.2726</v>
      </c>
      <c r="KC118">
        <v>8.013439999999999</v>
      </c>
      <c r="KD118">
        <v>18.1812</v>
      </c>
      <c r="KE118">
        <v>51.9095</v>
      </c>
      <c r="KF118">
        <v>23.1683</v>
      </c>
      <c r="KG118">
        <v>100</v>
      </c>
      <c r="KH118">
        <v>17.33</v>
      </c>
      <c r="KI118">
        <v>102.336</v>
      </c>
      <c r="KJ118">
        <v>91.6818</v>
      </c>
    </row>
    <row r="119" spans="1:296">
      <c r="A119">
        <v>101</v>
      </c>
      <c r="B119">
        <v>1765314546</v>
      </c>
      <c r="C119">
        <v>17113</v>
      </c>
      <c r="D119" t="s">
        <v>750</v>
      </c>
      <c r="E119" t="s">
        <v>751</v>
      </c>
      <c r="F119">
        <v>5</v>
      </c>
      <c r="G119" t="s">
        <v>739</v>
      </c>
      <c r="H119">
        <v>1765314538.25</v>
      </c>
      <c r="I119">
        <f>(J119)/1000</f>
        <v>0</v>
      </c>
      <c r="J119">
        <f>IF(DO119, AM119, AG119)</f>
        <v>0</v>
      </c>
      <c r="K119">
        <f>IF(DO119, AH119, AF119)</f>
        <v>0</v>
      </c>
      <c r="L119">
        <f>DQ119 - IF(AT119&gt;1, K119*DK119*100.0/(AV119), 0)</f>
        <v>0</v>
      </c>
      <c r="M119">
        <f>((S119-I119/2)*L119-K119)/(S119+I119/2)</f>
        <v>0</v>
      </c>
      <c r="N119">
        <f>M119*(DX119+DY119)/1000.0</f>
        <v>0</v>
      </c>
      <c r="O119">
        <f>(DQ119 - IF(AT119&gt;1, K119*DK119*100.0/(AV119), 0))*(DX119+DY119)/1000.0</f>
        <v>0</v>
      </c>
      <c r="P119">
        <f>2.0/((1/R119-1/Q119)+SIGN(R119)*SQRT((1/R119-1/Q119)*(1/R119-1/Q119) + 4*DL119/((DL119+1)*(DL119+1))*(2*1/R119*1/Q119-1/Q119*1/Q119)))</f>
        <v>0</v>
      </c>
      <c r="Q119">
        <f>IF(LEFT(DM119,1)&lt;&gt;"0",IF(LEFT(DM119,1)="1",3.0,DN119),$D$5+$E$5*(EE119*DX119/($K$5*1000))+$F$5*(EE119*DX119/($K$5*1000))*MAX(MIN(DK119,$J$5),$I$5)*MAX(MIN(DK119,$J$5),$I$5)+$G$5*MAX(MIN(DK119,$J$5),$I$5)*(EE119*DX119/($K$5*1000))+$H$5*(EE119*DX119/($K$5*1000))*(EE119*DX119/($K$5*1000)))</f>
        <v>0</v>
      </c>
      <c r="R119">
        <f>I119*(1000-(1000*0.61365*exp(17.502*V119/(240.97+V119))/(DX119+DY119)+DS119)/2)/(1000*0.61365*exp(17.502*V119/(240.97+V119))/(DX119+DY119)-DS119)</f>
        <v>0</v>
      </c>
      <c r="S119">
        <f>1/((DL119+1)/(P119/1.6)+1/(Q119/1.37)) + DL119/((DL119+1)/(P119/1.6) + DL119/(Q119/1.37))</f>
        <v>0</v>
      </c>
      <c r="T119">
        <f>(DG119*DJ119)</f>
        <v>0</v>
      </c>
      <c r="U119">
        <f>(DZ119+(T119+2*0.95*5.67E-8*(((DZ119+$B$9)+273)^4-(DZ119+273)^4)-44100*I119)/(1.84*29.3*Q119+8*0.95*5.67E-8*(DZ119+273)^3))</f>
        <v>0</v>
      </c>
      <c r="V119">
        <f>($C$9*EA119+$D$9*EB119+$E$9*U119)</f>
        <v>0</v>
      </c>
      <c r="W119">
        <f>0.61365*exp(17.502*V119/(240.97+V119))</f>
        <v>0</v>
      </c>
      <c r="X119">
        <f>(Y119/Z119*100)</f>
        <v>0</v>
      </c>
      <c r="Y119">
        <f>DS119*(DX119+DY119)/1000</f>
        <v>0</v>
      </c>
      <c r="Z119">
        <f>0.61365*exp(17.502*DZ119/(240.97+DZ119))</f>
        <v>0</v>
      </c>
      <c r="AA119">
        <f>(W119-DS119*(DX119+DY119)/1000)</f>
        <v>0</v>
      </c>
      <c r="AB119">
        <f>(-I119*44100)</f>
        <v>0</v>
      </c>
      <c r="AC119">
        <f>2*29.3*Q119*0.92*(DZ119-V119)</f>
        <v>0</v>
      </c>
      <c r="AD119">
        <f>2*0.95*5.67E-8*(((DZ119+$B$9)+273)^4-(V119+273)^4)</f>
        <v>0</v>
      </c>
      <c r="AE119">
        <f>T119+AD119+AB119+AC119</f>
        <v>0</v>
      </c>
      <c r="AF119">
        <f>DW119*AT119*(DR119-DQ119*(1000-AT119*DT119)/(1000-AT119*DS119))/(100*DK119)</f>
        <v>0</v>
      </c>
      <c r="AG119">
        <f>1000*DW119*AT119*(DS119-DT119)/(100*DK119*(1000-AT119*DS119))</f>
        <v>0</v>
      </c>
      <c r="AH119">
        <f>(AI119 - AJ119 - DX119*1E3/(8.314*(DZ119+273.15)) * AL119/DW119 * AK119) * DW119/(100*DK119) * (1000 - DT119)/1000</f>
        <v>0</v>
      </c>
      <c r="AI119">
        <v>50.8601006060239</v>
      </c>
      <c r="AJ119">
        <v>51.26508545454544</v>
      </c>
      <c r="AK119">
        <v>0.0003488086907576365</v>
      </c>
      <c r="AL119">
        <v>65.70440251315499</v>
      </c>
      <c r="AM119">
        <f>(AO119 - AN119 + DX119*1E3/(8.314*(DZ119+273.15)) * AQ119/DW119 * AP119) * DW119/(100*DK119) * 1000/(1000 - AO119)</f>
        <v>0</v>
      </c>
      <c r="AN119">
        <v>17.39752734875474</v>
      </c>
      <c r="AO119">
        <v>17.54354484848484</v>
      </c>
      <c r="AP119">
        <v>4.530147638733318E-06</v>
      </c>
      <c r="AQ119">
        <v>106.6829353321368</v>
      </c>
      <c r="AR119">
        <v>38</v>
      </c>
      <c r="AS119">
        <v>8</v>
      </c>
      <c r="AT119">
        <f>IF(AR119*$H$15&gt;=AV119,1.0,(AV119/(AV119-AR119*$H$15)))</f>
        <v>0</v>
      </c>
      <c r="AU119">
        <f>(AT119-1)*100</f>
        <v>0</v>
      </c>
      <c r="AV119">
        <f>MAX(0,($B$15+$C$15*EE119)/(1+$D$15*EE119)*DX119/(DZ119+273)*$E$15)</f>
        <v>0</v>
      </c>
      <c r="AW119" t="s">
        <v>437</v>
      </c>
      <c r="AX119" t="s">
        <v>437</v>
      </c>
      <c r="AY119">
        <v>0</v>
      </c>
      <c r="AZ119">
        <v>0</v>
      </c>
      <c r="BA119">
        <f>1-AY119/AZ119</f>
        <v>0</v>
      </c>
      <c r="BB119">
        <v>0</v>
      </c>
      <c r="BC119" t="s">
        <v>437</v>
      </c>
      <c r="BD119" t="s">
        <v>437</v>
      </c>
      <c r="BE119">
        <v>0</v>
      </c>
      <c r="BF119">
        <v>0</v>
      </c>
      <c r="BG119">
        <f>1-BE119/BF119</f>
        <v>0</v>
      </c>
      <c r="BH119">
        <v>0.5</v>
      </c>
      <c r="BI119">
        <f>DH119</f>
        <v>0</v>
      </c>
      <c r="BJ119">
        <f>K119</f>
        <v>0</v>
      </c>
      <c r="BK119">
        <f>BG119*BH119*BI119</f>
        <v>0</v>
      </c>
      <c r="BL119">
        <f>(BJ119-BB119)/BI119</f>
        <v>0</v>
      </c>
      <c r="BM119">
        <f>(AZ119-BF119)/BF119</f>
        <v>0</v>
      </c>
      <c r="BN119">
        <f>AY119/(BA119+AY119/BF119)</f>
        <v>0</v>
      </c>
      <c r="BO119" t="s">
        <v>437</v>
      </c>
      <c r="BP119">
        <v>0</v>
      </c>
      <c r="BQ119">
        <f>IF(BP119&lt;&gt;0, BP119, BN119)</f>
        <v>0</v>
      </c>
      <c r="BR119">
        <f>1-BQ119/BF119</f>
        <v>0</v>
      </c>
      <c r="BS119">
        <f>(BF119-BE119)/(BF119-BQ119)</f>
        <v>0</v>
      </c>
      <c r="BT119">
        <f>(AZ119-BF119)/(AZ119-BQ119)</f>
        <v>0</v>
      </c>
      <c r="BU119">
        <f>(BF119-BE119)/(BF119-AY119)</f>
        <v>0</v>
      </c>
      <c r="BV119">
        <f>(AZ119-BF119)/(AZ119-AY119)</f>
        <v>0</v>
      </c>
      <c r="BW119">
        <f>(BS119*BQ119/BE119)</f>
        <v>0</v>
      </c>
      <c r="BX119">
        <f>(1-BW119)</f>
        <v>0</v>
      </c>
      <c r="DG119">
        <f>$B$13*EF119+$C$13*EG119+$F$13*ER119*(1-EU119)</f>
        <v>0</v>
      </c>
      <c r="DH119">
        <f>DG119*DI119</f>
        <v>0</v>
      </c>
      <c r="DI119">
        <f>($B$13*$D$11+$C$13*$D$11+$F$13*((FE119+EW119)/MAX(FE119+EW119+FF119, 0.1)*$I$11+FF119/MAX(FE119+EW119+FF119, 0.1)*$J$11))/($B$13+$C$13+$F$13)</f>
        <v>0</v>
      </c>
      <c r="DJ119">
        <f>($B$13*$K$11+$C$13*$K$11+$F$13*((FE119+EW119)/MAX(FE119+EW119+FF119, 0.1)*$P$11+FF119/MAX(FE119+EW119+FF119, 0.1)*$Q$11))/($B$13+$C$13+$F$13)</f>
        <v>0</v>
      </c>
      <c r="DK119">
        <v>5.66</v>
      </c>
      <c r="DL119">
        <v>0.5</v>
      </c>
      <c r="DM119" t="s">
        <v>438</v>
      </c>
      <c r="DN119">
        <v>2</v>
      </c>
      <c r="DO119" t="b">
        <v>1</v>
      </c>
      <c r="DP119">
        <v>1765314538.25</v>
      </c>
      <c r="DQ119">
        <v>50.39466</v>
      </c>
      <c r="DR119">
        <v>49.99289666666668</v>
      </c>
      <c r="DS119">
        <v>17.53947666666667</v>
      </c>
      <c r="DT119">
        <v>17.39363333333333</v>
      </c>
      <c r="DU119">
        <v>50.61766</v>
      </c>
      <c r="DV119">
        <v>17.46747666666667</v>
      </c>
      <c r="DW119">
        <v>499.9988</v>
      </c>
      <c r="DX119">
        <v>89.76778</v>
      </c>
      <c r="DY119">
        <v>0.1000146066666667</v>
      </c>
      <c r="DZ119">
        <v>24.82990999999999</v>
      </c>
      <c r="EA119">
        <v>25.01726333333334</v>
      </c>
      <c r="EB119">
        <v>999.9000000000002</v>
      </c>
      <c r="EC119">
        <v>0</v>
      </c>
      <c r="ED119">
        <v>0</v>
      </c>
      <c r="EE119">
        <v>9994.166666666666</v>
      </c>
      <c r="EF119">
        <v>0</v>
      </c>
      <c r="EG119">
        <v>9.77497</v>
      </c>
      <c r="EH119">
        <v>0.3925383333333334</v>
      </c>
      <c r="EI119">
        <v>51.28505333333333</v>
      </c>
      <c r="EJ119">
        <v>50.87785</v>
      </c>
      <c r="EK119">
        <v>0.1480372333333334</v>
      </c>
      <c r="EL119">
        <v>49.99289666666668</v>
      </c>
      <c r="EM119">
        <v>17.39363333333333</v>
      </c>
      <c r="EN119">
        <v>1.574676666666667</v>
      </c>
      <c r="EO119">
        <v>1.561387</v>
      </c>
      <c r="EP119">
        <v>13.71319666666666</v>
      </c>
      <c r="EQ119">
        <v>13.58292333333334</v>
      </c>
      <c r="ER119">
        <v>800.0085000000001</v>
      </c>
      <c r="ES119">
        <v>0.9500144333333334</v>
      </c>
      <c r="ET119">
        <v>0.04998541999999998</v>
      </c>
      <c r="EU119">
        <v>0</v>
      </c>
      <c r="EV119">
        <v>788.0257333333334</v>
      </c>
      <c r="EW119">
        <v>5.00078</v>
      </c>
      <c r="EX119">
        <v>5957.530666666667</v>
      </c>
      <c r="EY119">
        <v>6463.517333333334</v>
      </c>
      <c r="EZ119">
        <v>36.83733333333333</v>
      </c>
      <c r="FA119">
        <v>39.12056666666665</v>
      </c>
      <c r="FB119">
        <v>38.39973333333333</v>
      </c>
      <c r="FC119">
        <v>38.98523333333332</v>
      </c>
      <c r="FD119">
        <v>38.39146666666667</v>
      </c>
      <c r="FE119">
        <v>755.2686666666669</v>
      </c>
      <c r="FF119">
        <v>39.74</v>
      </c>
      <c r="FG119">
        <v>0</v>
      </c>
      <c r="FH119">
        <v>1765314545.3</v>
      </c>
      <c r="FI119">
        <v>0</v>
      </c>
      <c r="FJ119">
        <v>788.0471923076924</v>
      </c>
      <c r="FK119">
        <v>-0.05917949228287565</v>
      </c>
      <c r="FL119">
        <v>-8.660512819504058</v>
      </c>
      <c r="FM119">
        <v>5957.650769230769</v>
      </c>
      <c r="FN119">
        <v>15</v>
      </c>
      <c r="FO119">
        <v>1765314565</v>
      </c>
      <c r="FP119" t="s">
        <v>752</v>
      </c>
      <c r="FQ119">
        <v>1765314565</v>
      </c>
      <c r="FR119">
        <v>1765314563</v>
      </c>
      <c r="FS119">
        <v>102</v>
      </c>
      <c r="FT119">
        <v>0.008999999999999999</v>
      </c>
      <c r="FU119">
        <v>-0</v>
      </c>
      <c r="FV119">
        <v>-0.223</v>
      </c>
      <c r="FW119">
        <v>0.07199999999999999</v>
      </c>
      <c r="FX119">
        <v>50</v>
      </c>
      <c r="FY119">
        <v>17</v>
      </c>
      <c r="FZ119">
        <v>0.24</v>
      </c>
      <c r="GA119">
        <v>0.18</v>
      </c>
      <c r="GB119">
        <v>0.41154345</v>
      </c>
      <c r="GC119">
        <v>-0.4115608480300194</v>
      </c>
      <c r="GD119">
        <v>0.04560257819463171</v>
      </c>
      <c r="GE119">
        <v>1</v>
      </c>
      <c r="GF119">
        <v>788.0085</v>
      </c>
      <c r="GG119">
        <v>0.2546524023969133</v>
      </c>
      <c r="GH119">
        <v>0.2148942626447914</v>
      </c>
      <c r="GI119">
        <v>1</v>
      </c>
      <c r="GJ119">
        <v>0.148826175</v>
      </c>
      <c r="GK119">
        <v>-0.01591079549718605</v>
      </c>
      <c r="GL119">
        <v>0.00173273423939593</v>
      </c>
      <c r="GM119">
        <v>1</v>
      </c>
      <c r="GN119">
        <v>3</v>
      </c>
      <c r="GO119">
        <v>3</v>
      </c>
      <c r="GP119" t="s">
        <v>440</v>
      </c>
      <c r="GQ119">
        <v>3.10816</v>
      </c>
      <c r="GR119">
        <v>2.79175</v>
      </c>
      <c r="GS119">
        <v>0.0132435</v>
      </c>
      <c r="GT119">
        <v>0.0130686</v>
      </c>
      <c r="GU119">
        <v>0.08644540000000001</v>
      </c>
      <c r="GV119">
        <v>0.08670410000000001</v>
      </c>
      <c r="GW119">
        <v>25905.4</v>
      </c>
      <c r="GX119">
        <v>23518.6</v>
      </c>
      <c r="GY119">
        <v>26809.3</v>
      </c>
      <c r="GZ119">
        <v>24034.7</v>
      </c>
      <c r="HA119">
        <v>39133.5</v>
      </c>
      <c r="HB119">
        <v>32386.7</v>
      </c>
      <c r="HC119">
        <v>46792.3</v>
      </c>
      <c r="HD119">
        <v>38005.7</v>
      </c>
      <c r="HE119">
        <v>1.8157</v>
      </c>
      <c r="HF119">
        <v>1.86962</v>
      </c>
      <c r="HG119">
        <v>0.06795669999999999</v>
      </c>
      <c r="HH119">
        <v>0</v>
      </c>
      <c r="HI119">
        <v>23.8936</v>
      </c>
      <c r="HJ119">
        <v>999.9</v>
      </c>
      <c r="HK119">
        <v>42.4</v>
      </c>
      <c r="HL119">
        <v>30.6</v>
      </c>
      <c r="HM119">
        <v>20.825</v>
      </c>
      <c r="HN119">
        <v>61.2868</v>
      </c>
      <c r="HO119">
        <v>27.8165</v>
      </c>
      <c r="HP119">
        <v>1</v>
      </c>
      <c r="HQ119">
        <v>-0.00769055</v>
      </c>
      <c r="HR119">
        <v>1.05767</v>
      </c>
      <c r="HS119">
        <v>20.2913</v>
      </c>
      <c r="HT119">
        <v>5.22148</v>
      </c>
      <c r="HU119">
        <v>11.974</v>
      </c>
      <c r="HV119">
        <v>4.9655</v>
      </c>
      <c r="HW119">
        <v>3.27593</v>
      </c>
      <c r="HX119">
        <v>9999</v>
      </c>
      <c r="HY119">
        <v>9999</v>
      </c>
      <c r="HZ119">
        <v>9999</v>
      </c>
      <c r="IA119">
        <v>999.9</v>
      </c>
      <c r="IB119">
        <v>1.86388</v>
      </c>
      <c r="IC119">
        <v>1.86005</v>
      </c>
      <c r="ID119">
        <v>1.85837</v>
      </c>
      <c r="IE119">
        <v>1.85968</v>
      </c>
      <c r="IF119">
        <v>1.85983</v>
      </c>
      <c r="IG119">
        <v>1.85836</v>
      </c>
      <c r="IH119">
        <v>1.85744</v>
      </c>
      <c r="II119">
        <v>1.8523</v>
      </c>
      <c r="IJ119">
        <v>0</v>
      </c>
      <c r="IK119">
        <v>0</v>
      </c>
      <c r="IL119">
        <v>0</v>
      </c>
      <c r="IM119">
        <v>0</v>
      </c>
      <c r="IN119" t="s">
        <v>441</v>
      </c>
      <c r="IO119" t="s">
        <v>442</v>
      </c>
      <c r="IP119" t="s">
        <v>443</v>
      </c>
      <c r="IQ119" t="s">
        <v>443</v>
      </c>
      <c r="IR119" t="s">
        <v>443</v>
      </c>
      <c r="IS119" t="s">
        <v>443</v>
      </c>
      <c r="IT119">
        <v>0</v>
      </c>
      <c r="IU119">
        <v>100</v>
      </c>
      <c r="IV119">
        <v>100</v>
      </c>
      <c r="IW119">
        <v>-0.223</v>
      </c>
      <c r="IX119">
        <v>0.07199999999999999</v>
      </c>
      <c r="IY119">
        <v>-0.2441040762901258</v>
      </c>
      <c r="IZ119">
        <v>0.0001583678016168383</v>
      </c>
      <c r="JA119">
        <v>1.526473431467286E-06</v>
      </c>
      <c r="JB119">
        <v>-4.446382740029455E-10</v>
      </c>
      <c r="JC119">
        <v>-0.04545271586328548</v>
      </c>
      <c r="JD119">
        <v>-0.009941991807247691</v>
      </c>
      <c r="JE119">
        <v>0.001256427533001032</v>
      </c>
      <c r="JF119">
        <v>-1.689728105039484E-05</v>
      </c>
      <c r="JG119">
        <v>2</v>
      </c>
      <c r="JH119">
        <v>1984</v>
      </c>
      <c r="JI119">
        <v>0</v>
      </c>
      <c r="JJ119">
        <v>25</v>
      </c>
      <c r="JK119">
        <v>1.2</v>
      </c>
      <c r="JL119">
        <v>1.2</v>
      </c>
      <c r="JM119">
        <v>0.273438</v>
      </c>
      <c r="JN119">
        <v>2.66357</v>
      </c>
      <c r="JO119">
        <v>1.49658</v>
      </c>
      <c r="JP119">
        <v>2.34741</v>
      </c>
      <c r="JQ119">
        <v>1.54785</v>
      </c>
      <c r="JR119">
        <v>2.42554</v>
      </c>
      <c r="JS119">
        <v>34.9444</v>
      </c>
      <c r="JT119">
        <v>24.1313</v>
      </c>
      <c r="JU119">
        <v>18</v>
      </c>
      <c r="JV119">
        <v>435.595</v>
      </c>
      <c r="JW119">
        <v>492.046</v>
      </c>
      <c r="JX119">
        <v>23.075</v>
      </c>
      <c r="JY119">
        <v>27.0588</v>
      </c>
      <c r="JZ119">
        <v>30.0003</v>
      </c>
      <c r="KA119">
        <v>27.3006</v>
      </c>
      <c r="KB119">
        <v>27.2997</v>
      </c>
      <c r="KC119">
        <v>5.56369</v>
      </c>
      <c r="KD119">
        <v>18.1812</v>
      </c>
      <c r="KE119">
        <v>51.9095</v>
      </c>
      <c r="KF119">
        <v>23.0758</v>
      </c>
      <c r="KG119">
        <v>50</v>
      </c>
      <c r="KH119">
        <v>17.3383</v>
      </c>
      <c r="KI119">
        <v>102.326</v>
      </c>
      <c r="KJ119">
        <v>91.6741</v>
      </c>
    </row>
    <row r="120" spans="1:296">
      <c r="A120">
        <v>102</v>
      </c>
      <c r="B120">
        <v>1765314630</v>
      </c>
      <c r="C120">
        <v>17197</v>
      </c>
      <c r="D120" t="s">
        <v>753</v>
      </c>
      <c r="E120" t="s">
        <v>754</v>
      </c>
      <c r="F120">
        <v>5</v>
      </c>
      <c r="G120" t="s">
        <v>739</v>
      </c>
      <c r="H120">
        <v>1765314622</v>
      </c>
      <c r="I120">
        <f>(J120)/1000</f>
        <v>0</v>
      </c>
      <c r="J120">
        <f>IF(DO120, AM120, AG120)</f>
        <v>0</v>
      </c>
      <c r="K120">
        <f>IF(DO120, AH120, AF120)</f>
        <v>0</v>
      </c>
      <c r="L120">
        <f>DQ120 - IF(AT120&gt;1, K120*DK120*100.0/(AV120), 0)</f>
        <v>0</v>
      </c>
      <c r="M120">
        <f>((S120-I120/2)*L120-K120)/(S120+I120/2)</f>
        <v>0</v>
      </c>
      <c r="N120">
        <f>M120*(DX120+DY120)/1000.0</f>
        <v>0</v>
      </c>
      <c r="O120">
        <f>(DQ120 - IF(AT120&gt;1, K120*DK120*100.0/(AV120), 0))*(DX120+DY120)/1000.0</f>
        <v>0</v>
      </c>
      <c r="P120">
        <f>2.0/((1/R120-1/Q120)+SIGN(R120)*SQRT((1/R120-1/Q120)*(1/R120-1/Q120) + 4*DL120/((DL120+1)*(DL120+1))*(2*1/R120*1/Q120-1/Q120*1/Q120)))</f>
        <v>0</v>
      </c>
      <c r="Q120">
        <f>IF(LEFT(DM120,1)&lt;&gt;"0",IF(LEFT(DM120,1)="1",3.0,DN120),$D$5+$E$5*(EE120*DX120/($K$5*1000))+$F$5*(EE120*DX120/($K$5*1000))*MAX(MIN(DK120,$J$5),$I$5)*MAX(MIN(DK120,$J$5),$I$5)+$G$5*MAX(MIN(DK120,$J$5),$I$5)*(EE120*DX120/($K$5*1000))+$H$5*(EE120*DX120/($K$5*1000))*(EE120*DX120/($K$5*1000)))</f>
        <v>0</v>
      </c>
      <c r="R120">
        <f>I120*(1000-(1000*0.61365*exp(17.502*V120/(240.97+V120))/(DX120+DY120)+DS120)/2)/(1000*0.61365*exp(17.502*V120/(240.97+V120))/(DX120+DY120)-DS120)</f>
        <v>0</v>
      </c>
      <c r="S120">
        <f>1/((DL120+1)/(P120/1.6)+1/(Q120/1.37)) + DL120/((DL120+1)/(P120/1.6) + DL120/(Q120/1.37))</f>
        <v>0</v>
      </c>
      <c r="T120">
        <f>(DG120*DJ120)</f>
        <v>0</v>
      </c>
      <c r="U120">
        <f>(DZ120+(T120+2*0.95*5.67E-8*(((DZ120+$B$9)+273)^4-(DZ120+273)^4)-44100*I120)/(1.84*29.3*Q120+8*0.95*5.67E-8*(DZ120+273)^3))</f>
        <v>0</v>
      </c>
      <c r="V120">
        <f>($C$9*EA120+$D$9*EB120+$E$9*U120)</f>
        <v>0</v>
      </c>
      <c r="W120">
        <f>0.61365*exp(17.502*V120/(240.97+V120))</f>
        <v>0</v>
      </c>
      <c r="X120">
        <f>(Y120/Z120*100)</f>
        <v>0</v>
      </c>
      <c r="Y120">
        <f>DS120*(DX120+DY120)/1000</f>
        <v>0</v>
      </c>
      <c r="Z120">
        <f>0.61365*exp(17.502*DZ120/(240.97+DZ120))</f>
        <v>0</v>
      </c>
      <c r="AA120">
        <f>(W120-DS120*(DX120+DY120)/1000)</f>
        <v>0</v>
      </c>
      <c r="AB120">
        <f>(-I120*44100)</f>
        <v>0</v>
      </c>
      <c r="AC120">
        <f>2*29.3*Q120*0.92*(DZ120-V120)</f>
        <v>0</v>
      </c>
      <c r="AD120">
        <f>2*0.95*5.67E-8*(((DZ120+$B$9)+273)^4-(V120+273)^4)</f>
        <v>0</v>
      </c>
      <c r="AE120">
        <f>T120+AD120+AB120+AC120</f>
        <v>0</v>
      </c>
      <c r="AF120">
        <f>DW120*AT120*(DR120-DQ120*(1000-AT120*DT120)/(1000-AT120*DS120))/(100*DK120)</f>
        <v>0</v>
      </c>
      <c r="AG120">
        <f>1000*DW120*AT120*(DS120-DT120)/(100*DK120*(1000-AT120*DS120))</f>
        <v>0</v>
      </c>
      <c r="AH120">
        <f>(AI120 - AJ120 - DX120*1E3/(8.314*(DZ120+273.15)) * AL120/DW120 * AK120) * DW120/(100*DK120) * (1000 - DT120)/1000</f>
        <v>0</v>
      </c>
      <c r="AI120">
        <v>0.2292694949129849</v>
      </c>
      <c r="AJ120">
        <v>0.6789590666666666</v>
      </c>
      <c r="AK120">
        <v>-0.0008949310334250413</v>
      </c>
      <c r="AL120">
        <v>65.70136341463932</v>
      </c>
      <c r="AM120">
        <f>(AO120 - AN120 + DX120*1E3/(8.314*(DZ120+273.15)) * AQ120/DW120 * AP120) * DW120/(100*DK120) * 1000/(1000 - AO120)</f>
        <v>0</v>
      </c>
      <c r="AN120">
        <v>17.30384964735437</v>
      </c>
      <c r="AO120">
        <v>17.4595212121212</v>
      </c>
      <c r="AP120">
        <v>-1.28625213600596E-05</v>
      </c>
      <c r="AQ120">
        <v>106.6567247177925</v>
      </c>
      <c r="AR120">
        <v>37</v>
      </c>
      <c r="AS120">
        <v>7</v>
      </c>
      <c r="AT120">
        <f>IF(AR120*$H$15&gt;=AV120,1.0,(AV120/(AV120-AR120*$H$15)))</f>
        <v>0</v>
      </c>
      <c r="AU120">
        <f>(AT120-1)*100</f>
        <v>0</v>
      </c>
      <c r="AV120">
        <f>MAX(0,($B$15+$C$15*EE120)/(1+$D$15*EE120)*DX120/(DZ120+273)*$E$15)</f>
        <v>0</v>
      </c>
      <c r="AW120" t="s">
        <v>437</v>
      </c>
      <c r="AX120" t="s">
        <v>437</v>
      </c>
      <c r="AY120">
        <v>0</v>
      </c>
      <c r="AZ120">
        <v>0</v>
      </c>
      <c r="BA120">
        <f>1-AY120/AZ120</f>
        <v>0</v>
      </c>
      <c r="BB120">
        <v>0</v>
      </c>
      <c r="BC120" t="s">
        <v>437</v>
      </c>
      <c r="BD120" t="s">
        <v>437</v>
      </c>
      <c r="BE120">
        <v>0</v>
      </c>
      <c r="BF120">
        <v>0</v>
      </c>
      <c r="BG120">
        <f>1-BE120/BF120</f>
        <v>0</v>
      </c>
      <c r="BH120">
        <v>0.5</v>
      </c>
      <c r="BI120">
        <f>DH120</f>
        <v>0</v>
      </c>
      <c r="BJ120">
        <f>K120</f>
        <v>0</v>
      </c>
      <c r="BK120">
        <f>BG120*BH120*BI120</f>
        <v>0</v>
      </c>
      <c r="BL120">
        <f>(BJ120-BB120)/BI120</f>
        <v>0</v>
      </c>
      <c r="BM120">
        <f>(AZ120-BF120)/BF120</f>
        <v>0</v>
      </c>
      <c r="BN120">
        <f>AY120/(BA120+AY120/BF120)</f>
        <v>0</v>
      </c>
      <c r="BO120" t="s">
        <v>437</v>
      </c>
      <c r="BP120">
        <v>0</v>
      </c>
      <c r="BQ120">
        <f>IF(BP120&lt;&gt;0, BP120, BN120)</f>
        <v>0</v>
      </c>
      <c r="BR120">
        <f>1-BQ120/BF120</f>
        <v>0</v>
      </c>
      <c r="BS120">
        <f>(BF120-BE120)/(BF120-BQ120)</f>
        <v>0</v>
      </c>
      <c r="BT120">
        <f>(AZ120-BF120)/(AZ120-BQ120)</f>
        <v>0</v>
      </c>
      <c r="BU120">
        <f>(BF120-BE120)/(BF120-AY120)</f>
        <v>0</v>
      </c>
      <c r="BV120">
        <f>(AZ120-BF120)/(AZ120-AY120)</f>
        <v>0</v>
      </c>
      <c r="BW120">
        <f>(BS120*BQ120/BE120)</f>
        <v>0</v>
      </c>
      <c r="BX120">
        <f>(1-BW120)</f>
        <v>0</v>
      </c>
      <c r="DG120">
        <f>$B$13*EF120+$C$13*EG120+$F$13*ER120*(1-EU120)</f>
        <v>0</v>
      </c>
      <c r="DH120">
        <f>DG120*DI120</f>
        <v>0</v>
      </c>
      <c r="DI120">
        <f>($B$13*$D$11+$C$13*$D$11+$F$13*((FE120+EW120)/MAX(FE120+EW120+FF120, 0.1)*$I$11+FF120/MAX(FE120+EW120+FF120, 0.1)*$J$11))/($B$13+$C$13+$F$13)</f>
        <v>0</v>
      </c>
      <c r="DJ120">
        <f>($B$13*$K$11+$C$13*$K$11+$F$13*((FE120+EW120)/MAX(FE120+EW120+FF120, 0.1)*$P$11+FF120/MAX(FE120+EW120+FF120, 0.1)*$Q$11))/($B$13+$C$13+$F$13)</f>
        <v>0</v>
      </c>
      <c r="DK120">
        <v>5.66</v>
      </c>
      <c r="DL120">
        <v>0.5</v>
      </c>
      <c r="DM120" t="s">
        <v>438</v>
      </c>
      <c r="DN120">
        <v>2</v>
      </c>
      <c r="DO120" t="b">
        <v>1</v>
      </c>
      <c r="DP120">
        <v>1765314622</v>
      </c>
      <c r="DQ120">
        <v>0.7686593548387095</v>
      </c>
      <c r="DR120">
        <v>0.203787935483871</v>
      </c>
      <c r="DS120">
        <v>17.45675806451613</v>
      </c>
      <c r="DT120">
        <v>17.30073548387097</v>
      </c>
      <c r="DU120">
        <v>0.9356593548387095</v>
      </c>
      <c r="DV120">
        <v>17.38675806451613</v>
      </c>
      <c r="DW120">
        <v>500.0130645161291</v>
      </c>
      <c r="DX120">
        <v>89.76745806451613</v>
      </c>
      <c r="DY120">
        <v>0.1000078838709677</v>
      </c>
      <c r="DZ120">
        <v>24.78230967741935</v>
      </c>
      <c r="EA120">
        <v>24.9829935483871</v>
      </c>
      <c r="EB120">
        <v>999.9000000000003</v>
      </c>
      <c r="EC120">
        <v>0</v>
      </c>
      <c r="ED120">
        <v>0</v>
      </c>
      <c r="EE120">
        <v>9999.33064516129</v>
      </c>
      <c r="EF120">
        <v>0</v>
      </c>
      <c r="EG120">
        <v>9.767135161290321</v>
      </c>
      <c r="EH120">
        <v>0.4968263870967742</v>
      </c>
      <c r="EI120">
        <v>0.7130639354838708</v>
      </c>
      <c r="EJ120">
        <v>0.2073757419354839</v>
      </c>
      <c r="EK120">
        <v>0.1585309677419355</v>
      </c>
      <c r="EL120">
        <v>0.203787935483871</v>
      </c>
      <c r="EM120">
        <v>17.30073548387097</v>
      </c>
      <c r="EN120">
        <v>1.567274193548387</v>
      </c>
      <c r="EO120">
        <v>1.553042903225807</v>
      </c>
      <c r="EP120">
        <v>13.64075161290323</v>
      </c>
      <c r="EQ120">
        <v>13.50061612903226</v>
      </c>
      <c r="ER120">
        <v>800.0083870967743</v>
      </c>
      <c r="ES120">
        <v>0.9500110645161289</v>
      </c>
      <c r="ET120">
        <v>0.04998886451612903</v>
      </c>
      <c r="EU120">
        <v>0</v>
      </c>
      <c r="EV120">
        <v>789.0906451612905</v>
      </c>
      <c r="EW120">
        <v>5.000779999999999</v>
      </c>
      <c r="EX120">
        <v>5951.738064516129</v>
      </c>
      <c r="EY120">
        <v>6463.508709677421</v>
      </c>
      <c r="EZ120">
        <v>36.21335483870967</v>
      </c>
      <c r="FA120">
        <v>38.49980645161289</v>
      </c>
      <c r="FB120">
        <v>37.61064516129031</v>
      </c>
      <c r="FC120">
        <v>38.15906451612902</v>
      </c>
      <c r="FD120">
        <v>37.82229032258064</v>
      </c>
      <c r="FE120">
        <v>755.2654838709678</v>
      </c>
      <c r="FF120">
        <v>39.74</v>
      </c>
      <c r="FG120">
        <v>0</v>
      </c>
      <c r="FH120">
        <v>1765314629.3</v>
      </c>
      <c r="FI120">
        <v>0</v>
      </c>
      <c r="FJ120">
        <v>789.0764230769231</v>
      </c>
      <c r="FK120">
        <v>-0.1071794875750486</v>
      </c>
      <c r="FL120">
        <v>-4.899145310913825</v>
      </c>
      <c r="FM120">
        <v>5951.71153846154</v>
      </c>
      <c r="FN120">
        <v>15</v>
      </c>
      <c r="FO120">
        <v>1765314647</v>
      </c>
      <c r="FP120" t="s">
        <v>755</v>
      </c>
      <c r="FQ120">
        <v>1765314646</v>
      </c>
      <c r="FR120">
        <v>1765314647</v>
      </c>
      <c r="FS120">
        <v>103</v>
      </c>
      <c r="FT120">
        <v>0.068</v>
      </c>
      <c r="FU120">
        <v>0.001</v>
      </c>
      <c r="FV120">
        <v>-0.167</v>
      </c>
      <c r="FW120">
        <v>0.07000000000000001</v>
      </c>
      <c r="FX120">
        <v>0</v>
      </c>
      <c r="FY120">
        <v>17</v>
      </c>
      <c r="FZ120">
        <v>0.31</v>
      </c>
      <c r="GA120">
        <v>0.1</v>
      </c>
      <c r="GB120">
        <v>0.518742875</v>
      </c>
      <c r="GC120">
        <v>-0.4546573170731719</v>
      </c>
      <c r="GD120">
        <v>0.04544099186592843</v>
      </c>
      <c r="GE120">
        <v>1</v>
      </c>
      <c r="GF120">
        <v>789.0666470588236</v>
      </c>
      <c r="GG120">
        <v>-0.1383346061263616</v>
      </c>
      <c r="GH120">
        <v>0.1942501241354615</v>
      </c>
      <c r="GI120">
        <v>1</v>
      </c>
      <c r="GJ120">
        <v>0.15917925</v>
      </c>
      <c r="GK120">
        <v>-0.01609159474671702</v>
      </c>
      <c r="GL120">
        <v>0.001756223245347812</v>
      </c>
      <c r="GM120">
        <v>1</v>
      </c>
      <c r="GN120">
        <v>3</v>
      </c>
      <c r="GO120">
        <v>3</v>
      </c>
      <c r="GP120" t="s">
        <v>440</v>
      </c>
      <c r="GQ120">
        <v>3.10831</v>
      </c>
      <c r="GR120">
        <v>2.79175</v>
      </c>
      <c r="GS120">
        <v>0.000240995</v>
      </c>
      <c r="GT120">
        <v>5.56202E-05</v>
      </c>
      <c r="GU120">
        <v>0.0861386</v>
      </c>
      <c r="GV120">
        <v>0.08636249999999999</v>
      </c>
      <c r="GW120">
        <v>26244.2</v>
      </c>
      <c r="GX120">
        <v>23827.2</v>
      </c>
      <c r="GY120">
        <v>26806.8</v>
      </c>
      <c r="GZ120">
        <v>24033.3</v>
      </c>
      <c r="HA120">
        <v>39141.4</v>
      </c>
      <c r="HB120">
        <v>32395.2</v>
      </c>
      <c r="HC120">
        <v>46787.7</v>
      </c>
      <c r="HD120">
        <v>38003</v>
      </c>
      <c r="HE120">
        <v>1.81723</v>
      </c>
      <c r="HF120">
        <v>1.86857</v>
      </c>
      <c r="HG120">
        <v>0.0664592</v>
      </c>
      <c r="HH120">
        <v>0</v>
      </c>
      <c r="HI120">
        <v>23.9017</v>
      </c>
      <c r="HJ120">
        <v>999.9</v>
      </c>
      <c r="HK120">
        <v>42.6</v>
      </c>
      <c r="HL120">
        <v>30.6</v>
      </c>
      <c r="HM120">
        <v>20.9263</v>
      </c>
      <c r="HN120">
        <v>61.1067</v>
      </c>
      <c r="HO120">
        <v>27.5</v>
      </c>
      <c r="HP120">
        <v>1</v>
      </c>
      <c r="HQ120">
        <v>-0.00356707</v>
      </c>
      <c r="HR120">
        <v>0.746021</v>
      </c>
      <c r="HS120">
        <v>20.293</v>
      </c>
      <c r="HT120">
        <v>5.21924</v>
      </c>
      <c r="HU120">
        <v>11.9748</v>
      </c>
      <c r="HV120">
        <v>4.96575</v>
      </c>
      <c r="HW120">
        <v>3.27598</v>
      </c>
      <c r="HX120">
        <v>9999</v>
      </c>
      <c r="HY120">
        <v>9999</v>
      </c>
      <c r="HZ120">
        <v>9999</v>
      </c>
      <c r="IA120">
        <v>999.9</v>
      </c>
      <c r="IB120">
        <v>1.86394</v>
      </c>
      <c r="IC120">
        <v>1.86005</v>
      </c>
      <c r="ID120">
        <v>1.85837</v>
      </c>
      <c r="IE120">
        <v>1.85973</v>
      </c>
      <c r="IF120">
        <v>1.85989</v>
      </c>
      <c r="IG120">
        <v>1.85837</v>
      </c>
      <c r="IH120">
        <v>1.85744</v>
      </c>
      <c r="II120">
        <v>1.85241</v>
      </c>
      <c r="IJ120">
        <v>0</v>
      </c>
      <c r="IK120">
        <v>0</v>
      </c>
      <c r="IL120">
        <v>0</v>
      </c>
      <c r="IM120">
        <v>0</v>
      </c>
      <c r="IN120" t="s">
        <v>441</v>
      </c>
      <c r="IO120" t="s">
        <v>442</v>
      </c>
      <c r="IP120" t="s">
        <v>443</v>
      </c>
      <c r="IQ120" t="s">
        <v>443</v>
      </c>
      <c r="IR120" t="s">
        <v>443</v>
      </c>
      <c r="IS120" t="s">
        <v>443</v>
      </c>
      <c r="IT120">
        <v>0</v>
      </c>
      <c r="IU120">
        <v>100</v>
      </c>
      <c r="IV120">
        <v>100</v>
      </c>
      <c r="IW120">
        <v>-0.167</v>
      </c>
      <c r="IX120">
        <v>0.07000000000000001</v>
      </c>
      <c r="IY120">
        <v>-0.2351944030800224</v>
      </c>
      <c r="IZ120">
        <v>0.0001583678016168383</v>
      </c>
      <c r="JA120">
        <v>1.526473431467286E-06</v>
      </c>
      <c r="JB120">
        <v>-4.446382740029455E-10</v>
      </c>
      <c r="JC120">
        <v>-0.04563093698111013</v>
      </c>
      <c r="JD120">
        <v>-0.009941991807247691</v>
      </c>
      <c r="JE120">
        <v>0.001256427533001032</v>
      </c>
      <c r="JF120">
        <v>-1.689728105039484E-05</v>
      </c>
      <c r="JG120">
        <v>2</v>
      </c>
      <c r="JH120">
        <v>1984</v>
      </c>
      <c r="JI120">
        <v>0</v>
      </c>
      <c r="JJ120">
        <v>25</v>
      </c>
      <c r="JK120">
        <v>1.1</v>
      </c>
      <c r="JL120">
        <v>1.1</v>
      </c>
      <c r="JM120">
        <v>0.0292969</v>
      </c>
      <c r="JN120">
        <v>4.99634</v>
      </c>
      <c r="JO120">
        <v>1.49658</v>
      </c>
      <c r="JP120">
        <v>2.34619</v>
      </c>
      <c r="JQ120">
        <v>1.54907</v>
      </c>
      <c r="JR120">
        <v>2.41943</v>
      </c>
      <c r="JS120">
        <v>34.9444</v>
      </c>
      <c r="JT120">
        <v>24.1138</v>
      </c>
      <c r="JU120">
        <v>18</v>
      </c>
      <c r="JV120">
        <v>436.673</v>
      </c>
      <c r="JW120">
        <v>491.661</v>
      </c>
      <c r="JX120">
        <v>23.3033</v>
      </c>
      <c r="JY120">
        <v>27.1127</v>
      </c>
      <c r="JZ120">
        <v>30.0004</v>
      </c>
      <c r="KA120">
        <v>27.3392</v>
      </c>
      <c r="KB120">
        <v>27.3345</v>
      </c>
      <c r="KC120">
        <v>0</v>
      </c>
      <c r="KD120">
        <v>18.7559</v>
      </c>
      <c r="KE120">
        <v>51.9095</v>
      </c>
      <c r="KF120">
        <v>23.3077</v>
      </c>
      <c r="KG120">
        <v>0</v>
      </c>
      <c r="KH120">
        <v>17.2997</v>
      </c>
      <c r="KI120">
        <v>102.316</v>
      </c>
      <c r="KJ120">
        <v>91.66800000000001</v>
      </c>
    </row>
    <row r="121" spans="1:296">
      <c r="A121">
        <v>103</v>
      </c>
      <c r="B121">
        <v>1765314738.1</v>
      </c>
      <c r="C121">
        <v>17305.09999990463</v>
      </c>
      <c r="D121" t="s">
        <v>756</v>
      </c>
      <c r="E121" t="s">
        <v>757</v>
      </c>
      <c r="F121">
        <v>5</v>
      </c>
      <c r="G121" t="s">
        <v>739</v>
      </c>
      <c r="H121">
        <v>1765314730.099999</v>
      </c>
      <c r="I121">
        <f>(J121)/1000</f>
        <v>0</v>
      </c>
      <c r="J121">
        <f>IF(DO121, AM121, AG121)</f>
        <v>0</v>
      </c>
      <c r="K121">
        <f>IF(DO121, AH121, AF121)</f>
        <v>0</v>
      </c>
      <c r="L121">
        <f>DQ121 - IF(AT121&gt;1, K121*DK121*100.0/(AV121), 0)</f>
        <v>0</v>
      </c>
      <c r="M121">
        <f>((S121-I121/2)*L121-K121)/(S121+I121/2)</f>
        <v>0</v>
      </c>
      <c r="N121">
        <f>M121*(DX121+DY121)/1000.0</f>
        <v>0</v>
      </c>
      <c r="O121">
        <f>(DQ121 - IF(AT121&gt;1, K121*DK121*100.0/(AV121), 0))*(DX121+DY121)/1000.0</f>
        <v>0</v>
      </c>
      <c r="P121">
        <f>2.0/((1/R121-1/Q121)+SIGN(R121)*SQRT((1/R121-1/Q121)*(1/R121-1/Q121) + 4*DL121/((DL121+1)*(DL121+1))*(2*1/R121*1/Q121-1/Q121*1/Q121)))</f>
        <v>0</v>
      </c>
      <c r="Q121">
        <f>IF(LEFT(DM121,1)&lt;&gt;"0",IF(LEFT(DM121,1)="1",3.0,DN121),$D$5+$E$5*(EE121*DX121/($K$5*1000))+$F$5*(EE121*DX121/($K$5*1000))*MAX(MIN(DK121,$J$5),$I$5)*MAX(MIN(DK121,$J$5),$I$5)+$G$5*MAX(MIN(DK121,$J$5),$I$5)*(EE121*DX121/($K$5*1000))+$H$5*(EE121*DX121/($K$5*1000))*(EE121*DX121/($K$5*1000)))</f>
        <v>0</v>
      </c>
      <c r="R121">
        <f>I121*(1000-(1000*0.61365*exp(17.502*V121/(240.97+V121))/(DX121+DY121)+DS121)/2)/(1000*0.61365*exp(17.502*V121/(240.97+V121))/(DX121+DY121)-DS121)</f>
        <v>0</v>
      </c>
      <c r="S121">
        <f>1/((DL121+1)/(P121/1.6)+1/(Q121/1.37)) + DL121/((DL121+1)/(P121/1.6) + DL121/(Q121/1.37))</f>
        <v>0</v>
      </c>
      <c r="T121">
        <f>(DG121*DJ121)</f>
        <v>0</v>
      </c>
      <c r="U121">
        <f>(DZ121+(T121+2*0.95*5.67E-8*(((DZ121+$B$9)+273)^4-(DZ121+273)^4)-44100*I121)/(1.84*29.3*Q121+8*0.95*5.67E-8*(DZ121+273)^3))</f>
        <v>0</v>
      </c>
      <c r="V121">
        <f>($C$9*EA121+$D$9*EB121+$E$9*U121)</f>
        <v>0</v>
      </c>
      <c r="W121">
        <f>0.61365*exp(17.502*V121/(240.97+V121))</f>
        <v>0</v>
      </c>
      <c r="X121">
        <f>(Y121/Z121*100)</f>
        <v>0</v>
      </c>
      <c r="Y121">
        <f>DS121*(DX121+DY121)/1000</f>
        <v>0</v>
      </c>
      <c r="Z121">
        <f>0.61365*exp(17.502*DZ121/(240.97+DZ121))</f>
        <v>0</v>
      </c>
      <c r="AA121">
        <f>(W121-DS121*(DX121+DY121)/1000)</f>
        <v>0</v>
      </c>
      <c r="AB121">
        <f>(-I121*44100)</f>
        <v>0</v>
      </c>
      <c r="AC121">
        <f>2*29.3*Q121*0.92*(DZ121-V121)</f>
        <v>0</v>
      </c>
      <c r="AD121">
        <f>2*0.95*5.67E-8*(((DZ121+$B$9)+273)^4-(V121+273)^4)</f>
        <v>0</v>
      </c>
      <c r="AE121">
        <f>T121+AD121+AB121+AC121</f>
        <v>0</v>
      </c>
      <c r="AF121">
        <f>DW121*AT121*(DR121-DQ121*(1000-AT121*DT121)/(1000-AT121*DS121))/(100*DK121)</f>
        <v>0</v>
      </c>
      <c r="AG121">
        <f>1000*DW121*AT121*(DS121-DT121)/(100*DK121*(1000-AT121*DS121))</f>
        <v>0</v>
      </c>
      <c r="AH121">
        <f>(AI121 - AJ121 - DX121*1E3/(8.314*(DZ121+273.15)) * AL121/DW121 * AK121) * DW121/(100*DK121) * (1000 - DT121)/1000</f>
        <v>0</v>
      </c>
      <c r="AI121">
        <v>407.2590386520965</v>
      </c>
      <c r="AJ121">
        <v>407.2261515151515</v>
      </c>
      <c r="AK121">
        <v>0.0004664296297650928</v>
      </c>
      <c r="AL121">
        <v>65.43952954274503</v>
      </c>
      <c r="AM121">
        <f>(AO121 - AN121 + DX121*1E3/(8.314*(DZ121+273.15)) * AQ121/DW121 * AP121) * DW121/(100*DK121) * 1000/(1000 - AO121)</f>
        <v>0</v>
      </c>
      <c r="AN121">
        <v>17.34258181818182</v>
      </c>
      <c r="AO121">
        <v>17.4966593939394</v>
      </c>
      <c r="AP121">
        <v>5.441592527933811E-06</v>
      </c>
      <c r="AQ121">
        <v>104.8478983285793</v>
      </c>
      <c r="AR121">
        <v>36</v>
      </c>
      <c r="AS121">
        <v>7</v>
      </c>
      <c r="AT121">
        <f>IF(AR121*$H$15&gt;=AV121,1.0,(AV121/(AV121-AR121*$H$15)))</f>
        <v>0</v>
      </c>
      <c r="AU121">
        <f>(AT121-1)*100</f>
        <v>0</v>
      </c>
      <c r="AV121">
        <f>MAX(0,($B$15+$C$15*EE121)/(1+$D$15*EE121)*DX121/(DZ121+273)*$E$15)</f>
        <v>0</v>
      </c>
      <c r="AW121" t="s">
        <v>437</v>
      </c>
      <c r="AX121" t="s">
        <v>437</v>
      </c>
      <c r="AY121">
        <v>0</v>
      </c>
      <c r="AZ121">
        <v>0</v>
      </c>
      <c r="BA121">
        <f>1-AY121/AZ121</f>
        <v>0</v>
      </c>
      <c r="BB121">
        <v>0</v>
      </c>
      <c r="BC121" t="s">
        <v>437</v>
      </c>
      <c r="BD121" t="s">
        <v>437</v>
      </c>
      <c r="BE121">
        <v>0</v>
      </c>
      <c r="BF121">
        <v>0</v>
      </c>
      <c r="BG121">
        <f>1-BE121/BF121</f>
        <v>0</v>
      </c>
      <c r="BH121">
        <v>0.5</v>
      </c>
      <c r="BI121">
        <f>DH121</f>
        <v>0</v>
      </c>
      <c r="BJ121">
        <f>K121</f>
        <v>0</v>
      </c>
      <c r="BK121">
        <f>BG121*BH121*BI121</f>
        <v>0</v>
      </c>
      <c r="BL121">
        <f>(BJ121-BB121)/BI121</f>
        <v>0</v>
      </c>
      <c r="BM121">
        <f>(AZ121-BF121)/BF121</f>
        <v>0</v>
      </c>
      <c r="BN121">
        <f>AY121/(BA121+AY121/BF121)</f>
        <v>0</v>
      </c>
      <c r="BO121" t="s">
        <v>437</v>
      </c>
      <c r="BP121">
        <v>0</v>
      </c>
      <c r="BQ121">
        <f>IF(BP121&lt;&gt;0, BP121, BN121)</f>
        <v>0</v>
      </c>
      <c r="BR121">
        <f>1-BQ121/BF121</f>
        <v>0</v>
      </c>
      <c r="BS121">
        <f>(BF121-BE121)/(BF121-BQ121)</f>
        <v>0</v>
      </c>
      <c r="BT121">
        <f>(AZ121-BF121)/(AZ121-BQ121)</f>
        <v>0</v>
      </c>
      <c r="BU121">
        <f>(BF121-BE121)/(BF121-AY121)</f>
        <v>0</v>
      </c>
      <c r="BV121">
        <f>(AZ121-BF121)/(AZ121-AY121)</f>
        <v>0</v>
      </c>
      <c r="BW121">
        <f>(BS121*BQ121/BE121)</f>
        <v>0</v>
      </c>
      <c r="BX121">
        <f>(1-BW121)</f>
        <v>0</v>
      </c>
      <c r="DG121">
        <f>$B$13*EF121+$C$13*EG121+$F$13*ER121*(1-EU121)</f>
        <v>0</v>
      </c>
      <c r="DH121">
        <f>DG121*DI121</f>
        <v>0</v>
      </c>
      <c r="DI121">
        <f>($B$13*$D$11+$C$13*$D$11+$F$13*((FE121+EW121)/MAX(FE121+EW121+FF121, 0.1)*$I$11+FF121/MAX(FE121+EW121+FF121, 0.1)*$J$11))/($B$13+$C$13+$F$13)</f>
        <v>0</v>
      </c>
      <c r="DJ121">
        <f>($B$13*$K$11+$C$13*$K$11+$F$13*((FE121+EW121)/MAX(FE121+EW121+FF121, 0.1)*$P$11+FF121/MAX(FE121+EW121+FF121, 0.1)*$Q$11))/($B$13+$C$13+$F$13)</f>
        <v>0</v>
      </c>
      <c r="DK121">
        <v>5.66</v>
      </c>
      <c r="DL121">
        <v>0.5</v>
      </c>
      <c r="DM121" t="s">
        <v>438</v>
      </c>
      <c r="DN121">
        <v>2</v>
      </c>
      <c r="DO121" t="b">
        <v>1</v>
      </c>
      <c r="DP121">
        <v>1765314730.099999</v>
      </c>
      <c r="DQ121">
        <v>399.8512580645161</v>
      </c>
      <c r="DR121">
        <v>400.1733225806452</v>
      </c>
      <c r="DS121">
        <v>17.49395806451613</v>
      </c>
      <c r="DT121">
        <v>17.34020967741936</v>
      </c>
      <c r="DU121">
        <v>400.0182580645161</v>
      </c>
      <c r="DV121">
        <v>17.42195806451613</v>
      </c>
      <c r="DW121">
        <v>499.9956774193548</v>
      </c>
      <c r="DX121">
        <v>89.76783548387095</v>
      </c>
      <c r="DY121">
        <v>0.0999700064516129</v>
      </c>
      <c r="DZ121">
        <v>24.77483225806452</v>
      </c>
      <c r="EA121">
        <v>24.9992806451613</v>
      </c>
      <c r="EB121">
        <v>999.9000000000003</v>
      </c>
      <c r="EC121">
        <v>0</v>
      </c>
      <c r="ED121">
        <v>0</v>
      </c>
      <c r="EE121">
        <v>10002.27322580645</v>
      </c>
      <c r="EF121">
        <v>0</v>
      </c>
      <c r="EG121">
        <v>9.77497</v>
      </c>
      <c r="EH121">
        <v>-0.04326802935483871</v>
      </c>
      <c r="EI121">
        <v>407.2552258064515</v>
      </c>
      <c r="EJ121">
        <v>407.2349677419355</v>
      </c>
      <c r="EK121">
        <v>0.1554585161290322</v>
      </c>
      <c r="EL121">
        <v>400.1733225806452</v>
      </c>
      <c r="EM121">
        <v>17.34020967741936</v>
      </c>
      <c r="EN121">
        <v>1.570548064516129</v>
      </c>
      <c r="EO121">
        <v>1.556592580645161</v>
      </c>
      <c r="EP121">
        <v>13.67283225806452</v>
      </c>
      <c r="EQ121">
        <v>13.53567096774194</v>
      </c>
      <c r="ER121">
        <v>799.9756451612903</v>
      </c>
      <c r="ES121">
        <v>0.9500079032258063</v>
      </c>
      <c r="ET121">
        <v>0.04999194516129031</v>
      </c>
      <c r="EU121">
        <v>0</v>
      </c>
      <c r="EV121">
        <v>788.4866451612904</v>
      </c>
      <c r="EW121">
        <v>5.000779999999999</v>
      </c>
      <c r="EX121">
        <v>5935.734193548389</v>
      </c>
      <c r="EY121">
        <v>6463.235161290325</v>
      </c>
      <c r="EZ121">
        <v>35.64483870967742</v>
      </c>
      <c r="FA121">
        <v>38.02400000000001</v>
      </c>
      <c r="FB121">
        <v>37.07438709677419</v>
      </c>
      <c r="FC121">
        <v>37.63067741935483</v>
      </c>
      <c r="FD121">
        <v>37.21558064516129</v>
      </c>
      <c r="FE121">
        <v>755.2325806451612</v>
      </c>
      <c r="FF121">
        <v>39.74</v>
      </c>
      <c r="FG121">
        <v>0</v>
      </c>
      <c r="FH121">
        <v>1765314737.9</v>
      </c>
      <c r="FI121">
        <v>0</v>
      </c>
      <c r="FJ121">
        <v>788.4771199999999</v>
      </c>
      <c r="FK121">
        <v>-0.4503076876516904</v>
      </c>
      <c r="FL121">
        <v>-2.454615333873689</v>
      </c>
      <c r="FM121">
        <v>5935.738</v>
      </c>
      <c r="FN121">
        <v>15</v>
      </c>
      <c r="FO121">
        <v>1765314756.1</v>
      </c>
      <c r="FP121" t="s">
        <v>758</v>
      </c>
      <c r="FQ121">
        <v>1765314754.1</v>
      </c>
      <c r="FR121">
        <v>1765314756.1</v>
      </c>
      <c r="FS121">
        <v>104</v>
      </c>
      <c r="FT121">
        <v>-0.279</v>
      </c>
      <c r="FU121">
        <v>0.001</v>
      </c>
      <c r="FV121">
        <v>-0.167</v>
      </c>
      <c r="FW121">
        <v>0.07199999999999999</v>
      </c>
      <c r="FX121">
        <v>400</v>
      </c>
      <c r="FY121">
        <v>17</v>
      </c>
      <c r="FZ121">
        <v>1</v>
      </c>
      <c r="GA121">
        <v>0.6</v>
      </c>
      <c r="GB121">
        <v>0.002280636341463418</v>
      </c>
      <c r="GC121">
        <v>-0.6871461710801395</v>
      </c>
      <c r="GD121">
        <v>0.08397388586634003</v>
      </c>
      <c r="GE121">
        <v>0</v>
      </c>
      <c r="GF121">
        <v>788.4847352941176</v>
      </c>
      <c r="GG121">
        <v>0.1845225346061233</v>
      </c>
      <c r="GH121">
        <v>0.1863335574626216</v>
      </c>
      <c r="GI121">
        <v>1</v>
      </c>
      <c r="GJ121">
        <v>0.1554522195121951</v>
      </c>
      <c r="GK121">
        <v>0.003860634146341568</v>
      </c>
      <c r="GL121">
        <v>0.001206010729074854</v>
      </c>
      <c r="GM121">
        <v>1</v>
      </c>
      <c r="GN121">
        <v>2</v>
      </c>
      <c r="GO121">
        <v>3</v>
      </c>
      <c r="GP121" t="s">
        <v>453</v>
      </c>
      <c r="GQ121">
        <v>3.10824</v>
      </c>
      <c r="GR121">
        <v>2.79157</v>
      </c>
      <c r="GS121">
        <v>0.08444459999999999</v>
      </c>
      <c r="GT121">
        <v>0.08452170000000001</v>
      </c>
      <c r="GU121">
        <v>0.086252</v>
      </c>
      <c r="GV121">
        <v>0.0864935</v>
      </c>
      <c r="GW121">
        <v>24030.5</v>
      </c>
      <c r="GX121">
        <v>21811.9</v>
      </c>
      <c r="GY121">
        <v>26803.8</v>
      </c>
      <c r="GZ121">
        <v>24031.2</v>
      </c>
      <c r="HA121">
        <v>39143.2</v>
      </c>
      <c r="HB121">
        <v>32397</v>
      </c>
      <c r="HC121">
        <v>46783.1</v>
      </c>
      <c r="HD121">
        <v>38000.4</v>
      </c>
      <c r="HE121">
        <v>1.8193</v>
      </c>
      <c r="HF121">
        <v>1.8686</v>
      </c>
      <c r="HG121">
        <v>0.0658482</v>
      </c>
      <c r="HH121">
        <v>0</v>
      </c>
      <c r="HI121">
        <v>23.9198</v>
      </c>
      <c r="HJ121">
        <v>999.9</v>
      </c>
      <c r="HK121">
        <v>42.7</v>
      </c>
      <c r="HL121">
        <v>30.6</v>
      </c>
      <c r="HM121">
        <v>20.9725</v>
      </c>
      <c r="HN121">
        <v>61.0031</v>
      </c>
      <c r="HO121">
        <v>27.6082</v>
      </c>
      <c r="HP121">
        <v>1</v>
      </c>
      <c r="HQ121">
        <v>0.00234756</v>
      </c>
      <c r="HR121">
        <v>0.928685</v>
      </c>
      <c r="HS121">
        <v>20.292</v>
      </c>
      <c r="HT121">
        <v>5.22178</v>
      </c>
      <c r="HU121">
        <v>11.9751</v>
      </c>
      <c r="HV121">
        <v>4.9657</v>
      </c>
      <c r="HW121">
        <v>3.27583</v>
      </c>
      <c r="HX121">
        <v>9999</v>
      </c>
      <c r="HY121">
        <v>9999</v>
      </c>
      <c r="HZ121">
        <v>9999</v>
      </c>
      <c r="IA121">
        <v>999.9</v>
      </c>
      <c r="IB121">
        <v>1.86388</v>
      </c>
      <c r="IC121">
        <v>1.86005</v>
      </c>
      <c r="ID121">
        <v>1.85834</v>
      </c>
      <c r="IE121">
        <v>1.85965</v>
      </c>
      <c r="IF121">
        <v>1.85985</v>
      </c>
      <c r="IG121">
        <v>1.85836</v>
      </c>
      <c r="IH121">
        <v>1.85742</v>
      </c>
      <c r="II121">
        <v>1.85238</v>
      </c>
      <c r="IJ121">
        <v>0</v>
      </c>
      <c r="IK121">
        <v>0</v>
      </c>
      <c r="IL121">
        <v>0</v>
      </c>
      <c r="IM121">
        <v>0</v>
      </c>
      <c r="IN121" t="s">
        <v>441</v>
      </c>
      <c r="IO121" t="s">
        <v>442</v>
      </c>
      <c r="IP121" t="s">
        <v>443</v>
      </c>
      <c r="IQ121" t="s">
        <v>443</v>
      </c>
      <c r="IR121" t="s">
        <v>443</v>
      </c>
      <c r="IS121" t="s">
        <v>443</v>
      </c>
      <c r="IT121">
        <v>0</v>
      </c>
      <c r="IU121">
        <v>100</v>
      </c>
      <c r="IV121">
        <v>100</v>
      </c>
      <c r="IW121">
        <v>-0.167</v>
      </c>
      <c r="IX121">
        <v>0.07199999999999999</v>
      </c>
      <c r="IY121">
        <v>-0.1672993970195036</v>
      </c>
      <c r="IZ121">
        <v>0.0001583678016168383</v>
      </c>
      <c r="JA121">
        <v>1.526473431467286E-06</v>
      </c>
      <c r="JB121">
        <v>-4.446382740029455E-10</v>
      </c>
      <c r="JC121">
        <v>-0.04509047065331928</v>
      </c>
      <c r="JD121">
        <v>-0.009941991807247691</v>
      </c>
      <c r="JE121">
        <v>0.001256427533001032</v>
      </c>
      <c r="JF121">
        <v>-1.689728105039484E-05</v>
      </c>
      <c r="JG121">
        <v>2</v>
      </c>
      <c r="JH121">
        <v>1984</v>
      </c>
      <c r="JI121">
        <v>0</v>
      </c>
      <c r="JJ121">
        <v>25</v>
      </c>
      <c r="JK121">
        <v>1.5</v>
      </c>
      <c r="JL121">
        <v>1.5</v>
      </c>
      <c r="JM121">
        <v>1.09741</v>
      </c>
      <c r="JN121">
        <v>2.63672</v>
      </c>
      <c r="JO121">
        <v>1.49658</v>
      </c>
      <c r="JP121">
        <v>2.34741</v>
      </c>
      <c r="JQ121">
        <v>1.54907</v>
      </c>
      <c r="JR121">
        <v>2.43774</v>
      </c>
      <c r="JS121">
        <v>34.9904</v>
      </c>
      <c r="JT121">
        <v>24.1313</v>
      </c>
      <c r="JU121">
        <v>18</v>
      </c>
      <c r="JV121">
        <v>438.173</v>
      </c>
      <c r="JW121">
        <v>492.133</v>
      </c>
      <c r="JX121">
        <v>23.2185</v>
      </c>
      <c r="JY121">
        <v>27.1806</v>
      </c>
      <c r="JZ121">
        <v>30.0003</v>
      </c>
      <c r="KA121">
        <v>27.3958</v>
      </c>
      <c r="KB121">
        <v>27.3876</v>
      </c>
      <c r="KC121">
        <v>22.0737</v>
      </c>
      <c r="KD121">
        <v>19.0291</v>
      </c>
      <c r="KE121">
        <v>51.9095</v>
      </c>
      <c r="KF121">
        <v>23.2223</v>
      </c>
      <c r="KG121">
        <v>400</v>
      </c>
      <c r="KH121">
        <v>17.2925</v>
      </c>
      <c r="KI121">
        <v>102.305</v>
      </c>
      <c r="KJ121">
        <v>91.661</v>
      </c>
    </row>
    <row r="122" spans="1:296">
      <c r="A122">
        <v>104</v>
      </c>
      <c r="B122">
        <v>1765314821.6</v>
      </c>
      <c r="C122">
        <v>17388.59999990463</v>
      </c>
      <c r="D122" t="s">
        <v>759</v>
      </c>
      <c r="E122" t="s">
        <v>760</v>
      </c>
      <c r="F122">
        <v>5</v>
      </c>
      <c r="G122" t="s">
        <v>739</v>
      </c>
      <c r="H122">
        <v>1765314813.849999</v>
      </c>
      <c r="I122">
        <f>(J122)/1000</f>
        <v>0</v>
      </c>
      <c r="J122">
        <f>IF(DO122, AM122, AG122)</f>
        <v>0</v>
      </c>
      <c r="K122">
        <f>IF(DO122, AH122, AF122)</f>
        <v>0</v>
      </c>
      <c r="L122">
        <f>DQ122 - IF(AT122&gt;1, K122*DK122*100.0/(AV122), 0)</f>
        <v>0</v>
      </c>
      <c r="M122">
        <f>((S122-I122/2)*L122-K122)/(S122+I122/2)</f>
        <v>0</v>
      </c>
      <c r="N122">
        <f>M122*(DX122+DY122)/1000.0</f>
        <v>0</v>
      </c>
      <c r="O122">
        <f>(DQ122 - IF(AT122&gt;1, K122*DK122*100.0/(AV122), 0))*(DX122+DY122)/1000.0</f>
        <v>0</v>
      </c>
      <c r="P122">
        <f>2.0/((1/R122-1/Q122)+SIGN(R122)*SQRT((1/R122-1/Q122)*(1/R122-1/Q122) + 4*DL122/((DL122+1)*(DL122+1))*(2*1/R122*1/Q122-1/Q122*1/Q122)))</f>
        <v>0</v>
      </c>
      <c r="Q122">
        <f>IF(LEFT(DM122,1)&lt;&gt;"0",IF(LEFT(DM122,1)="1",3.0,DN122),$D$5+$E$5*(EE122*DX122/($K$5*1000))+$F$5*(EE122*DX122/($K$5*1000))*MAX(MIN(DK122,$J$5),$I$5)*MAX(MIN(DK122,$J$5),$I$5)+$G$5*MAX(MIN(DK122,$J$5),$I$5)*(EE122*DX122/($K$5*1000))+$H$5*(EE122*DX122/($K$5*1000))*(EE122*DX122/($K$5*1000)))</f>
        <v>0</v>
      </c>
      <c r="R122">
        <f>I122*(1000-(1000*0.61365*exp(17.502*V122/(240.97+V122))/(DX122+DY122)+DS122)/2)/(1000*0.61365*exp(17.502*V122/(240.97+V122))/(DX122+DY122)-DS122)</f>
        <v>0</v>
      </c>
      <c r="S122">
        <f>1/((DL122+1)/(P122/1.6)+1/(Q122/1.37)) + DL122/((DL122+1)/(P122/1.6) + DL122/(Q122/1.37))</f>
        <v>0</v>
      </c>
      <c r="T122">
        <f>(DG122*DJ122)</f>
        <v>0</v>
      </c>
      <c r="U122">
        <f>(DZ122+(T122+2*0.95*5.67E-8*(((DZ122+$B$9)+273)^4-(DZ122+273)^4)-44100*I122)/(1.84*29.3*Q122+8*0.95*5.67E-8*(DZ122+273)^3))</f>
        <v>0</v>
      </c>
      <c r="V122">
        <f>($C$9*EA122+$D$9*EB122+$E$9*U122)</f>
        <v>0</v>
      </c>
      <c r="W122">
        <f>0.61365*exp(17.502*V122/(240.97+V122))</f>
        <v>0</v>
      </c>
      <c r="X122">
        <f>(Y122/Z122*100)</f>
        <v>0</v>
      </c>
      <c r="Y122">
        <f>DS122*(DX122+DY122)/1000</f>
        <v>0</v>
      </c>
      <c r="Z122">
        <f>0.61365*exp(17.502*DZ122/(240.97+DZ122))</f>
        <v>0</v>
      </c>
      <c r="AA122">
        <f>(W122-DS122*(DX122+DY122)/1000)</f>
        <v>0</v>
      </c>
      <c r="AB122">
        <f>(-I122*44100)</f>
        <v>0</v>
      </c>
      <c r="AC122">
        <f>2*29.3*Q122*0.92*(DZ122-V122)</f>
        <v>0</v>
      </c>
      <c r="AD122">
        <f>2*0.95*5.67E-8*(((DZ122+$B$9)+273)^4-(V122+273)^4)</f>
        <v>0</v>
      </c>
      <c r="AE122">
        <f>T122+AD122+AB122+AC122</f>
        <v>0</v>
      </c>
      <c r="AF122">
        <f>DW122*AT122*(DR122-DQ122*(1000-AT122*DT122)/(1000-AT122*DS122))/(100*DK122)</f>
        <v>0</v>
      </c>
      <c r="AG122">
        <f>1000*DW122*AT122*(DS122-DT122)/(100*DK122*(1000-AT122*DS122))</f>
        <v>0</v>
      </c>
      <c r="AH122">
        <f>(AI122 - AJ122 - DX122*1E3/(8.314*(DZ122+273.15)) * AL122/DW122 * AK122) * DW122/(100*DK122) * (1000 - DT122)/1000</f>
        <v>0</v>
      </c>
      <c r="AI122">
        <v>407.1233896619684</v>
      </c>
      <c r="AJ122">
        <v>406.8361212121209</v>
      </c>
      <c r="AK122">
        <v>0.0003525500642883966</v>
      </c>
      <c r="AL122">
        <v>65.73128302842639</v>
      </c>
      <c r="AM122">
        <f>(AO122 - AN122 + DX122*1E3/(8.314*(DZ122+273.15)) * AQ122/DW122 * AP122) * DW122/(100*DK122) * 1000/(1000 - AO122)</f>
        <v>0</v>
      </c>
      <c r="AN122">
        <v>17.27140217461341</v>
      </c>
      <c r="AO122">
        <v>17.43075272727273</v>
      </c>
      <c r="AP122">
        <v>-9.00925078654771E-06</v>
      </c>
      <c r="AQ122">
        <v>106.9398791080118</v>
      </c>
      <c r="AR122">
        <v>35</v>
      </c>
      <c r="AS122">
        <v>7</v>
      </c>
      <c r="AT122">
        <f>IF(AR122*$H$15&gt;=AV122,1.0,(AV122/(AV122-AR122*$H$15)))</f>
        <v>0</v>
      </c>
      <c r="AU122">
        <f>(AT122-1)*100</f>
        <v>0</v>
      </c>
      <c r="AV122">
        <f>MAX(0,($B$15+$C$15*EE122)/(1+$D$15*EE122)*DX122/(DZ122+273)*$E$15)</f>
        <v>0</v>
      </c>
      <c r="AW122" t="s">
        <v>437</v>
      </c>
      <c r="AX122" t="s">
        <v>437</v>
      </c>
      <c r="AY122">
        <v>0</v>
      </c>
      <c r="AZ122">
        <v>0</v>
      </c>
      <c r="BA122">
        <f>1-AY122/AZ122</f>
        <v>0</v>
      </c>
      <c r="BB122">
        <v>0</v>
      </c>
      <c r="BC122" t="s">
        <v>437</v>
      </c>
      <c r="BD122" t="s">
        <v>437</v>
      </c>
      <c r="BE122">
        <v>0</v>
      </c>
      <c r="BF122">
        <v>0</v>
      </c>
      <c r="BG122">
        <f>1-BE122/BF122</f>
        <v>0</v>
      </c>
      <c r="BH122">
        <v>0.5</v>
      </c>
      <c r="BI122">
        <f>DH122</f>
        <v>0</v>
      </c>
      <c r="BJ122">
        <f>K122</f>
        <v>0</v>
      </c>
      <c r="BK122">
        <f>BG122*BH122*BI122</f>
        <v>0</v>
      </c>
      <c r="BL122">
        <f>(BJ122-BB122)/BI122</f>
        <v>0</v>
      </c>
      <c r="BM122">
        <f>(AZ122-BF122)/BF122</f>
        <v>0</v>
      </c>
      <c r="BN122">
        <f>AY122/(BA122+AY122/BF122)</f>
        <v>0</v>
      </c>
      <c r="BO122" t="s">
        <v>437</v>
      </c>
      <c r="BP122">
        <v>0</v>
      </c>
      <c r="BQ122">
        <f>IF(BP122&lt;&gt;0, BP122, BN122)</f>
        <v>0</v>
      </c>
      <c r="BR122">
        <f>1-BQ122/BF122</f>
        <v>0</v>
      </c>
      <c r="BS122">
        <f>(BF122-BE122)/(BF122-BQ122)</f>
        <v>0</v>
      </c>
      <c r="BT122">
        <f>(AZ122-BF122)/(AZ122-BQ122)</f>
        <v>0</v>
      </c>
      <c r="BU122">
        <f>(BF122-BE122)/(BF122-AY122)</f>
        <v>0</v>
      </c>
      <c r="BV122">
        <f>(AZ122-BF122)/(AZ122-AY122)</f>
        <v>0</v>
      </c>
      <c r="BW122">
        <f>(BS122*BQ122/BE122)</f>
        <v>0</v>
      </c>
      <c r="BX122">
        <f>(1-BW122)</f>
        <v>0</v>
      </c>
      <c r="DG122">
        <f>$B$13*EF122+$C$13*EG122+$F$13*ER122*(1-EU122)</f>
        <v>0</v>
      </c>
      <c r="DH122">
        <f>DG122*DI122</f>
        <v>0</v>
      </c>
      <c r="DI122">
        <f>($B$13*$D$11+$C$13*$D$11+$F$13*((FE122+EW122)/MAX(FE122+EW122+FF122, 0.1)*$I$11+FF122/MAX(FE122+EW122+FF122, 0.1)*$J$11))/($B$13+$C$13+$F$13)</f>
        <v>0</v>
      </c>
      <c r="DJ122">
        <f>($B$13*$K$11+$C$13*$K$11+$F$13*((FE122+EW122)/MAX(FE122+EW122+FF122, 0.1)*$P$11+FF122/MAX(FE122+EW122+FF122, 0.1)*$Q$11))/($B$13+$C$13+$F$13)</f>
        <v>0</v>
      </c>
      <c r="DK122">
        <v>5.66</v>
      </c>
      <c r="DL122">
        <v>0.5</v>
      </c>
      <c r="DM122" t="s">
        <v>438</v>
      </c>
      <c r="DN122">
        <v>2</v>
      </c>
      <c r="DO122" t="b">
        <v>1</v>
      </c>
      <c r="DP122">
        <v>1765314813.849999</v>
      </c>
      <c r="DQ122">
        <v>399.7740000000001</v>
      </c>
      <c r="DR122">
        <v>400.0541000000001</v>
      </c>
      <c r="DS122">
        <v>17.43035</v>
      </c>
      <c r="DT122">
        <v>17.27031</v>
      </c>
      <c r="DU122">
        <v>399.921</v>
      </c>
      <c r="DV122">
        <v>17.35835</v>
      </c>
      <c r="DW122">
        <v>500.0025</v>
      </c>
      <c r="DX122">
        <v>89.75890666666669</v>
      </c>
      <c r="DY122">
        <v>0.10002604</v>
      </c>
      <c r="DZ122">
        <v>24.79127666666666</v>
      </c>
      <c r="EA122">
        <v>25.01615</v>
      </c>
      <c r="EB122">
        <v>999.9000000000002</v>
      </c>
      <c r="EC122">
        <v>0</v>
      </c>
      <c r="ED122">
        <v>0</v>
      </c>
      <c r="EE122">
        <v>9999.057666666666</v>
      </c>
      <c r="EF122">
        <v>0</v>
      </c>
      <c r="EG122">
        <v>9.77497</v>
      </c>
      <c r="EH122">
        <v>-0.3004506666666667</v>
      </c>
      <c r="EI122">
        <v>406.8459</v>
      </c>
      <c r="EJ122">
        <v>407.0846</v>
      </c>
      <c r="EK122">
        <v>0.1617744333333333</v>
      </c>
      <c r="EL122">
        <v>400.0541000000001</v>
      </c>
      <c r="EM122">
        <v>17.27031</v>
      </c>
      <c r="EN122">
        <v>1.564685</v>
      </c>
      <c r="EO122">
        <v>1.550164</v>
      </c>
      <c r="EP122">
        <v>13.61534333333333</v>
      </c>
      <c r="EQ122">
        <v>13.47213666666667</v>
      </c>
      <c r="ER122">
        <v>799.9864000000001</v>
      </c>
      <c r="ES122">
        <v>0.9500053666666667</v>
      </c>
      <c r="ET122">
        <v>0.04999475666666667</v>
      </c>
      <c r="EU122">
        <v>0</v>
      </c>
      <c r="EV122">
        <v>786.7430333333333</v>
      </c>
      <c r="EW122">
        <v>5.00078</v>
      </c>
      <c r="EX122">
        <v>5941.827333333335</v>
      </c>
      <c r="EY122">
        <v>6463.316999999999</v>
      </c>
      <c r="EZ122">
        <v>36.45379999999999</v>
      </c>
      <c r="FA122">
        <v>39.754</v>
      </c>
      <c r="FB122">
        <v>38.39559999999999</v>
      </c>
      <c r="FC122">
        <v>39.63313333333333</v>
      </c>
      <c r="FD122">
        <v>38.67466666666665</v>
      </c>
      <c r="FE122">
        <v>755.2413333333334</v>
      </c>
      <c r="FF122">
        <v>39.74466666666667</v>
      </c>
      <c r="FG122">
        <v>0</v>
      </c>
      <c r="FH122">
        <v>1765314821.3</v>
      </c>
      <c r="FI122">
        <v>0</v>
      </c>
      <c r="FJ122">
        <v>786.7366538461537</v>
      </c>
      <c r="FK122">
        <v>-0.2088546961549553</v>
      </c>
      <c r="FL122">
        <v>9.428034088536723</v>
      </c>
      <c r="FM122">
        <v>5941.98576923077</v>
      </c>
      <c r="FN122">
        <v>15</v>
      </c>
      <c r="FO122">
        <v>1765314840.6</v>
      </c>
      <c r="FP122" t="s">
        <v>761</v>
      </c>
      <c r="FQ122">
        <v>1765314839.6</v>
      </c>
      <c r="FR122">
        <v>1765314840.6</v>
      </c>
      <c r="FS122">
        <v>105</v>
      </c>
      <c r="FT122">
        <v>0.019</v>
      </c>
      <c r="FU122">
        <v>0.001</v>
      </c>
      <c r="FV122">
        <v>-0.147</v>
      </c>
      <c r="FW122">
        <v>0.07199999999999999</v>
      </c>
      <c r="FX122">
        <v>400</v>
      </c>
      <c r="FY122">
        <v>17</v>
      </c>
      <c r="FZ122">
        <v>0.59</v>
      </c>
      <c r="GA122">
        <v>0.17</v>
      </c>
      <c r="GB122">
        <v>-0.2987187073170731</v>
      </c>
      <c r="GC122">
        <v>-0.1838877282229968</v>
      </c>
      <c r="GD122">
        <v>0.05303110128798737</v>
      </c>
      <c r="GE122">
        <v>1</v>
      </c>
      <c r="GF122">
        <v>786.7946470588234</v>
      </c>
      <c r="GG122">
        <v>-0.8157372027648878</v>
      </c>
      <c r="GH122">
        <v>0.2317150738137805</v>
      </c>
      <c r="GI122">
        <v>1</v>
      </c>
      <c r="GJ122">
        <v>0.1613698292682927</v>
      </c>
      <c r="GK122">
        <v>0.01051312891986064</v>
      </c>
      <c r="GL122">
        <v>0.002173939246828086</v>
      </c>
      <c r="GM122">
        <v>1</v>
      </c>
      <c r="GN122">
        <v>3</v>
      </c>
      <c r="GO122">
        <v>3</v>
      </c>
      <c r="GP122" t="s">
        <v>440</v>
      </c>
      <c r="GQ122">
        <v>3.10821</v>
      </c>
      <c r="GR122">
        <v>2.79159</v>
      </c>
      <c r="GS122">
        <v>0.0844213</v>
      </c>
      <c r="GT122">
        <v>0.0844866</v>
      </c>
      <c r="GU122">
        <v>0.0860022</v>
      </c>
      <c r="GV122">
        <v>0.0862156</v>
      </c>
      <c r="GW122">
        <v>24028.4</v>
      </c>
      <c r="GX122">
        <v>21810.6</v>
      </c>
      <c r="GY122">
        <v>26801</v>
      </c>
      <c r="GZ122">
        <v>24029.1</v>
      </c>
      <c r="HA122">
        <v>39150.1</v>
      </c>
      <c r="HB122">
        <v>32404.4</v>
      </c>
      <c r="HC122">
        <v>46778.4</v>
      </c>
      <c r="HD122">
        <v>37997.4</v>
      </c>
      <c r="HE122">
        <v>1.82082</v>
      </c>
      <c r="HF122">
        <v>1.86735</v>
      </c>
      <c r="HG122">
        <v>0.06660820000000001</v>
      </c>
      <c r="HH122">
        <v>0</v>
      </c>
      <c r="HI122">
        <v>23.9157</v>
      </c>
      <c r="HJ122">
        <v>999.9</v>
      </c>
      <c r="HK122">
        <v>42.7</v>
      </c>
      <c r="HL122">
        <v>30.5</v>
      </c>
      <c r="HM122">
        <v>20.8557</v>
      </c>
      <c r="HN122">
        <v>61.2831</v>
      </c>
      <c r="HO122">
        <v>27.6923</v>
      </c>
      <c r="HP122">
        <v>1</v>
      </c>
      <c r="HQ122">
        <v>0.00656504</v>
      </c>
      <c r="HR122">
        <v>0.9966970000000001</v>
      </c>
      <c r="HS122">
        <v>20.2934</v>
      </c>
      <c r="HT122">
        <v>5.22163</v>
      </c>
      <c r="HU122">
        <v>11.9755</v>
      </c>
      <c r="HV122">
        <v>4.965</v>
      </c>
      <c r="HW122">
        <v>3.2758</v>
      </c>
      <c r="HX122">
        <v>9999</v>
      </c>
      <c r="HY122">
        <v>9999</v>
      </c>
      <c r="HZ122">
        <v>9999</v>
      </c>
      <c r="IA122">
        <v>999.9</v>
      </c>
      <c r="IB122">
        <v>1.86386</v>
      </c>
      <c r="IC122">
        <v>1.86005</v>
      </c>
      <c r="ID122">
        <v>1.85836</v>
      </c>
      <c r="IE122">
        <v>1.85967</v>
      </c>
      <c r="IF122">
        <v>1.85987</v>
      </c>
      <c r="IG122">
        <v>1.85836</v>
      </c>
      <c r="IH122">
        <v>1.85741</v>
      </c>
      <c r="II122">
        <v>1.85232</v>
      </c>
      <c r="IJ122">
        <v>0</v>
      </c>
      <c r="IK122">
        <v>0</v>
      </c>
      <c r="IL122">
        <v>0</v>
      </c>
      <c r="IM122">
        <v>0</v>
      </c>
      <c r="IN122" t="s">
        <v>441</v>
      </c>
      <c r="IO122" t="s">
        <v>442</v>
      </c>
      <c r="IP122" t="s">
        <v>443</v>
      </c>
      <c r="IQ122" t="s">
        <v>443</v>
      </c>
      <c r="IR122" t="s">
        <v>443</v>
      </c>
      <c r="IS122" t="s">
        <v>443</v>
      </c>
      <c r="IT122">
        <v>0</v>
      </c>
      <c r="IU122">
        <v>100</v>
      </c>
      <c r="IV122">
        <v>100</v>
      </c>
      <c r="IW122">
        <v>-0.147</v>
      </c>
      <c r="IX122">
        <v>0.07199999999999999</v>
      </c>
      <c r="IY122">
        <v>-0.446334575390747</v>
      </c>
      <c r="IZ122">
        <v>0.0001583678016168383</v>
      </c>
      <c r="JA122">
        <v>1.526473431467286E-06</v>
      </c>
      <c r="JB122">
        <v>-4.446382740029455E-10</v>
      </c>
      <c r="JC122">
        <v>-0.04389555561972545</v>
      </c>
      <c r="JD122">
        <v>-0.009941991807247691</v>
      </c>
      <c r="JE122">
        <v>0.001256427533001032</v>
      </c>
      <c r="JF122">
        <v>-1.689728105039484E-05</v>
      </c>
      <c r="JG122">
        <v>2</v>
      </c>
      <c r="JH122">
        <v>1984</v>
      </c>
      <c r="JI122">
        <v>0</v>
      </c>
      <c r="JJ122">
        <v>25</v>
      </c>
      <c r="JK122">
        <v>1.1</v>
      </c>
      <c r="JL122">
        <v>1.1</v>
      </c>
      <c r="JM122">
        <v>1.09497</v>
      </c>
      <c r="JN122">
        <v>2.62939</v>
      </c>
      <c r="JO122">
        <v>1.49658</v>
      </c>
      <c r="JP122">
        <v>2.34741</v>
      </c>
      <c r="JQ122">
        <v>1.54907</v>
      </c>
      <c r="JR122">
        <v>2.41577</v>
      </c>
      <c r="JS122">
        <v>35.0364</v>
      </c>
      <c r="JT122">
        <v>24.1313</v>
      </c>
      <c r="JU122">
        <v>18</v>
      </c>
      <c r="JV122">
        <v>439.308</v>
      </c>
      <c r="JW122">
        <v>491.695</v>
      </c>
      <c r="JX122">
        <v>23.2468</v>
      </c>
      <c r="JY122">
        <v>27.2316</v>
      </c>
      <c r="JZ122">
        <v>30.0003</v>
      </c>
      <c r="KA122">
        <v>27.4418</v>
      </c>
      <c r="KB122">
        <v>27.4317</v>
      </c>
      <c r="KC122">
        <v>22.0182</v>
      </c>
      <c r="KD122">
        <v>19.3163</v>
      </c>
      <c r="KE122">
        <v>51.9095</v>
      </c>
      <c r="KF122">
        <v>23.2379</v>
      </c>
      <c r="KG122">
        <v>400</v>
      </c>
      <c r="KH122">
        <v>17.2789</v>
      </c>
      <c r="KI122">
        <v>102.295</v>
      </c>
      <c r="KJ122">
        <v>91.65349999999999</v>
      </c>
    </row>
    <row r="123" spans="1:296">
      <c r="A123">
        <v>105</v>
      </c>
      <c r="B123">
        <v>1765314931.6</v>
      </c>
      <c r="C123">
        <v>17498.59999990463</v>
      </c>
      <c r="D123" t="s">
        <v>762</v>
      </c>
      <c r="E123" t="s">
        <v>763</v>
      </c>
      <c r="F123">
        <v>5</v>
      </c>
      <c r="G123" t="s">
        <v>739</v>
      </c>
      <c r="H123">
        <v>1765314923.599999</v>
      </c>
      <c r="I123">
        <f>(J123)/1000</f>
        <v>0</v>
      </c>
      <c r="J123">
        <f>IF(DO123, AM123, AG123)</f>
        <v>0</v>
      </c>
      <c r="K123">
        <f>IF(DO123, AH123, AF123)</f>
        <v>0</v>
      </c>
      <c r="L123">
        <f>DQ123 - IF(AT123&gt;1, K123*DK123*100.0/(AV123), 0)</f>
        <v>0</v>
      </c>
      <c r="M123">
        <f>((S123-I123/2)*L123-K123)/(S123+I123/2)</f>
        <v>0</v>
      </c>
      <c r="N123">
        <f>M123*(DX123+DY123)/1000.0</f>
        <v>0</v>
      </c>
      <c r="O123">
        <f>(DQ123 - IF(AT123&gt;1, K123*DK123*100.0/(AV123), 0))*(DX123+DY123)/1000.0</f>
        <v>0</v>
      </c>
      <c r="P123">
        <f>2.0/((1/R123-1/Q123)+SIGN(R123)*SQRT((1/R123-1/Q123)*(1/R123-1/Q123) + 4*DL123/((DL123+1)*(DL123+1))*(2*1/R123*1/Q123-1/Q123*1/Q123)))</f>
        <v>0</v>
      </c>
      <c r="Q123">
        <f>IF(LEFT(DM123,1)&lt;&gt;"0",IF(LEFT(DM123,1)="1",3.0,DN123),$D$5+$E$5*(EE123*DX123/($K$5*1000))+$F$5*(EE123*DX123/($K$5*1000))*MAX(MIN(DK123,$J$5),$I$5)*MAX(MIN(DK123,$J$5),$I$5)+$G$5*MAX(MIN(DK123,$J$5),$I$5)*(EE123*DX123/($K$5*1000))+$H$5*(EE123*DX123/($K$5*1000))*(EE123*DX123/($K$5*1000)))</f>
        <v>0</v>
      </c>
      <c r="R123">
        <f>I123*(1000-(1000*0.61365*exp(17.502*V123/(240.97+V123))/(DX123+DY123)+DS123)/2)/(1000*0.61365*exp(17.502*V123/(240.97+V123))/(DX123+DY123)-DS123)</f>
        <v>0</v>
      </c>
      <c r="S123">
        <f>1/((DL123+1)/(P123/1.6)+1/(Q123/1.37)) + DL123/((DL123+1)/(P123/1.6) + DL123/(Q123/1.37))</f>
        <v>0</v>
      </c>
      <c r="T123">
        <f>(DG123*DJ123)</f>
        <v>0</v>
      </c>
      <c r="U123">
        <f>(DZ123+(T123+2*0.95*5.67E-8*(((DZ123+$B$9)+273)^4-(DZ123+273)^4)-44100*I123)/(1.84*29.3*Q123+8*0.95*5.67E-8*(DZ123+273)^3))</f>
        <v>0</v>
      </c>
      <c r="V123">
        <f>($C$9*EA123+$D$9*EB123+$E$9*U123)</f>
        <v>0</v>
      </c>
      <c r="W123">
        <f>0.61365*exp(17.502*V123/(240.97+V123))</f>
        <v>0</v>
      </c>
      <c r="X123">
        <f>(Y123/Z123*100)</f>
        <v>0</v>
      </c>
      <c r="Y123">
        <f>DS123*(DX123+DY123)/1000</f>
        <v>0</v>
      </c>
      <c r="Z123">
        <f>0.61365*exp(17.502*DZ123/(240.97+DZ123))</f>
        <v>0</v>
      </c>
      <c r="AA123">
        <f>(W123-DS123*(DX123+DY123)/1000)</f>
        <v>0</v>
      </c>
      <c r="AB123">
        <f>(-I123*44100)</f>
        <v>0</v>
      </c>
      <c r="AC123">
        <f>2*29.3*Q123*0.92*(DZ123-V123)</f>
        <v>0</v>
      </c>
      <c r="AD123">
        <f>2*0.95*5.67E-8*(((DZ123+$B$9)+273)^4-(V123+273)^4)</f>
        <v>0</v>
      </c>
      <c r="AE123">
        <f>T123+AD123+AB123+AC123</f>
        <v>0</v>
      </c>
      <c r="AF123">
        <f>DW123*AT123*(DR123-DQ123*(1000-AT123*DT123)/(1000-AT123*DS123))/(100*DK123)</f>
        <v>0</v>
      </c>
      <c r="AG123">
        <f>1000*DW123*AT123*(DS123-DT123)/(100*DK123*(1000-AT123*DS123))</f>
        <v>0</v>
      </c>
      <c r="AH123">
        <f>(AI123 - AJ123 - DX123*1E3/(8.314*(DZ123+273.15)) * AL123/DW123 * AK123) * DW123/(100*DK123) * (1000 - DT123)/1000</f>
        <v>0</v>
      </c>
      <c r="AI123">
        <v>610.535705773748</v>
      </c>
      <c r="AJ123">
        <v>609.8967939393938</v>
      </c>
      <c r="AK123">
        <v>0.0008976221732631684</v>
      </c>
      <c r="AL123">
        <v>65.77223498831121</v>
      </c>
      <c r="AM123">
        <f>(AO123 - AN123 + DX123*1E3/(8.314*(DZ123+273.15)) * AQ123/DW123 * AP123) * DW123/(100*DK123) * 1000/(1000 - AO123)</f>
        <v>0</v>
      </c>
      <c r="AN123">
        <v>17.30688554082243</v>
      </c>
      <c r="AO123">
        <v>17.4594496969697</v>
      </c>
      <c r="AP123">
        <v>-1.636869882555595E-06</v>
      </c>
      <c r="AQ123">
        <v>107.3831060347531</v>
      </c>
      <c r="AR123">
        <v>33</v>
      </c>
      <c r="AS123">
        <v>7</v>
      </c>
      <c r="AT123">
        <f>IF(AR123*$H$15&gt;=AV123,1.0,(AV123/(AV123-AR123*$H$15)))</f>
        <v>0</v>
      </c>
      <c r="AU123">
        <f>(AT123-1)*100</f>
        <v>0</v>
      </c>
      <c r="AV123">
        <f>MAX(0,($B$15+$C$15*EE123)/(1+$D$15*EE123)*DX123/(DZ123+273)*$E$15)</f>
        <v>0</v>
      </c>
      <c r="AW123" t="s">
        <v>437</v>
      </c>
      <c r="AX123" t="s">
        <v>437</v>
      </c>
      <c r="AY123">
        <v>0</v>
      </c>
      <c r="AZ123">
        <v>0</v>
      </c>
      <c r="BA123">
        <f>1-AY123/AZ123</f>
        <v>0</v>
      </c>
      <c r="BB123">
        <v>0</v>
      </c>
      <c r="BC123" t="s">
        <v>437</v>
      </c>
      <c r="BD123" t="s">
        <v>437</v>
      </c>
      <c r="BE123">
        <v>0</v>
      </c>
      <c r="BF123">
        <v>0</v>
      </c>
      <c r="BG123">
        <f>1-BE123/BF123</f>
        <v>0</v>
      </c>
      <c r="BH123">
        <v>0.5</v>
      </c>
      <c r="BI123">
        <f>DH123</f>
        <v>0</v>
      </c>
      <c r="BJ123">
        <f>K123</f>
        <v>0</v>
      </c>
      <c r="BK123">
        <f>BG123*BH123*BI123</f>
        <v>0</v>
      </c>
      <c r="BL123">
        <f>(BJ123-BB123)/BI123</f>
        <v>0</v>
      </c>
      <c r="BM123">
        <f>(AZ123-BF123)/BF123</f>
        <v>0</v>
      </c>
      <c r="BN123">
        <f>AY123/(BA123+AY123/BF123)</f>
        <v>0</v>
      </c>
      <c r="BO123" t="s">
        <v>437</v>
      </c>
      <c r="BP123">
        <v>0</v>
      </c>
      <c r="BQ123">
        <f>IF(BP123&lt;&gt;0, BP123, BN123)</f>
        <v>0</v>
      </c>
      <c r="BR123">
        <f>1-BQ123/BF123</f>
        <v>0</v>
      </c>
      <c r="BS123">
        <f>(BF123-BE123)/(BF123-BQ123)</f>
        <v>0</v>
      </c>
      <c r="BT123">
        <f>(AZ123-BF123)/(AZ123-BQ123)</f>
        <v>0</v>
      </c>
      <c r="BU123">
        <f>(BF123-BE123)/(BF123-AY123)</f>
        <v>0</v>
      </c>
      <c r="BV123">
        <f>(AZ123-BF123)/(AZ123-AY123)</f>
        <v>0</v>
      </c>
      <c r="BW123">
        <f>(BS123*BQ123/BE123)</f>
        <v>0</v>
      </c>
      <c r="BX123">
        <f>(1-BW123)</f>
        <v>0</v>
      </c>
      <c r="DG123">
        <f>$B$13*EF123+$C$13*EG123+$F$13*ER123*(1-EU123)</f>
        <v>0</v>
      </c>
      <c r="DH123">
        <f>DG123*DI123</f>
        <v>0</v>
      </c>
      <c r="DI123">
        <f>($B$13*$D$11+$C$13*$D$11+$F$13*((FE123+EW123)/MAX(FE123+EW123+FF123, 0.1)*$I$11+FF123/MAX(FE123+EW123+FF123, 0.1)*$J$11))/($B$13+$C$13+$F$13)</f>
        <v>0</v>
      </c>
      <c r="DJ123">
        <f>($B$13*$K$11+$C$13*$K$11+$F$13*((FE123+EW123)/MAX(FE123+EW123+FF123, 0.1)*$P$11+FF123/MAX(FE123+EW123+FF123, 0.1)*$Q$11))/($B$13+$C$13+$F$13)</f>
        <v>0</v>
      </c>
      <c r="DK123">
        <v>5.66</v>
      </c>
      <c r="DL123">
        <v>0.5</v>
      </c>
      <c r="DM123" t="s">
        <v>438</v>
      </c>
      <c r="DN123">
        <v>2</v>
      </c>
      <c r="DO123" t="b">
        <v>1</v>
      </c>
      <c r="DP123">
        <v>1765314923.599999</v>
      </c>
      <c r="DQ123">
        <v>599.4632258064516</v>
      </c>
      <c r="DR123">
        <v>600.0374193548388</v>
      </c>
      <c r="DS123">
        <v>17.45735806451613</v>
      </c>
      <c r="DT123">
        <v>17.30641612903226</v>
      </c>
      <c r="DU123">
        <v>599.0952258064516</v>
      </c>
      <c r="DV123">
        <v>17.38535806451613</v>
      </c>
      <c r="DW123">
        <v>500.0260645161291</v>
      </c>
      <c r="DX123">
        <v>89.75056129032257</v>
      </c>
      <c r="DY123">
        <v>0.1000008322580645</v>
      </c>
      <c r="DZ123">
        <v>24.8111935483871</v>
      </c>
      <c r="EA123">
        <v>25.00681290322581</v>
      </c>
      <c r="EB123">
        <v>999.9000000000003</v>
      </c>
      <c r="EC123">
        <v>0</v>
      </c>
      <c r="ED123">
        <v>0</v>
      </c>
      <c r="EE123">
        <v>10000.16</v>
      </c>
      <c r="EF123">
        <v>0</v>
      </c>
      <c r="EG123">
        <v>9.77497</v>
      </c>
      <c r="EH123">
        <v>-0.8219171612903224</v>
      </c>
      <c r="EI123">
        <v>609.8639032258066</v>
      </c>
      <c r="EJ123">
        <v>610.6049032258063</v>
      </c>
      <c r="EK123">
        <v>0.1539015806451613</v>
      </c>
      <c r="EL123">
        <v>600.0374193548388</v>
      </c>
      <c r="EM123">
        <v>17.30641612903226</v>
      </c>
      <c r="EN123">
        <v>1.567073548387097</v>
      </c>
      <c r="EO123">
        <v>1.553261290322581</v>
      </c>
      <c r="EP123">
        <v>13.63877741935484</v>
      </c>
      <c r="EQ123">
        <v>13.50278064516129</v>
      </c>
      <c r="ER123">
        <v>799.9961612903229</v>
      </c>
      <c r="ES123">
        <v>0.9500162580645158</v>
      </c>
      <c r="ET123">
        <v>0.04998379999999999</v>
      </c>
      <c r="EU123">
        <v>0</v>
      </c>
      <c r="EV123">
        <v>783.5076774193548</v>
      </c>
      <c r="EW123">
        <v>5.000779999999999</v>
      </c>
      <c r="EX123">
        <v>5944.786774193551</v>
      </c>
      <c r="EY123">
        <v>6463.419677419356</v>
      </c>
      <c r="EZ123">
        <v>37.61470967741935</v>
      </c>
      <c r="FA123">
        <v>41.42712903225805</v>
      </c>
      <c r="FB123">
        <v>40.10658064516128</v>
      </c>
      <c r="FC123">
        <v>41.92509677419353</v>
      </c>
      <c r="FD123">
        <v>39.91099999999999</v>
      </c>
      <c r="FE123">
        <v>755.2583870967743</v>
      </c>
      <c r="FF123">
        <v>39.74</v>
      </c>
      <c r="FG123">
        <v>0</v>
      </c>
      <c r="FH123">
        <v>1765314931.1</v>
      </c>
      <c r="FI123">
        <v>0</v>
      </c>
      <c r="FJ123">
        <v>783.5063599999999</v>
      </c>
      <c r="FK123">
        <v>-1.542230785399774</v>
      </c>
      <c r="FL123">
        <v>9.713076913513966</v>
      </c>
      <c r="FM123">
        <v>5944.9544</v>
      </c>
      <c r="FN123">
        <v>15</v>
      </c>
      <c r="FO123">
        <v>1765314951.6</v>
      </c>
      <c r="FP123" t="s">
        <v>764</v>
      </c>
      <c r="FQ123">
        <v>1765314951.6</v>
      </c>
      <c r="FR123">
        <v>1765314947.6</v>
      </c>
      <c r="FS123">
        <v>106</v>
      </c>
      <c r="FT123">
        <v>0.247</v>
      </c>
      <c r="FU123">
        <v>-0</v>
      </c>
      <c r="FV123">
        <v>0.368</v>
      </c>
      <c r="FW123">
        <v>0.07199999999999999</v>
      </c>
      <c r="FX123">
        <v>600</v>
      </c>
      <c r="FY123">
        <v>17</v>
      </c>
      <c r="FZ123">
        <v>0.34</v>
      </c>
      <c r="GA123">
        <v>0.28</v>
      </c>
      <c r="GB123">
        <v>-0.809959425</v>
      </c>
      <c r="GC123">
        <v>-0.111043283302063</v>
      </c>
      <c r="GD123">
        <v>0.06407840552045888</v>
      </c>
      <c r="GE123">
        <v>1</v>
      </c>
      <c r="GF123">
        <v>783.6130000000001</v>
      </c>
      <c r="GG123">
        <v>-1.906768530004334</v>
      </c>
      <c r="GH123">
        <v>0.2630798357913435</v>
      </c>
      <c r="GI123">
        <v>0</v>
      </c>
      <c r="GJ123">
        <v>0.15430605</v>
      </c>
      <c r="GK123">
        <v>-0.009201590994371739</v>
      </c>
      <c r="GL123">
        <v>0.001909370144183677</v>
      </c>
      <c r="GM123">
        <v>1</v>
      </c>
      <c r="GN123">
        <v>2</v>
      </c>
      <c r="GO123">
        <v>3</v>
      </c>
      <c r="GP123" t="s">
        <v>453</v>
      </c>
      <c r="GQ123">
        <v>3.10828</v>
      </c>
      <c r="GR123">
        <v>2.79165</v>
      </c>
      <c r="GS123">
        <v>0.11343</v>
      </c>
      <c r="GT123">
        <v>0.113604</v>
      </c>
      <c r="GU123">
        <v>0.0860775</v>
      </c>
      <c r="GV123">
        <v>0.0863256</v>
      </c>
      <c r="GW123">
        <v>23264.8</v>
      </c>
      <c r="GX123">
        <v>21115.3</v>
      </c>
      <c r="GY123">
        <v>26798.4</v>
      </c>
      <c r="GZ123">
        <v>24027.4</v>
      </c>
      <c r="HA123">
        <v>39146.1</v>
      </c>
      <c r="HB123">
        <v>32401.6</v>
      </c>
      <c r="HC123">
        <v>46773</v>
      </c>
      <c r="HD123">
        <v>37995.1</v>
      </c>
      <c r="HE123">
        <v>1.82278</v>
      </c>
      <c r="HF123">
        <v>1.86725</v>
      </c>
      <c r="HG123">
        <v>0.0681281</v>
      </c>
      <c r="HH123">
        <v>0</v>
      </c>
      <c r="HI123">
        <v>23.8926</v>
      </c>
      <c r="HJ123">
        <v>999.9</v>
      </c>
      <c r="HK123">
        <v>42.8</v>
      </c>
      <c r="HL123">
        <v>30.5</v>
      </c>
      <c r="HM123">
        <v>20.9072</v>
      </c>
      <c r="HN123">
        <v>61.2031</v>
      </c>
      <c r="HO123">
        <v>27.516</v>
      </c>
      <c r="HP123">
        <v>1</v>
      </c>
      <c r="HQ123">
        <v>0.0111738</v>
      </c>
      <c r="HR123">
        <v>0.937887</v>
      </c>
      <c r="HS123">
        <v>20.2921</v>
      </c>
      <c r="HT123">
        <v>5.22178</v>
      </c>
      <c r="HU123">
        <v>11.9763</v>
      </c>
      <c r="HV123">
        <v>4.96575</v>
      </c>
      <c r="HW123">
        <v>3.27598</v>
      </c>
      <c r="HX123">
        <v>9999</v>
      </c>
      <c r="HY123">
        <v>9999</v>
      </c>
      <c r="HZ123">
        <v>9999</v>
      </c>
      <c r="IA123">
        <v>999.9</v>
      </c>
      <c r="IB123">
        <v>1.86386</v>
      </c>
      <c r="IC123">
        <v>1.86005</v>
      </c>
      <c r="ID123">
        <v>1.85837</v>
      </c>
      <c r="IE123">
        <v>1.85969</v>
      </c>
      <c r="IF123">
        <v>1.85983</v>
      </c>
      <c r="IG123">
        <v>1.85837</v>
      </c>
      <c r="IH123">
        <v>1.85744</v>
      </c>
      <c r="II123">
        <v>1.85233</v>
      </c>
      <c r="IJ123">
        <v>0</v>
      </c>
      <c r="IK123">
        <v>0</v>
      </c>
      <c r="IL123">
        <v>0</v>
      </c>
      <c r="IM123">
        <v>0</v>
      </c>
      <c r="IN123" t="s">
        <v>441</v>
      </c>
      <c r="IO123" t="s">
        <v>442</v>
      </c>
      <c r="IP123" t="s">
        <v>443</v>
      </c>
      <c r="IQ123" t="s">
        <v>443</v>
      </c>
      <c r="IR123" t="s">
        <v>443</v>
      </c>
      <c r="IS123" t="s">
        <v>443</v>
      </c>
      <c r="IT123">
        <v>0</v>
      </c>
      <c r="IU123">
        <v>100</v>
      </c>
      <c r="IV123">
        <v>100</v>
      </c>
      <c r="IW123">
        <v>0.368</v>
      </c>
      <c r="IX123">
        <v>0.07199999999999999</v>
      </c>
      <c r="IY123">
        <v>-0.4268964800530797</v>
      </c>
      <c r="IZ123">
        <v>0.0001583678016168383</v>
      </c>
      <c r="JA123">
        <v>1.526473431467286E-06</v>
      </c>
      <c r="JB123">
        <v>-4.446382740029455E-10</v>
      </c>
      <c r="JC123">
        <v>-0.04315257206964811</v>
      </c>
      <c r="JD123">
        <v>-0.009941991807247691</v>
      </c>
      <c r="JE123">
        <v>0.001256427533001032</v>
      </c>
      <c r="JF123">
        <v>-1.689728105039484E-05</v>
      </c>
      <c r="JG123">
        <v>2</v>
      </c>
      <c r="JH123">
        <v>1984</v>
      </c>
      <c r="JI123">
        <v>0</v>
      </c>
      <c r="JJ123">
        <v>25</v>
      </c>
      <c r="JK123">
        <v>1.5</v>
      </c>
      <c r="JL123">
        <v>1.5</v>
      </c>
      <c r="JM123">
        <v>1.51489</v>
      </c>
      <c r="JN123">
        <v>2.6355</v>
      </c>
      <c r="JO123">
        <v>1.49658</v>
      </c>
      <c r="JP123">
        <v>2.34741</v>
      </c>
      <c r="JQ123">
        <v>1.54907</v>
      </c>
      <c r="JR123">
        <v>2.39136</v>
      </c>
      <c r="JS123">
        <v>35.0364</v>
      </c>
      <c r="JT123">
        <v>24.1313</v>
      </c>
      <c r="JU123">
        <v>18</v>
      </c>
      <c r="JV123">
        <v>440.75</v>
      </c>
      <c r="JW123">
        <v>492.114</v>
      </c>
      <c r="JX123">
        <v>23.1974</v>
      </c>
      <c r="JY123">
        <v>27.2905</v>
      </c>
      <c r="JZ123">
        <v>30.0001</v>
      </c>
      <c r="KA123">
        <v>27.4986</v>
      </c>
      <c r="KB123">
        <v>27.4882</v>
      </c>
      <c r="KC123">
        <v>30.43</v>
      </c>
      <c r="KD123">
        <v>19.3163</v>
      </c>
      <c r="KE123">
        <v>51.9095</v>
      </c>
      <c r="KF123">
        <v>23.1996</v>
      </c>
      <c r="KG123">
        <v>600</v>
      </c>
      <c r="KH123">
        <v>17.3071</v>
      </c>
      <c r="KI123">
        <v>102.284</v>
      </c>
      <c r="KJ123">
        <v>91.6476</v>
      </c>
    </row>
    <row r="124" spans="1:296">
      <c r="A124">
        <v>106</v>
      </c>
      <c r="B124">
        <v>1765315028.1</v>
      </c>
      <c r="C124">
        <v>17595.09999990463</v>
      </c>
      <c r="D124" t="s">
        <v>765</v>
      </c>
      <c r="E124" t="s">
        <v>766</v>
      </c>
      <c r="F124">
        <v>5</v>
      </c>
      <c r="G124" t="s">
        <v>739</v>
      </c>
      <c r="H124">
        <v>1765315020.349999</v>
      </c>
      <c r="I124">
        <f>(J124)/1000</f>
        <v>0</v>
      </c>
      <c r="J124">
        <f>IF(DO124, AM124, AG124)</f>
        <v>0</v>
      </c>
      <c r="K124">
        <f>IF(DO124, AH124, AF124)</f>
        <v>0</v>
      </c>
      <c r="L124">
        <f>DQ124 - IF(AT124&gt;1, K124*DK124*100.0/(AV124), 0)</f>
        <v>0</v>
      </c>
      <c r="M124">
        <f>((S124-I124/2)*L124-K124)/(S124+I124/2)</f>
        <v>0</v>
      </c>
      <c r="N124">
        <f>M124*(DX124+DY124)/1000.0</f>
        <v>0</v>
      </c>
      <c r="O124">
        <f>(DQ124 - IF(AT124&gt;1, K124*DK124*100.0/(AV124), 0))*(DX124+DY124)/1000.0</f>
        <v>0</v>
      </c>
      <c r="P124">
        <f>2.0/((1/R124-1/Q124)+SIGN(R124)*SQRT((1/R124-1/Q124)*(1/R124-1/Q124) + 4*DL124/((DL124+1)*(DL124+1))*(2*1/R124*1/Q124-1/Q124*1/Q124)))</f>
        <v>0</v>
      </c>
      <c r="Q124">
        <f>IF(LEFT(DM124,1)&lt;&gt;"0",IF(LEFT(DM124,1)="1",3.0,DN124),$D$5+$E$5*(EE124*DX124/($K$5*1000))+$F$5*(EE124*DX124/($K$5*1000))*MAX(MIN(DK124,$J$5),$I$5)*MAX(MIN(DK124,$J$5),$I$5)+$G$5*MAX(MIN(DK124,$J$5),$I$5)*(EE124*DX124/($K$5*1000))+$H$5*(EE124*DX124/($K$5*1000))*(EE124*DX124/($K$5*1000)))</f>
        <v>0</v>
      </c>
      <c r="R124">
        <f>I124*(1000-(1000*0.61365*exp(17.502*V124/(240.97+V124))/(DX124+DY124)+DS124)/2)/(1000*0.61365*exp(17.502*V124/(240.97+V124))/(DX124+DY124)-DS124)</f>
        <v>0</v>
      </c>
      <c r="S124">
        <f>1/((DL124+1)/(P124/1.6)+1/(Q124/1.37)) + DL124/((DL124+1)/(P124/1.6) + DL124/(Q124/1.37))</f>
        <v>0</v>
      </c>
      <c r="T124">
        <f>(DG124*DJ124)</f>
        <v>0</v>
      </c>
      <c r="U124">
        <f>(DZ124+(T124+2*0.95*5.67E-8*(((DZ124+$B$9)+273)^4-(DZ124+273)^4)-44100*I124)/(1.84*29.3*Q124+8*0.95*5.67E-8*(DZ124+273)^3))</f>
        <v>0</v>
      </c>
      <c r="V124">
        <f>($C$9*EA124+$D$9*EB124+$E$9*U124)</f>
        <v>0</v>
      </c>
      <c r="W124">
        <f>0.61365*exp(17.502*V124/(240.97+V124))</f>
        <v>0</v>
      </c>
      <c r="X124">
        <f>(Y124/Z124*100)</f>
        <v>0</v>
      </c>
      <c r="Y124">
        <f>DS124*(DX124+DY124)/1000</f>
        <v>0</v>
      </c>
      <c r="Z124">
        <f>0.61365*exp(17.502*DZ124/(240.97+DZ124))</f>
        <v>0</v>
      </c>
      <c r="AA124">
        <f>(W124-DS124*(DX124+DY124)/1000)</f>
        <v>0</v>
      </c>
      <c r="AB124">
        <f>(-I124*44100)</f>
        <v>0</v>
      </c>
      <c r="AC124">
        <f>2*29.3*Q124*0.92*(DZ124-V124)</f>
        <v>0</v>
      </c>
      <c r="AD124">
        <f>2*0.95*5.67E-8*(((DZ124+$B$9)+273)^4-(V124+273)^4)</f>
        <v>0</v>
      </c>
      <c r="AE124">
        <f>T124+AD124+AB124+AC124</f>
        <v>0</v>
      </c>
      <c r="AF124">
        <f>DW124*AT124*(DR124-DQ124*(1000-AT124*DT124)/(1000-AT124*DS124))/(100*DK124)</f>
        <v>0</v>
      </c>
      <c r="AG124">
        <f>1000*DW124*AT124*(DS124-DT124)/(100*DK124*(1000-AT124*DS124))</f>
        <v>0</v>
      </c>
      <c r="AH124">
        <f>(AI124 - AJ124 - DX124*1E3/(8.314*(DZ124+273.15)) * AL124/DW124 * AK124) * DW124/(100*DK124) * (1000 - DT124)/1000</f>
        <v>0</v>
      </c>
      <c r="AI124">
        <v>814.058826626067</v>
      </c>
      <c r="AJ124">
        <v>813.1764545454547</v>
      </c>
      <c r="AK124">
        <v>-0.02808218046749503</v>
      </c>
      <c r="AL124">
        <v>65.71995472705925</v>
      </c>
      <c r="AM124">
        <f>(AO124 - AN124 + DX124*1E3/(8.314*(DZ124+273.15)) * AQ124/DW124 * AP124) * DW124/(100*DK124) * 1000/(1000 - AO124)</f>
        <v>0</v>
      </c>
      <c r="AN124">
        <v>17.33404381512425</v>
      </c>
      <c r="AO124">
        <v>17.48813454545454</v>
      </c>
      <c r="AP124">
        <v>7.630333133602076E-06</v>
      </c>
      <c r="AQ124">
        <v>106.8293983060394</v>
      </c>
      <c r="AR124">
        <v>33</v>
      </c>
      <c r="AS124">
        <v>7</v>
      </c>
      <c r="AT124">
        <f>IF(AR124*$H$15&gt;=AV124,1.0,(AV124/(AV124-AR124*$H$15)))</f>
        <v>0</v>
      </c>
      <c r="AU124">
        <f>(AT124-1)*100</f>
        <v>0</v>
      </c>
      <c r="AV124">
        <f>MAX(0,($B$15+$C$15*EE124)/(1+$D$15*EE124)*DX124/(DZ124+273)*$E$15)</f>
        <v>0</v>
      </c>
      <c r="AW124" t="s">
        <v>437</v>
      </c>
      <c r="AX124" t="s">
        <v>437</v>
      </c>
      <c r="AY124">
        <v>0</v>
      </c>
      <c r="AZ124">
        <v>0</v>
      </c>
      <c r="BA124">
        <f>1-AY124/AZ124</f>
        <v>0</v>
      </c>
      <c r="BB124">
        <v>0</v>
      </c>
      <c r="BC124" t="s">
        <v>437</v>
      </c>
      <c r="BD124" t="s">
        <v>437</v>
      </c>
      <c r="BE124">
        <v>0</v>
      </c>
      <c r="BF124">
        <v>0</v>
      </c>
      <c r="BG124">
        <f>1-BE124/BF124</f>
        <v>0</v>
      </c>
      <c r="BH124">
        <v>0.5</v>
      </c>
      <c r="BI124">
        <f>DH124</f>
        <v>0</v>
      </c>
      <c r="BJ124">
        <f>K124</f>
        <v>0</v>
      </c>
      <c r="BK124">
        <f>BG124*BH124*BI124</f>
        <v>0</v>
      </c>
      <c r="BL124">
        <f>(BJ124-BB124)/BI124</f>
        <v>0</v>
      </c>
      <c r="BM124">
        <f>(AZ124-BF124)/BF124</f>
        <v>0</v>
      </c>
      <c r="BN124">
        <f>AY124/(BA124+AY124/BF124)</f>
        <v>0</v>
      </c>
      <c r="BO124" t="s">
        <v>437</v>
      </c>
      <c r="BP124">
        <v>0</v>
      </c>
      <c r="BQ124">
        <f>IF(BP124&lt;&gt;0, BP124, BN124)</f>
        <v>0</v>
      </c>
      <c r="BR124">
        <f>1-BQ124/BF124</f>
        <v>0</v>
      </c>
      <c r="BS124">
        <f>(BF124-BE124)/(BF124-BQ124)</f>
        <v>0</v>
      </c>
      <c r="BT124">
        <f>(AZ124-BF124)/(AZ124-BQ124)</f>
        <v>0</v>
      </c>
      <c r="BU124">
        <f>(BF124-BE124)/(BF124-AY124)</f>
        <v>0</v>
      </c>
      <c r="BV124">
        <f>(AZ124-BF124)/(AZ124-AY124)</f>
        <v>0</v>
      </c>
      <c r="BW124">
        <f>(BS124*BQ124/BE124)</f>
        <v>0</v>
      </c>
      <c r="BX124">
        <f>(1-BW124)</f>
        <v>0</v>
      </c>
      <c r="DG124">
        <f>$B$13*EF124+$C$13*EG124+$F$13*ER124*(1-EU124)</f>
        <v>0</v>
      </c>
      <c r="DH124">
        <f>DG124*DI124</f>
        <v>0</v>
      </c>
      <c r="DI124">
        <f>($B$13*$D$11+$C$13*$D$11+$F$13*((FE124+EW124)/MAX(FE124+EW124+FF124, 0.1)*$I$11+FF124/MAX(FE124+EW124+FF124, 0.1)*$J$11))/($B$13+$C$13+$F$13)</f>
        <v>0</v>
      </c>
      <c r="DJ124">
        <f>($B$13*$K$11+$C$13*$K$11+$F$13*((FE124+EW124)/MAX(FE124+EW124+FF124, 0.1)*$P$11+FF124/MAX(FE124+EW124+FF124, 0.1)*$Q$11))/($B$13+$C$13+$F$13)</f>
        <v>0</v>
      </c>
      <c r="DK124">
        <v>5.66</v>
      </c>
      <c r="DL124">
        <v>0.5</v>
      </c>
      <c r="DM124" t="s">
        <v>438</v>
      </c>
      <c r="DN124">
        <v>2</v>
      </c>
      <c r="DO124" t="b">
        <v>1</v>
      </c>
      <c r="DP124">
        <v>1765315020.349999</v>
      </c>
      <c r="DQ124">
        <v>799.0624666666668</v>
      </c>
      <c r="DR124">
        <v>800.0083999999998</v>
      </c>
      <c r="DS124">
        <v>17.48878333333333</v>
      </c>
      <c r="DT124">
        <v>17.33930333333333</v>
      </c>
      <c r="DU124">
        <v>798.3384666666667</v>
      </c>
      <c r="DV124">
        <v>17.41278333333333</v>
      </c>
      <c r="DW124">
        <v>499.9897666666666</v>
      </c>
      <c r="DX124">
        <v>89.75292333333333</v>
      </c>
      <c r="DY124">
        <v>0.09997481666666669</v>
      </c>
      <c r="DZ124">
        <v>24.82034333333333</v>
      </c>
      <c r="EA124">
        <v>25.00216666666667</v>
      </c>
      <c r="EB124">
        <v>999.9000000000002</v>
      </c>
      <c r="EC124">
        <v>0</v>
      </c>
      <c r="ED124">
        <v>0</v>
      </c>
      <c r="EE124">
        <v>10002.355</v>
      </c>
      <c r="EF124">
        <v>0</v>
      </c>
      <c r="EG124">
        <v>9.773097666666667</v>
      </c>
      <c r="EH124">
        <v>-0.9765819666666666</v>
      </c>
      <c r="EI124">
        <v>813.2539333333332</v>
      </c>
      <c r="EJ124">
        <v>814.1246666666666</v>
      </c>
      <c r="EK124">
        <v>0.1486250666666667</v>
      </c>
      <c r="EL124">
        <v>800.0083999999998</v>
      </c>
      <c r="EM124">
        <v>17.33930333333333</v>
      </c>
      <c r="EN124">
        <v>1.569593333333334</v>
      </c>
      <c r="EO124">
        <v>1.556254</v>
      </c>
      <c r="EP124">
        <v>13.66348</v>
      </c>
      <c r="EQ124">
        <v>13.53232666666667</v>
      </c>
      <c r="ER124">
        <v>800.0162333333333</v>
      </c>
      <c r="ES124">
        <v>0.9500132000000001</v>
      </c>
      <c r="ET124">
        <v>0.04998671666666666</v>
      </c>
      <c r="EU124">
        <v>0</v>
      </c>
      <c r="EV124">
        <v>783.5121666666669</v>
      </c>
      <c r="EW124">
        <v>5.00078</v>
      </c>
      <c r="EX124">
        <v>5926.121666666665</v>
      </c>
      <c r="EY124">
        <v>6463.578333333335</v>
      </c>
      <c r="EZ124">
        <v>36.95189999999999</v>
      </c>
      <c r="FA124">
        <v>39.41019999999999</v>
      </c>
      <c r="FB124">
        <v>38.85813333333332</v>
      </c>
      <c r="FC124">
        <v>39.3039</v>
      </c>
      <c r="FD124">
        <v>38.53106666666667</v>
      </c>
      <c r="FE124">
        <v>755.275</v>
      </c>
      <c r="FF124">
        <v>39.74</v>
      </c>
      <c r="FG124">
        <v>0</v>
      </c>
      <c r="FH124">
        <v>1765315027.7</v>
      </c>
      <c r="FI124">
        <v>0</v>
      </c>
      <c r="FJ124">
        <v>783.5257307692307</v>
      </c>
      <c r="FK124">
        <v>-0.5988034098745509</v>
      </c>
      <c r="FL124">
        <v>-9.103931514324531</v>
      </c>
      <c r="FM124">
        <v>5926.084230769231</v>
      </c>
      <c r="FN124">
        <v>15</v>
      </c>
      <c r="FO124">
        <v>1765315045.1</v>
      </c>
      <c r="FP124" t="s">
        <v>767</v>
      </c>
      <c r="FQ124">
        <v>1765315045.1</v>
      </c>
      <c r="FR124">
        <v>1765315045.1</v>
      </c>
      <c r="FS124">
        <v>107</v>
      </c>
      <c r="FT124">
        <v>0.028</v>
      </c>
      <c r="FU124">
        <v>0.004</v>
      </c>
      <c r="FV124">
        <v>0.724</v>
      </c>
      <c r="FW124">
        <v>0.076</v>
      </c>
      <c r="FX124">
        <v>801</v>
      </c>
      <c r="FY124">
        <v>17</v>
      </c>
      <c r="FZ124">
        <v>0.5600000000000001</v>
      </c>
      <c r="GA124">
        <v>0.24</v>
      </c>
      <c r="GB124">
        <v>-1.000725875</v>
      </c>
      <c r="GC124">
        <v>0.4767507804878063</v>
      </c>
      <c r="GD124">
        <v>0.06017557325492941</v>
      </c>
      <c r="GE124">
        <v>1</v>
      </c>
      <c r="GF124">
        <v>783.4914705882353</v>
      </c>
      <c r="GG124">
        <v>-0.1565469818367694</v>
      </c>
      <c r="GH124">
        <v>0.2206356105989228</v>
      </c>
      <c r="GI124">
        <v>1</v>
      </c>
      <c r="GJ124">
        <v>0.148526225</v>
      </c>
      <c r="GK124">
        <v>0.002538630393995989</v>
      </c>
      <c r="GL124">
        <v>0.001404863542973123</v>
      </c>
      <c r="GM124">
        <v>1</v>
      </c>
      <c r="GN124">
        <v>3</v>
      </c>
      <c r="GO124">
        <v>3</v>
      </c>
      <c r="GP124" t="s">
        <v>440</v>
      </c>
      <c r="GQ124">
        <v>3.10832</v>
      </c>
      <c r="GR124">
        <v>2.79164</v>
      </c>
      <c r="GS124">
        <v>0.138008</v>
      </c>
      <c r="GT124">
        <v>0.138239</v>
      </c>
      <c r="GU124">
        <v>0.08617850000000001</v>
      </c>
      <c r="GV124">
        <v>0.0864086</v>
      </c>
      <c r="GW124">
        <v>22618.6</v>
      </c>
      <c r="GX124">
        <v>20527.3</v>
      </c>
      <c r="GY124">
        <v>26796.7</v>
      </c>
      <c r="GZ124">
        <v>24026</v>
      </c>
      <c r="HA124">
        <v>39142.2</v>
      </c>
      <c r="HB124">
        <v>32399</v>
      </c>
      <c r="HC124">
        <v>46769.8</v>
      </c>
      <c r="HD124">
        <v>37992.6</v>
      </c>
      <c r="HE124">
        <v>1.82367</v>
      </c>
      <c r="HF124">
        <v>1.86698</v>
      </c>
      <c r="HG124">
        <v>0.06932770000000001</v>
      </c>
      <c r="HH124">
        <v>0</v>
      </c>
      <c r="HI124">
        <v>23.8695</v>
      </c>
      <c r="HJ124">
        <v>999.9</v>
      </c>
      <c r="HK124">
        <v>42.9</v>
      </c>
      <c r="HL124">
        <v>30.5</v>
      </c>
      <c r="HM124">
        <v>20.9552</v>
      </c>
      <c r="HN124">
        <v>61.3131</v>
      </c>
      <c r="HO124">
        <v>27.3918</v>
      </c>
      <c r="HP124">
        <v>1</v>
      </c>
      <c r="HQ124">
        <v>0.014314</v>
      </c>
      <c r="HR124">
        <v>0.924785</v>
      </c>
      <c r="HS124">
        <v>20.2919</v>
      </c>
      <c r="HT124">
        <v>5.22178</v>
      </c>
      <c r="HU124">
        <v>11.9755</v>
      </c>
      <c r="HV124">
        <v>4.96545</v>
      </c>
      <c r="HW124">
        <v>3.276</v>
      </c>
      <c r="HX124">
        <v>9999</v>
      </c>
      <c r="HY124">
        <v>9999</v>
      </c>
      <c r="HZ124">
        <v>9999</v>
      </c>
      <c r="IA124">
        <v>999.9</v>
      </c>
      <c r="IB124">
        <v>1.86387</v>
      </c>
      <c r="IC124">
        <v>1.86005</v>
      </c>
      <c r="ID124">
        <v>1.85836</v>
      </c>
      <c r="IE124">
        <v>1.85965</v>
      </c>
      <c r="IF124">
        <v>1.85985</v>
      </c>
      <c r="IG124">
        <v>1.85835</v>
      </c>
      <c r="IH124">
        <v>1.85743</v>
      </c>
      <c r="II124">
        <v>1.85232</v>
      </c>
      <c r="IJ124">
        <v>0</v>
      </c>
      <c r="IK124">
        <v>0</v>
      </c>
      <c r="IL124">
        <v>0</v>
      </c>
      <c r="IM124">
        <v>0</v>
      </c>
      <c r="IN124" t="s">
        <v>441</v>
      </c>
      <c r="IO124" t="s">
        <v>442</v>
      </c>
      <c r="IP124" t="s">
        <v>443</v>
      </c>
      <c r="IQ124" t="s">
        <v>443</v>
      </c>
      <c r="IR124" t="s">
        <v>443</v>
      </c>
      <c r="IS124" t="s">
        <v>443</v>
      </c>
      <c r="IT124">
        <v>0</v>
      </c>
      <c r="IU124">
        <v>100</v>
      </c>
      <c r="IV124">
        <v>100</v>
      </c>
      <c r="IW124">
        <v>0.724</v>
      </c>
      <c r="IX124">
        <v>0.076</v>
      </c>
      <c r="IY124">
        <v>-0.1796930901132581</v>
      </c>
      <c r="IZ124">
        <v>0.0001583678016168383</v>
      </c>
      <c r="JA124">
        <v>1.526473431467286E-06</v>
      </c>
      <c r="JB124">
        <v>-4.446382740029455E-10</v>
      </c>
      <c r="JC124">
        <v>-0.04346898498194171</v>
      </c>
      <c r="JD124">
        <v>-0.009941991807247691</v>
      </c>
      <c r="JE124">
        <v>0.001256427533001032</v>
      </c>
      <c r="JF124">
        <v>-1.689728105039484E-05</v>
      </c>
      <c r="JG124">
        <v>2</v>
      </c>
      <c r="JH124">
        <v>1984</v>
      </c>
      <c r="JI124">
        <v>0</v>
      </c>
      <c r="JJ124">
        <v>25</v>
      </c>
      <c r="JK124">
        <v>1.3</v>
      </c>
      <c r="JL124">
        <v>1.3</v>
      </c>
      <c r="JM124">
        <v>1.91162</v>
      </c>
      <c r="JN124">
        <v>2.6355</v>
      </c>
      <c r="JO124">
        <v>1.49658</v>
      </c>
      <c r="JP124">
        <v>2.34741</v>
      </c>
      <c r="JQ124">
        <v>1.54907</v>
      </c>
      <c r="JR124">
        <v>2.36084</v>
      </c>
      <c r="JS124">
        <v>35.0594</v>
      </c>
      <c r="JT124">
        <v>24.1313</v>
      </c>
      <c r="JU124">
        <v>18</v>
      </c>
      <c r="JV124">
        <v>441.552</v>
      </c>
      <c r="JW124">
        <v>492.324</v>
      </c>
      <c r="JX124">
        <v>23.1958</v>
      </c>
      <c r="JY124">
        <v>27.3337</v>
      </c>
      <c r="JZ124">
        <v>30.0002</v>
      </c>
      <c r="KA124">
        <v>27.5442</v>
      </c>
      <c r="KB124">
        <v>27.5336</v>
      </c>
      <c r="KC124">
        <v>38.3907</v>
      </c>
      <c r="KD124">
        <v>19.3163</v>
      </c>
      <c r="KE124">
        <v>51.9095</v>
      </c>
      <c r="KF124">
        <v>23.1955</v>
      </c>
      <c r="KG124">
        <v>800</v>
      </c>
      <c r="KH124">
        <v>17.3251</v>
      </c>
      <c r="KI124">
        <v>102.277</v>
      </c>
      <c r="KJ124">
        <v>91.6418</v>
      </c>
    </row>
    <row r="125" spans="1:296">
      <c r="A125">
        <v>107</v>
      </c>
      <c r="B125">
        <v>1765315120.1</v>
      </c>
      <c r="C125">
        <v>17687.09999990463</v>
      </c>
      <c r="D125" t="s">
        <v>768</v>
      </c>
      <c r="E125" t="s">
        <v>769</v>
      </c>
      <c r="F125">
        <v>5</v>
      </c>
      <c r="G125" t="s">
        <v>739</v>
      </c>
      <c r="H125">
        <v>1765315112.099999</v>
      </c>
      <c r="I125">
        <f>(J125)/1000</f>
        <v>0</v>
      </c>
      <c r="J125">
        <f>IF(DO125, AM125, AG125)</f>
        <v>0</v>
      </c>
      <c r="K125">
        <f>IF(DO125, AH125, AF125)</f>
        <v>0</v>
      </c>
      <c r="L125">
        <f>DQ125 - IF(AT125&gt;1, K125*DK125*100.0/(AV125), 0)</f>
        <v>0</v>
      </c>
      <c r="M125">
        <f>((S125-I125/2)*L125-K125)/(S125+I125/2)</f>
        <v>0</v>
      </c>
      <c r="N125">
        <f>M125*(DX125+DY125)/1000.0</f>
        <v>0</v>
      </c>
      <c r="O125">
        <f>(DQ125 - IF(AT125&gt;1, K125*DK125*100.0/(AV125), 0))*(DX125+DY125)/1000.0</f>
        <v>0</v>
      </c>
      <c r="P125">
        <f>2.0/((1/R125-1/Q125)+SIGN(R125)*SQRT((1/R125-1/Q125)*(1/R125-1/Q125) + 4*DL125/((DL125+1)*(DL125+1))*(2*1/R125*1/Q125-1/Q125*1/Q125)))</f>
        <v>0</v>
      </c>
      <c r="Q125">
        <f>IF(LEFT(DM125,1)&lt;&gt;"0",IF(LEFT(DM125,1)="1",3.0,DN125),$D$5+$E$5*(EE125*DX125/($K$5*1000))+$F$5*(EE125*DX125/($K$5*1000))*MAX(MIN(DK125,$J$5),$I$5)*MAX(MIN(DK125,$J$5),$I$5)+$G$5*MAX(MIN(DK125,$J$5),$I$5)*(EE125*DX125/($K$5*1000))+$H$5*(EE125*DX125/($K$5*1000))*(EE125*DX125/($K$5*1000)))</f>
        <v>0</v>
      </c>
      <c r="R125">
        <f>I125*(1000-(1000*0.61365*exp(17.502*V125/(240.97+V125))/(DX125+DY125)+DS125)/2)/(1000*0.61365*exp(17.502*V125/(240.97+V125))/(DX125+DY125)-DS125)</f>
        <v>0</v>
      </c>
      <c r="S125">
        <f>1/((DL125+1)/(P125/1.6)+1/(Q125/1.37)) + DL125/((DL125+1)/(P125/1.6) + DL125/(Q125/1.37))</f>
        <v>0</v>
      </c>
      <c r="T125">
        <f>(DG125*DJ125)</f>
        <v>0</v>
      </c>
      <c r="U125">
        <f>(DZ125+(T125+2*0.95*5.67E-8*(((DZ125+$B$9)+273)^4-(DZ125+273)^4)-44100*I125)/(1.84*29.3*Q125+8*0.95*5.67E-8*(DZ125+273)^3))</f>
        <v>0</v>
      </c>
      <c r="V125">
        <f>($C$9*EA125+$D$9*EB125+$E$9*U125)</f>
        <v>0</v>
      </c>
      <c r="W125">
        <f>0.61365*exp(17.502*V125/(240.97+V125))</f>
        <v>0</v>
      </c>
      <c r="X125">
        <f>(Y125/Z125*100)</f>
        <v>0</v>
      </c>
      <c r="Y125">
        <f>DS125*(DX125+DY125)/1000</f>
        <v>0</v>
      </c>
      <c r="Z125">
        <f>0.61365*exp(17.502*DZ125/(240.97+DZ125))</f>
        <v>0</v>
      </c>
      <c r="AA125">
        <f>(W125-DS125*(DX125+DY125)/1000)</f>
        <v>0</v>
      </c>
      <c r="AB125">
        <f>(-I125*44100)</f>
        <v>0</v>
      </c>
      <c r="AC125">
        <f>2*29.3*Q125*0.92*(DZ125-V125)</f>
        <v>0</v>
      </c>
      <c r="AD125">
        <f>2*0.95*5.67E-8*(((DZ125+$B$9)+273)^4-(V125+273)^4)</f>
        <v>0</v>
      </c>
      <c r="AE125">
        <f>T125+AD125+AB125+AC125</f>
        <v>0</v>
      </c>
      <c r="AF125">
        <f>DW125*AT125*(DR125-DQ125*(1000-AT125*DT125)/(1000-AT125*DS125))/(100*DK125)</f>
        <v>0</v>
      </c>
      <c r="AG125">
        <f>1000*DW125*AT125*(DS125-DT125)/(100*DK125*(1000-AT125*DS125))</f>
        <v>0</v>
      </c>
      <c r="AH125">
        <f>(AI125 - AJ125 - DX125*1E3/(8.314*(DZ125+273.15)) * AL125/DW125 * AK125) * DW125/(100*DK125) * (1000 - DT125)/1000</f>
        <v>0</v>
      </c>
      <c r="AI125">
        <v>1017.674000055005</v>
      </c>
      <c r="AJ125">
        <v>1016.893636363637</v>
      </c>
      <c r="AK125">
        <v>-0.005825225033412151</v>
      </c>
      <c r="AL125">
        <v>65.67496048202023</v>
      </c>
      <c r="AM125">
        <f>(AO125 - AN125 + DX125*1E3/(8.314*(DZ125+273.15)) * AQ125/DW125 * AP125) * DW125/(100*DK125) * 1000/(1000 - AO125)</f>
        <v>0</v>
      </c>
      <c r="AN125">
        <v>17.36560909090909</v>
      </c>
      <c r="AO125">
        <v>17.51094121212121</v>
      </c>
      <c r="AP125">
        <v>-2.127176527206223E-05</v>
      </c>
      <c r="AQ125">
        <v>106.4276341273603</v>
      </c>
      <c r="AR125">
        <v>32</v>
      </c>
      <c r="AS125">
        <v>6</v>
      </c>
      <c r="AT125">
        <f>IF(AR125*$H$15&gt;=AV125,1.0,(AV125/(AV125-AR125*$H$15)))</f>
        <v>0</v>
      </c>
      <c r="AU125">
        <f>(AT125-1)*100</f>
        <v>0</v>
      </c>
      <c r="AV125">
        <f>MAX(0,($B$15+$C$15*EE125)/(1+$D$15*EE125)*DX125/(DZ125+273)*$E$15)</f>
        <v>0</v>
      </c>
      <c r="AW125" t="s">
        <v>437</v>
      </c>
      <c r="AX125" t="s">
        <v>437</v>
      </c>
      <c r="AY125">
        <v>0</v>
      </c>
      <c r="AZ125">
        <v>0</v>
      </c>
      <c r="BA125">
        <f>1-AY125/AZ125</f>
        <v>0</v>
      </c>
      <c r="BB125">
        <v>0</v>
      </c>
      <c r="BC125" t="s">
        <v>437</v>
      </c>
      <c r="BD125" t="s">
        <v>437</v>
      </c>
      <c r="BE125">
        <v>0</v>
      </c>
      <c r="BF125">
        <v>0</v>
      </c>
      <c r="BG125">
        <f>1-BE125/BF125</f>
        <v>0</v>
      </c>
      <c r="BH125">
        <v>0.5</v>
      </c>
      <c r="BI125">
        <f>DH125</f>
        <v>0</v>
      </c>
      <c r="BJ125">
        <f>K125</f>
        <v>0</v>
      </c>
      <c r="BK125">
        <f>BG125*BH125*BI125</f>
        <v>0</v>
      </c>
      <c r="BL125">
        <f>(BJ125-BB125)/BI125</f>
        <v>0</v>
      </c>
      <c r="BM125">
        <f>(AZ125-BF125)/BF125</f>
        <v>0</v>
      </c>
      <c r="BN125">
        <f>AY125/(BA125+AY125/BF125)</f>
        <v>0</v>
      </c>
      <c r="BO125" t="s">
        <v>437</v>
      </c>
      <c r="BP125">
        <v>0</v>
      </c>
      <c r="BQ125">
        <f>IF(BP125&lt;&gt;0, BP125, BN125)</f>
        <v>0</v>
      </c>
      <c r="BR125">
        <f>1-BQ125/BF125</f>
        <v>0</v>
      </c>
      <c r="BS125">
        <f>(BF125-BE125)/(BF125-BQ125)</f>
        <v>0</v>
      </c>
      <c r="BT125">
        <f>(AZ125-BF125)/(AZ125-BQ125)</f>
        <v>0</v>
      </c>
      <c r="BU125">
        <f>(BF125-BE125)/(BF125-AY125)</f>
        <v>0</v>
      </c>
      <c r="BV125">
        <f>(AZ125-BF125)/(AZ125-AY125)</f>
        <v>0</v>
      </c>
      <c r="BW125">
        <f>(BS125*BQ125/BE125)</f>
        <v>0</v>
      </c>
      <c r="BX125">
        <f>(1-BW125)</f>
        <v>0</v>
      </c>
      <c r="DG125">
        <f>$B$13*EF125+$C$13*EG125+$F$13*ER125*(1-EU125)</f>
        <v>0</v>
      </c>
      <c r="DH125">
        <f>DG125*DI125</f>
        <v>0</v>
      </c>
      <c r="DI125">
        <f>($B$13*$D$11+$C$13*$D$11+$F$13*((FE125+EW125)/MAX(FE125+EW125+FF125, 0.1)*$I$11+FF125/MAX(FE125+EW125+FF125, 0.1)*$J$11))/($B$13+$C$13+$F$13)</f>
        <v>0</v>
      </c>
      <c r="DJ125">
        <f>($B$13*$K$11+$C$13*$K$11+$F$13*((FE125+EW125)/MAX(FE125+EW125+FF125, 0.1)*$P$11+FF125/MAX(FE125+EW125+FF125, 0.1)*$Q$11))/($B$13+$C$13+$F$13)</f>
        <v>0</v>
      </c>
      <c r="DK125">
        <v>5.66</v>
      </c>
      <c r="DL125">
        <v>0.5</v>
      </c>
      <c r="DM125" t="s">
        <v>438</v>
      </c>
      <c r="DN125">
        <v>2</v>
      </c>
      <c r="DO125" t="b">
        <v>1</v>
      </c>
      <c r="DP125">
        <v>1765315112.099999</v>
      </c>
      <c r="DQ125">
        <v>998.783129032258</v>
      </c>
      <c r="DR125">
        <v>1000.005903225806</v>
      </c>
      <c r="DS125">
        <v>17.50830000000001</v>
      </c>
      <c r="DT125">
        <v>17.3582935483871</v>
      </c>
      <c r="DU125">
        <v>998.014129032258</v>
      </c>
      <c r="DV125">
        <v>17.43230000000001</v>
      </c>
      <c r="DW125">
        <v>499.9809677419354</v>
      </c>
      <c r="DX125">
        <v>89.75116451612902</v>
      </c>
      <c r="DY125">
        <v>0.09995815161290325</v>
      </c>
      <c r="DZ125">
        <v>24.8043935483871</v>
      </c>
      <c r="EA125">
        <v>24.99687419354839</v>
      </c>
      <c r="EB125">
        <v>999.9000000000003</v>
      </c>
      <c r="EC125">
        <v>0</v>
      </c>
      <c r="ED125">
        <v>0</v>
      </c>
      <c r="EE125">
        <v>9994.589677419355</v>
      </c>
      <c r="EF125">
        <v>0</v>
      </c>
      <c r="EG125">
        <v>9.766548064516128</v>
      </c>
      <c r="EH125">
        <v>-0.9069019032258063</v>
      </c>
      <c r="EI125">
        <v>1016.906129032258</v>
      </c>
      <c r="EJ125">
        <v>1017.670322580645</v>
      </c>
      <c r="EK125">
        <v>0.1534996774193548</v>
      </c>
      <c r="EL125">
        <v>1000.005903225806</v>
      </c>
      <c r="EM125">
        <v>17.3582935483871</v>
      </c>
      <c r="EN125">
        <v>1.571702903225807</v>
      </c>
      <c r="EO125">
        <v>1.557927096774193</v>
      </c>
      <c r="EP125">
        <v>13.68413548387097</v>
      </c>
      <c r="EQ125">
        <v>13.54882258064516</v>
      </c>
      <c r="ER125">
        <v>799.9963548387097</v>
      </c>
      <c r="ES125">
        <v>0.9500079354838709</v>
      </c>
      <c r="ET125">
        <v>0.04999198709677419</v>
      </c>
      <c r="EU125">
        <v>0</v>
      </c>
      <c r="EV125">
        <v>784.1918064516132</v>
      </c>
      <c r="EW125">
        <v>5.000779999999999</v>
      </c>
      <c r="EX125">
        <v>5916.80935483871</v>
      </c>
      <c r="EY125">
        <v>6463.404838709678</v>
      </c>
      <c r="EZ125">
        <v>36.28796774193547</v>
      </c>
      <c r="FA125">
        <v>38.64696774193548</v>
      </c>
      <c r="FB125">
        <v>38.12074193548386</v>
      </c>
      <c r="FC125">
        <v>38.28403225806451</v>
      </c>
      <c r="FD125">
        <v>37.91112903225806</v>
      </c>
      <c r="FE125">
        <v>755.2525806451611</v>
      </c>
      <c r="FF125">
        <v>39.74</v>
      </c>
      <c r="FG125">
        <v>0</v>
      </c>
      <c r="FH125">
        <v>1765315119.5</v>
      </c>
      <c r="FI125">
        <v>0</v>
      </c>
      <c r="FJ125">
        <v>784.1951600000002</v>
      </c>
      <c r="FK125">
        <v>0.1628461391435588</v>
      </c>
      <c r="FL125">
        <v>-6.941538582958177</v>
      </c>
      <c r="FM125">
        <v>5916.8864</v>
      </c>
      <c r="FN125">
        <v>15</v>
      </c>
      <c r="FO125">
        <v>1765315143.1</v>
      </c>
      <c r="FP125" t="s">
        <v>770</v>
      </c>
      <c r="FQ125">
        <v>1765315143.1</v>
      </c>
      <c r="FR125">
        <v>1765315136.1</v>
      </c>
      <c r="FS125">
        <v>108</v>
      </c>
      <c r="FT125">
        <v>-0.318</v>
      </c>
      <c r="FU125">
        <v>-0.001</v>
      </c>
      <c r="FV125">
        <v>0.769</v>
      </c>
      <c r="FW125">
        <v>0.076</v>
      </c>
      <c r="FX125">
        <v>1000</v>
      </c>
      <c r="FY125">
        <v>17</v>
      </c>
      <c r="FZ125">
        <v>0.7</v>
      </c>
      <c r="GA125">
        <v>0.09</v>
      </c>
      <c r="GB125">
        <v>-0.9140275750000001</v>
      </c>
      <c r="GC125">
        <v>0.4163952382739227</v>
      </c>
      <c r="GD125">
        <v>0.09198477128549255</v>
      </c>
      <c r="GE125">
        <v>1</v>
      </c>
      <c r="GF125">
        <v>784.1891764705882</v>
      </c>
      <c r="GG125">
        <v>0.136012218308061</v>
      </c>
      <c r="GH125">
        <v>0.2059596577556819</v>
      </c>
      <c r="GI125">
        <v>1</v>
      </c>
      <c r="GJ125">
        <v>0.15354375</v>
      </c>
      <c r="GK125">
        <v>-0.002744532833020982</v>
      </c>
      <c r="GL125">
        <v>0.002636940620776282</v>
      </c>
      <c r="GM125">
        <v>1</v>
      </c>
      <c r="GN125">
        <v>3</v>
      </c>
      <c r="GO125">
        <v>3</v>
      </c>
      <c r="GP125" t="s">
        <v>440</v>
      </c>
      <c r="GQ125">
        <v>3.10826</v>
      </c>
      <c r="GR125">
        <v>2.79167</v>
      </c>
      <c r="GS125">
        <v>0.159605</v>
      </c>
      <c r="GT125">
        <v>0.159898</v>
      </c>
      <c r="GU125">
        <v>0.086233</v>
      </c>
      <c r="GV125">
        <v>0.08652070000000001</v>
      </c>
      <c r="GW125">
        <v>22050.6</v>
      </c>
      <c r="GX125">
        <v>20010.3</v>
      </c>
      <c r="GY125">
        <v>26795.1</v>
      </c>
      <c r="GZ125">
        <v>24024.6</v>
      </c>
      <c r="HA125">
        <v>39140.2</v>
      </c>
      <c r="HB125">
        <v>32398.2</v>
      </c>
      <c r="HC125">
        <v>46767</v>
      </c>
      <c r="HD125">
        <v>37993.6</v>
      </c>
      <c r="HE125">
        <v>1.82477</v>
      </c>
      <c r="HF125">
        <v>1.86723</v>
      </c>
      <c r="HG125">
        <v>0.0701174</v>
      </c>
      <c r="HH125">
        <v>0</v>
      </c>
      <c r="HI125">
        <v>23.8434</v>
      </c>
      <c r="HJ125">
        <v>999.9</v>
      </c>
      <c r="HK125">
        <v>42.9</v>
      </c>
      <c r="HL125">
        <v>30.5</v>
      </c>
      <c r="HM125">
        <v>20.9589</v>
      </c>
      <c r="HN125">
        <v>61.0831</v>
      </c>
      <c r="HO125">
        <v>27.6603</v>
      </c>
      <c r="HP125">
        <v>1</v>
      </c>
      <c r="HQ125">
        <v>0.0168928</v>
      </c>
      <c r="HR125">
        <v>0.921353</v>
      </c>
      <c r="HS125">
        <v>20.2913</v>
      </c>
      <c r="HT125">
        <v>5.21864</v>
      </c>
      <c r="HU125">
        <v>11.9757</v>
      </c>
      <c r="HV125">
        <v>4.96475</v>
      </c>
      <c r="HW125">
        <v>3.27525</v>
      </c>
      <c r="HX125">
        <v>9999</v>
      </c>
      <c r="HY125">
        <v>9999</v>
      </c>
      <c r="HZ125">
        <v>9999</v>
      </c>
      <c r="IA125">
        <v>999.9</v>
      </c>
      <c r="IB125">
        <v>1.86387</v>
      </c>
      <c r="IC125">
        <v>1.86005</v>
      </c>
      <c r="ID125">
        <v>1.85837</v>
      </c>
      <c r="IE125">
        <v>1.85969</v>
      </c>
      <c r="IF125">
        <v>1.85985</v>
      </c>
      <c r="IG125">
        <v>1.85836</v>
      </c>
      <c r="IH125">
        <v>1.85743</v>
      </c>
      <c r="II125">
        <v>1.85232</v>
      </c>
      <c r="IJ125">
        <v>0</v>
      </c>
      <c r="IK125">
        <v>0</v>
      </c>
      <c r="IL125">
        <v>0</v>
      </c>
      <c r="IM125">
        <v>0</v>
      </c>
      <c r="IN125" t="s">
        <v>441</v>
      </c>
      <c r="IO125" t="s">
        <v>442</v>
      </c>
      <c r="IP125" t="s">
        <v>443</v>
      </c>
      <c r="IQ125" t="s">
        <v>443</v>
      </c>
      <c r="IR125" t="s">
        <v>443</v>
      </c>
      <c r="IS125" t="s">
        <v>443</v>
      </c>
      <c r="IT125">
        <v>0</v>
      </c>
      <c r="IU125">
        <v>100</v>
      </c>
      <c r="IV125">
        <v>100</v>
      </c>
      <c r="IW125">
        <v>0.769</v>
      </c>
      <c r="IX125">
        <v>0.076</v>
      </c>
      <c r="IY125">
        <v>-0.1518902125231157</v>
      </c>
      <c r="IZ125">
        <v>0.0001583678016168383</v>
      </c>
      <c r="JA125">
        <v>1.526473431467286E-06</v>
      </c>
      <c r="JB125">
        <v>-4.446382740029455E-10</v>
      </c>
      <c r="JC125">
        <v>-0.03950392079299425</v>
      </c>
      <c r="JD125">
        <v>-0.009941991807247691</v>
      </c>
      <c r="JE125">
        <v>0.001256427533001032</v>
      </c>
      <c r="JF125">
        <v>-1.689728105039484E-05</v>
      </c>
      <c r="JG125">
        <v>2</v>
      </c>
      <c r="JH125">
        <v>1984</v>
      </c>
      <c r="JI125">
        <v>0</v>
      </c>
      <c r="JJ125">
        <v>25</v>
      </c>
      <c r="JK125">
        <v>1.2</v>
      </c>
      <c r="JL125">
        <v>1.2</v>
      </c>
      <c r="JM125">
        <v>2.29004</v>
      </c>
      <c r="JN125">
        <v>2.62451</v>
      </c>
      <c r="JO125">
        <v>1.49658</v>
      </c>
      <c r="JP125">
        <v>2.34741</v>
      </c>
      <c r="JQ125">
        <v>1.54907</v>
      </c>
      <c r="JR125">
        <v>2.4231</v>
      </c>
      <c r="JS125">
        <v>35.0825</v>
      </c>
      <c r="JT125">
        <v>24.1313</v>
      </c>
      <c r="JU125">
        <v>18</v>
      </c>
      <c r="JV125">
        <v>442.405</v>
      </c>
      <c r="JW125">
        <v>492.816</v>
      </c>
      <c r="JX125">
        <v>23.2432</v>
      </c>
      <c r="JY125">
        <v>27.3662</v>
      </c>
      <c r="JZ125">
        <v>30.0003</v>
      </c>
      <c r="KA125">
        <v>27.5815</v>
      </c>
      <c r="KB125">
        <v>27.5719</v>
      </c>
      <c r="KC125">
        <v>45.9529</v>
      </c>
      <c r="KD125">
        <v>19.3163</v>
      </c>
      <c r="KE125">
        <v>51.9095</v>
      </c>
      <c r="KF125">
        <v>23.2469</v>
      </c>
      <c r="KG125">
        <v>1000</v>
      </c>
      <c r="KH125">
        <v>17.3358</v>
      </c>
      <c r="KI125">
        <v>102.271</v>
      </c>
      <c r="KJ125">
        <v>91.6412</v>
      </c>
    </row>
    <row r="126" spans="1:296">
      <c r="A126">
        <v>108</v>
      </c>
      <c r="B126">
        <v>1765315215.1</v>
      </c>
      <c r="C126">
        <v>17782.09999990463</v>
      </c>
      <c r="D126" t="s">
        <v>771</v>
      </c>
      <c r="E126" t="s">
        <v>772</v>
      </c>
      <c r="F126">
        <v>5</v>
      </c>
      <c r="G126" t="s">
        <v>739</v>
      </c>
      <c r="H126">
        <v>1765315207.099999</v>
      </c>
      <c r="I126">
        <f>(J126)/1000</f>
        <v>0</v>
      </c>
      <c r="J126">
        <f>IF(DO126, AM126, AG126)</f>
        <v>0</v>
      </c>
      <c r="K126">
        <f>IF(DO126, AH126, AF126)</f>
        <v>0</v>
      </c>
      <c r="L126">
        <f>DQ126 - IF(AT126&gt;1, K126*DK126*100.0/(AV126), 0)</f>
        <v>0</v>
      </c>
      <c r="M126">
        <f>((S126-I126/2)*L126-K126)/(S126+I126/2)</f>
        <v>0</v>
      </c>
      <c r="N126">
        <f>M126*(DX126+DY126)/1000.0</f>
        <v>0</v>
      </c>
      <c r="O126">
        <f>(DQ126 - IF(AT126&gt;1, K126*DK126*100.0/(AV126), 0))*(DX126+DY126)/1000.0</f>
        <v>0</v>
      </c>
      <c r="P126">
        <f>2.0/((1/R126-1/Q126)+SIGN(R126)*SQRT((1/R126-1/Q126)*(1/R126-1/Q126) + 4*DL126/((DL126+1)*(DL126+1))*(2*1/R126*1/Q126-1/Q126*1/Q126)))</f>
        <v>0</v>
      </c>
      <c r="Q126">
        <f>IF(LEFT(DM126,1)&lt;&gt;"0",IF(LEFT(DM126,1)="1",3.0,DN126),$D$5+$E$5*(EE126*DX126/($K$5*1000))+$F$5*(EE126*DX126/($K$5*1000))*MAX(MIN(DK126,$J$5),$I$5)*MAX(MIN(DK126,$J$5),$I$5)+$G$5*MAX(MIN(DK126,$J$5),$I$5)*(EE126*DX126/($K$5*1000))+$H$5*(EE126*DX126/($K$5*1000))*(EE126*DX126/($K$5*1000)))</f>
        <v>0</v>
      </c>
      <c r="R126">
        <f>I126*(1000-(1000*0.61365*exp(17.502*V126/(240.97+V126))/(DX126+DY126)+DS126)/2)/(1000*0.61365*exp(17.502*V126/(240.97+V126))/(DX126+DY126)-DS126)</f>
        <v>0</v>
      </c>
      <c r="S126">
        <f>1/((DL126+1)/(P126/1.6)+1/(Q126/1.37)) + DL126/((DL126+1)/(P126/1.6) + DL126/(Q126/1.37))</f>
        <v>0</v>
      </c>
      <c r="T126">
        <f>(DG126*DJ126)</f>
        <v>0</v>
      </c>
      <c r="U126">
        <f>(DZ126+(T126+2*0.95*5.67E-8*(((DZ126+$B$9)+273)^4-(DZ126+273)^4)-44100*I126)/(1.84*29.3*Q126+8*0.95*5.67E-8*(DZ126+273)^3))</f>
        <v>0</v>
      </c>
      <c r="V126">
        <f>($C$9*EA126+$D$9*EB126+$E$9*U126)</f>
        <v>0</v>
      </c>
      <c r="W126">
        <f>0.61365*exp(17.502*V126/(240.97+V126))</f>
        <v>0</v>
      </c>
      <c r="X126">
        <f>(Y126/Z126*100)</f>
        <v>0</v>
      </c>
      <c r="Y126">
        <f>DS126*(DX126+DY126)/1000</f>
        <v>0</v>
      </c>
      <c r="Z126">
        <f>0.61365*exp(17.502*DZ126/(240.97+DZ126))</f>
        <v>0</v>
      </c>
      <c r="AA126">
        <f>(W126-DS126*(DX126+DY126)/1000)</f>
        <v>0</v>
      </c>
      <c r="AB126">
        <f>(-I126*44100)</f>
        <v>0</v>
      </c>
      <c r="AC126">
        <f>2*29.3*Q126*0.92*(DZ126-V126)</f>
        <v>0</v>
      </c>
      <c r="AD126">
        <f>2*0.95*5.67E-8*(((DZ126+$B$9)+273)^4-(V126+273)^4)</f>
        <v>0</v>
      </c>
      <c r="AE126">
        <f>T126+AD126+AB126+AC126</f>
        <v>0</v>
      </c>
      <c r="AF126">
        <f>DW126*AT126*(DR126-DQ126*(1000-AT126*DT126)/(1000-AT126*DS126))/(100*DK126)</f>
        <v>0</v>
      </c>
      <c r="AG126">
        <f>1000*DW126*AT126*(DS126-DT126)/(100*DK126*(1000-AT126*DS126))</f>
        <v>0</v>
      </c>
      <c r="AH126">
        <f>(AI126 - AJ126 - DX126*1E3/(8.314*(DZ126+273.15)) * AL126/DW126 * AK126) * DW126/(100*DK126) * (1000 - DT126)/1000</f>
        <v>0</v>
      </c>
      <c r="AI126">
        <v>1221.20448353222</v>
      </c>
      <c r="AJ126">
        <v>1219.813333333333</v>
      </c>
      <c r="AK126">
        <v>0.03649345745449784</v>
      </c>
      <c r="AL126">
        <v>65.74876202258145</v>
      </c>
      <c r="AM126">
        <f>(AO126 - AN126 + DX126*1E3/(8.314*(DZ126+273.15)) * AQ126/DW126 * AP126) * DW126/(100*DK126) * 1000/(1000 - AO126)</f>
        <v>0</v>
      </c>
      <c r="AN126">
        <v>17.33653969118029</v>
      </c>
      <c r="AO126">
        <v>17.49553575757576</v>
      </c>
      <c r="AP126">
        <v>-5.824853940870957E-06</v>
      </c>
      <c r="AQ126">
        <v>107.1208268851463</v>
      </c>
      <c r="AR126">
        <v>31</v>
      </c>
      <c r="AS126">
        <v>6</v>
      </c>
      <c r="AT126">
        <f>IF(AR126*$H$15&gt;=AV126,1.0,(AV126/(AV126-AR126*$H$15)))</f>
        <v>0</v>
      </c>
      <c r="AU126">
        <f>(AT126-1)*100</f>
        <v>0</v>
      </c>
      <c r="AV126">
        <f>MAX(0,($B$15+$C$15*EE126)/(1+$D$15*EE126)*DX126/(DZ126+273)*$E$15)</f>
        <v>0</v>
      </c>
      <c r="AW126" t="s">
        <v>437</v>
      </c>
      <c r="AX126" t="s">
        <v>437</v>
      </c>
      <c r="AY126">
        <v>0</v>
      </c>
      <c r="AZ126">
        <v>0</v>
      </c>
      <c r="BA126">
        <f>1-AY126/AZ126</f>
        <v>0</v>
      </c>
      <c r="BB126">
        <v>0</v>
      </c>
      <c r="BC126" t="s">
        <v>437</v>
      </c>
      <c r="BD126" t="s">
        <v>437</v>
      </c>
      <c r="BE126">
        <v>0</v>
      </c>
      <c r="BF126">
        <v>0</v>
      </c>
      <c r="BG126">
        <f>1-BE126/BF126</f>
        <v>0</v>
      </c>
      <c r="BH126">
        <v>0.5</v>
      </c>
      <c r="BI126">
        <f>DH126</f>
        <v>0</v>
      </c>
      <c r="BJ126">
        <f>K126</f>
        <v>0</v>
      </c>
      <c r="BK126">
        <f>BG126*BH126*BI126</f>
        <v>0</v>
      </c>
      <c r="BL126">
        <f>(BJ126-BB126)/BI126</f>
        <v>0</v>
      </c>
      <c r="BM126">
        <f>(AZ126-BF126)/BF126</f>
        <v>0</v>
      </c>
      <c r="BN126">
        <f>AY126/(BA126+AY126/BF126)</f>
        <v>0</v>
      </c>
      <c r="BO126" t="s">
        <v>437</v>
      </c>
      <c r="BP126">
        <v>0</v>
      </c>
      <c r="BQ126">
        <f>IF(BP126&lt;&gt;0, BP126, BN126)</f>
        <v>0</v>
      </c>
      <c r="BR126">
        <f>1-BQ126/BF126</f>
        <v>0</v>
      </c>
      <c r="BS126">
        <f>(BF126-BE126)/(BF126-BQ126)</f>
        <v>0</v>
      </c>
      <c r="BT126">
        <f>(AZ126-BF126)/(AZ126-BQ126)</f>
        <v>0</v>
      </c>
      <c r="BU126">
        <f>(BF126-BE126)/(BF126-AY126)</f>
        <v>0</v>
      </c>
      <c r="BV126">
        <f>(AZ126-BF126)/(AZ126-AY126)</f>
        <v>0</v>
      </c>
      <c r="BW126">
        <f>(BS126*BQ126/BE126)</f>
        <v>0</v>
      </c>
      <c r="BX126">
        <f>(1-BW126)</f>
        <v>0</v>
      </c>
      <c r="DG126">
        <f>$B$13*EF126+$C$13*EG126+$F$13*ER126*(1-EU126)</f>
        <v>0</v>
      </c>
      <c r="DH126">
        <f>DG126*DI126</f>
        <v>0</v>
      </c>
      <c r="DI126">
        <f>($B$13*$D$11+$C$13*$D$11+$F$13*((FE126+EW126)/MAX(FE126+EW126+FF126, 0.1)*$I$11+FF126/MAX(FE126+EW126+FF126, 0.1)*$J$11))/($B$13+$C$13+$F$13)</f>
        <v>0</v>
      </c>
      <c r="DJ126">
        <f>($B$13*$K$11+$C$13*$K$11+$F$13*((FE126+EW126)/MAX(FE126+EW126+FF126, 0.1)*$P$11+FF126/MAX(FE126+EW126+FF126, 0.1)*$Q$11))/($B$13+$C$13+$F$13)</f>
        <v>0</v>
      </c>
      <c r="DK126">
        <v>5.66</v>
      </c>
      <c r="DL126">
        <v>0.5</v>
      </c>
      <c r="DM126" t="s">
        <v>438</v>
      </c>
      <c r="DN126">
        <v>2</v>
      </c>
      <c r="DO126" t="b">
        <v>1</v>
      </c>
      <c r="DP126">
        <v>1765315207.099999</v>
      </c>
      <c r="DQ126">
        <v>1198.504709677419</v>
      </c>
      <c r="DR126">
        <v>1200.002258064516</v>
      </c>
      <c r="DS126">
        <v>17.49624516129032</v>
      </c>
      <c r="DT126">
        <v>17.3367</v>
      </c>
      <c r="DU126">
        <v>1197.268709677419</v>
      </c>
      <c r="DV126">
        <v>17.41924516129032</v>
      </c>
      <c r="DW126">
        <v>499.9946129032257</v>
      </c>
      <c r="DX126">
        <v>89.75068709677419</v>
      </c>
      <c r="DY126">
        <v>0.09995775806451614</v>
      </c>
      <c r="DZ126">
        <v>24.78032580645161</v>
      </c>
      <c r="EA126">
        <v>24.99175806451613</v>
      </c>
      <c r="EB126">
        <v>999.9000000000003</v>
      </c>
      <c r="EC126">
        <v>0</v>
      </c>
      <c r="ED126">
        <v>0</v>
      </c>
      <c r="EE126">
        <v>10001.59838709678</v>
      </c>
      <c r="EF126">
        <v>0</v>
      </c>
      <c r="EG126">
        <v>9.77497</v>
      </c>
      <c r="EH126">
        <v>-1.589469032258064</v>
      </c>
      <c r="EI126">
        <v>1219.754516129032</v>
      </c>
      <c r="EJ126">
        <v>1221.173870967742</v>
      </c>
      <c r="EK126">
        <v>0.161177870967742</v>
      </c>
      <c r="EL126">
        <v>1200.002258064516</v>
      </c>
      <c r="EM126">
        <v>17.3367</v>
      </c>
      <c r="EN126">
        <v>1.570447419354838</v>
      </c>
      <c r="EO126">
        <v>1.555980967741935</v>
      </c>
      <c r="EP126">
        <v>13.67184838709677</v>
      </c>
      <c r="EQ126">
        <v>13.52963870967742</v>
      </c>
      <c r="ER126">
        <v>799.9778064516129</v>
      </c>
      <c r="ES126">
        <v>0.9500067096774193</v>
      </c>
      <c r="ET126">
        <v>0.04999318387096773</v>
      </c>
      <c r="EU126">
        <v>0</v>
      </c>
      <c r="EV126">
        <v>784.9580322580647</v>
      </c>
      <c r="EW126">
        <v>5.000779999999999</v>
      </c>
      <c r="EX126">
        <v>5911.566129032258</v>
      </c>
      <c r="EY126">
        <v>6463.252258064515</v>
      </c>
      <c r="EZ126">
        <v>35.73548387096773</v>
      </c>
      <c r="FA126">
        <v>38.17506451612903</v>
      </c>
      <c r="FB126">
        <v>37.1288064516129</v>
      </c>
      <c r="FC126">
        <v>37.74967741935483</v>
      </c>
      <c r="FD126">
        <v>37.37874193548387</v>
      </c>
      <c r="FE126">
        <v>755.2332258064516</v>
      </c>
      <c r="FF126">
        <v>39.74</v>
      </c>
      <c r="FG126">
        <v>0</v>
      </c>
      <c r="FH126">
        <v>1765315214.9</v>
      </c>
      <c r="FI126">
        <v>0</v>
      </c>
      <c r="FJ126">
        <v>785.0058846153845</v>
      </c>
      <c r="FK126">
        <v>0.1123760603720957</v>
      </c>
      <c r="FL126">
        <v>-8.237948748802799</v>
      </c>
      <c r="FM126">
        <v>5911.582307692308</v>
      </c>
      <c r="FN126">
        <v>15</v>
      </c>
      <c r="FO126">
        <v>1765315234.6</v>
      </c>
      <c r="FP126" t="s">
        <v>773</v>
      </c>
      <c r="FQ126">
        <v>1765315234.1</v>
      </c>
      <c r="FR126">
        <v>1765315234.6</v>
      </c>
      <c r="FS126">
        <v>109</v>
      </c>
      <c r="FT126">
        <v>0.089</v>
      </c>
      <c r="FU126">
        <v>0.002</v>
      </c>
      <c r="FV126">
        <v>1.236</v>
      </c>
      <c r="FW126">
        <v>0.077</v>
      </c>
      <c r="FX126">
        <v>1200</v>
      </c>
      <c r="FY126">
        <v>17</v>
      </c>
      <c r="FZ126">
        <v>0.68</v>
      </c>
      <c r="GA126">
        <v>0.25</v>
      </c>
      <c r="GB126">
        <v>-1.62539625</v>
      </c>
      <c r="GC126">
        <v>0.4907339212007558</v>
      </c>
      <c r="GD126">
        <v>0.1111321077521591</v>
      </c>
      <c r="GE126">
        <v>1</v>
      </c>
      <c r="GF126">
        <v>784.9761470588236</v>
      </c>
      <c r="GG126">
        <v>-0.05046600889465912</v>
      </c>
      <c r="GH126">
        <v>0.2640814415771477</v>
      </c>
      <c r="GI126">
        <v>1</v>
      </c>
      <c r="GJ126">
        <v>0.163060975</v>
      </c>
      <c r="GK126">
        <v>-0.03281517073170785</v>
      </c>
      <c r="GL126">
        <v>0.003480899298223808</v>
      </c>
      <c r="GM126">
        <v>1</v>
      </c>
      <c r="GN126">
        <v>3</v>
      </c>
      <c r="GO126">
        <v>3</v>
      </c>
      <c r="GP126" t="s">
        <v>440</v>
      </c>
      <c r="GQ126">
        <v>3.10822</v>
      </c>
      <c r="GR126">
        <v>2.7918</v>
      </c>
      <c r="GS126">
        <v>0.178943</v>
      </c>
      <c r="GT126">
        <v>0.179295</v>
      </c>
      <c r="GU126">
        <v>0.086175</v>
      </c>
      <c r="GV126">
        <v>0.0864072</v>
      </c>
      <c r="GW126">
        <v>21542.9</v>
      </c>
      <c r="GX126">
        <v>19548.7</v>
      </c>
      <c r="GY126">
        <v>26794.4</v>
      </c>
      <c r="GZ126">
        <v>24024.9</v>
      </c>
      <c r="HA126">
        <v>39144.2</v>
      </c>
      <c r="HB126">
        <v>32403</v>
      </c>
      <c r="HC126">
        <v>46765.8</v>
      </c>
      <c r="HD126">
        <v>37992.2</v>
      </c>
      <c r="HE126">
        <v>1.82693</v>
      </c>
      <c r="HF126">
        <v>1.86688</v>
      </c>
      <c r="HG126">
        <v>0.0684857</v>
      </c>
      <c r="HH126">
        <v>0</v>
      </c>
      <c r="HI126">
        <v>23.8676</v>
      </c>
      <c r="HJ126">
        <v>999.9</v>
      </c>
      <c r="HK126">
        <v>42.9</v>
      </c>
      <c r="HL126">
        <v>30.5</v>
      </c>
      <c r="HM126">
        <v>20.9563</v>
      </c>
      <c r="HN126">
        <v>61.2431</v>
      </c>
      <c r="HO126">
        <v>27.6322</v>
      </c>
      <c r="HP126">
        <v>1</v>
      </c>
      <c r="HQ126">
        <v>0.0189609</v>
      </c>
      <c r="HR126">
        <v>0.818761</v>
      </c>
      <c r="HS126">
        <v>20.2927</v>
      </c>
      <c r="HT126">
        <v>5.22283</v>
      </c>
      <c r="HU126">
        <v>11.9773</v>
      </c>
      <c r="HV126">
        <v>4.96555</v>
      </c>
      <c r="HW126">
        <v>3.27593</v>
      </c>
      <c r="HX126">
        <v>9999</v>
      </c>
      <c r="HY126">
        <v>9999</v>
      </c>
      <c r="HZ126">
        <v>9999</v>
      </c>
      <c r="IA126">
        <v>999.9</v>
      </c>
      <c r="IB126">
        <v>1.86386</v>
      </c>
      <c r="IC126">
        <v>1.86005</v>
      </c>
      <c r="ID126">
        <v>1.85837</v>
      </c>
      <c r="IE126">
        <v>1.85964</v>
      </c>
      <c r="IF126">
        <v>1.85987</v>
      </c>
      <c r="IG126">
        <v>1.85836</v>
      </c>
      <c r="IH126">
        <v>1.85743</v>
      </c>
      <c r="II126">
        <v>1.85233</v>
      </c>
      <c r="IJ126">
        <v>0</v>
      </c>
      <c r="IK126">
        <v>0</v>
      </c>
      <c r="IL126">
        <v>0</v>
      </c>
      <c r="IM126">
        <v>0</v>
      </c>
      <c r="IN126" t="s">
        <v>441</v>
      </c>
      <c r="IO126" t="s">
        <v>442</v>
      </c>
      <c r="IP126" t="s">
        <v>443</v>
      </c>
      <c r="IQ126" t="s">
        <v>443</v>
      </c>
      <c r="IR126" t="s">
        <v>443</v>
      </c>
      <c r="IS126" t="s">
        <v>443</v>
      </c>
      <c r="IT126">
        <v>0</v>
      </c>
      <c r="IU126">
        <v>100</v>
      </c>
      <c r="IV126">
        <v>100</v>
      </c>
      <c r="IW126">
        <v>1.236</v>
      </c>
      <c r="IX126">
        <v>0.077</v>
      </c>
      <c r="IY126">
        <v>-0.4705521854376604</v>
      </c>
      <c r="IZ126">
        <v>0.0001583678016168383</v>
      </c>
      <c r="JA126">
        <v>1.526473431467286E-06</v>
      </c>
      <c r="JB126">
        <v>-4.446382740029455E-10</v>
      </c>
      <c r="JC126">
        <v>-0.04010093503524709</v>
      </c>
      <c r="JD126">
        <v>-0.009941991807247691</v>
      </c>
      <c r="JE126">
        <v>0.001256427533001032</v>
      </c>
      <c r="JF126">
        <v>-1.689728105039484E-05</v>
      </c>
      <c r="JG126">
        <v>2</v>
      </c>
      <c r="JH126">
        <v>1984</v>
      </c>
      <c r="JI126">
        <v>0</v>
      </c>
      <c r="JJ126">
        <v>25</v>
      </c>
      <c r="JK126">
        <v>1.2</v>
      </c>
      <c r="JL126">
        <v>1.3</v>
      </c>
      <c r="JM126">
        <v>2.65137</v>
      </c>
      <c r="JN126">
        <v>2.61963</v>
      </c>
      <c r="JO126">
        <v>1.49658</v>
      </c>
      <c r="JP126">
        <v>2.34741</v>
      </c>
      <c r="JQ126">
        <v>1.54907</v>
      </c>
      <c r="JR126">
        <v>2.39624</v>
      </c>
      <c r="JS126">
        <v>35.1055</v>
      </c>
      <c r="JT126">
        <v>24.1313</v>
      </c>
      <c r="JU126">
        <v>18</v>
      </c>
      <c r="JV126">
        <v>443.811</v>
      </c>
      <c r="JW126">
        <v>492.888</v>
      </c>
      <c r="JX126">
        <v>23.3197</v>
      </c>
      <c r="JY126">
        <v>27.3969</v>
      </c>
      <c r="JZ126">
        <v>30.0003</v>
      </c>
      <c r="KA126">
        <v>27.6165</v>
      </c>
      <c r="KB126">
        <v>27.607</v>
      </c>
      <c r="KC126">
        <v>53.2012</v>
      </c>
      <c r="KD126">
        <v>19.5941</v>
      </c>
      <c r="KE126">
        <v>51.9095</v>
      </c>
      <c r="KF126">
        <v>23.318</v>
      </c>
      <c r="KG126">
        <v>1200</v>
      </c>
      <c r="KH126">
        <v>17.2899</v>
      </c>
      <c r="KI126">
        <v>102.268</v>
      </c>
      <c r="KJ126">
        <v>91.6397</v>
      </c>
    </row>
    <row r="127" spans="1:296">
      <c r="A127">
        <v>109</v>
      </c>
      <c r="B127">
        <v>1765315325.6</v>
      </c>
      <c r="C127">
        <v>17892.59999990463</v>
      </c>
      <c r="D127" t="s">
        <v>774</v>
      </c>
      <c r="E127" t="s">
        <v>775</v>
      </c>
      <c r="F127">
        <v>5</v>
      </c>
      <c r="G127" t="s">
        <v>739</v>
      </c>
      <c r="H127">
        <v>1765315317.599999</v>
      </c>
      <c r="I127">
        <f>(J127)/1000</f>
        <v>0</v>
      </c>
      <c r="J127">
        <f>IF(DO127, AM127, AG127)</f>
        <v>0</v>
      </c>
      <c r="K127">
        <f>IF(DO127, AH127, AF127)</f>
        <v>0</v>
      </c>
      <c r="L127">
        <f>DQ127 - IF(AT127&gt;1, K127*DK127*100.0/(AV127), 0)</f>
        <v>0</v>
      </c>
      <c r="M127">
        <f>((S127-I127/2)*L127-K127)/(S127+I127/2)</f>
        <v>0</v>
      </c>
      <c r="N127">
        <f>M127*(DX127+DY127)/1000.0</f>
        <v>0</v>
      </c>
      <c r="O127">
        <f>(DQ127 - IF(AT127&gt;1, K127*DK127*100.0/(AV127), 0))*(DX127+DY127)/1000.0</f>
        <v>0</v>
      </c>
      <c r="P127">
        <f>2.0/((1/R127-1/Q127)+SIGN(R127)*SQRT((1/R127-1/Q127)*(1/R127-1/Q127) + 4*DL127/((DL127+1)*(DL127+1))*(2*1/R127*1/Q127-1/Q127*1/Q127)))</f>
        <v>0</v>
      </c>
      <c r="Q127">
        <f>IF(LEFT(DM127,1)&lt;&gt;"0",IF(LEFT(DM127,1)="1",3.0,DN127),$D$5+$E$5*(EE127*DX127/($K$5*1000))+$F$5*(EE127*DX127/($K$5*1000))*MAX(MIN(DK127,$J$5),$I$5)*MAX(MIN(DK127,$J$5),$I$5)+$G$5*MAX(MIN(DK127,$J$5),$I$5)*(EE127*DX127/($K$5*1000))+$H$5*(EE127*DX127/($K$5*1000))*(EE127*DX127/($K$5*1000)))</f>
        <v>0</v>
      </c>
      <c r="R127">
        <f>I127*(1000-(1000*0.61365*exp(17.502*V127/(240.97+V127))/(DX127+DY127)+DS127)/2)/(1000*0.61365*exp(17.502*V127/(240.97+V127))/(DX127+DY127)-DS127)</f>
        <v>0</v>
      </c>
      <c r="S127">
        <f>1/((DL127+1)/(P127/1.6)+1/(Q127/1.37)) + DL127/((DL127+1)/(P127/1.6) + DL127/(Q127/1.37))</f>
        <v>0</v>
      </c>
      <c r="T127">
        <f>(DG127*DJ127)</f>
        <v>0</v>
      </c>
      <c r="U127">
        <f>(DZ127+(T127+2*0.95*5.67E-8*(((DZ127+$B$9)+273)^4-(DZ127+273)^4)-44100*I127)/(1.84*29.3*Q127+8*0.95*5.67E-8*(DZ127+273)^3))</f>
        <v>0</v>
      </c>
      <c r="V127">
        <f>($C$9*EA127+$D$9*EB127+$E$9*U127)</f>
        <v>0</v>
      </c>
      <c r="W127">
        <f>0.61365*exp(17.502*V127/(240.97+V127))</f>
        <v>0</v>
      </c>
      <c r="X127">
        <f>(Y127/Z127*100)</f>
        <v>0</v>
      </c>
      <c r="Y127">
        <f>DS127*(DX127+DY127)/1000</f>
        <v>0</v>
      </c>
      <c r="Z127">
        <f>0.61365*exp(17.502*DZ127/(240.97+DZ127))</f>
        <v>0</v>
      </c>
      <c r="AA127">
        <f>(W127-DS127*(DX127+DY127)/1000)</f>
        <v>0</v>
      </c>
      <c r="AB127">
        <f>(-I127*44100)</f>
        <v>0</v>
      </c>
      <c r="AC127">
        <f>2*29.3*Q127*0.92*(DZ127-V127)</f>
        <v>0</v>
      </c>
      <c r="AD127">
        <f>2*0.95*5.67E-8*(((DZ127+$B$9)+273)^4-(V127+273)^4)</f>
        <v>0</v>
      </c>
      <c r="AE127">
        <f>T127+AD127+AB127+AC127</f>
        <v>0</v>
      </c>
      <c r="AF127">
        <f>DW127*AT127*(DR127-DQ127*(1000-AT127*DT127)/(1000-AT127*DS127))/(100*DK127)</f>
        <v>0</v>
      </c>
      <c r="AG127">
        <f>1000*DW127*AT127*(DS127-DT127)/(100*DK127*(1000-AT127*DS127))</f>
        <v>0</v>
      </c>
      <c r="AH127">
        <f>(AI127 - AJ127 - DX127*1E3/(8.314*(DZ127+273.15)) * AL127/DW127 * AK127) * DW127/(100*DK127) * (1000 - DT127)/1000</f>
        <v>0</v>
      </c>
      <c r="AI127">
        <v>1526.274884336246</v>
      </c>
      <c r="AJ127">
        <v>1524.672969696969</v>
      </c>
      <c r="AK127">
        <v>0.02108459565566088</v>
      </c>
      <c r="AL127">
        <v>65.75784804179399</v>
      </c>
      <c r="AM127">
        <f>(AO127 - AN127 + DX127*1E3/(8.314*(DZ127+273.15)) * AQ127/DW127 * AP127) * DW127/(100*DK127) * 1000/(1000 - AO127)</f>
        <v>0</v>
      </c>
      <c r="AN127">
        <v>17.31505634968602</v>
      </c>
      <c r="AO127">
        <v>17.4269109090909</v>
      </c>
      <c r="AP127">
        <v>9.261157128731568E-05</v>
      </c>
      <c r="AQ127">
        <v>107.2178828957564</v>
      </c>
      <c r="AR127">
        <v>30</v>
      </c>
      <c r="AS127">
        <v>6</v>
      </c>
      <c r="AT127">
        <f>IF(AR127*$H$15&gt;=AV127,1.0,(AV127/(AV127-AR127*$H$15)))</f>
        <v>0</v>
      </c>
      <c r="AU127">
        <f>(AT127-1)*100</f>
        <v>0</v>
      </c>
      <c r="AV127">
        <f>MAX(0,($B$15+$C$15*EE127)/(1+$D$15*EE127)*DX127/(DZ127+273)*$E$15)</f>
        <v>0</v>
      </c>
      <c r="AW127" t="s">
        <v>437</v>
      </c>
      <c r="AX127" t="s">
        <v>437</v>
      </c>
      <c r="AY127">
        <v>0</v>
      </c>
      <c r="AZ127">
        <v>0</v>
      </c>
      <c r="BA127">
        <f>1-AY127/AZ127</f>
        <v>0</v>
      </c>
      <c r="BB127">
        <v>0</v>
      </c>
      <c r="BC127" t="s">
        <v>437</v>
      </c>
      <c r="BD127" t="s">
        <v>437</v>
      </c>
      <c r="BE127">
        <v>0</v>
      </c>
      <c r="BF127">
        <v>0</v>
      </c>
      <c r="BG127">
        <f>1-BE127/BF127</f>
        <v>0</v>
      </c>
      <c r="BH127">
        <v>0.5</v>
      </c>
      <c r="BI127">
        <f>DH127</f>
        <v>0</v>
      </c>
      <c r="BJ127">
        <f>K127</f>
        <v>0</v>
      </c>
      <c r="BK127">
        <f>BG127*BH127*BI127</f>
        <v>0</v>
      </c>
      <c r="BL127">
        <f>(BJ127-BB127)/BI127</f>
        <v>0</v>
      </c>
      <c r="BM127">
        <f>(AZ127-BF127)/BF127</f>
        <v>0</v>
      </c>
      <c r="BN127">
        <f>AY127/(BA127+AY127/BF127)</f>
        <v>0</v>
      </c>
      <c r="BO127" t="s">
        <v>437</v>
      </c>
      <c r="BP127">
        <v>0</v>
      </c>
      <c r="BQ127">
        <f>IF(BP127&lt;&gt;0, BP127, BN127)</f>
        <v>0</v>
      </c>
      <c r="BR127">
        <f>1-BQ127/BF127</f>
        <v>0</v>
      </c>
      <c r="BS127">
        <f>(BF127-BE127)/(BF127-BQ127)</f>
        <v>0</v>
      </c>
      <c r="BT127">
        <f>(AZ127-BF127)/(AZ127-BQ127)</f>
        <v>0</v>
      </c>
      <c r="BU127">
        <f>(BF127-BE127)/(BF127-AY127)</f>
        <v>0</v>
      </c>
      <c r="BV127">
        <f>(AZ127-BF127)/(AZ127-AY127)</f>
        <v>0</v>
      </c>
      <c r="BW127">
        <f>(BS127*BQ127/BE127)</f>
        <v>0</v>
      </c>
      <c r="BX127">
        <f>(1-BW127)</f>
        <v>0</v>
      </c>
      <c r="DG127">
        <f>$B$13*EF127+$C$13*EG127+$F$13*ER127*(1-EU127)</f>
        <v>0</v>
      </c>
      <c r="DH127">
        <f>DG127*DI127</f>
        <v>0</v>
      </c>
      <c r="DI127">
        <f>($B$13*$D$11+$C$13*$D$11+$F$13*((FE127+EW127)/MAX(FE127+EW127+FF127, 0.1)*$I$11+FF127/MAX(FE127+EW127+FF127, 0.1)*$J$11))/($B$13+$C$13+$F$13)</f>
        <v>0</v>
      </c>
      <c r="DJ127">
        <f>($B$13*$K$11+$C$13*$K$11+$F$13*((FE127+EW127)/MAX(FE127+EW127+FF127, 0.1)*$P$11+FF127/MAX(FE127+EW127+FF127, 0.1)*$Q$11))/($B$13+$C$13+$F$13)</f>
        <v>0</v>
      </c>
      <c r="DK127">
        <v>5.66</v>
      </c>
      <c r="DL127">
        <v>0.5</v>
      </c>
      <c r="DM127" t="s">
        <v>438</v>
      </c>
      <c r="DN127">
        <v>2</v>
      </c>
      <c r="DO127" t="b">
        <v>1</v>
      </c>
      <c r="DP127">
        <v>1765315317.599999</v>
      </c>
      <c r="DQ127">
        <v>1498.302967741936</v>
      </c>
      <c r="DR127">
        <v>1500.003548387097</v>
      </c>
      <c r="DS127">
        <v>17.4154</v>
      </c>
      <c r="DT127">
        <v>17.26994516129032</v>
      </c>
      <c r="DU127">
        <v>1496.290967741936</v>
      </c>
      <c r="DV127">
        <v>17.3404</v>
      </c>
      <c r="DW127">
        <v>500.012</v>
      </c>
      <c r="DX127">
        <v>89.75364193548387</v>
      </c>
      <c r="DY127">
        <v>0.100008335483871</v>
      </c>
      <c r="DZ127">
        <v>24.77396451612903</v>
      </c>
      <c r="EA127">
        <v>24.98959032258064</v>
      </c>
      <c r="EB127">
        <v>999.9000000000003</v>
      </c>
      <c r="EC127">
        <v>0</v>
      </c>
      <c r="ED127">
        <v>0</v>
      </c>
      <c r="EE127">
        <v>9996.810967741934</v>
      </c>
      <c r="EF127">
        <v>0</v>
      </c>
      <c r="EG127">
        <v>9.77497</v>
      </c>
      <c r="EH127">
        <v>-1.929615806451613</v>
      </c>
      <c r="EI127">
        <v>1524.632580645162</v>
      </c>
      <c r="EJ127">
        <v>1526.364838709677</v>
      </c>
      <c r="EK127">
        <v>0.1493094580645161</v>
      </c>
      <c r="EL127">
        <v>1500.003548387097</v>
      </c>
      <c r="EM127">
        <v>17.26994516129032</v>
      </c>
      <c r="EN127">
        <v>1.563441290322581</v>
      </c>
      <c r="EO127">
        <v>1.55003935483871</v>
      </c>
      <c r="EP127">
        <v>13.60311612903226</v>
      </c>
      <c r="EQ127">
        <v>13.4708870967742</v>
      </c>
      <c r="ER127">
        <v>799.9753870967741</v>
      </c>
      <c r="ES127">
        <v>0.9500022258064517</v>
      </c>
      <c r="ET127">
        <v>0.04999795161290323</v>
      </c>
      <c r="EU127">
        <v>0</v>
      </c>
      <c r="EV127">
        <v>784.2326451612904</v>
      </c>
      <c r="EW127">
        <v>5.000779999999999</v>
      </c>
      <c r="EX127">
        <v>5920.382258064517</v>
      </c>
      <c r="EY127">
        <v>6463.222580645162</v>
      </c>
      <c r="EZ127">
        <v>36.29009677419354</v>
      </c>
      <c r="FA127">
        <v>39.63487096774193</v>
      </c>
      <c r="FB127">
        <v>38.278</v>
      </c>
      <c r="FC127">
        <v>39.41719354838709</v>
      </c>
      <c r="FD127">
        <v>38.42925806451613</v>
      </c>
      <c r="FE127">
        <v>755.2267741935482</v>
      </c>
      <c r="FF127">
        <v>39.75</v>
      </c>
      <c r="FG127">
        <v>0</v>
      </c>
      <c r="FH127">
        <v>1765315325.3</v>
      </c>
      <c r="FI127">
        <v>0</v>
      </c>
      <c r="FJ127">
        <v>784.2107307692307</v>
      </c>
      <c r="FK127">
        <v>-1.215623945076917</v>
      </c>
      <c r="FL127">
        <v>3.66837603557629</v>
      </c>
      <c r="FM127">
        <v>5920.540000000002</v>
      </c>
      <c r="FN127">
        <v>15</v>
      </c>
      <c r="FO127">
        <v>1765315350.6</v>
      </c>
      <c r="FP127" t="s">
        <v>776</v>
      </c>
      <c r="FQ127">
        <v>1765315350.6</v>
      </c>
      <c r="FR127">
        <v>1765315341.6</v>
      </c>
      <c r="FS127">
        <v>110</v>
      </c>
      <c r="FT127">
        <v>0.223</v>
      </c>
      <c r="FU127">
        <v>-0.002</v>
      </c>
      <c r="FV127">
        <v>2.012</v>
      </c>
      <c r="FW127">
        <v>0.075</v>
      </c>
      <c r="FX127">
        <v>1500</v>
      </c>
      <c r="FY127">
        <v>17</v>
      </c>
      <c r="FZ127">
        <v>0.75</v>
      </c>
      <c r="GA127">
        <v>0.09</v>
      </c>
      <c r="GB127">
        <v>-1.92690975</v>
      </c>
      <c r="GC127">
        <v>0.2456779362101353</v>
      </c>
      <c r="GD127">
        <v>0.08708422725980576</v>
      </c>
      <c r="GE127">
        <v>1</v>
      </c>
      <c r="GF127">
        <v>784.306911764706</v>
      </c>
      <c r="GG127">
        <v>-1.214988549530338</v>
      </c>
      <c r="GH127">
        <v>0.2704668477724091</v>
      </c>
      <c r="GI127">
        <v>0</v>
      </c>
      <c r="GJ127">
        <v>0.151676505</v>
      </c>
      <c r="GK127">
        <v>-0.1170629741088181</v>
      </c>
      <c r="GL127">
        <v>0.01633247958504693</v>
      </c>
      <c r="GM127">
        <v>0</v>
      </c>
      <c r="GN127">
        <v>1</v>
      </c>
      <c r="GO127">
        <v>3</v>
      </c>
      <c r="GP127" t="s">
        <v>469</v>
      </c>
      <c r="GQ127">
        <v>3.10832</v>
      </c>
      <c r="GR127">
        <v>2.79158</v>
      </c>
      <c r="GS127">
        <v>0.204763</v>
      </c>
      <c r="GT127">
        <v>0.205214</v>
      </c>
      <c r="GU127">
        <v>0.0859312</v>
      </c>
      <c r="GV127">
        <v>0.0863838</v>
      </c>
      <c r="GW127">
        <v>20864.4</v>
      </c>
      <c r="GX127">
        <v>18931.3</v>
      </c>
      <c r="GY127">
        <v>26792.6</v>
      </c>
      <c r="GZ127">
        <v>24024.4</v>
      </c>
      <c r="HA127">
        <v>39156.1</v>
      </c>
      <c r="HB127">
        <v>32406.4</v>
      </c>
      <c r="HC127">
        <v>46763.6</v>
      </c>
      <c r="HD127">
        <v>37992</v>
      </c>
      <c r="HE127">
        <v>1.8286</v>
      </c>
      <c r="HF127">
        <v>1.86733</v>
      </c>
      <c r="HG127">
        <v>0.0676923</v>
      </c>
      <c r="HH127">
        <v>0</v>
      </c>
      <c r="HI127">
        <v>23.8755</v>
      </c>
      <c r="HJ127">
        <v>999.9</v>
      </c>
      <c r="HK127">
        <v>42.9</v>
      </c>
      <c r="HL127">
        <v>30.5</v>
      </c>
      <c r="HM127">
        <v>20.9563</v>
      </c>
      <c r="HN127">
        <v>61.1031</v>
      </c>
      <c r="HO127">
        <v>27.4119</v>
      </c>
      <c r="HP127">
        <v>1</v>
      </c>
      <c r="HQ127">
        <v>0.0209985</v>
      </c>
      <c r="HR127">
        <v>0.805776</v>
      </c>
      <c r="HS127">
        <v>20.2945</v>
      </c>
      <c r="HT127">
        <v>5.22328</v>
      </c>
      <c r="HU127">
        <v>11.9757</v>
      </c>
      <c r="HV127">
        <v>4.96575</v>
      </c>
      <c r="HW127">
        <v>3.27593</v>
      </c>
      <c r="HX127">
        <v>9999</v>
      </c>
      <c r="HY127">
        <v>9999</v>
      </c>
      <c r="HZ127">
        <v>9999</v>
      </c>
      <c r="IA127">
        <v>999.9</v>
      </c>
      <c r="IB127">
        <v>1.86386</v>
      </c>
      <c r="IC127">
        <v>1.86005</v>
      </c>
      <c r="ID127">
        <v>1.85837</v>
      </c>
      <c r="IE127">
        <v>1.85968</v>
      </c>
      <c r="IF127">
        <v>1.85986</v>
      </c>
      <c r="IG127">
        <v>1.85834</v>
      </c>
      <c r="IH127">
        <v>1.85745</v>
      </c>
      <c r="II127">
        <v>1.85232</v>
      </c>
      <c r="IJ127">
        <v>0</v>
      </c>
      <c r="IK127">
        <v>0</v>
      </c>
      <c r="IL127">
        <v>0</v>
      </c>
      <c r="IM127">
        <v>0</v>
      </c>
      <c r="IN127" t="s">
        <v>441</v>
      </c>
      <c r="IO127" t="s">
        <v>442</v>
      </c>
      <c r="IP127" t="s">
        <v>443</v>
      </c>
      <c r="IQ127" t="s">
        <v>443</v>
      </c>
      <c r="IR127" t="s">
        <v>443</v>
      </c>
      <c r="IS127" t="s">
        <v>443</v>
      </c>
      <c r="IT127">
        <v>0</v>
      </c>
      <c r="IU127">
        <v>100</v>
      </c>
      <c r="IV127">
        <v>100</v>
      </c>
      <c r="IW127">
        <v>2.012</v>
      </c>
      <c r="IX127">
        <v>0.075</v>
      </c>
      <c r="IY127">
        <v>-0.3816713107280093</v>
      </c>
      <c r="IZ127">
        <v>0.0001583678016168383</v>
      </c>
      <c r="JA127">
        <v>1.526473431467286E-06</v>
      </c>
      <c r="JB127">
        <v>-4.446382740029455E-10</v>
      </c>
      <c r="JC127">
        <v>-0.03844647904836188</v>
      </c>
      <c r="JD127">
        <v>-0.009941991807247691</v>
      </c>
      <c r="JE127">
        <v>0.001256427533001032</v>
      </c>
      <c r="JF127">
        <v>-1.689728105039484E-05</v>
      </c>
      <c r="JG127">
        <v>2</v>
      </c>
      <c r="JH127">
        <v>1984</v>
      </c>
      <c r="JI127">
        <v>0</v>
      </c>
      <c r="JJ127">
        <v>25</v>
      </c>
      <c r="JK127">
        <v>1.5</v>
      </c>
      <c r="JL127">
        <v>1.5</v>
      </c>
      <c r="JM127">
        <v>3.16528</v>
      </c>
      <c r="JN127">
        <v>2.60986</v>
      </c>
      <c r="JO127">
        <v>1.49658</v>
      </c>
      <c r="JP127">
        <v>2.34741</v>
      </c>
      <c r="JQ127">
        <v>1.54907</v>
      </c>
      <c r="JR127">
        <v>2.40479</v>
      </c>
      <c r="JS127">
        <v>35.1055</v>
      </c>
      <c r="JT127">
        <v>24.14</v>
      </c>
      <c r="JU127">
        <v>18</v>
      </c>
      <c r="JV127">
        <v>444.966</v>
      </c>
      <c r="JW127">
        <v>493.502</v>
      </c>
      <c r="JX127">
        <v>23.319</v>
      </c>
      <c r="JY127">
        <v>27.4266</v>
      </c>
      <c r="JZ127">
        <v>30.0001</v>
      </c>
      <c r="KA127">
        <v>27.6518</v>
      </c>
      <c r="KB127">
        <v>27.6442</v>
      </c>
      <c r="KC127">
        <v>63.5065</v>
      </c>
      <c r="KD127">
        <v>19.6004</v>
      </c>
      <c r="KE127">
        <v>51.9095</v>
      </c>
      <c r="KF127">
        <v>23.321</v>
      </c>
      <c r="KG127">
        <v>1500</v>
      </c>
      <c r="KH127">
        <v>17.3213</v>
      </c>
      <c r="KI127">
        <v>102.263</v>
      </c>
      <c r="KJ127">
        <v>91.6386</v>
      </c>
    </row>
    <row r="128" spans="1:296">
      <c r="A128">
        <v>110</v>
      </c>
      <c r="B128">
        <v>1765315441.6</v>
      </c>
      <c r="C128">
        <v>18008.59999990463</v>
      </c>
      <c r="D128" t="s">
        <v>777</v>
      </c>
      <c r="E128" t="s">
        <v>778</v>
      </c>
      <c r="F128">
        <v>5</v>
      </c>
      <c r="G128" t="s">
        <v>739</v>
      </c>
      <c r="H128">
        <v>1765315433.599999</v>
      </c>
      <c r="I128">
        <f>(J128)/1000</f>
        <v>0</v>
      </c>
      <c r="J128">
        <f>IF(DO128, AM128, AG128)</f>
        <v>0</v>
      </c>
      <c r="K128">
        <f>IF(DO128, AH128, AF128)</f>
        <v>0</v>
      </c>
      <c r="L128">
        <f>DQ128 - IF(AT128&gt;1, K128*DK128*100.0/(AV128), 0)</f>
        <v>0</v>
      </c>
      <c r="M128">
        <f>((S128-I128/2)*L128-K128)/(S128+I128/2)</f>
        <v>0</v>
      </c>
      <c r="N128">
        <f>M128*(DX128+DY128)/1000.0</f>
        <v>0</v>
      </c>
      <c r="O128">
        <f>(DQ128 - IF(AT128&gt;1, K128*DK128*100.0/(AV128), 0))*(DX128+DY128)/1000.0</f>
        <v>0</v>
      </c>
      <c r="P128">
        <f>2.0/((1/R128-1/Q128)+SIGN(R128)*SQRT((1/R128-1/Q128)*(1/R128-1/Q128) + 4*DL128/((DL128+1)*(DL128+1))*(2*1/R128*1/Q128-1/Q128*1/Q128)))</f>
        <v>0</v>
      </c>
      <c r="Q128">
        <f>IF(LEFT(DM128,1)&lt;&gt;"0",IF(LEFT(DM128,1)="1",3.0,DN128),$D$5+$E$5*(EE128*DX128/($K$5*1000))+$F$5*(EE128*DX128/($K$5*1000))*MAX(MIN(DK128,$J$5),$I$5)*MAX(MIN(DK128,$J$5),$I$5)+$G$5*MAX(MIN(DK128,$J$5),$I$5)*(EE128*DX128/($K$5*1000))+$H$5*(EE128*DX128/($K$5*1000))*(EE128*DX128/($K$5*1000)))</f>
        <v>0</v>
      </c>
      <c r="R128">
        <f>I128*(1000-(1000*0.61365*exp(17.502*V128/(240.97+V128))/(DX128+DY128)+DS128)/2)/(1000*0.61365*exp(17.502*V128/(240.97+V128))/(DX128+DY128)-DS128)</f>
        <v>0</v>
      </c>
      <c r="S128">
        <f>1/((DL128+1)/(P128/1.6)+1/(Q128/1.37)) + DL128/((DL128+1)/(P128/1.6) + DL128/(Q128/1.37))</f>
        <v>0</v>
      </c>
      <c r="T128">
        <f>(DG128*DJ128)</f>
        <v>0</v>
      </c>
      <c r="U128">
        <f>(DZ128+(T128+2*0.95*5.67E-8*(((DZ128+$B$9)+273)^4-(DZ128+273)^4)-44100*I128)/(1.84*29.3*Q128+8*0.95*5.67E-8*(DZ128+273)^3))</f>
        <v>0</v>
      </c>
      <c r="V128">
        <f>($C$9*EA128+$D$9*EB128+$E$9*U128)</f>
        <v>0</v>
      </c>
      <c r="W128">
        <f>0.61365*exp(17.502*V128/(240.97+V128))</f>
        <v>0</v>
      </c>
      <c r="X128">
        <f>(Y128/Z128*100)</f>
        <v>0</v>
      </c>
      <c r="Y128">
        <f>DS128*(DX128+DY128)/1000</f>
        <v>0</v>
      </c>
      <c r="Z128">
        <f>0.61365*exp(17.502*DZ128/(240.97+DZ128))</f>
        <v>0</v>
      </c>
      <c r="AA128">
        <f>(W128-DS128*(DX128+DY128)/1000)</f>
        <v>0</v>
      </c>
      <c r="AB128">
        <f>(-I128*44100)</f>
        <v>0</v>
      </c>
      <c r="AC128">
        <f>2*29.3*Q128*0.92*(DZ128-V128)</f>
        <v>0</v>
      </c>
      <c r="AD128">
        <f>2*0.95*5.67E-8*(((DZ128+$B$9)+273)^4-(V128+273)^4)</f>
        <v>0</v>
      </c>
      <c r="AE128">
        <f>T128+AD128+AB128+AC128</f>
        <v>0</v>
      </c>
      <c r="AF128">
        <f>DW128*AT128*(DR128-DQ128*(1000-AT128*DT128)/(1000-AT128*DS128))/(100*DK128)</f>
        <v>0</v>
      </c>
      <c r="AG128">
        <f>1000*DW128*AT128*(DS128-DT128)/(100*DK128*(1000-AT128*DS128))</f>
        <v>0</v>
      </c>
      <c r="AH128">
        <f>(AI128 - AJ128 - DX128*1E3/(8.314*(DZ128+273.15)) * AL128/DW128 * AK128) * DW128/(100*DK128) * (1000 - DT128)/1000</f>
        <v>0</v>
      </c>
      <c r="AI128">
        <v>406.9865346872205</v>
      </c>
      <c r="AJ128">
        <v>407.5062848484847</v>
      </c>
      <c r="AK128">
        <v>-0.00163876774250023</v>
      </c>
      <c r="AL128">
        <v>65.75152678374546</v>
      </c>
      <c r="AM128">
        <f>(AO128 - AN128 + DX128*1E3/(8.314*(DZ128+273.15)) * AQ128/DW128 * AP128) * DW128/(100*DK128) * 1000/(1000 - AO128)</f>
        <v>0</v>
      </c>
      <c r="AN128">
        <v>17.33129207516892</v>
      </c>
      <c r="AO128">
        <v>17.47763393939394</v>
      </c>
      <c r="AP128">
        <v>-8.199348861636821E-06</v>
      </c>
      <c r="AQ128">
        <v>107.1517188359243</v>
      </c>
      <c r="AR128">
        <v>29</v>
      </c>
      <c r="AS128">
        <v>6</v>
      </c>
      <c r="AT128">
        <f>IF(AR128*$H$15&gt;=AV128,1.0,(AV128/(AV128-AR128*$H$15)))</f>
        <v>0</v>
      </c>
      <c r="AU128">
        <f>(AT128-1)*100</f>
        <v>0</v>
      </c>
      <c r="AV128">
        <f>MAX(0,($B$15+$C$15*EE128)/(1+$D$15*EE128)*DX128/(DZ128+273)*$E$15)</f>
        <v>0</v>
      </c>
      <c r="AW128" t="s">
        <v>437</v>
      </c>
      <c r="AX128" t="s">
        <v>437</v>
      </c>
      <c r="AY128">
        <v>0</v>
      </c>
      <c r="AZ128">
        <v>0</v>
      </c>
      <c r="BA128">
        <f>1-AY128/AZ128</f>
        <v>0</v>
      </c>
      <c r="BB128">
        <v>0</v>
      </c>
      <c r="BC128" t="s">
        <v>437</v>
      </c>
      <c r="BD128" t="s">
        <v>437</v>
      </c>
      <c r="BE128">
        <v>0</v>
      </c>
      <c r="BF128">
        <v>0</v>
      </c>
      <c r="BG128">
        <f>1-BE128/BF128</f>
        <v>0</v>
      </c>
      <c r="BH128">
        <v>0.5</v>
      </c>
      <c r="BI128">
        <f>DH128</f>
        <v>0</v>
      </c>
      <c r="BJ128">
        <f>K128</f>
        <v>0</v>
      </c>
      <c r="BK128">
        <f>BG128*BH128*BI128</f>
        <v>0</v>
      </c>
      <c r="BL128">
        <f>(BJ128-BB128)/BI128</f>
        <v>0</v>
      </c>
      <c r="BM128">
        <f>(AZ128-BF128)/BF128</f>
        <v>0</v>
      </c>
      <c r="BN128">
        <f>AY128/(BA128+AY128/BF128)</f>
        <v>0</v>
      </c>
      <c r="BO128" t="s">
        <v>437</v>
      </c>
      <c r="BP128">
        <v>0</v>
      </c>
      <c r="BQ128">
        <f>IF(BP128&lt;&gt;0, BP128, BN128)</f>
        <v>0</v>
      </c>
      <c r="BR128">
        <f>1-BQ128/BF128</f>
        <v>0</v>
      </c>
      <c r="BS128">
        <f>(BF128-BE128)/(BF128-BQ128)</f>
        <v>0</v>
      </c>
      <c r="BT128">
        <f>(AZ128-BF128)/(AZ128-BQ128)</f>
        <v>0</v>
      </c>
      <c r="BU128">
        <f>(BF128-BE128)/(BF128-AY128)</f>
        <v>0</v>
      </c>
      <c r="BV128">
        <f>(AZ128-BF128)/(AZ128-AY128)</f>
        <v>0</v>
      </c>
      <c r="BW128">
        <f>(BS128*BQ128/BE128)</f>
        <v>0</v>
      </c>
      <c r="BX128">
        <f>(1-BW128)</f>
        <v>0</v>
      </c>
      <c r="DG128">
        <f>$B$13*EF128+$C$13*EG128+$F$13*ER128*(1-EU128)</f>
        <v>0</v>
      </c>
      <c r="DH128">
        <f>DG128*DI128</f>
        <v>0</v>
      </c>
      <c r="DI128">
        <f>($B$13*$D$11+$C$13*$D$11+$F$13*((FE128+EW128)/MAX(FE128+EW128+FF128, 0.1)*$I$11+FF128/MAX(FE128+EW128+FF128, 0.1)*$J$11))/($B$13+$C$13+$F$13)</f>
        <v>0</v>
      </c>
      <c r="DJ128">
        <f>($B$13*$K$11+$C$13*$K$11+$F$13*((FE128+EW128)/MAX(FE128+EW128+FF128, 0.1)*$P$11+FF128/MAX(FE128+EW128+FF128, 0.1)*$Q$11))/($B$13+$C$13+$F$13)</f>
        <v>0</v>
      </c>
      <c r="DK128">
        <v>5.66</v>
      </c>
      <c r="DL128">
        <v>0.5</v>
      </c>
      <c r="DM128" t="s">
        <v>438</v>
      </c>
      <c r="DN128">
        <v>2</v>
      </c>
      <c r="DO128" t="b">
        <v>1</v>
      </c>
      <c r="DP128">
        <v>1765315433.599999</v>
      </c>
      <c r="DQ128">
        <v>400.2236451612904</v>
      </c>
      <c r="DR128">
        <v>399.9851612903226</v>
      </c>
      <c r="DS128">
        <v>17.4710935483871</v>
      </c>
      <c r="DT128">
        <v>17.33144516129032</v>
      </c>
      <c r="DU128">
        <v>400.3286451612904</v>
      </c>
      <c r="DV128">
        <v>17.3990935483871</v>
      </c>
      <c r="DW128">
        <v>500.0009032258064</v>
      </c>
      <c r="DX128">
        <v>89.7537258064516</v>
      </c>
      <c r="DY128">
        <v>0.0999833677419355</v>
      </c>
      <c r="DZ128">
        <v>24.8283935483871</v>
      </c>
      <c r="EA128">
        <v>25.02245161290323</v>
      </c>
      <c r="EB128">
        <v>999.9000000000003</v>
      </c>
      <c r="EC128">
        <v>0</v>
      </c>
      <c r="ED128">
        <v>0</v>
      </c>
      <c r="EE128">
        <v>9994.632580645162</v>
      </c>
      <c r="EF128">
        <v>0</v>
      </c>
      <c r="EG128">
        <v>9.77497</v>
      </c>
      <c r="EH128">
        <v>0.4669997096774193</v>
      </c>
      <c r="EI128">
        <v>407.5752580645161</v>
      </c>
      <c r="EJ128">
        <v>407.0397741935484</v>
      </c>
      <c r="EK128">
        <v>0.1452551612903226</v>
      </c>
      <c r="EL128">
        <v>399.9851612903226</v>
      </c>
      <c r="EM128">
        <v>17.33144516129032</v>
      </c>
      <c r="EN128">
        <v>1.56859870967742</v>
      </c>
      <c r="EO128">
        <v>1.555561612903226</v>
      </c>
      <c r="EP128">
        <v>13.65374193548387</v>
      </c>
      <c r="EQ128">
        <v>13.52550322580645</v>
      </c>
      <c r="ER128">
        <v>799.9882903225807</v>
      </c>
      <c r="ES128">
        <v>0.9500157419354837</v>
      </c>
      <c r="ET128">
        <v>0.04998437419354838</v>
      </c>
      <c r="EU128">
        <v>0</v>
      </c>
      <c r="EV128">
        <v>779.9565483870969</v>
      </c>
      <c r="EW128">
        <v>5.000779999999999</v>
      </c>
      <c r="EX128">
        <v>5914.514838709679</v>
      </c>
      <c r="EY128">
        <v>6463.355161290324</v>
      </c>
      <c r="EZ128">
        <v>37.51583870967741</v>
      </c>
      <c r="FA128">
        <v>41.38477419354837</v>
      </c>
      <c r="FB128">
        <v>39.73958064516128</v>
      </c>
      <c r="FC128">
        <v>41.85054838709677</v>
      </c>
      <c r="FD128">
        <v>39.7982258064516</v>
      </c>
      <c r="FE128">
        <v>755.2509677419356</v>
      </c>
      <c r="FF128">
        <v>39.74</v>
      </c>
      <c r="FG128">
        <v>0</v>
      </c>
      <c r="FH128">
        <v>1765315441.1</v>
      </c>
      <c r="FI128">
        <v>0</v>
      </c>
      <c r="FJ128">
        <v>779.9364</v>
      </c>
      <c r="FK128">
        <v>-0.5293076893318698</v>
      </c>
      <c r="FL128">
        <v>13.61384620333312</v>
      </c>
      <c r="FM128">
        <v>5914.55</v>
      </c>
      <c r="FN128">
        <v>15</v>
      </c>
      <c r="FO128">
        <v>1765315458.6</v>
      </c>
      <c r="FP128" t="s">
        <v>779</v>
      </c>
      <c r="FQ128">
        <v>1765315457.6</v>
      </c>
      <c r="FR128">
        <v>1765315458.6</v>
      </c>
      <c r="FS128">
        <v>111</v>
      </c>
      <c r="FT128">
        <v>-0.229</v>
      </c>
      <c r="FU128">
        <v>-0.003</v>
      </c>
      <c r="FV128">
        <v>-0.105</v>
      </c>
      <c r="FW128">
        <v>0.07199999999999999</v>
      </c>
      <c r="FX128">
        <v>400</v>
      </c>
      <c r="FY128">
        <v>17</v>
      </c>
      <c r="FZ128">
        <v>0.96</v>
      </c>
      <c r="GA128">
        <v>0.24</v>
      </c>
      <c r="GB128">
        <v>0.5265831500000001</v>
      </c>
      <c r="GC128">
        <v>-0.8435988968105086</v>
      </c>
      <c r="GD128">
        <v>0.1026006035007958</v>
      </c>
      <c r="GE128">
        <v>0</v>
      </c>
      <c r="GF128">
        <v>780.0430294117647</v>
      </c>
      <c r="GG128">
        <v>-1.290038202192359</v>
      </c>
      <c r="GH128">
        <v>0.2563848767328243</v>
      </c>
      <c r="GI128">
        <v>0</v>
      </c>
      <c r="GJ128">
        <v>0.14415305</v>
      </c>
      <c r="GK128">
        <v>0.02101704315196981</v>
      </c>
      <c r="GL128">
        <v>0.002345560806608945</v>
      </c>
      <c r="GM128">
        <v>1</v>
      </c>
      <c r="GN128">
        <v>1</v>
      </c>
      <c r="GO128">
        <v>3</v>
      </c>
      <c r="GP128" t="s">
        <v>469</v>
      </c>
      <c r="GQ128">
        <v>3.10826</v>
      </c>
      <c r="GR128">
        <v>2.79169</v>
      </c>
      <c r="GS128">
        <v>0.08441419999999999</v>
      </c>
      <c r="GT128">
        <v>0.0844119</v>
      </c>
      <c r="GU128">
        <v>0.08610080000000001</v>
      </c>
      <c r="GV128">
        <v>0.0863771</v>
      </c>
      <c r="GW128">
        <v>24019.1</v>
      </c>
      <c r="GX128">
        <v>21807.2</v>
      </c>
      <c r="GY128">
        <v>26791.1</v>
      </c>
      <c r="GZ128">
        <v>24024.2</v>
      </c>
      <c r="HA128">
        <v>39132.1</v>
      </c>
      <c r="HB128">
        <v>32394</v>
      </c>
      <c r="HC128">
        <v>46761.6</v>
      </c>
      <c r="HD128">
        <v>37991.8</v>
      </c>
      <c r="HE128">
        <v>1.82957</v>
      </c>
      <c r="HF128">
        <v>1.86458</v>
      </c>
      <c r="HG128">
        <v>0.06841120000000001</v>
      </c>
      <c r="HH128">
        <v>0</v>
      </c>
      <c r="HI128">
        <v>23.8776</v>
      </c>
      <c r="HJ128">
        <v>999.9</v>
      </c>
      <c r="HK128">
        <v>43</v>
      </c>
      <c r="HL128">
        <v>30.5</v>
      </c>
      <c r="HM128">
        <v>21.0045</v>
      </c>
      <c r="HN128">
        <v>61.6531</v>
      </c>
      <c r="HO128">
        <v>27.6082</v>
      </c>
      <c r="HP128">
        <v>1</v>
      </c>
      <c r="HQ128">
        <v>0.0226956</v>
      </c>
      <c r="HR128">
        <v>1.07721</v>
      </c>
      <c r="HS128">
        <v>20.2928</v>
      </c>
      <c r="HT128">
        <v>5.22328</v>
      </c>
      <c r="HU128">
        <v>11.9782</v>
      </c>
      <c r="HV128">
        <v>4.96575</v>
      </c>
      <c r="HW128">
        <v>3.27595</v>
      </c>
      <c r="HX128">
        <v>9999</v>
      </c>
      <c r="HY128">
        <v>9999</v>
      </c>
      <c r="HZ128">
        <v>9999</v>
      </c>
      <c r="IA128">
        <v>999.9</v>
      </c>
      <c r="IB128">
        <v>1.86387</v>
      </c>
      <c r="IC128">
        <v>1.86004</v>
      </c>
      <c r="ID128">
        <v>1.85836</v>
      </c>
      <c r="IE128">
        <v>1.85969</v>
      </c>
      <c r="IF128">
        <v>1.85986</v>
      </c>
      <c r="IG128">
        <v>1.85835</v>
      </c>
      <c r="IH128">
        <v>1.85742</v>
      </c>
      <c r="II128">
        <v>1.85231</v>
      </c>
      <c r="IJ128">
        <v>0</v>
      </c>
      <c r="IK128">
        <v>0</v>
      </c>
      <c r="IL128">
        <v>0</v>
      </c>
      <c r="IM128">
        <v>0</v>
      </c>
      <c r="IN128" t="s">
        <v>441</v>
      </c>
      <c r="IO128" t="s">
        <v>442</v>
      </c>
      <c r="IP128" t="s">
        <v>443</v>
      </c>
      <c r="IQ128" t="s">
        <v>443</v>
      </c>
      <c r="IR128" t="s">
        <v>443</v>
      </c>
      <c r="IS128" t="s">
        <v>443</v>
      </c>
      <c r="IT128">
        <v>0</v>
      </c>
      <c r="IU128">
        <v>100</v>
      </c>
      <c r="IV128">
        <v>100</v>
      </c>
      <c r="IW128">
        <v>-0.105</v>
      </c>
      <c r="IX128">
        <v>0.07199999999999999</v>
      </c>
      <c r="IY128">
        <v>-0.1559687727867515</v>
      </c>
      <c r="IZ128">
        <v>0.0001583678016168383</v>
      </c>
      <c r="JA128">
        <v>1.526473431467286E-06</v>
      </c>
      <c r="JB128">
        <v>-4.446382740029455E-10</v>
      </c>
      <c r="JC128">
        <v>-0.04077122372899256</v>
      </c>
      <c r="JD128">
        <v>-0.009941991807247691</v>
      </c>
      <c r="JE128">
        <v>0.001256427533001032</v>
      </c>
      <c r="JF128">
        <v>-1.689728105039484E-05</v>
      </c>
      <c r="JG128">
        <v>2</v>
      </c>
      <c r="JH128">
        <v>1984</v>
      </c>
      <c r="JI128">
        <v>0</v>
      </c>
      <c r="JJ128">
        <v>25</v>
      </c>
      <c r="JK128">
        <v>1.5</v>
      </c>
      <c r="JL128">
        <v>1.7</v>
      </c>
      <c r="JM128">
        <v>1.09131</v>
      </c>
      <c r="JN128">
        <v>2.61475</v>
      </c>
      <c r="JO128">
        <v>1.49658</v>
      </c>
      <c r="JP128">
        <v>2.34741</v>
      </c>
      <c r="JQ128">
        <v>1.54907</v>
      </c>
      <c r="JR128">
        <v>2.43164</v>
      </c>
      <c r="JS128">
        <v>35.1286</v>
      </c>
      <c r="JT128">
        <v>24.1313</v>
      </c>
      <c r="JU128">
        <v>18</v>
      </c>
      <c r="JV128">
        <v>445.684</v>
      </c>
      <c r="JW128">
        <v>491.94</v>
      </c>
      <c r="JX128">
        <v>23.1694</v>
      </c>
      <c r="JY128">
        <v>27.4476</v>
      </c>
      <c r="JZ128">
        <v>30.0003</v>
      </c>
      <c r="KA128">
        <v>27.6787</v>
      </c>
      <c r="KB128">
        <v>27.6721</v>
      </c>
      <c r="KC128">
        <v>21.9526</v>
      </c>
      <c r="KD128">
        <v>19.3302</v>
      </c>
      <c r="KE128">
        <v>51.9095</v>
      </c>
      <c r="KF128">
        <v>23.1543</v>
      </c>
      <c r="KG128">
        <v>400</v>
      </c>
      <c r="KH128">
        <v>17.3457</v>
      </c>
      <c r="KI128">
        <v>102.258</v>
      </c>
      <c r="KJ128">
        <v>91.6379</v>
      </c>
    </row>
    <row r="129" spans="1:296">
      <c r="A129">
        <v>111</v>
      </c>
      <c r="B129">
        <v>1765316137.1</v>
      </c>
      <c r="C129">
        <v>18704.09999990463</v>
      </c>
      <c r="D129" t="s">
        <v>780</v>
      </c>
      <c r="E129" t="s">
        <v>781</v>
      </c>
      <c r="F129">
        <v>5</v>
      </c>
      <c r="G129" t="s">
        <v>782</v>
      </c>
      <c r="H129">
        <v>1765316129.349999</v>
      </c>
      <c r="I129">
        <f>(J129)/1000</f>
        <v>0</v>
      </c>
      <c r="J129">
        <f>IF(DO129, AM129, AG129)</f>
        <v>0</v>
      </c>
      <c r="K129">
        <f>IF(DO129, AH129, AF129)</f>
        <v>0</v>
      </c>
      <c r="L129">
        <f>DQ129 - IF(AT129&gt;1, K129*DK129*100.0/(AV129), 0)</f>
        <v>0</v>
      </c>
      <c r="M129">
        <f>((S129-I129/2)*L129-K129)/(S129+I129/2)</f>
        <v>0</v>
      </c>
      <c r="N129">
        <f>M129*(DX129+DY129)/1000.0</f>
        <v>0</v>
      </c>
      <c r="O129">
        <f>(DQ129 - IF(AT129&gt;1, K129*DK129*100.0/(AV129), 0))*(DX129+DY129)/1000.0</f>
        <v>0</v>
      </c>
      <c r="P129">
        <f>2.0/((1/R129-1/Q129)+SIGN(R129)*SQRT((1/R129-1/Q129)*(1/R129-1/Q129) + 4*DL129/((DL129+1)*(DL129+1))*(2*1/R129*1/Q129-1/Q129*1/Q129)))</f>
        <v>0</v>
      </c>
      <c r="Q129">
        <f>IF(LEFT(DM129,1)&lt;&gt;"0",IF(LEFT(DM129,1)="1",3.0,DN129),$D$5+$E$5*(EE129*DX129/($K$5*1000))+$F$5*(EE129*DX129/($K$5*1000))*MAX(MIN(DK129,$J$5),$I$5)*MAX(MIN(DK129,$J$5),$I$5)+$G$5*MAX(MIN(DK129,$J$5),$I$5)*(EE129*DX129/($K$5*1000))+$H$5*(EE129*DX129/($K$5*1000))*(EE129*DX129/($K$5*1000)))</f>
        <v>0</v>
      </c>
      <c r="R129">
        <f>I129*(1000-(1000*0.61365*exp(17.502*V129/(240.97+V129))/(DX129+DY129)+DS129)/2)/(1000*0.61365*exp(17.502*V129/(240.97+V129))/(DX129+DY129)-DS129)</f>
        <v>0</v>
      </c>
      <c r="S129">
        <f>1/((DL129+1)/(P129/1.6)+1/(Q129/1.37)) + DL129/((DL129+1)/(P129/1.6) + DL129/(Q129/1.37))</f>
        <v>0</v>
      </c>
      <c r="T129">
        <f>(DG129*DJ129)</f>
        <v>0</v>
      </c>
      <c r="U129">
        <f>(DZ129+(T129+2*0.95*5.67E-8*(((DZ129+$B$9)+273)^4-(DZ129+273)^4)-44100*I129)/(1.84*29.3*Q129+8*0.95*5.67E-8*(DZ129+273)^3))</f>
        <v>0</v>
      </c>
      <c r="V129">
        <f>($C$9*EA129+$D$9*EB129+$E$9*U129)</f>
        <v>0</v>
      </c>
      <c r="W129">
        <f>0.61365*exp(17.502*V129/(240.97+V129))</f>
        <v>0</v>
      </c>
      <c r="X129">
        <f>(Y129/Z129*100)</f>
        <v>0</v>
      </c>
      <c r="Y129">
        <f>DS129*(DX129+DY129)/1000</f>
        <v>0</v>
      </c>
      <c r="Z129">
        <f>0.61365*exp(17.502*DZ129/(240.97+DZ129))</f>
        <v>0</v>
      </c>
      <c r="AA129">
        <f>(W129-DS129*(DX129+DY129)/1000)</f>
        <v>0</v>
      </c>
      <c r="AB129">
        <f>(-I129*44100)</f>
        <v>0</v>
      </c>
      <c r="AC129">
        <f>2*29.3*Q129*0.92*(DZ129-V129)</f>
        <v>0</v>
      </c>
      <c r="AD129">
        <f>2*0.95*5.67E-8*(((DZ129+$B$9)+273)^4-(V129+273)^4)</f>
        <v>0</v>
      </c>
      <c r="AE129">
        <f>T129+AD129+AB129+AC129</f>
        <v>0</v>
      </c>
      <c r="AF129">
        <f>DW129*AT129*(DR129-DQ129*(1000-AT129*DT129)/(1000-AT129*DS129))/(100*DK129)</f>
        <v>0</v>
      </c>
      <c r="AG129">
        <f>1000*DW129*AT129*(DS129-DT129)/(100*DK129*(1000-AT129*DS129))</f>
        <v>0</v>
      </c>
      <c r="AH129">
        <f>(AI129 - AJ129 - DX129*1E3/(8.314*(DZ129+273.15)) * AL129/DW129 * AK129) * DW129/(100*DK129) * (1000 - DT129)/1000</f>
        <v>0</v>
      </c>
      <c r="AI129">
        <v>407.077040073531</v>
      </c>
      <c r="AJ129">
        <v>406.9113090909089</v>
      </c>
      <c r="AK129">
        <v>0.02220190989103114</v>
      </c>
      <c r="AL129">
        <v>65.86480272008899</v>
      </c>
      <c r="AM129">
        <f>(AO129 - AN129 + DX129*1E3/(8.314*(DZ129+273.15)) * AQ129/DW129 * AP129) * DW129/(100*DK129) * 1000/(1000 - AO129)</f>
        <v>0</v>
      </c>
      <c r="AN129">
        <v>17.29897891872621</v>
      </c>
      <c r="AO129">
        <v>17.37818741258743</v>
      </c>
      <c r="AP129">
        <v>-1.453966636975705E-06</v>
      </c>
      <c r="AQ129">
        <v>109.5047455651771</v>
      </c>
      <c r="AR129">
        <v>0</v>
      </c>
      <c r="AS129">
        <v>0</v>
      </c>
      <c r="AT129">
        <f>IF(AR129*$H$15&gt;=AV129,1.0,(AV129/(AV129-AR129*$H$15)))</f>
        <v>0</v>
      </c>
      <c r="AU129">
        <f>(AT129-1)*100</f>
        <v>0</v>
      </c>
      <c r="AV129">
        <f>MAX(0,($B$15+$C$15*EE129)/(1+$D$15*EE129)*DX129/(DZ129+273)*$E$15)</f>
        <v>0</v>
      </c>
      <c r="AW129" t="s">
        <v>437</v>
      </c>
      <c r="AX129" t="s">
        <v>437</v>
      </c>
      <c r="AY129">
        <v>0</v>
      </c>
      <c r="AZ129">
        <v>0</v>
      </c>
      <c r="BA129">
        <f>1-AY129/AZ129</f>
        <v>0</v>
      </c>
      <c r="BB129">
        <v>0</v>
      </c>
      <c r="BC129" t="s">
        <v>437</v>
      </c>
      <c r="BD129" t="s">
        <v>437</v>
      </c>
      <c r="BE129">
        <v>0</v>
      </c>
      <c r="BF129">
        <v>0</v>
      </c>
      <c r="BG129">
        <f>1-BE129/BF129</f>
        <v>0</v>
      </c>
      <c r="BH129">
        <v>0.5</v>
      </c>
      <c r="BI129">
        <f>DH129</f>
        <v>0</v>
      </c>
      <c r="BJ129">
        <f>K129</f>
        <v>0</v>
      </c>
      <c r="BK129">
        <f>BG129*BH129*BI129</f>
        <v>0</v>
      </c>
      <c r="BL129">
        <f>(BJ129-BB129)/BI129</f>
        <v>0</v>
      </c>
      <c r="BM129">
        <f>(AZ129-BF129)/BF129</f>
        <v>0</v>
      </c>
      <c r="BN129">
        <f>AY129/(BA129+AY129/BF129)</f>
        <v>0</v>
      </c>
      <c r="BO129" t="s">
        <v>437</v>
      </c>
      <c r="BP129">
        <v>0</v>
      </c>
      <c r="BQ129">
        <f>IF(BP129&lt;&gt;0, BP129, BN129)</f>
        <v>0</v>
      </c>
      <c r="BR129">
        <f>1-BQ129/BF129</f>
        <v>0</v>
      </c>
      <c r="BS129">
        <f>(BF129-BE129)/(BF129-BQ129)</f>
        <v>0</v>
      </c>
      <c r="BT129">
        <f>(AZ129-BF129)/(AZ129-BQ129)</f>
        <v>0</v>
      </c>
      <c r="BU129">
        <f>(BF129-BE129)/(BF129-AY129)</f>
        <v>0</v>
      </c>
      <c r="BV129">
        <f>(AZ129-BF129)/(AZ129-AY129)</f>
        <v>0</v>
      </c>
      <c r="BW129">
        <f>(BS129*BQ129/BE129)</f>
        <v>0</v>
      </c>
      <c r="BX129">
        <f>(1-BW129)</f>
        <v>0</v>
      </c>
      <c r="DG129">
        <f>$B$13*EF129+$C$13*EG129+$F$13*ER129*(1-EU129)</f>
        <v>0</v>
      </c>
      <c r="DH129">
        <f>DG129*DI129</f>
        <v>0</v>
      </c>
      <c r="DI129">
        <f>($B$13*$D$11+$C$13*$D$11+$F$13*((FE129+EW129)/MAX(FE129+EW129+FF129, 0.1)*$I$11+FF129/MAX(FE129+EW129+FF129, 0.1)*$J$11))/($B$13+$C$13+$F$13)</f>
        <v>0</v>
      </c>
      <c r="DJ129">
        <f>($B$13*$K$11+$C$13*$K$11+$F$13*((FE129+EW129)/MAX(FE129+EW129+FF129, 0.1)*$P$11+FF129/MAX(FE129+EW129+FF129, 0.1)*$Q$11))/($B$13+$C$13+$F$13)</f>
        <v>0</v>
      </c>
      <c r="DK129">
        <v>5.66</v>
      </c>
      <c r="DL129">
        <v>0.5</v>
      </c>
      <c r="DM129" t="s">
        <v>438</v>
      </c>
      <c r="DN129">
        <v>2</v>
      </c>
      <c r="DO129" t="b">
        <v>1</v>
      </c>
      <c r="DP129">
        <v>1765316129.349999</v>
      </c>
      <c r="DQ129">
        <v>399.8037</v>
      </c>
      <c r="DR129">
        <v>400.0475333333333</v>
      </c>
      <c r="DS129">
        <v>17.37675</v>
      </c>
      <c r="DT129">
        <v>17.29955666666666</v>
      </c>
      <c r="DU129">
        <v>399.8937</v>
      </c>
      <c r="DV129">
        <v>17.30575</v>
      </c>
      <c r="DW129">
        <v>500.0214666666666</v>
      </c>
      <c r="DX129">
        <v>89.74611</v>
      </c>
      <c r="DY129">
        <v>0.1000398233333333</v>
      </c>
      <c r="DZ129">
        <v>24.69775666666667</v>
      </c>
      <c r="EA129">
        <v>25.00386333333333</v>
      </c>
      <c r="EB129">
        <v>999.9000000000002</v>
      </c>
      <c r="EC129">
        <v>0</v>
      </c>
      <c r="ED129">
        <v>0</v>
      </c>
      <c r="EE129">
        <v>9994.586666666666</v>
      </c>
      <c r="EF129">
        <v>0</v>
      </c>
      <c r="EG129">
        <v>9.835680000000002</v>
      </c>
      <c r="EH129">
        <v>-0.2595438</v>
      </c>
      <c r="EI129">
        <v>406.8585999999999</v>
      </c>
      <c r="EJ129">
        <v>407.0901333333334</v>
      </c>
      <c r="EK129">
        <v>0.07879390999999999</v>
      </c>
      <c r="EL129">
        <v>400.0475333333333</v>
      </c>
      <c r="EM129">
        <v>17.29955666666666</v>
      </c>
      <c r="EN129">
        <v>1.55964</v>
      </c>
      <c r="EO129">
        <v>1.552568333333333</v>
      </c>
      <c r="EP129">
        <v>13.56571</v>
      </c>
      <c r="EQ129">
        <v>13.49592666666667</v>
      </c>
      <c r="ER129">
        <v>799.9988000000001</v>
      </c>
      <c r="ES129">
        <v>0.9499908999999997</v>
      </c>
      <c r="ET129">
        <v>0.05000949000000001</v>
      </c>
      <c r="EU129">
        <v>0</v>
      </c>
      <c r="EV129">
        <v>837.2206</v>
      </c>
      <c r="EW129">
        <v>5.00078</v>
      </c>
      <c r="EX129">
        <v>6326.764666666667</v>
      </c>
      <c r="EY129">
        <v>6463.387333333333</v>
      </c>
      <c r="EZ129">
        <v>36.14983333333333</v>
      </c>
      <c r="FA129">
        <v>38.52476666666666</v>
      </c>
      <c r="FB129">
        <v>37.62896666666666</v>
      </c>
      <c r="FC129">
        <v>38.12679999999999</v>
      </c>
      <c r="FD129">
        <v>37.67893333333333</v>
      </c>
      <c r="FE129">
        <v>755.24</v>
      </c>
      <c r="FF129">
        <v>39.76</v>
      </c>
      <c r="FG129">
        <v>0</v>
      </c>
      <c r="FH129">
        <v>1765316136.5</v>
      </c>
      <c r="FI129">
        <v>0</v>
      </c>
      <c r="FJ129">
        <v>837.1935769230768</v>
      </c>
      <c r="FK129">
        <v>0.5668718130802815</v>
      </c>
      <c r="FL129">
        <v>-8.564444445271223</v>
      </c>
      <c r="FM129">
        <v>6326.727307692307</v>
      </c>
      <c r="FN129">
        <v>15</v>
      </c>
      <c r="FO129">
        <v>1765316159.1</v>
      </c>
      <c r="FP129" t="s">
        <v>783</v>
      </c>
      <c r="FQ129">
        <v>1765316159.1</v>
      </c>
      <c r="FR129">
        <v>1765316153.1</v>
      </c>
      <c r="FS129">
        <v>112</v>
      </c>
      <c r="FT129">
        <v>0.015</v>
      </c>
      <c r="FU129">
        <v>-0</v>
      </c>
      <c r="FV129">
        <v>-0.09</v>
      </c>
      <c r="FW129">
        <v>0.07099999999999999</v>
      </c>
      <c r="FX129">
        <v>400</v>
      </c>
      <c r="FY129">
        <v>17</v>
      </c>
      <c r="FZ129">
        <v>0.47</v>
      </c>
      <c r="GA129">
        <v>0.17</v>
      </c>
      <c r="GB129">
        <v>-0.2329398902439025</v>
      </c>
      <c r="GC129">
        <v>-0.04407906062717796</v>
      </c>
      <c r="GD129">
        <v>0.09424442299961387</v>
      </c>
      <c r="GE129">
        <v>1</v>
      </c>
      <c r="GF129">
        <v>837.1935882352942</v>
      </c>
      <c r="GG129">
        <v>0.4593430209677379</v>
      </c>
      <c r="GH129">
        <v>0.2264898540315696</v>
      </c>
      <c r="GI129">
        <v>1</v>
      </c>
      <c r="GJ129">
        <v>0.07964460000000001</v>
      </c>
      <c r="GK129">
        <v>-0.008958978397212309</v>
      </c>
      <c r="GL129">
        <v>0.002000681611778175</v>
      </c>
      <c r="GM129">
        <v>1</v>
      </c>
      <c r="GN129">
        <v>3</v>
      </c>
      <c r="GO129">
        <v>3</v>
      </c>
      <c r="GP129" t="s">
        <v>440</v>
      </c>
      <c r="GQ129">
        <v>3.10829</v>
      </c>
      <c r="GR129">
        <v>2.79165</v>
      </c>
      <c r="GS129">
        <v>0.08434899999999999</v>
      </c>
      <c r="GT129">
        <v>0.0844004</v>
      </c>
      <c r="GU129">
        <v>0.0857468</v>
      </c>
      <c r="GV129">
        <v>0.0862425</v>
      </c>
      <c r="GW129">
        <v>24020.5</v>
      </c>
      <c r="GX129">
        <v>21807.6</v>
      </c>
      <c r="GY129">
        <v>26790.8</v>
      </c>
      <c r="GZ129">
        <v>24024.5</v>
      </c>
      <c r="HA129">
        <v>39146.9</v>
      </c>
      <c r="HB129">
        <v>32399.7</v>
      </c>
      <c r="HC129">
        <v>46760.9</v>
      </c>
      <c r="HD129">
        <v>37992.8</v>
      </c>
      <c r="HE129">
        <v>1.88915</v>
      </c>
      <c r="HF129">
        <v>1.86427</v>
      </c>
      <c r="HG129">
        <v>0.0754334</v>
      </c>
      <c r="HH129">
        <v>0</v>
      </c>
      <c r="HI129">
        <v>23.7613</v>
      </c>
      <c r="HJ129">
        <v>999.9</v>
      </c>
      <c r="HK129">
        <v>43</v>
      </c>
      <c r="HL129">
        <v>30.6</v>
      </c>
      <c r="HM129">
        <v>21.1271</v>
      </c>
      <c r="HN129">
        <v>61.6231</v>
      </c>
      <c r="HO129">
        <v>27.3998</v>
      </c>
      <c r="HP129">
        <v>1</v>
      </c>
      <c r="HQ129">
        <v>0.0234654</v>
      </c>
      <c r="HR129">
        <v>1.13866</v>
      </c>
      <c r="HS129">
        <v>20.2905</v>
      </c>
      <c r="HT129">
        <v>5.22268</v>
      </c>
      <c r="HU129">
        <v>11.9779</v>
      </c>
      <c r="HV129">
        <v>4.9657</v>
      </c>
      <c r="HW129">
        <v>3.27598</v>
      </c>
      <c r="HX129">
        <v>9999</v>
      </c>
      <c r="HY129">
        <v>9999</v>
      </c>
      <c r="HZ129">
        <v>9999</v>
      </c>
      <c r="IA129">
        <v>999.9</v>
      </c>
      <c r="IB129">
        <v>1.86386</v>
      </c>
      <c r="IC129">
        <v>1.86004</v>
      </c>
      <c r="ID129">
        <v>1.85837</v>
      </c>
      <c r="IE129">
        <v>1.8597</v>
      </c>
      <c r="IF129">
        <v>1.85984</v>
      </c>
      <c r="IG129">
        <v>1.85835</v>
      </c>
      <c r="IH129">
        <v>1.85743</v>
      </c>
      <c r="II129">
        <v>1.85239</v>
      </c>
      <c r="IJ129">
        <v>0</v>
      </c>
      <c r="IK129">
        <v>0</v>
      </c>
      <c r="IL129">
        <v>0</v>
      </c>
      <c r="IM129">
        <v>0</v>
      </c>
      <c r="IN129" t="s">
        <v>441</v>
      </c>
      <c r="IO129" t="s">
        <v>442</v>
      </c>
      <c r="IP129" t="s">
        <v>443</v>
      </c>
      <c r="IQ129" t="s">
        <v>443</v>
      </c>
      <c r="IR129" t="s">
        <v>443</v>
      </c>
      <c r="IS129" t="s">
        <v>443</v>
      </c>
      <c r="IT129">
        <v>0</v>
      </c>
      <c r="IU129">
        <v>100</v>
      </c>
      <c r="IV129">
        <v>100</v>
      </c>
      <c r="IW129">
        <v>-0.09</v>
      </c>
      <c r="IX129">
        <v>0.07099999999999999</v>
      </c>
      <c r="IY129">
        <v>-0.3846324368785061</v>
      </c>
      <c r="IZ129">
        <v>0.0001583678016168383</v>
      </c>
      <c r="JA129">
        <v>1.526473431467286E-06</v>
      </c>
      <c r="JB129">
        <v>-4.446382740029455E-10</v>
      </c>
      <c r="JC129">
        <v>-0.04404286498534807</v>
      </c>
      <c r="JD129">
        <v>-0.009941991807247691</v>
      </c>
      <c r="JE129">
        <v>0.001256427533001032</v>
      </c>
      <c r="JF129">
        <v>-1.689728105039484E-05</v>
      </c>
      <c r="JG129">
        <v>2</v>
      </c>
      <c r="JH129">
        <v>1984</v>
      </c>
      <c r="JI129">
        <v>0</v>
      </c>
      <c r="JJ129">
        <v>25</v>
      </c>
      <c r="JK129">
        <v>11.3</v>
      </c>
      <c r="JL129">
        <v>11.3</v>
      </c>
      <c r="JM129">
        <v>1.09253</v>
      </c>
      <c r="JN129">
        <v>2.60864</v>
      </c>
      <c r="JO129">
        <v>1.49658</v>
      </c>
      <c r="JP129">
        <v>2.34863</v>
      </c>
      <c r="JQ129">
        <v>1.54907</v>
      </c>
      <c r="JR129">
        <v>2.41455</v>
      </c>
      <c r="JS129">
        <v>35.1978</v>
      </c>
      <c r="JT129">
        <v>24.1313</v>
      </c>
      <c r="JU129">
        <v>18</v>
      </c>
      <c r="JV129">
        <v>479.269</v>
      </c>
      <c r="JW129">
        <v>492.162</v>
      </c>
      <c r="JX129">
        <v>23.1527</v>
      </c>
      <c r="JY129">
        <v>27.4686</v>
      </c>
      <c r="JZ129">
        <v>30.0003</v>
      </c>
      <c r="KA129">
        <v>27.7193</v>
      </c>
      <c r="KB129">
        <v>27.7211</v>
      </c>
      <c r="KC129">
        <v>21.9639</v>
      </c>
      <c r="KD129">
        <v>19.2811</v>
      </c>
      <c r="KE129">
        <v>51.7623</v>
      </c>
      <c r="KF129">
        <v>23.0975</v>
      </c>
      <c r="KG129">
        <v>400</v>
      </c>
      <c r="KH129">
        <v>17.3191</v>
      </c>
      <c r="KI129">
        <v>102.256</v>
      </c>
      <c r="KJ129">
        <v>91.6399</v>
      </c>
    </row>
    <row r="130" spans="1:296">
      <c r="A130">
        <v>112</v>
      </c>
      <c r="B130">
        <v>1765316231.6</v>
      </c>
      <c r="C130">
        <v>18798.59999990463</v>
      </c>
      <c r="D130" t="s">
        <v>784</v>
      </c>
      <c r="E130" t="s">
        <v>785</v>
      </c>
      <c r="F130">
        <v>5</v>
      </c>
      <c r="G130" t="s">
        <v>782</v>
      </c>
      <c r="H130">
        <v>1765316223.849999</v>
      </c>
      <c r="I130">
        <f>(J130)/1000</f>
        <v>0</v>
      </c>
      <c r="J130">
        <f>IF(DO130, AM130, AG130)</f>
        <v>0</v>
      </c>
      <c r="K130">
        <f>IF(DO130, AH130, AF130)</f>
        <v>0</v>
      </c>
      <c r="L130">
        <f>DQ130 - IF(AT130&gt;1, K130*DK130*100.0/(AV130), 0)</f>
        <v>0</v>
      </c>
      <c r="M130">
        <f>((S130-I130/2)*L130-K130)/(S130+I130/2)</f>
        <v>0</v>
      </c>
      <c r="N130">
        <f>M130*(DX130+DY130)/1000.0</f>
        <v>0</v>
      </c>
      <c r="O130">
        <f>(DQ130 - IF(AT130&gt;1, K130*DK130*100.0/(AV130), 0))*(DX130+DY130)/1000.0</f>
        <v>0</v>
      </c>
      <c r="P130">
        <f>2.0/((1/R130-1/Q130)+SIGN(R130)*SQRT((1/R130-1/Q130)*(1/R130-1/Q130) + 4*DL130/((DL130+1)*(DL130+1))*(2*1/R130*1/Q130-1/Q130*1/Q130)))</f>
        <v>0</v>
      </c>
      <c r="Q130">
        <f>IF(LEFT(DM130,1)&lt;&gt;"0",IF(LEFT(DM130,1)="1",3.0,DN130),$D$5+$E$5*(EE130*DX130/($K$5*1000))+$F$5*(EE130*DX130/($K$5*1000))*MAX(MIN(DK130,$J$5),$I$5)*MAX(MIN(DK130,$J$5),$I$5)+$G$5*MAX(MIN(DK130,$J$5),$I$5)*(EE130*DX130/($K$5*1000))+$H$5*(EE130*DX130/($K$5*1000))*(EE130*DX130/($K$5*1000)))</f>
        <v>0</v>
      </c>
      <c r="R130">
        <f>I130*(1000-(1000*0.61365*exp(17.502*V130/(240.97+V130))/(DX130+DY130)+DS130)/2)/(1000*0.61365*exp(17.502*V130/(240.97+V130))/(DX130+DY130)-DS130)</f>
        <v>0</v>
      </c>
      <c r="S130">
        <f>1/((DL130+1)/(P130/1.6)+1/(Q130/1.37)) + DL130/((DL130+1)/(P130/1.6) + DL130/(Q130/1.37))</f>
        <v>0</v>
      </c>
      <c r="T130">
        <f>(DG130*DJ130)</f>
        <v>0</v>
      </c>
      <c r="U130">
        <f>(DZ130+(T130+2*0.95*5.67E-8*(((DZ130+$B$9)+273)^4-(DZ130+273)^4)-44100*I130)/(1.84*29.3*Q130+8*0.95*5.67E-8*(DZ130+273)^3))</f>
        <v>0</v>
      </c>
      <c r="V130">
        <f>($C$9*EA130+$D$9*EB130+$E$9*U130)</f>
        <v>0</v>
      </c>
      <c r="W130">
        <f>0.61365*exp(17.502*V130/(240.97+V130))</f>
        <v>0</v>
      </c>
      <c r="X130">
        <f>(Y130/Z130*100)</f>
        <v>0</v>
      </c>
      <c r="Y130">
        <f>DS130*(DX130+DY130)/1000</f>
        <v>0</v>
      </c>
      <c r="Z130">
        <f>0.61365*exp(17.502*DZ130/(240.97+DZ130))</f>
        <v>0</v>
      </c>
      <c r="AA130">
        <f>(W130-DS130*(DX130+DY130)/1000)</f>
        <v>0</v>
      </c>
      <c r="AB130">
        <f>(-I130*44100)</f>
        <v>0</v>
      </c>
      <c r="AC130">
        <f>2*29.3*Q130*0.92*(DZ130-V130)</f>
        <v>0</v>
      </c>
      <c r="AD130">
        <f>2*0.95*5.67E-8*(((DZ130+$B$9)+273)^4-(V130+273)^4)</f>
        <v>0</v>
      </c>
      <c r="AE130">
        <f>T130+AD130+AB130+AC130</f>
        <v>0</v>
      </c>
      <c r="AF130">
        <f>DW130*AT130*(DR130-DQ130*(1000-AT130*DT130)/(1000-AT130*DS130))/(100*DK130)</f>
        <v>0</v>
      </c>
      <c r="AG130">
        <f>1000*DW130*AT130*(DS130-DT130)/(100*DK130*(1000-AT130*DS130))</f>
        <v>0</v>
      </c>
      <c r="AH130">
        <f>(AI130 - AJ130 - DX130*1E3/(8.314*(DZ130+273.15)) * AL130/DW130 * AK130) * DW130/(100*DK130) * (1000 - DT130)/1000</f>
        <v>0</v>
      </c>
      <c r="AI130">
        <v>305.2744156149614</v>
      </c>
      <c r="AJ130">
        <v>305.1793757575755</v>
      </c>
      <c r="AK130">
        <v>-0.02271092187468845</v>
      </c>
      <c r="AL130">
        <v>65.68950185079851</v>
      </c>
      <c r="AM130">
        <f>(AO130 - AN130 + DX130*1E3/(8.314*(DZ130+273.15)) * AQ130/DW130 * AP130) * DW130/(100*DK130) * 1000/(1000 - AO130)</f>
        <v>0</v>
      </c>
      <c r="AN130">
        <v>17.27516969696969</v>
      </c>
      <c r="AO130">
        <v>17.35694666666667</v>
      </c>
      <c r="AP130">
        <v>1.501386943695699E-05</v>
      </c>
      <c r="AQ130">
        <v>106.5539402950799</v>
      </c>
      <c r="AR130">
        <v>0</v>
      </c>
      <c r="AS130">
        <v>0</v>
      </c>
      <c r="AT130">
        <f>IF(AR130*$H$15&gt;=AV130,1.0,(AV130/(AV130-AR130*$H$15)))</f>
        <v>0</v>
      </c>
      <c r="AU130">
        <f>(AT130-1)*100</f>
        <v>0</v>
      </c>
      <c r="AV130">
        <f>MAX(0,($B$15+$C$15*EE130)/(1+$D$15*EE130)*DX130/(DZ130+273)*$E$15)</f>
        <v>0</v>
      </c>
      <c r="AW130" t="s">
        <v>437</v>
      </c>
      <c r="AX130" t="s">
        <v>437</v>
      </c>
      <c r="AY130">
        <v>0</v>
      </c>
      <c r="AZ130">
        <v>0</v>
      </c>
      <c r="BA130">
        <f>1-AY130/AZ130</f>
        <v>0</v>
      </c>
      <c r="BB130">
        <v>0</v>
      </c>
      <c r="BC130" t="s">
        <v>437</v>
      </c>
      <c r="BD130" t="s">
        <v>437</v>
      </c>
      <c r="BE130">
        <v>0</v>
      </c>
      <c r="BF130">
        <v>0</v>
      </c>
      <c r="BG130">
        <f>1-BE130/BF130</f>
        <v>0</v>
      </c>
      <c r="BH130">
        <v>0.5</v>
      </c>
      <c r="BI130">
        <f>DH130</f>
        <v>0</v>
      </c>
      <c r="BJ130">
        <f>K130</f>
        <v>0</v>
      </c>
      <c r="BK130">
        <f>BG130*BH130*BI130</f>
        <v>0</v>
      </c>
      <c r="BL130">
        <f>(BJ130-BB130)/BI130</f>
        <v>0</v>
      </c>
      <c r="BM130">
        <f>(AZ130-BF130)/BF130</f>
        <v>0</v>
      </c>
      <c r="BN130">
        <f>AY130/(BA130+AY130/BF130)</f>
        <v>0</v>
      </c>
      <c r="BO130" t="s">
        <v>437</v>
      </c>
      <c r="BP130">
        <v>0</v>
      </c>
      <c r="BQ130">
        <f>IF(BP130&lt;&gt;0, BP130, BN130)</f>
        <v>0</v>
      </c>
      <c r="BR130">
        <f>1-BQ130/BF130</f>
        <v>0</v>
      </c>
      <c r="BS130">
        <f>(BF130-BE130)/(BF130-BQ130)</f>
        <v>0</v>
      </c>
      <c r="BT130">
        <f>(AZ130-BF130)/(AZ130-BQ130)</f>
        <v>0</v>
      </c>
      <c r="BU130">
        <f>(BF130-BE130)/(BF130-AY130)</f>
        <v>0</v>
      </c>
      <c r="BV130">
        <f>(AZ130-BF130)/(AZ130-AY130)</f>
        <v>0</v>
      </c>
      <c r="BW130">
        <f>(BS130*BQ130/BE130)</f>
        <v>0</v>
      </c>
      <c r="BX130">
        <f>(1-BW130)</f>
        <v>0</v>
      </c>
      <c r="DG130">
        <f>$B$13*EF130+$C$13*EG130+$F$13*ER130*(1-EU130)</f>
        <v>0</v>
      </c>
      <c r="DH130">
        <f>DG130*DI130</f>
        <v>0</v>
      </c>
      <c r="DI130">
        <f>($B$13*$D$11+$C$13*$D$11+$F$13*((FE130+EW130)/MAX(FE130+EW130+FF130, 0.1)*$I$11+FF130/MAX(FE130+EW130+FF130, 0.1)*$J$11))/($B$13+$C$13+$F$13)</f>
        <v>0</v>
      </c>
      <c r="DJ130">
        <f>($B$13*$K$11+$C$13*$K$11+$F$13*((FE130+EW130)/MAX(FE130+EW130+FF130, 0.1)*$P$11+FF130/MAX(FE130+EW130+FF130, 0.1)*$Q$11))/($B$13+$C$13+$F$13)</f>
        <v>0</v>
      </c>
      <c r="DK130">
        <v>5.66</v>
      </c>
      <c r="DL130">
        <v>0.5</v>
      </c>
      <c r="DM130" t="s">
        <v>438</v>
      </c>
      <c r="DN130">
        <v>2</v>
      </c>
      <c r="DO130" t="b">
        <v>1</v>
      </c>
      <c r="DP130">
        <v>1765316223.849999</v>
      </c>
      <c r="DQ130">
        <v>299.9697</v>
      </c>
      <c r="DR130">
        <v>299.9786999999999</v>
      </c>
      <c r="DS130">
        <v>17.35183333333333</v>
      </c>
      <c r="DT130">
        <v>17.27508333333333</v>
      </c>
      <c r="DU130">
        <v>300.1367</v>
      </c>
      <c r="DV130">
        <v>17.28283333333333</v>
      </c>
      <c r="DW130">
        <v>499.9982666666667</v>
      </c>
      <c r="DX130">
        <v>89.74312666666667</v>
      </c>
      <c r="DY130">
        <v>0.1000231433333333</v>
      </c>
      <c r="DZ130">
        <v>24.66094333333334</v>
      </c>
      <c r="EA130">
        <v>24.98656333333333</v>
      </c>
      <c r="EB130">
        <v>999.9000000000002</v>
      </c>
      <c r="EC130">
        <v>0</v>
      </c>
      <c r="ED130">
        <v>0</v>
      </c>
      <c r="EE130">
        <v>9988.812999999998</v>
      </c>
      <c r="EF130">
        <v>0</v>
      </c>
      <c r="EG130">
        <v>9.835680000000002</v>
      </c>
      <c r="EH130">
        <v>-0.038295458</v>
      </c>
      <c r="EI130">
        <v>305.2379</v>
      </c>
      <c r="EJ130">
        <v>305.2521</v>
      </c>
      <c r="EK130">
        <v>0.07987441333333334</v>
      </c>
      <c r="EL130">
        <v>299.9786999999999</v>
      </c>
      <c r="EM130">
        <v>17.27508333333333</v>
      </c>
      <c r="EN130">
        <v>1.557488666666667</v>
      </c>
      <c r="EO130">
        <v>1.550320333333333</v>
      </c>
      <c r="EP130">
        <v>13.54450666666667</v>
      </c>
      <c r="EQ130">
        <v>13.47368333333333</v>
      </c>
      <c r="ER130">
        <v>800.0151666666667</v>
      </c>
      <c r="ES130">
        <v>0.9499903333333332</v>
      </c>
      <c r="ET130">
        <v>0.05001001666666668</v>
      </c>
      <c r="EU130">
        <v>0</v>
      </c>
      <c r="EV130">
        <v>838.2497666666667</v>
      </c>
      <c r="EW130">
        <v>5.00078</v>
      </c>
      <c r="EX130">
        <v>6322.585666666668</v>
      </c>
      <c r="EY130">
        <v>6463.518999999998</v>
      </c>
      <c r="EZ130">
        <v>35.69973333333333</v>
      </c>
      <c r="FA130">
        <v>38.07879999999999</v>
      </c>
      <c r="FB130">
        <v>37.37893333333332</v>
      </c>
      <c r="FC130">
        <v>37.70806666666666</v>
      </c>
      <c r="FD130">
        <v>37.36219999999999</v>
      </c>
      <c r="FE130">
        <v>755.2566666666664</v>
      </c>
      <c r="FF130">
        <v>39.759</v>
      </c>
      <c r="FG130">
        <v>0</v>
      </c>
      <c r="FH130">
        <v>1765316231.3</v>
      </c>
      <c r="FI130">
        <v>0</v>
      </c>
      <c r="FJ130">
        <v>838.2991923076922</v>
      </c>
      <c r="FK130">
        <v>0.4207521184000895</v>
      </c>
      <c r="FL130">
        <v>-4.017777767407172</v>
      </c>
      <c r="FM130">
        <v>6322.536153846154</v>
      </c>
      <c r="FN130">
        <v>15</v>
      </c>
      <c r="FO130">
        <v>1765316247.6</v>
      </c>
      <c r="FP130" t="s">
        <v>786</v>
      </c>
      <c r="FQ130">
        <v>1765316243.6</v>
      </c>
      <c r="FR130">
        <v>1765316247.6</v>
      </c>
      <c r="FS130">
        <v>113</v>
      </c>
      <c r="FT130">
        <v>0.029</v>
      </c>
      <c r="FU130">
        <v>-0.002</v>
      </c>
      <c r="FV130">
        <v>-0.167</v>
      </c>
      <c r="FW130">
        <v>0.06900000000000001</v>
      </c>
      <c r="FX130">
        <v>300</v>
      </c>
      <c r="FY130">
        <v>17</v>
      </c>
      <c r="FZ130">
        <v>0.61</v>
      </c>
      <c r="GA130">
        <v>0.23</v>
      </c>
      <c r="GB130">
        <v>-0.006673644878048781</v>
      </c>
      <c r="GC130">
        <v>-0.4140179954006969</v>
      </c>
      <c r="GD130">
        <v>0.06686044782634912</v>
      </c>
      <c r="GE130">
        <v>1</v>
      </c>
      <c r="GF130">
        <v>838.2443529411764</v>
      </c>
      <c r="GG130">
        <v>0.5376012130631359</v>
      </c>
      <c r="GH130">
        <v>0.2488616296793031</v>
      </c>
      <c r="GI130">
        <v>1</v>
      </c>
      <c r="GJ130">
        <v>0.07931080487804877</v>
      </c>
      <c r="GK130">
        <v>0.0111959958188154</v>
      </c>
      <c r="GL130">
        <v>0.001910049037801247</v>
      </c>
      <c r="GM130">
        <v>1</v>
      </c>
      <c r="GN130">
        <v>3</v>
      </c>
      <c r="GO130">
        <v>3</v>
      </c>
      <c r="GP130" t="s">
        <v>440</v>
      </c>
      <c r="GQ130">
        <v>3.10831</v>
      </c>
      <c r="GR130">
        <v>2.79172</v>
      </c>
      <c r="GS130">
        <v>0.06731529999999999</v>
      </c>
      <c r="GT130">
        <v>0.067332</v>
      </c>
      <c r="GU130">
        <v>0.0856663</v>
      </c>
      <c r="GV130">
        <v>0.08615159999999999</v>
      </c>
      <c r="GW130">
        <v>24466.3</v>
      </c>
      <c r="GX130">
        <v>22213.6</v>
      </c>
      <c r="GY130">
        <v>26789.8</v>
      </c>
      <c r="GZ130">
        <v>24023.9</v>
      </c>
      <c r="HA130">
        <v>39147.1</v>
      </c>
      <c r="HB130">
        <v>32400.7</v>
      </c>
      <c r="HC130">
        <v>46759.5</v>
      </c>
      <c r="HD130">
        <v>37992.2</v>
      </c>
      <c r="HE130">
        <v>1.88892</v>
      </c>
      <c r="HF130">
        <v>1.86308</v>
      </c>
      <c r="HG130">
        <v>0.0737458</v>
      </c>
      <c r="HH130">
        <v>0</v>
      </c>
      <c r="HI130">
        <v>23.7673</v>
      </c>
      <c r="HJ130">
        <v>999.9</v>
      </c>
      <c r="HK130">
        <v>43</v>
      </c>
      <c r="HL130">
        <v>30.6</v>
      </c>
      <c r="HM130">
        <v>21.1281</v>
      </c>
      <c r="HN130">
        <v>61.1331</v>
      </c>
      <c r="HO130">
        <v>27.6082</v>
      </c>
      <c r="HP130">
        <v>1</v>
      </c>
      <c r="HQ130">
        <v>0.0246291</v>
      </c>
      <c r="HR130">
        <v>0.897339</v>
      </c>
      <c r="HS130">
        <v>20.2923</v>
      </c>
      <c r="HT130">
        <v>5.22133</v>
      </c>
      <c r="HU130">
        <v>11.9794</v>
      </c>
      <c r="HV130">
        <v>4.9654</v>
      </c>
      <c r="HW130">
        <v>3.27595</v>
      </c>
      <c r="HX130">
        <v>9999</v>
      </c>
      <c r="HY130">
        <v>9999</v>
      </c>
      <c r="HZ130">
        <v>9999</v>
      </c>
      <c r="IA130">
        <v>999.9</v>
      </c>
      <c r="IB130">
        <v>1.86388</v>
      </c>
      <c r="IC130">
        <v>1.86005</v>
      </c>
      <c r="ID130">
        <v>1.85834</v>
      </c>
      <c r="IE130">
        <v>1.85971</v>
      </c>
      <c r="IF130">
        <v>1.85985</v>
      </c>
      <c r="IG130">
        <v>1.85835</v>
      </c>
      <c r="IH130">
        <v>1.85741</v>
      </c>
      <c r="II130">
        <v>1.85236</v>
      </c>
      <c r="IJ130">
        <v>0</v>
      </c>
      <c r="IK130">
        <v>0</v>
      </c>
      <c r="IL130">
        <v>0</v>
      </c>
      <c r="IM130">
        <v>0</v>
      </c>
      <c r="IN130" t="s">
        <v>441</v>
      </c>
      <c r="IO130" t="s">
        <v>442</v>
      </c>
      <c r="IP130" t="s">
        <v>443</v>
      </c>
      <c r="IQ130" t="s">
        <v>443</v>
      </c>
      <c r="IR130" t="s">
        <v>443</v>
      </c>
      <c r="IS130" t="s">
        <v>443</v>
      </c>
      <c r="IT130">
        <v>0</v>
      </c>
      <c r="IU130">
        <v>100</v>
      </c>
      <c r="IV130">
        <v>100</v>
      </c>
      <c r="IW130">
        <v>-0.167</v>
      </c>
      <c r="IX130">
        <v>0.06900000000000001</v>
      </c>
      <c r="IY130">
        <v>-0.3692038047781824</v>
      </c>
      <c r="IZ130">
        <v>0.0001583678016168383</v>
      </c>
      <c r="JA130">
        <v>1.526473431467286E-06</v>
      </c>
      <c r="JB130">
        <v>-4.446382740029455E-10</v>
      </c>
      <c r="JC130">
        <v>-0.04411176628903893</v>
      </c>
      <c r="JD130">
        <v>-0.009941991807247691</v>
      </c>
      <c r="JE130">
        <v>0.001256427533001032</v>
      </c>
      <c r="JF130">
        <v>-1.689728105039484E-05</v>
      </c>
      <c r="JG130">
        <v>2</v>
      </c>
      <c r="JH130">
        <v>1984</v>
      </c>
      <c r="JI130">
        <v>0</v>
      </c>
      <c r="JJ130">
        <v>25</v>
      </c>
      <c r="JK130">
        <v>1.2</v>
      </c>
      <c r="JL130">
        <v>1.3</v>
      </c>
      <c r="JM130">
        <v>0.8703610000000001</v>
      </c>
      <c r="JN130">
        <v>2.62207</v>
      </c>
      <c r="JO130">
        <v>1.49658</v>
      </c>
      <c r="JP130">
        <v>2.34741</v>
      </c>
      <c r="JQ130">
        <v>1.54907</v>
      </c>
      <c r="JR130">
        <v>2.37183</v>
      </c>
      <c r="JS130">
        <v>35.1978</v>
      </c>
      <c r="JT130">
        <v>24.1313</v>
      </c>
      <c r="JU130">
        <v>18</v>
      </c>
      <c r="JV130">
        <v>479.232</v>
      </c>
      <c r="JW130">
        <v>491.477</v>
      </c>
      <c r="JX130">
        <v>23.1211</v>
      </c>
      <c r="JY130">
        <v>27.4849</v>
      </c>
      <c r="JZ130">
        <v>30.0002</v>
      </c>
      <c r="KA130">
        <v>27.7313</v>
      </c>
      <c r="KB130">
        <v>27.7328</v>
      </c>
      <c r="KC130">
        <v>17.504</v>
      </c>
      <c r="KD130">
        <v>19.2811</v>
      </c>
      <c r="KE130">
        <v>51.7623</v>
      </c>
      <c r="KF130">
        <v>23.1254</v>
      </c>
      <c r="KG130">
        <v>300</v>
      </c>
      <c r="KH130">
        <v>17.3224</v>
      </c>
      <c r="KI130">
        <v>102.253</v>
      </c>
      <c r="KJ130">
        <v>91.63809999999999</v>
      </c>
    </row>
    <row r="131" spans="1:296">
      <c r="A131">
        <v>113</v>
      </c>
      <c r="B131">
        <v>1765316338.6</v>
      </c>
      <c r="C131">
        <v>18905.59999990463</v>
      </c>
      <c r="D131" t="s">
        <v>787</v>
      </c>
      <c r="E131" t="s">
        <v>788</v>
      </c>
      <c r="F131">
        <v>5</v>
      </c>
      <c r="G131" t="s">
        <v>782</v>
      </c>
      <c r="H131">
        <v>1765316330.599999</v>
      </c>
      <c r="I131">
        <f>(J131)/1000</f>
        <v>0</v>
      </c>
      <c r="J131">
        <f>IF(DO131, AM131, AG131)</f>
        <v>0</v>
      </c>
      <c r="K131">
        <f>IF(DO131, AH131, AF131)</f>
        <v>0</v>
      </c>
      <c r="L131">
        <f>DQ131 - IF(AT131&gt;1, K131*DK131*100.0/(AV131), 0)</f>
        <v>0</v>
      </c>
      <c r="M131">
        <f>((S131-I131/2)*L131-K131)/(S131+I131/2)</f>
        <v>0</v>
      </c>
      <c r="N131">
        <f>M131*(DX131+DY131)/1000.0</f>
        <v>0</v>
      </c>
      <c r="O131">
        <f>(DQ131 - IF(AT131&gt;1, K131*DK131*100.0/(AV131), 0))*(DX131+DY131)/1000.0</f>
        <v>0</v>
      </c>
      <c r="P131">
        <f>2.0/((1/R131-1/Q131)+SIGN(R131)*SQRT((1/R131-1/Q131)*(1/R131-1/Q131) + 4*DL131/((DL131+1)*(DL131+1))*(2*1/R131*1/Q131-1/Q131*1/Q131)))</f>
        <v>0</v>
      </c>
      <c r="Q131">
        <f>IF(LEFT(DM131,1)&lt;&gt;"0",IF(LEFT(DM131,1)="1",3.0,DN131),$D$5+$E$5*(EE131*DX131/($K$5*1000))+$F$5*(EE131*DX131/($K$5*1000))*MAX(MIN(DK131,$J$5),$I$5)*MAX(MIN(DK131,$J$5),$I$5)+$G$5*MAX(MIN(DK131,$J$5),$I$5)*(EE131*DX131/($K$5*1000))+$H$5*(EE131*DX131/($K$5*1000))*(EE131*DX131/($K$5*1000)))</f>
        <v>0</v>
      </c>
      <c r="R131">
        <f>I131*(1000-(1000*0.61365*exp(17.502*V131/(240.97+V131))/(DX131+DY131)+DS131)/2)/(1000*0.61365*exp(17.502*V131/(240.97+V131))/(DX131+DY131)-DS131)</f>
        <v>0</v>
      </c>
      <c r="S131">
        <f>1/((DL131+1)/(P131/1.6)+1/(Q131/1.37)) + DL131/((DL131+1)/(P131/1.6) + DL131/(Q131/1.37))</f>
        <v>0</v>
      </c>
      <c r="T131">
        <f>(DG131*DJ131)</f>
        <v>0</v>
      </c>
      <c r="U131">
        <f>(DZ131+(T131+2*0.95*5.67E-8*(((DZ131+$B$9)+273)^4-(DZ131+273)^4)-44100*I131)/(1.84*29.3*Q131+8*0.95*5.67E-8*(DZ131+273)^3))</f>
        <v>0</v>
      </c>
      <c r="V131">
        <f>($C$9*EA131+$D$9*EB131+$E$9*U131)</f>
        <v>0</v>
      </c>
      <c r="W131">
        <f>0.61365*exp(17.502*V131/(240.97+V131))</f>
        <v>0</v>
      </c>
      <c r="X131">
        <f>(Y131/Z131*100)</f>
        <v>0</v>
      </c>
      <c r="Y131">
        <f>DS131*(DX131+DY131)/1000</f>
        <v>0</v>
      </c>
      <c r="Z131">
        <f>0.61365*exp(17.502*DZ131/(240.97+DZ131))</f>
        <v>0</v>
      </c>
      <c r="AA131">
        <f>(W131-DS131*(DX131+DY131)/1000)</f>
        <v>0</v>
      </c>
      <c r="AB131">
        <f>(-I131*44100)</f>
        <v>0</v>
      </c>
      <c r="AC131">
        <f>2*29.3*Q131*0.92*(DZ131-V131)</f>
        <v>0</v>
      </c>
      <c r="AD131">
        <f>2*0.95*5.67E-8*(((DZ131+$B$9)+273)^4-(V131+273)^4)</f>
        <v>0</v>
      </c>
      <c r="AE131">
        <f>T131+AD131+AB131+AC131</f>
        <v>0</v>
      </c>
      <c r="AF131">
        <f>DW131*AT131*(DR131-DQ131*(1000-AT131*DT131)/(1000-AT131*DS131))/(100*DK131)</f>
        <v>0</v>
      </c>
      <c r="AG131">
        <f>1000*DW131*AT131*(DS131-DT131)/(100*DK131*(1000-AT131*DS131))</f>
        <v>0</v>
      </c>
      <c r="AH131">
        <f>(AI131 - AJ131 - DX131*1E3/(8.314*(DZ131+273.15)) * AL131/DW131 * AK131) * DW131/(100*DK131) * (1000 - DT131)/1000</f>
        <v>0</v>
      </c>
      <c r="AI131">
        <v>203.4988316514282</v>
      </c>
      <c r="AJ131">
        <v>203.5331696969696</v>
      </c>
      <c r="AK131">
        <v>-0.0004376807517686261</v>
      </c>
      <c r="AL131">
        <v>65.67927414125569</v>
      </c>
      <c r="AM131">
        <f>(AO131 - AN131 + DX131*1E3/(8.314*(DZ131+273.15)) * AQ131/DW131 * AP131) * DW131/(100*DK131) * 1000/(1000 - AO131)</f>
        <v>0</v>
      </c>
      <c r="AN131">
        <v>17.23297151515152</v>
      </c>
      <c r="AO131">
        <v>17.32974424242424</v>
      </c>
      <c r="AP131">
        <v>-0.0003210540184458958</v>
      </c>
      <c r="AQ131">
        <v>106.4633896325499</v>
      </c>
      <c r="AR131">
        <v>0</v>
      </c>
      <c r="AS131">
        <v>0</v>
      </c>
      <c r="AT131">
        <f>IF(AR131*$H$15&gt;=AV131,1.0,(AV131/(AV131-AR131*$H$15)))</f>
        <v>0</v>
      </c>
      <c r="AU131">
        <f>(AT131-1)*100</f>
        <v>0</v>
      </c>
      <c r="AV131">
        <f>MAX(0,($B$15+$C$15*EE131)/(1+$D$15*EE131)*DX131/(DZ131+273)*$E$15)</f>
        <v>0</v>
      </c>
      <c r="AW131" t="s">
        <v>437</v>
      </c>
      <c r="AX131" t="s">
        <v>437</v>
      </c>
      <c r="AY131">
        <v>0</v>
      </c>
      <c r="AZ131">
        <v>0</v>
      </c>
      <c r="BA131">
        <f>1-AY131/AZ131</f>
        <v>0</v>
      </c>
      <c r="BB131">
        <v>0</v>
      </c>
      <c r="BC131" t="s">
        <v>437</v>
      </c>
      <c r="BD131" t="s">
        <v>437</v>
      </c>
      <c r="BE131">
        <v>0</v>
      </c>
      <c r="BF131">
        <v>0</v>
      </c>
      <c r="BG131">
        <f>1-BE131/BF131</f>
        <v>0</v>
      </c>
      <c r="BH131">
        <v>0.5</v>
      </c>
      <c r="BI131">
        <f>DH131</f>
        <v>0</v>
      </c>
      <c r="BJ131">
        <f>K131</f>
        <v>0</v>
      </c>
      <c r="BK131">
        <f>BG131*BH131*BI131</f>
        <v>0</v>
      </c>
      <c r="BL131">
        <f>(BJ131-BB131)/BI131</f>
        <v>0</v>
      </c>
      <c r="BM131">
        <f>(AZ131-BF131)/BF131</f>
        <v>0</v>
      </c>
      <c r="BN131">
        <f>AY131/(BA131+AY131/BF131)</f>
        <v>0</v>
      </c>
      <c r="BO131" t="s">
        <v>437</v>
      </c>
      <c r="BP131">
        <v>0</v>
      </c>
      <c r="BQ131">
        <f>IF(BP131&lt;&gt;0, BP131, BN131)</f>
        <v>0</v>
      </c>
      <c r="BR131">
        <f>1-BQ131/BF131</f>
        <v>0</v>
      </c>
      <c r="BS131">
        <f>(BF131-BE131)/(BF131-BQ131)</f>
        <v>0</v>
      </c>
      <c r="BT131">
        <f>(AZ131-BF131)/(AZ131-BQ131)</f>
        <v>0</v>
      </c>
      <c r="BU131">
        <f>(BF131-BE131)/(BF131-AY131)</f>
        <v>0</v>
      </c>
      <c r="BV131">
        <f>(AZ131-BF131)/(AZ131-AY131)</f>
        <v>0</v>
      </c>
      <c r="BW131">
        <f>(BS131*BQ131/BE131)</f>
        <v>0</v>
      </c>
      <c r="BX131">
        <f>(1-BW131)</f>
        <v>0</v>
      </c>
      <c r="DG131">
        <f>$B$13*EF131+$C$13*EG131+$F$13*ER131*(1-EU131)</f>
        <v>0</v>
      </c>
      <c r="DH131">
        <f>DG131*DI131</f>
        <v>0</v>
      </c>
      <c r="DI131">
        <f>($B$13*$D$11+$C$13*$D$11+$F$13*((FE131+EW131)/MAX(FE131+EW131+FF131, 0.1)*$I$11+FF131/MAX(FE131+EW131+FF131, 0.1)*$J$11))/($B$13+$C$13+$F$13)</f>
        <v>0</v>
      </c>
      <c r="DJ131">
        <f>($B$13*$K$11+$C$13*$K$11+$F$13*((FE131+EW131)/MAX(FE131+EW131+FF131, 0.1)*$P$11+FF131/MAX(FE131+EW131+FF131, 0.1)*$Q$11))/($B$13+$C$13+$F$13)</f>
        <v>0</v>
      </c>
      <c r="DK131">
        <v>5.66</v>
      </c>
      <c r="DL131">
        <v>0.5</v>
      </c>
      <c r="DM131" t="s">
        <v>438</v>
      </c>
      <c r="DN131">
        <v>2</v>
      </c>
      <c r="DO131" t="b">
        <v>1</v>
      </c>
      <c r="DP131">
        <v>1765316330.599999</v>
      </c>
      <c r="DQ131">
        <v>200.1032903225806</v>
      </c>
      <c r="DR131">
        <v>200.0000967741936</v>
      </c>
      <c r="DS131">
        <v>17.34945161290323</v>
      </c>
      <c r="DT131">
        <v>17.24403225806451</v>
      </c>
      <c r="DU131">
        <v>200.2782903225806</v>
      </c>
      <c r="DV131">
        <v>17.28145161290323</v>
      </c>
      <c r="DW131">
        <v>499.9994516129032</v>
      </c>
      <c r="DX131">
        <v>89.74670322580644</v>
      </c>
      <c r="DY131">
        <v>0.09998887096774194</v>
      </c>
      <c r="DZ131">
        <v>24.67474838709678</v>
      </c>
      <c r="EA131">
        <v>24.99411612903226</v>
      </c>
      <c r="EB131">
        <v>999.9000000000003</v>
      </c>
      <c r="EC131">
        <v>0</v>
      </c>
      <c r="ED131">
        <v>0</v>
      </c>
      <c r="EE131">
        <v>10004.88419354839</v>
      </c>
      <c r="EF131">
        <v>0</v>
      </c>
      <c r="EG131">
        <v>9.842780322580648</v>
      </c>
      <c r="EH131">
        <v>0.02768040709677419</v>
      </c>
      <c r="EI131">
        <v>203.5598709677419</v>
      </c>
      <c r="EJ131">
        <v>203.5094838709677</v>
      </c>
      <c r="EK131">
        <v>0.107581235483871</v>
      </c>
      <c r="EL131">
        <v>200.0000967741936</v>
      </c>
      <c r="EM131">
        <v>17.24403225806451</v>
      </c>
      <c r="EN131">
        <v>1.55725064516129</v>
      </c>
      <c r="EO131">
        <v>1.547595483870968</v>
      </c>
      <c r="EP131">
        <v>13.54215806451613</v>
      </c>
      <c r="EQ131">
        <v>13.44667419354839</v>
      </c>
      <c r="ER131">
        <v>799.9743870967743</v>
      </c>
      <c r="ES131">
        <v>0.9499866129032256</v>
      </c>
      <c r="ET131">
        <v>0.05001308387096776</v>
      </c>
      <c r="EU131">
        <v>0</v>
      </c>
      <c r="EV131">
        <v>836.9946129032257</v>
      </c>
      <c r="EW131">
        <v>5.000779999999999</v>
      </c>
      <c r="EX131">
        <v>6335.622580645161</v>
      </c>
      <c r="EY131">
        <v>6463.180967741936</v>
      </c>
      <c r="EZ131">
        <v>36.59048387096774</v>
      </c>
      <c r="FA131">
        <v>40.08235483870966</v>
      </c>
      <c r="FB131">
        <v>38.63887096774193</v>
      </c>
      <c r="FC131">
        <v>40.03196774193547</v>
      </c>
      <c r="FD131">
        <v>38.87261290322579</v>
      </c>
      <c r="FE131">
        <v>755.2145161290321</v>
      </c>
      <c r="FF131">
        <v>39.76</v>
      </c>
      <c r="FG131">
        <v>0</v>
      </c>
      <c r="FH131">
        <v>1765316338.1</v>
      </c>
      <c r="FI131">
        <v>0</v>
      </c>
      <c r="FJ131">
        <v>836.9668076923076</v>
      </c>
      <c r="FK131">
        <v>-2.706769224453272</v>
      </c>
      <c r="FL131">
        <v>5.87863245860659</v>
      </c>
      <c r="FM131">
        <v>6335.669615384615</v>
      </c>
      <c r="FN131">
        <v>15</v>
      </c>
      <c r="FO131">
        <v>1765316354.6</v>
      </c>
      <c r="FP131" t="s">
        <v>789</v>
      </c>
      <c r="FQ131">
        <v>1765316353.6</v>
      </c>
      <c r="FR131">
        <v>1765316354.6</v>
      </c>
      <c r="FS131">
        <v>114</v>
      </c>
      <c r="FT131">
        <v>0.075</v>
      </c>
      <c r="FU131">
        <v>-0</v>
      </c>
      <c r="FV131">
        <v>-0.175</v>
      </c>
      <c r="FW131">
        <v>0.068</v>
      </c>
      <c r="FX131">
        <v>200</v>
      </c>
      <c r="FY131">
        <v>17</v>
      </c>
      <c r="FZ131">
        <v>0.51</v>
      </c>
      <c r="GA131">
        <v>0.23</v>
      </c>
      <c r="GB131">
        <v>0.0265224295</v>
      </c>
      <c r="GC131">
        <v>0.06630755099437148</v>
      </c>
      <c r="GD131">
        <v>0.03033606075966282</v>
      </c>
      <c r="GE131">
        <v>1</v>
      </c>
      <c r="GF131">
        <v>837.0370294117647</v>
      </c>
      <c r="GG131">
        <v>-1.091566079053458</v>
      </c>
      <c r="GH131">
        <v>0.2197734776716465</v>
      </c>
      <c r="GI131">
        <v>0</v>
      </c>
      <c r="GJ131">
        <v>0.1019334375</v>
      </c>
      <c r="GK131">
        <v>0.0616836371482176</v>
      </c>
      <c r="GL131">
        <v>0.01297713950849122</v>
      </c>
      <c r="GM131">
        <v>1</v>
      </c>
      <c r="GN131">
        <v>2</v>
      </c>
      <c r="GO131">
        <v>3</v>
      </c>
      <c r="GP131" t="s">
        <v>453</v>
      </c>
      <c r="GQ131">
        <v>3.10837</v>
      </c>
      <c r="GR131">
        <v>2.79171</v>
      </c>
      <c r="GS131">
        <v>0.0479448</v>
      </c>
      <c r="GT131">
        <v>0.0478952</v>
      </c>
      <c r="GU131">
        <v>0.08557240000000001</v>
      </c>
      <c r="GV131">
        <v>0.08600149999999999</v>
      </c>
      <c r="GW131">
        <v>24973.2</v>
      </c>
      <c r="GX131">
        <v>22675.1</v>
      </c>
      <c r="GY131">
        <v>26788.5</v>
      </c>
      <c r="GZ131">
        <v>24022.4</v>
      </c>
      <c r="HA131">
        <v>39146.9</v>
      </c>
      <c r="HB131">
        <v>32402.5</v>
      </c>
      <c r="HC131">
        <v>46757.3</v>
      </c>
      <c r="HD131">
        <v>37990.4</v>
      </c>
      <c r="HE131">
        <v>1.889</v>
      </c>
      <c r="HF131">
        <v>1.8627</v>
      </c>
      <c r="HG131">
        <v>0.0740886</v>
      </c>
      <c r="HH131">
        <v>0</v>
      </c>
      <c r="HI131">
        <v>23.7833</v>
      </c>
      <c r="HJ131">
        <v>999.9</v>
      </c>
      <c r="HK131">
        <v>42.8</v>
      </c>
      <c r="HL131">
        <v>30.6</v>
      </c>
      <c r="HM131">
        <v>21.028</v>
      </c>
      <c r="HN131">
        <v>61.2931</v>
      </c>
      <c r="HO131">
        <v>27.5801</v>
      </c>
      <c r="HP131">
        <v>1</v>
      </c>
      <c r="HQ131">
        <v>0.0263821</v>
      </c>
      <c r="HR131">
        <v>0.905223</v>
      </c>
      <c r="HS131">
        <v>20.2939</v>
      </c>
      <c r="HT131">
        <v>5.22118</v>
      </c>
      <c r="HU131">
        <v>11.9796</v>
      </c>
      <c r="HV131">
        <v>4.9654</v>
      </c>
      <c r="HW131">
        <v>3.27595</v>
      </c>
      <c r="HX131">
        <v>9999</v>
      </c>
      <c r="HY131">
        <v>9999</v>
      </c>
      <c r="HZ131">
        <v>9999</v>
      </c>
      <c r="IA131">
        <v>999.9</v>
      </c>
      <c r="IB131">
        <v>1.86387</v>
      </c>
      <c r="IC131">
        <v>1.86005</v>
      </c>
      <c r="ID131">
        <v>1.85837</v>
      </c>
      <c r="IE131">
        <v>1.85971</v>
      </c>
      <c r="IF131">
        <v>1.85987</v>
      </c>
      <c r="IG131">
        <v>1.85836</v>
      </c>
      <c r="IH131">
        <v>1.85743</v>
      </c>
      <c r="II131">
        <v>1.85237</v>
      </c>
      <c r="IJ131">
        <v>0</v>
      </c>
      <c r="IK131">
        <v>0</v>
      </c>
      <c r="IL131">
        <v>0</v>
      </c>
      <c r="IM131">
        <v>0</v>
      </c>
      <c r="IN131" t="s">
        <v>441</v>
      </c>
      <c r="IO131" t="s">
        <v>442</v>
      </c>
      <c r="IP131" t="s">
        <v>443</v>
      </c>
      <c r="IQ131" t="s">
        <v>443</v>
      </c>
      <c r="IR131" t="s">
        <v>443</v>
      </c>
      <c r="IS131" t="s">
        <v>443</v>
      </c>
      <c r="IT131">
        <v>0</v>
      </c>
      <c r="IU131">
        <v>100</v>
      </c>
      <c r="IV131">
        <v>100</v>
      </c>
      <c r="IW131">
        <v>-0.175</v>
      </c>
      <c r="IX131">
        <v>0.068</v>
      </c>
      <c r="IY131">
        <v>-0.3398906075866268</v>
      </c>
      <c r="IZ131">
        <v>0.0001583678016168383</v>
      </c>
      <c r="JA131">
        <v>1.526473431467286E-06</v>
      </c>
      <c r="JB131">
        <v>-4.446382740029455E-10</v>
      </c>
      <c r="JC131">
        <v>-0.04604845454002746</v>
      </c>
      <c r="JD131">
        <v>-0.009941991807247691</v>
      </c>
      <c r="JE131">
        <v>0.001256427533001032</v>
      </c>
      <c r="JF131">
        <v>-1.689728105039484E-05</v>
      </c>
      <c r="JG131">
        <v>2</v>
      </c>
      <c r="JH131">
        <v>1984</v>
      </c>
      <c r="JI131">
        <v>0</v>
      </c>
      <c r="JJ131">
        <v>25</v>
      </c>
      <c r="JK131">
        <v>1.6</v>
      </c>
      <c r="JL131">
        <v>1.5</v>
      </c>
      <c r="JM131">
        <v>0.638428</v>
      </c>
      <c r="JN131">
        <v>2.63184</v>
      </c>
      <c r="JO131">
        <v>1.49658</v>
      </c>
      <c r="JP131">
        <v>2.34741</v>
      </c>
      <c r="JQ131">
        <v>1.54907</v>
      </c>
      <c r="JR131">
        <v>2.33521</v>
      </c>
      <c r="JS131">
        <v>35.1978</v>
      </c>
      <c r="JT131">
        <v>24.1313</v>
      </c>
      <c r="JU131">
        <v>18</v>
      </c>
      <c r="JV131">
        <v>479.419</v>
      </c>
      <c r="JW131">
        <v>491.371</v>
      </c>
      <c r="JX131">
        <v>23.1414</v>
      </c>
      <c r="JY131">
        <v>27.5059</v>
      </c>
      <c r="JZ131">
        <v>30.0001</v>
      </c>
      <c r="KA131">
        <v>27.7501</v>
      </c>
      <c r="KB131">
        <v>27.7491</v>
      </c>
      <c r="KC131">
        <v>12.852</v>
      </c>
      <c r="KD131">
        <v>19.2992</v>
      </c>
      <c r="KE131">
        <v>51.3922</v>
      </c>
      <c r="KF131">
        <v>23.1443</v>
      </c>
      <c r="KG131">
        <v>200</v>
      </c>
      <c r="KH131">
        <v>17.2417</v>
      </c>
      <c r="KI131">
        <v>102.248</v>
      </c>
      <c r="KJ131">
        <v>91.6332</v>
      </c>
    </row>
    <row r="132" spans="1:296">
      <c r="A132">
        <v>114</v>
      </c>
      <c r="B132">
        <v>1765316446</v>
      </c>
      <c r="C132">
        <v>19013</v>
      </c>
      <c r="D132" t="s">
        <v>790</v>
      </c>
      <c r="E132" t="s">
        <v>791</v>
      </c>
      <c r="F132">
        <v>5</v>
      </c>
      <c r="G132" t="s">
        <v>782</v>
      </c>
      <c r="H132">
        <v>1765316438.25</v>
      </c>
      <c r="I132">
        <f>(J132)/1000</f>
        <v>0</v>
      </c>
      <c r="J132">
        <f>IF(DO132, AM132, AG132)</f>
        <v>0</v>
      </c>
      <c r="K132">
        <f>IF(DO132, AH132, AF132)</f>
        <v>0</v>
      </c>
      <c r="L132">
        <f>DQ132 - IF(AT132&gt;1, K132*DK132*100.0/(AV132), 0)</f>
        <v>0</v>
      </c>
      <c r="M132">
        <f>((S132-I132/2)*L132-K132)/(S132+I132/2)</f>
        <v>0</v>
      </c>
      <c r="N132">
        <f>M132*(DX132+DY132)/1000.0</f>
        <v>0</v>
      </c>
      <c r="O132">
        <f>(DQ132 - IF(AT132&gt;1, K132*DK132*100.0/(AV132), 0))*(DX132+DY132)/1000.0</f>
        <v>0</v>
      </c>
      <c r="P132">
        <f>2.0/((1/R132-1/Q132)+SIGN(R132)*SQRT((1/R132-1/Q132)*(1/R132-1/Q132) + 4*DL132/((DL132+1)*(DL132+1))*(2*1/R132*1/Q132-1/Q132*1/Q132)))</f>
        <v>0</v>
      </c>
      <c r="Q132">
        <f>IF(LEFT(DM132,1)&lt;&gt;"0",IF(LEFT(DM132,1)="1",3.0,DN132),$D$5+$E$5*(EE132*DX132/($K$5*1000))+$F$5*(EE132*DX132/($K$5*1000))*MAX(MIN(DK132,$J$5),$I$5)*MAX(MIN(DK132,$J$5),$I$5)+$G$5*MAX(MIN(DK132,$J$5),$I$5)*(EE132*DX132/($K$5*1000))+$H$5*(EE132*DX132/($K$5*1000))*(EE132*DX132/($K$5*1000)))</f>
        <v>0</v>
      </c>
      <c r="R132">
        <f>I132*(1000-(1000*0.61365*exp(17.502*V132/(240.97+V132))/(DX132+DY132)+DS132)/2)/(1000*0.61365*exp(17.502*V132/(240.97+V132))/(DX132+DY132)-DS132)</f>
        <v>0</v>
      </c>
      <c r="S132">
        <f>1/((DL132+1)/(P132/1.6)+1/(Q132/1.37)) + DL132/((DL132+1)/(P132/1.6) + DL132/(Q132/1.37))</f>
        <v>0</v>
      </c>
      <c r="T132">
        <f>(DG132*DJ132)</f>
        <v>0</v>
      </c>
      <c r="U132">
        <f>(DZ132+(T132+2*0.95*5.67E-8*(((DZ132+$B$9)+273)^4-(DZ132+273)^4)-44100*I132)/(1.84*29.3*Q132+8*0.95*5.67E-8*(DZ132+273)^3))</f>
        <v>0</v>
      </c>
      <c r="V132">
        <f>($C$9*EA132+$D$9*EB132+$E$9*U132)</f>
        <v>0</v>
      </c>
      <c r="W132">
        <f>0.61365*exp(17.502*V132/(240.97+V132))</f>
        <v>0</v>
      </c>
      <c r="X132">
        <f>(Y132/Z132*100)</f>
        <v>0</v>
      </c>
      <c r="Y132">
        <f>DS132*(DX132+DY132)/1000</f>
        <v>0</v>
      </c>
      <c r="Z132">
        <f>0.61365*exp(17.502*DZ132/(240.97+DZ132))</f>
        <v>0</v>
      </c>
      <c r="AA132">
        <f>(W132-DS132*(DX132+DY132)/1000)</f>
        <v>0</v>
      </c>
      <c r="AB132">
        <f>(-I132*44100)</f>
        <v>0</v>
      </c>
      <c r="AC132">
        <f>2*29.3*Q132*0.92*(DZ132-V132)</f>
        <v>0</v>
      </c>
      <c r="AD132">
        <f>2*0.95*5.67E-8*(((DZ132+$B$9)+273)^4-(V132+273)^4)</f>
        <v>0</v>
      </c>
      <c r="AE132">
        <f>T132+AD132+AB132+AC132</f>
        <v>0</v>
      </c>
      <c r="AF132">
        <f>DW132*AT132*(DR132-DQ132*(1000-AT132*DT132)/(1000-AT132*DS132))/(100*DK132)</f>
        <v>0</v>
      </c>
      <c r="AG132">
        <f>1000*DW132*AT132*(DS132-DT132)/(100*DK132*(1000-AT132*DS132))</f>
        <v>0</v>
      </c>
      <c r="AH132">
        <f>(AI132 - AJ132 - DX132*1E3/(8.314*(DZ132+273.15)) * AL132/DW132 * AK132) * DW132/(100*DK132) * (1000 - DT132)/1000</f>
        <v>0</v>
      </c>
      <c r="AI132">
        <v>101.7421475894738</v>
      </c>
      <c r="AJ132">
        <v>101.8857575757576</v>
      </c>
      <c r="AK132">
        <v>-0.0003150040616395159</v>
      </c>
      <c r="AL132">
        <v>65.77003666417218</v>
      </c>
      <c r="AM132">
        <f>(AO132 - AN132 + DX132*1E3/(8.314*(DZ132+273.15)) * AQ132/DW132 * AP132) * DW132/(100*DK132) * 1000/(1000 - AO132)</f>
        <v>0</v>
      </c>
      <c r="AN132">
        <v>17.28441257020821</v>
      </c>
      <c r="AO132">
        <v>17.36194424242424</v>
      </c>
      <c r="AP132">
        <v>5.350021119180093E-06</v>
      </c>
      <c r="AQ132">
        <v>107.3578693780747</v>
      </c>
      <c r="AR132">
        <v>0</v>
      </c>
      <c r="AS132">
        <v>0</v>
      </c>
      <c r="AT132">
        <f>IF(AR132*$H$15&gt;=AV132,1.0,(AV132/(AV132-AR132*$H$15)))</f>
        <v>0</v>
      </c>
      <c r="AU132">
        <f>(AT132-1)*100</f>
        <v>0</v>
      </c>
      <c r="AV132">
        <f>MAX(0,($B$15+$C$15*EE132)/(1+$D$15*EE132)*DX132/(DZ132+273)*$E$15)</f>
        <v>0</v>
      </c>
      <c r="AW132" t="s">
        <v>437</v>
      </c>
      <c r="AX132" t="s">
        <v>437</v>
      </c>
      <c r="AY132">
        <v>0</v>
      </c>
      <c r="AZ132">
        <v>0</v>
      </c>
      <c r="BA132">
        <f>1-AY132/AZ132</f>
        <v>0</v>
      </c>
      <c r="BB132">
        <v>0</v>
      </c>
      <c r="BC132" t="s">
        <v>437</v>
      </c>
      <c r="BD132" t="s">
        <v>437</v>
      </c>
      <c r="BE132">
        <v>0</v>
      </c>
      <c r="BF132">
        <v>0</v>
      </c>
      <c r="BG132">
        <f>1-BE132/BF132</f>
        <v>0</v>
      </c>
      <c r="BH132">
        <v>0.5</v>
      </c>
      <c r="BI132">
        <f>DH132</f>
        <v>0</v>
      </c>
      <c r="BJ132">
        <f>K132</f>
        <v>0</v>
      </c>
      <c r="BK132">
        <f>BG132*BH132*BI132</f>
        <v>0</v>
      </c>
      <c r="BL132">
        <f>(BJ132-BB132)/BI132</f>
        <v>0</v>
      </c>
      <c r="BM132">
        <f>(AZ132-BF132)/BF132</f>
        <v>0</v>
      </c>
      <c r="BN132">
        <f>AY132/(BA132+AY132/BF132)</f>
        <v>0</v>
      </c>
      <c r="BO132" t="s">
        <v>437</v>
      </c>
      <c r="BP132">
        <v>0</v>
      </c>
      <c r="BQ132">
        <f>IF(BP132&lt;&gt;0, BP132, BN132)</f>
        <v>0</v>
      </c>
      <c r="BR132">
        <f>1-BQ132/BF132</f>
        <v>0</v>
      </c>
      <c r="BS132">
        <f>(BF132-BE132)/(BF132-BQ132)</f>
        <v>0</v>
      </c>
      <c r="BT132">
        <f>(AZ132-BF132)/(AZ132-BQ132)</f>
        <v>0</v>
      </c>
      <c r="BU132">
        <f>(BF132-BE132)/(BF132-AY132)</f>
        <v>0</v>
      </c>
      <c r="BV132">
        <f>(AZ132-BF132)/(AZ132-AY132)</f>
        <v>0</v>
      </c>
      <c r="BW132">
        <f>(BS132*BQ132/BE132)</f>
        <v>0</v>
      </c>
      <c r="BX132">
        <f>(1-BW132)</f>
        <v>0</v>
      </c>
      <c r="DG132">
        <f>$B$13*EF132+$C$13*EG132+$F$13*ER132*(1-EU132)</f>
        <v>0</v>
      </c>
      <c r="DH132">
        <f>DG132*DI132</f>
        <v>0</v>
      </c>
      <c r="DI132">
        <f>($B$13*$D$11+$C$13*$D$11+$F$13*((FE132+EW132)/MAX(FE132+EW132+FF132, 0.1)*$I$11+FF132/MAX(FE132+EW132+FF132, 0.1)*$J$11))/($B$13+$C$13+$F$13)</f>
        <v>0</v>
      </c>
      <c r="DJ132">
        <f>($B$13*$K$11+$C$13*$K$11+$F$13*((FE132+EW132)/MAX(FE132+EW132+FF132, 0.1)*$P$11+FF132/MAX(FE132+EW132+FF132, 0.1)*$Q$11))/($B$13+$C$13+$F$13)</f>
        <v>0</v>
      </c>
      <c r="DK132">
        <v>5.66</v>
      </c>
      <c r="DL132">
        <v>0.5</v>
      </c>
      <c r="DM132" t="s">
        <v>438</v>
      </c>
      <c r="DN132">
        <v>2</v>
      </c>
      <c r="DO132" t="b">
        <v>1</v>
      </c>
      <c r="DP132">
        <v>1765316438.25</v>
      </c>
      <c r="DQ132">
        <v>100.2168666666667</v>
      </c>
      <c r="DR132">
        <v>99.99583000000003</v>
      </c>
      <c r="DS132">
        <v>17.36021333333333</v>
      </c>
      <c r="DT132">
        <v>17.28653666666667</v>
      </c>
      <c r="DU132">
        <v>100.3418666666667</v>
      </c>
      <c r="DV132">
        <v>17.29021333333333</v>
      </c>
      <c r="DW132">
        <v>500.0076333333333</v>
      </c>
      <c r="DX132">
        <v>89.74302333333335</v>
      </c>
      <c r="DY132">
        <v>0.1000108466666667</v>
      </c>
      <c r="DZ132">
        <v>24.71400333333333</v>
      </c>
      <c r="EA132">
        <v>25.00234666666667</v>
      </c>
      <c r="EB132">
        <v>999.9000000000002</v>
      </c>
      <c r="EC132">
        <v>0</v>
      </c>
      <c r="ED132">
        <v>0</v>
      </c>
      <c r="EE132">
        <v>9999.001666666667</v>
      </c>
      <c r="EF132">
        <v>0</v>
      </c>
      <c r="EG132">
        <v>9.89639</v>
      </c>
      <c r="EH132">
        <v>0.1121933266666667</v>
      </c>
      <c r="EI132">
        <v>101.8767</v>
      </c>
      <c r="EJ132">
        <v>101.7548333333333</v>
      </c>
      <c r="EK132">
        <v>0.07397429333333333</v>
      </c>
      <c r="EL132">
        <v>99.99583000000003</v>
      </c>
      <c r="EM132">
        <v>17.28653666666667</v>
      </c>
      <c r="EN132">
        <v>1.557984333333333</v>
      </c>
      <c r="EO132">
        <v>1.551345333333333</v>
      </c>
      <c r="EP132">
        <v>13.54940333333333</v>
      </c>
      <c r="EQ132">
        <v>13.48383666666667</v>
      </c>
      <c r="ER132">
        <v>800.0498333333333</v>
      </c>
      <c r="ES132">
        <v>0.9499948999999999</v>
      </c>
      <c r="ET132">
        <v>0.05000477666666667</v>
      </c>
      <c r="EU132">
        <v>0</v>
      </c>
      <c r="EV132">
        <v>834.715</v>
      </c>
      <c r="EW132">
        <v>5.00078</v>
      </c>
      <c r="EX132">
        <v>6344.503666666666</v>
      </c>
      <c r="EY132">
        <v>6463.811666666666</v>
      </c>
      <c r="EZ132">
        <v>37.55396666666665</v>
      </c>
      <c r="FA132">
        <v>41.33943333333333</v>
      </c>
      <c r="FB132">
        <v>39.45593333333331</v>
      </c>
      <c r="FC132">
        <v>41.7915</v>
      </c>
      <c r="FD132">
        <v>39.69336666666665</v>
      </c>
      <c r="FE132">
        <v>755.2923333333333</v>
      </c>
      <c r="FF132">
        <v>39.75599999999999</v>
      </c>
      <c r="FG132">
        <v>0</v>
      </c>
      <c r="FH132">
        <v>1765316445.5</v>
      </c>
      <c r="FI132">
        <v>0</v>
      </c>
      <c r="FJ132">
        <v>834.7233199999999</v>
      </c>
      <c r="FK132">
        <v>-0.6822307589563943</v>
      </c>
      <c r="FL132">
        <v>-8.18230763088444</v>
      </c>
      <c r="FM132">
        <v>6344.3472</v>
      </c>
      <c r="FN132">
        <v>15</v>
      </c>
      <c r="FO132">
        <v>1765316464</v>
      </c>
      <c r="FP132" t="s">
        <v>792</v>
      </c>
      <c r="FQ132">
        <v>1765316464</v>
      </c>
      <c r="FR132">
        <v>1765316462</v>
      </c>
      <c r="FS132">
        <v>115</v>
      </c>
      <c r="FT132">
        <v>0.108</v>
      </c>
      <c r="FU132">
        <v>0.001</v>
      </c>
      <c r="FV132">
        <v>-0.125</v>
      </c>
      <c r="FW132">
        <v>0.07000000000000001</v>
      </c>
      <c r="FX132">
        <v>100</v>
      </c>
      <c r="FY132">
        <v>17</v>
      </c>
      <c r="FZ132">
        <v>0.49</v>
      </c>
      <c r="GA132">
        <v>0.14</v>
      </c>
      <c r="GB132">
        <v>0.1177809341463415</v>
      </c>
      <c r="GC132">
        <v>0.03986647108013951</v>
      </c>
      <c r="GD132">
        <v>0.04299885252879974</v>
      </c>
      <c r="GE132">
        <v>1</v>
      </c>
      <c r="GF132">
        <v>834.7580294117647</v>
      </c>
      <c r="GG132">
        <v>-0.7884339176981228</v>
      </c>
      <c r="GH132">
        <v>0.2066535158315324</v>
      </c>
      <c r="GI132">
        <v>1</v>
      </c>
      <c r="GJ132">
        <v>0.07248902195121951</v>
      </c>
      <c r="GK132">
        <v>0.01989829547038325</v>
      </c>
      <c r="GL132">
        <v>0.002256981166753307</v>
      </c>
      <c r="GM132">
        <v>1</v>
      </c>
      <c r="GN132">
        <v>3</v>
      </c>
      <c r="GO132">
        <v>3</v>
      </c>
      <c r="GP132" t="s">
        <v>440</v>
      </c>
      <c r="GQ132">
        <v>3.10841</v>
      </c>
      <c r="GR132">
        <v>2.79165</v>
      </c>
      <c r="GS132">
        <v>0.0255717</v>
      </c>
      <c r="GT132">
        <v>0.0254679</v>
      </c>
      <c r="GU132">
        <v>0.0856862</v>
      </c>
      <c r="GV132">
        <v>0.0861517</v>
      </c>
      <c r="GW132">
        <v>25559.1</v>
      </c>
      <c r="GX132">
        <v>23208.5</v>
      </c>
      <c r="GY132">
        <v>26787.4</v>
      </c>
      <c r="GZ132">
        <v>24021.7</v>
      </c>
      <c r="HA132">
        <v>39137.5</v>
      </c>
      <c r="HB132">
        <v>32392.6</v>
      </c>
      <c r="HC132">
        <v>46755.2</v>
      </c>
      <c r="HD132">
        <v>37987.7</v>
      </c>
      <c r="HE132">
        <v>1.88853</v>
      </c>
      <c r="HF132">
        <v>1.86227</v>
      </c>
      <c r="HG132">
        <v>0.0754073</v>
      </c>
      <c r="HH132">
        <v>0</v>
      </c>
      <c r="HI132">
        <v>23.7593</v>
      </c>
      <c r="HJ132">
        <v>999.9</v>
      </c>
      <c r="HK132">
        <v>42.7</v>
      </c>
      <c r="HL132">
        <v>30.6</v>
      </c>
      <c r="HM132">
        <v>20.9804</v>
      </c>
      <c r="HN132">
        <v>60.9931</v>
      </c>
      <c r="HO132">
        <v>27.3237</v>
      </c>
      <c r="HP132">
        <v>1</v>
      </c>
      <c r="HQ132">
        <v>0.0271113</v>
      </c>
      <c r="HR132">
        <v>0.947021</v>
      </c>
      <c r="HS132">
        <v>20.2918</v>
      </c>
      <c r="HT132">
        <v>5.22163</v>
      </c>
      <c r="HU132">
        <v>11.979</v>
      </c>
      <c r="HV132">
        <v>4.96535</v>
      </c>
      <c r="HW132">
        <v>3.27598</v>
      </c>
      <c r="HX132">
        <v>9999</v>
      </c>
      <c r="HY132">
        <v>9999</v>
      </c>
      <c r="HZ132">
        <v>9999</v>
      </c>
      <c r="IA132">
        <v>999.9</v>
      </c>
      <c r="IB132">
        <v>1.86386</v>
      </c>
      <c r="IC132">
        <v>1.86005</v>
      </c>
      <c r="ID132">
        <v>1.85837</v>
      </c>
      <c r="IE132">
        <v>1.8597</v>
      </c>
      <c r="IF132">
        <v>1.85987</v>
      </c>
      <c r="IG132">
        <v>1.85834</v>
      </c>
      <c r="IH132">
        <v>1.85741</v>
      </c>
      <c r="II132">
        <v>1.85232</v>
      </c>
      <c r="IJ132">
        <v>0</v>
      </c>
      <c r="IK132">
        <v>0</v>
      </c>
      <c r="IL132">
        <v>0</v>
      </c>
      <c r="IM132">
        <v>0</v>
      </c>
      <c r="IN132" t="s">
        <v>441</v>
      </c>
      <c r="IO132" t="s">
        <v>442</v>
      </c>
      <c r="IP132" t="s">
        <v>443</v>
      </c>
      <c r="IQ132" t="s">
        <v>443</v>
      </c>
      <c r="IR132" t="s">
        <v>443</v>
      </c>
      <c r="IS132" t="s">
        <v>443</v>
      </c>
      <c r="IT132">
        <v>0</v>
      </c>
      <c r="IU132">
        <v>100</v>
      </c>
      <c r="IV132">
        <v>100</v>
      </c>
      <c r="IW132">
        <v>-0.125</v>
      </c>
      <c r="IX132">
        <v>0.07000000000000001</v>
      </c>
      <c r="IY132">
        <v>-0.2645392941684238</v>
      </c>
      <c r="IZ132">
        <v>0.0001583678016168383</v>
      </c>
      <c r="JA132">
        <v>1.526473431467286E-06</v>
      </c>
      <c r="JB132">
        <v>-4.446382740029455E-10</v>
      </c>
      <c r="JC132">
        <v>-0.04607364952678246</v>
      </c>
      <c r="JD132">
        <v>-0.009941991807247691</v>
      </c>
      <c r="JE132">
        <v>0.001256427533001032</v>
      </c>
      <c r="JF132">
        <v>-1.689728105039484E-05</v>
      </c>
      <c r="JG132">
        <v>2</v>
      </c>
      <c r="JH132">
        <v>1984</v>
      </c>
      <c r="JI132">
        <v>0</v>
      </c>
      <c r="JJ132">
        <v>25</v>
      </c>
      <c r="JK132">
        <v>1.5</v>
      </c>
      <c r="JL132">
        <v>1.5</v>
      </c>
      <c r="JM132">
        <v>0.395508</v>
      </c>
      <c r="JN132">
        <v>2.64404</v>
      </c>
      <c r="JO132">
        <v>1.49658</v>
      </c>
      <c r="JP132">
        <v>2.34741</v>
      </c>
      <c r="JQ132">
        <v>1.54907</v>
      </c>
      <c r="JR132">
        <v>2.40967</v>
      </c>
      <c r="JS132">
        <v>35.1978</v>
      </c>
      <c r="JT132">
        <v>24.1313</v>
      </c>
      <c r="JU132">
        <v>18</v>
      </c>
      <c r="JV132">
        <v>479.217</v>
      </c>
      <c r="JW132">
        <v>491.189</v>
      </c>
      <c r="JX132">
        <v>23.0983</v>
      </c>
      <c r="JY132">
        <v>27.5152</v>
      </c>
      <c r="JZ132">
        <v>30.0001</v>
      </c>
      <c r="KA132">
        <v>27.7595</v>
      </c>
      <c r="KB132">
        <v>27.7604</v>
      </c>
      <c r="KC132">
        <v>8.00501</v>
      </c>
      <c r="KD132">
        <v>18.7396</v>
      </c>
      <c r="KE132">
        <v>51.3922</v>
      </c>
      <c r="KF132">
        <v>23.0978</v>
      </c>
      <c r="KG132">
        <v>100</v>
      </c>
      <c r="KH132">
        <v>17.3145</v>
      </c>
      <c r="KI132">
        <v>102.244</v>
      </c>
      <c r="KJ132">
        <v>91.62820000000001</v>
      </c>
    </row>
    <row r="133" spans="1:296">
      <c r="A133">
        <v>115</v>
      </c>
      <c r="B133">
        <v>1765316534.5</v>
      </c>
      <c r="C133">
        <v>19101.5</v>
      </c>
      <c r="D133" t="s">
        <v>793</v>
      </c>
      <c r="E133" t="s">
        <v>794</v>
      </c>
      <c r="F133">
        <v>5</v>
      </c>
      <c r="G133" t="s">
        <v>782</v>
      </c>
      <c r="H133">
        <v>1765316526.75</v>
      </c>
      <c r="I133">
        <f>(J133)/1000</f>
        <v>0</v>
      </c>
      <c r="J133">
        <f>IF(DO133, AM133, AG133)</f>
        <v>0</v>
      </c>
      <c r="K133">
        <f>IF(DO133, AH133, AF133)</f>
        <v>0</v>
      </c>
      <c r="L133">
        <f>DQ133 - IF(AT133&gt;1, K133*DK133*100.0/(AV133), 0)</f>
        <v>0</v>
      </c>
      <c r="M133">
        <f>((S133-I133/2)*L133-K133)/(S133+I133/2)</f>
        <v>0</v>
      </c>
      <c r="N133">
        <f>M133*(DX133+DY133)/1000.0</f>
        <v>0</v>
      </c>
      <c r="O133">
        <f>(DQ133 - IF(AT133&gt;1, K133*DK133*100.0/(AV133), 0))*(DX133+DY133)/1000.0</f>
        <v>0</v>
      </c>
      <c r="P133">
        <f>2.0/((1/R133-1/Q133)+SIGN(R133)*SQRT((1/R133-1/Q133)*(1/R133-1/Q133) + 4*DL133/((DL133+1)*(DL133+1))*(2*1/R133*1/Q133-1/Q133*1/Q133)))</f>
        <v>0</v>
      </c>
      <c r="Q133">
        <f>IF(LEFT(DM133,1)&lt;&gt;"0",IF(LEFT(DM133,1)="1",3.0,DN133),$D$5+$E$5*(EE133*DX133/($K$5*1000))+$F$5*(EE133*DX133/($K$5*1000))*MAX(MIN(DK133,$J$5),$I$5)*MAX(MIN(DK133,$J$5),$I$5)+$G$5*MAX(MIN(DK133,$J$5),$I$5)*(EE133*DX133/($K$5*1000))+$H$5*(EE133*DX133/($K$5*1000))*(EE133*DX133/($K$5*1000)))</f>
        <v>0</v>
      </c>
      <c r="R133">
        <f>I133*(1000-(1000*0.61365*exp(17.502*V133/(240.97+V133))/(DX133+DY133)+DS133)/2)/(1000*0.61365*exp(17.502*V133/(240.97+V133))/(DX133+DY133)-DS133)</f>
        <v>0</v>
      </c>
      <c r="S133">
        <f>1/((DL133+1)/(P133/1.6)+1/(Q133/1.37)) + DL133/((DL133+1)/(P133/1.6) + DL133/(Q133/1.37))</f>
        <v>0</v>
      </c>
      <c r="T133">
        <f>(DG133*DJ133)</f>
        <v>0</v>
      </c>
      <c r="U133">
        <f>(DZ133+(T133+2*0.95*5.67E-8*(((DZ133+$B$9)+273)^4-(DZ133+273)^4)-44100*I133)/(1.84*29.3*Q133+8*0.95*5.67E-8*(DZ133+273)^3))</f>
        <v>0</v>
      </c>
      <c r="V133">
        <f>($C$9*EA133+$D$9*EB133+$E$9*U133)</f>
        <v>0</v>
      </c>
      <c r="W133">
        <f>0.61365*exp(17.502*V133/(240.97+V133))</f>
        <v>0</v>
      </c>
      <c r="X133">
        <f>(Y133/Z133*100)</f>
        <v>0</v>
      </c>
      <c r="Y133">
        <f>DS133*(DX133+DY133)/1000</f>
        <v>0</v>
      </c>
      <c r="Z133">
        <f>0.61365*exp(17.502*DZ133/(240.97+DZ133))</f>
        <v>0</v>
      </c>
      <c r="AA133">
        <f>(W133-DS133*(DX133+DY133)/1000)</f>
        <v>0</v>
      </c>
      <c r="AB133">
        <f>(-I133*44100)</f>
        <v>0</v>
      </c>
      <c r="AC133">
        <f>2*29.3*Q133*0.92*(DZ133-V133)</f>
        <v>0</v>
      </c>
      <c r="AD133">
        <f>2*0.95*5.67E-8*(((DZ133+$B$9)+273)^4-(V133+273)^4)</f>
        <v>0</v>
      </c>
      <c r="AE133">
        <f>T133+AD133+AB133+AC133</f>
        <v>0</v>
      </c>
      <c r="AF133">
        <f>DW133*AT133*(DR133-DQ133*(1000-AT133*DT133)/(1000-AT133*DS133))/(100*DK133)</f>
        <v>0</v>
      </c>
      <c r="AG133">
        <f>1000*DW133*AT133*(DS133-DT133)/(100*DK133*(1000-AT133*DS133))</f>
        <v>0</v>
      </c>
      <c r="AH133">
        <f>(AI133 - AJ133 - DX133*1E3/(8.314*(DZ133+273.15)) * AL133/DW133 * AK133) * DW133/(100*DK133) * (1000 - DT133)/1000</f>
        <v>0</v>
      </c>
      <c r="AI133">
        <v>50.84387403441583</v>
      </c>
      <c r="AJ133">
        <v>51.09881515151513</v>
      </c>
      <c r="AK133">
        <v>-0.0009651617516679647</v>
      </c>
      <c r="AL133">
        <v>65.69328503156612</v>
      </c>
      <c r="AM133">
        <f>(AO133 - AN133 + DX133*1E3/(8.314*(DZ133+273.15)) * AQ133/DW133 * AP133) * DW133/(100*DK133) * 1000/(1000 - AO133)</f>
        <v>0</v>
      </c>
      <c r="AN133">
        <v>17.33444787878787</v>
      </c>
      <c r="AO133">
        <v>17.40585151515151</v>
      </c>
      <c r="AP133">
        <v>-1.314833455930356E-05</v>
      </c>
      <c r="AQ133">
        <v>106.5833650909787</v>
      </c>
      <c r="AR133">
        <v>0</v>
      </c>
      <c r="AS133">
        <v>0</v>
      </c>
      <c r="AT133">
        <f>IF(AR133*$H$15&gt;=AV133,1.0,(AV133/(AV133-AR133*$H$15)))</f>
        <v>0</v>
      </c>
      <c r="AU133">
        <f>(AT133-1)*100</f>
        <v>0</v>
      </c>
      <c r="AV133">
        <f>MAX(0,($B$15+$C$15*EE133)/(1+$D$15*EE133)*DX133/(DZ133+273)*$E$15)</f>
        <v>0</v>
      </c>
      <c r="AW133" t="s">
        <v>437</v>
      </c>
      <c r="AX133" t="s">
        <v>437</v>
      </c>
      <c r="AY133">
        <v>0</v>
      </c>
      <c r="AZ133">
        <v>0</v>
      </c>
      <c r="BA133">
        <f>1-AY133/AZ133</f>
        <v>0</v>
      </c>
      <c r="BB133">
        <v>0</v>
      </c>
      <c r="BC133" t="s">
        <v>437</v>
      </c>
      <c r="BD133" t="s">
        <v>437</v>
      </c>
      <c r="BE133">
        <v>0</v>
      </c>
      <c r="BF133">
        <v>0</v>
      </c>
      <c r="BG133">
        <f>1-BE133/BF133</f>
        <v>0</v>
      </c>
      <c r="BH133">
        <v>0.5</v>
      </c>
      <c r="BI133">
        <f>DH133</f>
        <v>0</v>
      </c>
      <c r="BJ133">
        <f>K133</f>
        <v>0</v>
      </c>
      <c r="BK133">
        <f>BG133*BH133*BI133</f>
        <v>0</v>
      </c>
      <c r="BL133">
        <f>(BJ133-BB133)/BI133</f>
        <v>0</v>
      </c>
      <c r="BM133">
        <f>(AZ133-BF133)/BF133</f>
        <v>0</v>
      </c>
      <c r="BN133">
        <f>AY133/(BA133+AY133/BF133)</f>
        <v>0</v>
      </c>
      <c r="BO133" t="s">
        <v>437</v>
      </c>
      <c r="BP133">
        <v>0</v>
      </c>
      <c r="BQ133">
        <f>IF(BP133&lt;&gt;0, BP133, BN133)</f>
        <v>0</v>
      </c>
      <c r="BR133">
        <f>1-BQ133/BF133</f>
        <v>0</v>
      </c>
      <c r="BS133">
        <f>(BF133-BE133)/(BF133-BQ133)</f>
        <v>0</v>
      </c>
      <c r="BT133">
        <f>(AZ133-BF133)/(AZ133-BQ133)</f>
        <v>0</v>
      </c>
      <c r="BU133">
        <f>(BF133-BE133)/(BF133-AY133)</f>
        <v>0</v>
      </c>
      <c r="BV133">
        <f>(AZ133-BF133)/(AZ133-AY133)</f>
        <v>0</v>
      </c>
      <c r="BW133">
        <f>(BS133*BQ133/BE133)</f>
        <v>0</v>
      </c>
      <c r="BX133">
        <f>(1-BW133)</f>
        <v>0</v>
      </c>
      <c r="DG133">
        <f>$B$13*EF133+$C$13*EG133+$F$13*ER133*(1-EU133)</f>
        <v>0</v>
      </c>
      <c r="DH133">
        <f>DG133*DI133</f>
        <v>0</v>
      </c>
      <c r="DI133">
        <f>($B$13*$D$11+$C$13*$D$11+$F$13*((FE133+EW133)/MAX(FE133+EW133+FF133, 0.1)*$I$11+FF133/MAX(FE133+EW133+FF133, 0.1)*$J$11))/($B$13+$C$13+$F$13)</f>
        <v>0</v>
      </c>
      <c r="DJ133">
        <f>($B$13*$K$11+$C$13*$K$11+$F$13*((FE133+EW133)/MAX(FE133+EW133+FF133, 0.1)*$P$11+FF133/MAX(FE133+EW133+FF133, 0.1)*$Q$11))/($B$13+$C$13+$F$13)</f>
        <v>0</v>
      </c>
      <c r="DK133">
        <v>5.66</v>
      </c>
      <c r="DL133">
        <v>0.5</v>
      </c>
      <c r="DM133" t="s">
        <v>438</v>
      </c>
      <c r="DN133">
        <v>2</v>
      </c>
      <c r="DO133" t="b">
        <v>1</v>
      </c>
      <c r="DP133">
        <v>1765316526.75</v>
      </c>
      <c r="DQ133">
        <v>50.26244666666667</v>
      </c>
      <c r="DR133">
        <v>49.99160666666668</v>
      </c>
      <c r="DS133">
        <v>17.40443</v>
      </c>
      <c r="DT133">
        <v>17.33538</v>
      </c>
      <c r="DU133">
        <v>50.38844666666667</v>
      </c>
      <c r="DV133">
        <v>17.33343</v>
      </c>
      <c r="DW133">
        <v>500.0056333333333</v>
      </c>
      <c r="DX133">
        <v>89.74208333333333</v>
      </c>
      <c r="DY133">
        <v>0.1000084933333334</v>
      </c>
      <c r="DZ133">
        <v>24.69847</v>
      </c>
      <c r="EA133">
        <v>24.99076</v>
      </c>
      <c r="EB133">
        <v>999.9000000000002</v>
      </c>
      <c r="EC133">
        <v>0</v>
      </c>
      <c r="ED133">
        <v>0</v>
      </c>
      <c r="EE133">
        <v>9998.057666666666</v>
      </c>
      <c r="EF133">
        <v>0</v>
      </c>
      <c r="EG133">
        <v>9.835680000000002</v>
      </c>
      <c r="EH133">
        <v>0.2525920666666667</v>
      </c>
      <c r="EI133">
        <v>51.13421333333334</v>
      </c>
      <c r="EJ133">
        <v>50.87352666666667</v>
      </c>
      <c r="EK133">
        <v>0.06992701999999999</v>
      </c>
      <c r="EL133">
        <v>49.99160666666668</v>
      </c>
      <c r="EM133">
        <v>17.33538</v>
      </c>
      <c r="EN133">
        <v>1.561989666666667</v>
      </c>
      <c r="EO133">
        <v>1.555714</v>
      </c>
      <c r="EP133">
        <v>13.58883666666667</v>
      </c>
      <c r="EQ133">
        <v>13.52701</v>
      </c>
      <c r="ER133">
        <v>800.0225333333332</v>
      </c>
      <c r="ES133">
        <v>0.9499932999999998</v>
      </c>
      <c r="ET133">
        <v>0.05000699666666667</v>
      </c>
      <c r="EU133">
        <v>0</v>
      </c>
      <c r="EV133">
        <v>835.5324999999998</v>
      </c>
      <c r="EW133">
        <v>5.00078</v>
      </c>
      <c r="EX133">
        <v>6327.339333333332</v>
      </c>
      <c r="EY133">
        <v>6463.584666666665</v>
      </c>
      <c r="EZ133">
        <v>36.7414</v>
      </c>
      <c r="FA133">
        <v>39.28306666666665</v>
      </c>
      <c r="FB133">
        <v>38.27053333333333</v>
      </c>
      <c r="FC133">
        <v>39.10393333333332</v>
      </c>
      <c r="FD133">
        <v>38.30806666666667</v>
      </c>
      <c r="FE133">
        <v>755.2653333333333</v>
      </c>
      <c r="FF133">
        <v>39.76</v>
      </c>
      <c r="FG133">
        <v>0</v>
      </c>
      <c r="FH133">
        <v>1765316534.3</v>
      </c>
      <c r="FI133">
        <v>0</v>
      </c>
      <c r="FJ133">
        <v>835.5282000000001</v>
      </c>
      <c r="FK133">
        <v>0.2622307689143775</v>
      </c>
      <c r="FL133">
        <v>-8.901538457387499</v>
      </c>
      <c r="FM133">
        <v>6327.2632</v>
      </c>
      <c r="FN133">
        <v>15</v>
      </c>
      <c r="FO133">
        <v>1765316550.5</v>
      </c>
      <c r="FP133" t="s">
        <v>795</v>
      </c>
      <c r="FQ133">
        <v>1765316548.5</v>
      </c>
      <c r="FR133">
        <v>1765316550.5</v>
      </c>
      <c r="FS133">
        <v>116</v>
      </c>
      <c r="FT133">
        <v>0.019</v>
      </c>
      <c r="FU133">
        <v>0.001</v>
      </c>
      <c r="FV133">
        <v>-0.126</v>
      </c>
      <c r="FW133">
        <v>0.07099999999999999</v>
      </c>
      <c r="FX133">
        <v>50</v>
      </c>
      <c r="FY133">
        <v>17</v>
      </c>
      <c r="FZ133">
        <v>0.55</v>
      </c>
      <c r="GA133">
        <v>0.18</v>
      </c>
      <c r="GB133">
        <v>0.2679917</v>
      </c>
      <c r="GC133">
        <v>-0.287305103189494</v>
      </c>
      <c r="GD133">
        <v>0.04848563015997627</v>
      </c>
      <c r="GE133">
        <v>1</v>
      </c>
      <c r="GF133">
        <v>835.5062058823529</v>
      </c>
      <c r="GG133">
        <v>0.1853170377704574</v>
      </c>
      <c r="GH133">
        <v>0.1775516129454083</v>
      </c>
      <c r="GI133">
        <v>1</v>
      </c>
      <c r="GJ133">
        <v>0.06934494500000001</v>
      </c>
      <c r="GK133">
        <v>0.01021808780487792</v>
      </c>
      <c r="GL133">
        <v>0.001888670964852004</v>
      </c>
      <c r="GM133">
        <v>1</v>
      </c>
      <c r="GN133">
        <v>3</v>
      </c>
      <c r="GO133">
        <v>3</v>
      </c>
      <c r="GP133" t="s">
        <v>440</v>
      </c>
      <c r="GQ133">
        <v>3.10831</v>
      </c>
      <c r="GR133">
        <v>2.79161</v>
      </c>
      <c r="GS133">
        <v>0.0131573</v>
      </c>
      <c r="GT133">
        <v>0.0130392</v>
      </c>
      <c r="GU133">
        <v>0.0858366</v>
      </c>
      <c r="GV133">
        <v>0.0863587</v>
      </c>
      <c r="GW133">
        <v>25885.9</v>
      </c>
      <c r="GX133">
        <v>23505.2</v>
      </c>
      <c r="GY133">
        <v>26788.6</v>
      </c>
      <c r="GZ133">
        <v>24022.3</v>
      </c>
      <c r="HA133">
        <v>39130.9</v>
      </c>
      <c r="HB133">
        <v>32386.3</v>
      </c>
      <c r="HC133">
        <v>46756.9</v>
      </c>
      <c r="HD133">
        <v>37990.5</v>
      </c>
      <c r="HE133">
        <v>1.88853</v>
      </c>
      <c r="HF133">
        <v>1.8624</v>
      </c>
      <c r="HG133">
        <v>0.0777915</v>
      </c>
      <c r="HH133">
        <v>0</v>
      </c>
      <c r="HI133">
        <v>23.7154</v>
      </c>
      <c r="HJ133">
        <v>999.9</v>
      </c>
      <c r="HK133">
        <v>42.7</v>
      </c>
      <c r="HL133">
        <v>30.6</v>
      </c>
      <c r="HM133">
        <v>20.9835</v>
      </c>
      <c r="HN133">
        <v>61.1931</v>
      </c>
      <c r="HO133">
        <v>27.5761</v>
      </c>
      <c r="HP133">
        <v>1</v>
      </c>
      <c r="HQ133">
        <v>0.0262627</v>
      </c>
      <c r="HR133">
        <v>0.920362</v>
      </c>
      <c r="HS133">
        <v>20.2926</v>
      </c>
      <c r="HT133">
        <v>5.22148</v>
      </c>
      <c r="HU133">
        <v>11.9784</v>
      </c>
      <c r="HV133">
        <v>4.9654</v>
      </c>
      <c r="HW133">
        <v>3.2758</v>
      </c>
      <c r="HX133">
        <v>9999</v>
      </c>
      <c r="HY133">
        <v>9999</v>
      </c>
      <c r="HZ133">
        <v>9999</v>
      </c>
      <c r="IA133">
        <v>999.9</v>
      </c>
      <c r="IB133">
        <v>1.86387</v>
      </c>
      <c r="IC133">
        <v>1.86005</v>
      </c>
      <c r="ID133">
        <v>1.85834</v>
      </c>
      <c r="IE133">
        <v>1.85972</v>
      </c>
      <c r="IF133">
        <v>1.85986</v>
      </c>
      <c r="IG133">
        <v>1.85834</v>
      </c>
      <c r="IH133">
        <v>1.85743</v>
      </c>
      <c r="II133">
        <v>1.8523</v>
      </c>
      <c r="IJ133">
        <v>0</v>
      </c>
      <c r="IK133">
        <v>0</v>
      </c>
      <c r="IL133">
        <v>0</v>
      </c>
      <c r="IM133">
        <v>0</v>
      </c>
      <c r="IN133" t="s">
        <v>441</v>
      </c>
      <c r="IO133" t="s">
        <v>442</v>
      </c>
      <c r="IP133" t="s">
        <v>443</v>
      </c>
      <c r="IQ133" t="s">
        <v>443</v>
      </c>
      <c r="IR133" t="s">
        <v>443</v>
      </c>
      <c r="IS133" t="s">
        <v>443</v>
      </c>
      <c r="IT133">
        <v>0</v>
      </c>
      <c r="IU133">
        <v>100</v>
      </c>
      <c r="IV133">
        <v>100</v>
      </c>
      <c r="IW133">
        <v>-0.126</v>
      </c>
      <c r="IX133">
        <v>0.07099999999999999</v>
      </c>
      <c r="IY133">
        <v>-0.1560398760249104</v>
      </c>
      <c r="IZ133">
        <v>0.0001583678016168383</v>
      </c>
      <c r="JA133">
        <v>1.526473431467286E-06</v>
      </c>
      <c r="JB133">
        <v>-4.446382740029455E-10</v>
      </c>
      <c r="JC133">
        <v>-0.04527728893938726</v>
      </c>
      <c r="JD133">
        <v>-0.009941991807247691</v>
      </c>
      <c r="JE133">
        <v>0.001256427533001032</v>
      </c>
      <c r="JF133">
        <v>-1.689728105039484E-05</v>
      </c>
      <c r="JG133">
        <v>2</v>
      </c>
      <c r="JH133">
        <v>1984</v>
      </c>
      <c r="JI133">
        <v>0</v>
      </c>
      <c r="JJ133">
        <v>25</v>
      </c>
      <c r="JK133">
        <v>1.2</v>
      </c>
      <c r="JL133">
        <v>1.2</v>
      </c>
      <c r="JM133">
        <v>0.273438</v>
      </c>
      <c r="JN133">
        <v>2.677</v>
      </c>
      <c r="JO133">
        <v>1.49658</v>
      </c>
      <c r="JP133">
        <v>2.34741</v>
      </c>
      <c r="JQ133">
        <v>1.54907</v>
      </c>
      <c r="JR133">
        <v>2.35107</v>
      </c>
      <c r="JS133">
        <v>35.1978</v>
      </c>
      <c r="JT133">
        <v>24.1313</v>
      </c>
      <c r="JU133">
        <v>18</v>
      </c>
      <c r="JV133">
        <v>479.222</v>
      </c>
      <c r="JW133">
        <v>491.275</v>
      </c>
      <c r="JX133">
        <v>23.0735</v>
      </c>
      <c r="JY133">
        <v>27.5106</v>
      </c>
      <c r="JZ133">
        <v>30</v>
      </c>
      <c r="KA133">
        <v>27.7601</v>
      </c>
      <c r="KB133">
        <v>27.7608</v>
      </c>
      <c r="KC133">
        <v>5.55975</v>
      </c>
      <c r="KD133">
        <v>18.4684</v>
      </c>
      <c r="KE133">
        <v>51.3922</v>
      </c>
      <c r="KF133">
        <v>23.084</v>
      </c>
      <c r="KG133">
        <v>50</v>
      </c>
      <c r="KH133">
        <v>17.3476</v>
      </c>
      <c r="KI133">
        <v>102.248</v>
      </c>
      <c r="KJ133">
        <v>91.6332</v>
      </c>
    </row>
    <row r="134" spans="1:296">
      <c r="A134">
        <v>116</v>
      </c>
      <c r="B134">
        <v>1765316618.5</v>
      </c>
      <c r="C134">
        <v>19185.5</v>
      </c>
      <c r="D134" t="s">
        <v>796</v>
      </c>
      <c r="E134" t="s">
        <v>797</v>
      </c>
      <c r="F134">
        <v>5</v>
      </c>
      <c r="G134" t="s">
        <v>782</v>
      </c>
      <c r="H134">
        <v>1765316610.5</v>
      </c>
      <c r="I134">
        <f>(J134)/1000</f>
        <v>0</v>
      </c>
      <c r="J134">
        <f>IF(DO134, AM134, AG134)</f>
        <v>0</v>
      </c>
      <c r="K134">
        <f>IF(DO134, AH134, AF134)</f>
        <v>0</v>
      </c>
      <c r="L134">
        <f>DQ134 - IF(AT134&gt;1, K134*DK134*100.0/(AV134), 0)</f>
        <v>0</v>
      </c>
      <c r="M134">
        <f>((S134-I134/2)*L134-K134)/(S134+I134/2)</f>
        <v>0</v>
      </c>
      <c r="N134">
        <f>M134*(DX134+DY134)/1000.0</f>
        <v>0</v>
      </c>
      <c r="O134">
        <f>(DQ134 - IF(AT134&gt;1, K134*DK134*100.0/(AV134), 0))*(DX134+DY134)/1000.0</f>
        <v>0</v>
      </c>
      <c r="P134">
        <f>2.0/((1/R134-1/Q134)+SIGN(R134)*SQRT((1/R134-1/Q134)*(1/R134-1/Q134) + 4*DL134/((DL134+1)*(DL134+1))*(2*1/R134*1/Q134-1/Q134*1/Q134)))</f>
        <v>0</v>
      </c>
      <c r="Q134">
        <f>IF(LEFT(DM134,1)&lt;&gt;"0",IF(LEFT(DM134,1)="1",3.0,DN134),$D$5+$E$5*(EE134*DX134/($K$5*1000))+$F$5*(EE134*DX134/($K$5*1000))*MAX(MIN(DK134,$J$5),$I$5)*MAX(MIN(DK134,$J$5),$I$5)+$G$5*MAX(MIN(DK134,$J$5),$I$5)*(EE134*DX134/($K$5*1000))+$H$5*(EE134*DX134/($K$5*1000))*(EE134*DX134/($K$5*1000)))</f>
        <v>0</v>
      </c>
      <c r="R134">
        <f>I134*(1000-(1000*0.61365*exp(17.502*V134/(240.97+V134))/(DX134+DY134)+DS134)/2)/(1000*0.61365*exp(17.502*V134/(240.97+V134))/(DX134+DY134)-DS134)</f>
        <v>0</v>
      </c>
      <c r="S134">
        <f>1/((DL134+1)/(P134/1.6)+1/(Q134/1.37)) + DL134/((DL134+1)/(P134/1.6) + DL134/(Q134/1.37))</f>
        <v>0</v>
      </c>
      <c r="T134">
        <f>(DG134*DJ134)</f>
        <v>0</v>
      </c>
      <c r="U134">
        <f>(DZ134+(T134+2*0.95*5.67E-8*(((DZ134+$B$9)+273)^4-(DZ134+273)^4)-44100*I134)/(1.84*29.3*Q134+8*0.95*5.67E-8*(DZ134+273)^3))</f>
        <v>0</v>
      </c>
      <c r="V134">
        <f>($C$9*EA134+$D$9*EB134+$E$9*U134)</f>
        <v>0</v>
      </c>
      <c r="W134">
        <f>0.61365*exp(17.502*V134/(240.97+V134))</f>
        <v>0</v>
      </c>
      <c r="X134">
        <f>(Y134/Z134*100)</f>
        <v>0</v>
      </c>
      <c r="Y134">
        <f>DS134*(DX134+DY134)/1000</f>
        <v>0</v>
      </c>
      <c r="Z134">
        <f>0.61365*exp(17.502*DZ134/(240.97+DZ134))</f>
        <v>0</v>
      </c>
      <c r="AA134">
        <f>(W134-DS134*(DX134+DY134)/1000)</f>
        <v>0</v>
      </c>
      <c r="AB134">
        <f>(-I134*44100)</f>
        <v>0</v>
      </c>
      <c r="AC134">
        <f>2*29.3*Q134*0.92*(DZ134-V134)</f>
        <v>0</v>
      </c>
      <c r="AD134">
        <f>2*0.95*5.67E-8*(((DZ134+$B$9)+273)^4-(V134+273)^4)</f>
        <v>0</v>
      </c>
      <c r="AE134">
        <f>T134+AD134+AB134+AC134</f>
        <v>0</v>
      </c>
      <c r="AF134">
        <f>DW134*AT134*(DR134-DQ134*(1000-AT134*DT134)/(1000-AT134*DS134))/(100*DK134)</f>
        <v>0</v>
      </c>
      <c r="AG134">
        <f>1000*DW134*AT134*(DS134-DT134)/(100*DK134*(1000-AT134*DS134))</f>
        <v>0</v>
      </c>
      <c r="AH134">
        <f>(AI134 - AJ134 - DX134*1E3/(8.314*(DZ134+273.15)) * AL134/DW134 * AK134) * DW134/(100*DK134) * (1000 - DT134)/1000</f>
        <v>0</v>
      </c>
      <c r="AI134">
        <v>0.2313327798658099</v>
      </c>
      <c r="AJ134">
        <v>0.5581267515151516</v>
      </c>
      <c r="AK134">
        <v>-8.965963431209139E-05</v>
      </c>
      <c r="AL134">
        <v>65.69768861024606</v>
      </c>
      <c r="AM134">
        <f>(AO134 - AN134 + DX134*1E3/(8.314*(DZ134+273.15)) * AQ134/DW134 * AP134) * DW134/(100*DK134) * 1000/(1000 - AO134)</f>
        <v>0</v>
      </c>
      <c r="AN134">
        <v>17.31399272727273</v>
      </c>
      <c r="AO134">
        <v>17.39160424242424</v>
      </c>
      <c r="AP134">
        <v>8.983268199119409E-06</v>
      </c>
      <c r="AQ134">
        <v>106.6247078906449</v>
      </c>
      <c r="AR134">
        <v>0</v>
      </c>
      <c r="AS134">
        <v>0</v>
      </c>
      <c r="AT134">
        <f>IF(AR134*$H$15&gt;=AV134,1.0,(AV134/(AV134-AR134*$H$15)))</f>
        <v>0</v>
      </c>
      <c r="AU134">
        <f>(AT134-1)*100</f>
        <v>0</v>
      </c>
      <c r="AV134">
        <f>MAX(0,($B$15+$C$15*EE134)/(1+$D$15*EE134)*DX134/(DZ134+273)*$E$15)</f>
        <v>0</v>
      </c>
      <c r="AW134" t="s">
        <v>437</v>
      </c>
      <c r="AX134" t="s">
        <v>437</v>
      </c>
      <c r="AY134">
        <v>0</v>
      </c>
      <c r="AZ134">
        <v>0</v>
      </c>
      <c r="BA134">
        <f>1-AY134/AZ134</f>
        <v>0</v>
      </c>
      <c r="BB134">
        <v>0</v>
      </c>
      <c r="BC134" t="s">
        <v>437</v>
      </c>
      <c r="BD134" t="s">
        <v>437</v>
      </c>
      <c r="BE134">
        <v>0</v>
      </c>
      <c r="BF134">
        <v>0</v>
      </c>
      <c r="BG134">
        <f>1-BE134/BF134</f>
        <v>0</v>
      </c>
      <c r="BH134">
        <v>0.5</v>
      </c>
      <c r="BI134">
        <f>DH134</f>
        <v>0</v>
      </c>
      <c r="BJ134">
        <f>K134</f>
        <v>0</v>
      </c>
      <c r="BK134">
        <f>BG134*BH134*BI134</f>
        <v>0</v>
      </c>
      <c r="BL134">
        <f>(BJ134-BB134)/BI134</f>
        <v>0</v>
      </c>
      <c r="BM134">
        <f>(AZ134-BF134)/BF134</f>
        <v>0</v>
      </c>
      <c r="BN134">
        <f>AY134/(BA134+AY134/BF134)</f>
        <v>0</v>
      </c>
      <c r="BO134" t="s">
        <v>437</v>
      </c>
      <c r="BP134">
        <v>0</v>
      </c>
      <c r="BQ134">
        <f>IF(BP134&lt;&gt;0, BP134, BN134)</f>
        <v>0</v>
      </c>
      <c r="BR134">
        <f>1-BQ134/BF134</f>
        <v>0</v>
      </c>
      <c r="BS134">
        <f>(BF134-BE134)/(BF134-BQ134)</f>
        <v>0</v>
      </c>
      <c r="BT134">
        <f>(AZ134-BF134)/(AZ134-BQ134)</f>
        <v>0</v>
      </c>
      <c r="BU134">
        <f>(BF134-BE134)/(BF134-AY134)</f>
        <v>0</v>
      </c>
      <c r="BV134">
        <f>(AZ134-BF134)/(AZ134-AY134)</f>
        <v>0</v>
      </c>
      <c r="BW134">
        <f>(BS134*BQ134/BE134)</f>
        <v>0</v>
      </c>
      <c r="BX134">
        <f>(1-BW134)</f>
        <v>0</v>
      </c>
      <c r="DG134">
        <f>$B$13*EF134+$C$13*EG134+$F$13*ER134*(1-EU134)</f>
        <v>0</v>
      </c>
      <c r="DH134">
        <f>DG134*DI134</f>
        <v>0</v>
      </c>
      <c r="DI134">
        <f>($B$13*$D$11+$C$13*$D$11+$F$13*((FE134+EW134)/MAX(FE134+EW134+FF134, 0.1)*$I$11+FF134/MAX(FE134+EW134+FF134, 0.1)*$J$11))/($B$13+$C$13+$F$13)</f>
        <v>0</v>
      </c>
      <c r="DJ134">
        <f>($B$13*$K$11+$C$13*$K$11+$F$13*((FE134+EW134)/MAX(FE134+EW134+FF134, 0.1)*$P$11+FF134/MAX(FE134+EW134+FF134, 0.1)*$Q$11))/($B$13+$C$13+$F$13)</f>
        <v>0</v>
      </c>
      <c r="DK134">
        <v>5.66</v>
      </c>
      <c r="DL134">
        <v>0.5</v>
      </c>
      <c r="DM134" t="s">
        <v>438</v>
      </c>
      <c r="DN134">
        <v>2</v>
      </c>
      <c r="DO134" t="b">
        <v>1</v>
      </c>
      <c r="DP134">
        <v>1765316610.5</v>
      </c>
      <c r="DQ134">
        <v>0.5442091290322578</v>
      </c>
      <c r="DR134">
        <v>0.2326246129032258</v>
      </c>
      <c r="DS134">
        <v>17.39247419354839</v>
      </c>
      <c r="DT134">
        <v>17.31480967741935</v>
      </c>
      <c r="DU134">
        <v>0.7062091290322579</v>
      </c>
      <c r="DV134">
        <v>17.32147419354839</v>
      </c>
      <c r="DW134">
        <v>500.0035483870968</v>
      </c>
      <c r="DX134">
        <v>89.73909354838707</v>
      </c>
      <c r="DY134">
        <v>0.1000234225806452</v>
      </c>
      <c r="DZ134">
        <v>24.69858387096775</v>
      </c>
      <c r="EA134">
        <v>24.99824516129032</v>
      </c>
      <c r="EB134">
        <v>999.9000000000003</v>
      </c>
      <c r="EC134">
        <v>0</v>
      </c>
      <c r="ED134">
        <v>0</v>
      </c>
      <c r="EE134">
        <v>9994.173225806451</v>
      </c>
      <c r="EF134">
        <v>0</v>
      </c>
      <c r="EG134">
        <v>9.835680000000004</v>
      </c>
      <c r="EH134">
        <v>0.3363761935483872</v>
      </c>
      <c r="EI134">
        <v>0.579073193548387</v>
      </c>
      <c r="EJ134">
        <v>0.2367234516129032</v>
      </c>
      <c r="EK134">
        <v>0.07894836451612904</v>
      </c>
      <c r="EL134">
        <v>0.2326246129032258</v>
      </c>
      <c r="EM134">
        <v>17.31480967741935</v>
      </c>
      <c r="EN134">
        <v>1.560900967741935</v>
      </c>
      <c r="EO134">
        <v>1.553816451612903</v>
      </c>
      <c r="EP134">
        <v>13.57813870967742</v>
      </c>
      <c r="EQ134">
        <v>13.50825806451613</v>
      </c>
      <c r="ER134">
        <v>799.9989032258064</v>
      </c>
      <c r="ES134">
        <v>0.9499966451612903</v>
      </c>
      <c r="ET134">
        <v>0.05000364516129033</v>
      </c>
      <c r="EU134">
        <v>0</v>
      </c>
      <c r="EV134">
        <v>836.8189677419354</v>
      </c>
      <c r="EW134">
        <v>5.000779999999999</v>
      </c>
      <c r="EX134">
        <v>6321.016451612903</v>
      </c>
      <c r="EY134">
        <v>6463.399999999999</v>
      </c>
      <c r="EZ134">
        <v>36.07241935483871</v>
      </c>
      <c r="FA134">
        <v>38.48161290322579</v>
      </c>
      <c r="FB134">
        <v>37.57248387096774</v>
      </c>
      <c r="FC134">
        <v>38.07835483870966</v>
      </c>
      <c r="FD134">
        <v>37.63474193548387</v>
      </c>
      <c r="FE134">
        <v>755.245806451613</v>
      </c>
      <c r="FF134">
        <v>39.7541935483871</v>
      </c>
      <c r="FG134">
        <v>0</v>
      </c>
      <c r="FH134">
        <v>1765316618.3</v>
      </c>
      <c r="FI134">
        <v>0</v>
      </c>
      <c r="FJ134">
        <v>836.8392</v>
      </c>
      <c r="FK134">
        <v>1.665692296748177</v>
      </c>
      <c r="FL134">
        <v>-5.406923093926965</v>
      </c>
      <c r="FM134">
        <v>6320.9352</v>
      </c>
      <c r="FN134">
        <v>15</v>
      </c>
      <c r="FO134">
        <v>1765316636.5</v>
      </c>
      <c r="FP134" t="s">
        <v>798</v>
      </c>
      <c r="FQ134">
        <v>1765316635.5</v>
      </c>
      <c r="FR134">
        <v>1765316636.5</v>
      </c>
      <c r="FS134">
        <v>117</v>
      </c>
      <c r="FT134">
        <v>-0.025</v>
      </c>
      <c r="FU134">
        <v>0</v>
      </c>
      <c r="FV134">
        <v>-0.162</v>
      </c>
      <c r="FW134">
        <v>0.07099999999999999</v>
      </c>
      <c r="FX134">
        <v>0</v>
      </c>
      <c r="FY134">
        <v>17</v>
      </c>
      <c r="FZ134">
        <v>0.58</v>
      </c>
      <c r="GA134">
        <v>0.33</v>
      </c>
      <c r="GB134">
        <v>0.352020075</v>
      </c>
      <c r="GC134">
        <v>-0.4002272307692313</v>
      </c>
      <c r="GD134">
        <v>0.0471197471854357</v>
      </c>
      <c r="GE134">
        <v>1</v>
      </c>
      <c r="GF134">
        <v>836.8134705882352</v>
      </c>
      <c r="GG134">
        <v>0.9718258158579275</v>
      </c>
      <c r="GH134">
        <v>0.2338204735279325</v>
      </c>
      <c r="GI134">
        <v>1</v>
      </c>
      <c r="GJ134">
        <v>0.07894021</v>
      </c>
      <c r="GK134">
        <v>-0.005505410881801261</v>
      </c>
      <c r="GL134">
        <v>0.001403661050396426</v>
      </c>
      <c r="GM134">
        <v>1</v>
      </c>
      <c r="GN134">
        <v>3</v>
      </c>
      <c r="GO134">
        <v>3</v>
      </c>
      <c r="GP134" t="s">
        <v>440</v>
      </c>
      <c r="GQ134">
        <v>3.10836</v>
      </c>
      <c r="GR134">
        <v>2.79159</v>
      </c>
      <c r="GS134">
        <v>0.000181882</v>
      </c>
      <c r="GT134">
        <v>5.74809E-05</v>
      </c>
      <c r="GU134">
        <v>0.085785</v>
      </c>
      <c r="GV134">
        <v>0.0862831</v>
      </c>
      <c r="GW134">
        <v>26227.9</v>
      </c>
      <c r="GX134">
        <v>23816</v>
      </c>
      <c r="GY134">
        <v>26790.1</v>
      </c>
      <c r="GZ134">
        <v>24023.7</v>
      </c>
      <c r="HA134">
        <v>39133.6</v>
      </c>
      <c r="HB134">
        <v>32389.2</v>
      </c>
      <c r="HC134">
        <v>46759.4</v>
      </c>
      <c r="HD134">
        <v>37992.2</v>
      </c>
      <c r="HE134">
        <v>1.88878</v>
      </c>
      <c r="HF134">
        <v>1.86235</v>
      </c>
      <c r="HG134">
        <v>0.0804663</v>
      </c>
      <c r="HH134">
        <v>0</v>
      </c>
      <c r="HI134">
        <v>23.6775</v>
      </c>
      <c r="HJ134">
        <v>999.9</v>
      </c>
      <c r="HK134">
        <v>42.7</v>
      </c>
      <c r="HL134">
        <v>30.6</v>
      </c>
      <c r="HM134">
        <v>20.9818</v>
      </c>
      <c r="HN134">
        <v>60.8631</v>
      </c>
      <c r="HO134">
        <v>27.484</v>
      </c>
      <c r="HP134">
        <v>1</v>
      </c>
      <c r="HQ134">
        <v>0.024469</v>
      </c>
      <c r="HR134">
        <v>1.15496</v>
      </c>
      <c r="HS134">
        <v>20.2908</v>
      </c>
      <c r="HT134">
        <v>5.22103</v>
      </c>
      <c r="HU134">
        <v>11.9793</v>
      </c>
      <c r="HV134">
        <v>4.9655</v>
      </c>
      <c r="HW134">
        <v>3.2759</v>
      </c>
      <c r="HX134">
        <v>9999</v>
      </c>
      <c r="HY134">
        <v>9999</v>
      </c>
      <c r="HZ134">
        <v>9999</v>
      </c>
      <c r="IA134">
        <v>999.9</v>
      </c>
      <c r="IB134">
        <v>1.86388</v>
      </c>
      <c r="IC134">
        <v>1.86005</v>
      </c>
      <c r="ID134">
        <v>1.85836</v>
      </c>
      <c r="IE134">
        <v>1.85971</v>
      </c>
      <c r="IF134">
        <v>1.85987</v>
      </c>
      <c r="IG134">
        <v>1.85837</v>
      </c>
      <c r="IH134">
        <v>1.85745</v>
      </c>
      <c r="II134">
        <v>1.85236</v>
      </c>
      <c r="IJ134">
        <v>0</v>
      </c>
      <c r="IK134">
        <v>0</v>
      </c>
      <c r="IL134">
        <v>0</v>
      </c>
      <c r="IM134">
        <v>0</v>
      </c>
      <c r="IN134" t="s">
        <v>441</v>
      </c>
      <c r="IO134" t="s">
        <v>442</v>
      </c>
      <c r="IP134" t="s">
        <v>443</v>
      </c>
      <c r="IQ134" t="s">
        <v>443</v>
      </c>
      <c r="IR134" t="s">
        <v>443</v>
      </c>
      <c r="IS134" t="s">
        <v>443</v>
      </c>
      <c r="IT134">
        <v>0</v>
      </c>
      <c r="IU134">
        <v>100</v>
      </c>
      <c r="IV134">
        <v>100</v>
      </c>
      <c r="IW134">
        <v>-0.162</v>
      </c>
      <c r="IX134">
        <v>0.07099999999999999</v>
      </c>
      <c r="IY134">
        <v>-0.1373208410488362</v>
      </c>
      <c r="IZ134">
        <v>0.0001583678016168383</v>
      </c>
      <c r="JA134">
        <v>1.526473431467286E-06</v>
      </c>
      <c r="JB134">
        <v>-4.446382740029455E-10</v>
      </c>
      <c r="JC134">
        <v>-0.04466461594845446</v>
      </c>
      <c r="JD134">
        <v>-0.009941991807247691</v>
      </c>
      <c r="JE134">
        <v>0.001256427533001032</v>
      </c>
      <c r="JF134">
        <v>-1.689728105039484E-05</v>
      </c>
      <c r="JG134">
        <v>2</v>
      </c>
      <c r="JH134">
        <v>1984</v>
      </c>
      <c r="JI134">
        <v>0</v>
      </c>
      <c r="JJ134">
        <v>25</v>
      </c>
      <c r="JK134">
        <v>1.2</v>
      </c>
      <c r="JL134">
        <v>1.1</v>
      </c>
      <c r="JM134">
        <v>0.0292969</v>
      </c>
      <c r="JN134">
        <v>4.99634</v>
      </c>
      <c r="JO134">
        <v>1.49658</v>
      </c>
      <c r="JP134">
        <v>2.34619</v>
      </c>
      <c r="JQ134">
        <v>1.54907</v>
      </c>
      <c r="JR134">
        <v>2.37671</v>
      </c>
      <c r="JS134">
        <v>35.2209</v>
      </c>
      <c r="JT134">
        <v>24.1225</v>
      </c>
      <c r="JU134">
        <v>18</v>
      </c>
      <c r="JV134">
        <v>479.289</v>
      </c>
      <c r="JW134">
        <v>491.162</v>
      </c>
      <c r="JX134">
        <v>23.1793</v>
      </c>
      <c r="JY134">
        <v>27.4935</v>
      </c>
      <c r="JZ134">
        <v>30.0001</v>
      </c>
      <c r="KA134">
        <v>27.7501</v>
      </c>
      <c r="KB134">
        <v>27.7514</v>
      </c>
      <c r="KC134">
        <v>0</v>
      </c>
      <c r="KD134">
        <v>18.4684</v>
      </c>
      <c r="KE134">
        <v>51.3922</v>
      </c>
      <c r="KF134">
        <v>23.1353</v>
      </c>
      <c r="KG134">
        <v>0</v>
      </c>
      <c r="KH134">
        <v>17.3481</v>
      </c>
      <c r="KI134">
        <v>102.253</v>
      </c>
      <c r="KJ134">
        <v>91.6379</v>
      </c>
    </row>
    <row r="135" spans="1:296">
      <c r="A135">
        <v>117</v>
      </c>
      <c r="B135">
        <v>1765316727.5</v>
      </c>
      <c r="C135">
        <v>19294.5</v>
      </c>
      <c r="D135" t="s">
        <v>799</v>
      </c>
      <c r="E135" t="s">
        <v>800</v>
      </c>
      <c r="F135">
        <v>5</v>
      </c>
      <c r="G135" t="s">
        <v>782</v>
      </c>
      <c r="H135">
        <v>1765316719.5</v>
      </c>
      <c r="I135">
        <f>(J135)/1000</f>
        <v>0</v>
      </c>
      <c r="J135">
        <f>IF(DO135, AM135, AG135)</f>
        <v>0</v>
      </c>
      <c r="K135">
        <f>IF(DO135, AH135, AF135)</f>
        <v>0</v>
      </c>
      <c r="L135">
        <f>DQ135 - IF(AT135&gt;1, K135*DK135*100.0/(AV135), 0)</f>
        <v>0</v>
      </c>
      <c r="M135">
        <f>((S135-I135/2)*L135-K135)/(S135+I135/2)</f>
        <v>0</v>
      </c>
      <c r="N135">
        <f>M135*(DX135+DY135)/1000.0</f>
        <v>0</v>
      </c>
      <c r="O135">
        <f>(DQ135 - IF(AT135&gt;1, K135*DK135*100.0/(AV135), 0))*(DX135+DY135)/1000.0</f>
        <v>0</v>
      </c>
      <c r="P135">
        <f>2.0/((1/R135-1/Q135)+SIGN(R135)*SQRT((1/R135-1/Q135)*(1/R135-1/Q135) + 4*DL135/((DL135+1)*(DL135+1))*(2*1/R135*1/Q135-1/Q135*1/Q135)))</f>
        <v>0</v>
      </c>
      <c r="Q135">
        <f>IF(LEFT(DM135,1)&lt;&gt;"0",IF(LEFT(DM135,1)="1",3.0,DN135),$D$5+$E$5*(EE135*DX135/($K$5*1000))+$F$5*(EE135*DX135/($K$5*1000))*MAX(MIN(DK135,$J$5),$I$5)*MAX(MIN(DK135,$J$5),$I$5)+$G$5*MAX(MIN(DK135,$J$5),$I$5)*(EE135*DX135/($K$5*1000))+$H$5*(EE135*DX135/($K$5*1000))*(EE135*DX135/($K$5*1000)))</f>
        <v>0</v>
      </c>
      <c r="R135">
        <f>I135*(1000-(1000*0.61365*exp(17.502*V135/(240.97+V135))/(DX135+DY135)+DS135)/2)/(1000*0.61365*exp(17.502*V135/(240.97+V135))/(DX135+DY135)-DS135)</f>
        <v>0</v>
      </c>
      <c r="S135">
        <f>1/((DL135+1)/(P135/1.6)+1/(Q135/1.37)) + DL135/((DL135+1)/(P135/1.6) + DL135/(Q135/1.37))</f>
        <v>0</v>
      </c>
      <c r="T135">
        <f>(DG135*DJ135)</f>
        <v>0</v>
      </c>
      <c r="U135">
        <f>(DZ135+(T135+2*0.95*5.67E-8*(((DZ135+$B$9)+273)^4-(DZ135+273)^4)-44100*I135)/(1.84*29.3*Q135+8*0.95*5.67E-8*(DZ135+273)^3))</f>
        <v>0</v>
      </c>
      <c r="V135">
        <f>($C$9*EA135+$D$9*EB135+$E$9*U135)</f>
        <v>0</v>
      </c>
      <c r="W135">
        <f>0.61365*exp(17.502*V135/(240.97+V135))</f>
        <v>0</v>
      </c>
      <c r="X135">
        <f>(Y135/Z135*100)</f>
        <v>0</v>
      </c>
      <c r="Y135">
        <f>DS135*(DX135+DY135)/1000</f>
        <v>0</v>
      </c>
      <c r="Z135">
        <f>0.61365*exp(17.502*DZ135/(240.97+DZ135))</f>
        <v>0</v>
      </c>
      <c r="AA135">
        <f>(W135-DS135*(DX135+DY135)/1000)</f>
        <v>0</v>
      </c>
      <c r="AB135">
        <f>(-I135*44100)</f>
        <v>0</v>
      </c>
      <c r="AC135">
        <f>2*29.3*Q135*0.92*(DZ135-V135)</f>
        <v>0</v>
      </c>
      <c r="AD135">
        <f>2*0.95*5.67E-8*(((DZ135+$B$9)+273)^4-(V135+273)^4)</f>
        <v>0</v>
      </c>
      <c r="AE135">
        <f>T135+AD135+AB135+AC135</f>
        <v>0</v>
      </c>
      <c r="AF135">
        <f>DW135*AT135*(DR135-DQ135*(1000-AT135*DT135)/(1000-AT135*DS135))/(100*DK135)</f>
        <v>0</v>
      </c>
      <c r="AG135">
        <f>1000*DW135*AT135*(DS135-DT135)/(100*DK135*(1000-AT135*DS135))</f>
        <v>0</v>
      </c>
      <c r="AH135">
        <f>(AI135 - AJ135 - DX135*1E3/(8.314*(DZ135+273.15)) * AL135/DW135 * AK135) * DW135/(100*DK135) * (1000 - DT135)/1000</f>
        <v>0</v>
      </c>
      <c r="AI135">
        <v>407.1722923309967</v>
      </c>
      <c r="AJ135">
        <v>406.9436545454545</v>
      </c>
      <c r="AK135">
        <v>-0.0003472041019045607</v>
      </c>
      <c r="AL135">
        <v>65.37454913174344</v>
      </c>
      <c r="AM135">
        <f>(AO135 - AN135 + DX135*1E3/(8.314*(DZ135+273.15)) * AQ135/DW135 * AP135) * DW135/(100*DK135) * 1000/(1000 - AO135)</f>
        <v>0</v>
      </c>
      <c r="AN135">
        <v>17.26263575757576</v>
      </c>
      <c r="AO135">
        <v>17.35279151515152</v>
      </c>
      <c r="AP135">
        <v>-4.810389610425915E-06</v>
      </c>
      <c r="AQ135">
        <v>104.6144494966722</v>
      </c>
      <c r="AR135">
        <v>0</v>
      </c>
      <c r="AS135">
        <v>0</v>
      </c>
      <c r="AT135">
        <f>IF(AR135*$H$15&gt;=AV135,1.0,(AV135/(AV135-AR135*$H$15)))</f>
        <v>0</v>
      </c>
      <c r="AU135">
        <f>(AT135-1)*100</f>
        <v>0</v>
      </c>
      <c r="AV135">
        <f>MAX(0,($B$15+$C$15*EE135)/(1+$D$15*EE135)*DX135/(DZ135+273)*$E$15)</f>
        <v>0</v>
      </c>
      <c r="AW135" t="s">
        <v>437</v>
      </c>
      <c r="AX135" t="s">
        <v>437</v>
      </c>
      <c r="AY135">
        <v>0</v>
      </c>
      <c r="AZ135">
        <v>0</v>
      </c>
      <c r="BA135">
        <f>1-AY135/AZ135</f>
        <v>0</v>
      </c>
      <c r="BB135">
        <v>0</v>
      </c>
      <c r="BC135" t="s">
        <v>437</v>
      </c>
      <c r="BD135" t="s">
        <v>437</v>
      </c>
      <c r="BE135">
        <v>0</v>
      </c>
      <c r="BF135">
        <v>0</v>
      </c>
      <c r="BG135">
        <f>1-BE135/BF135</f>
        <v>0</v>
      </c>
      <c r="BH135">
        <v>0.5</v>
      </c>
      <c r="BI135">
        <f>DH135</f>
        <v>0</v>
      </c>
      <c r="BJ135">
        <f>K135</f>
        <v>0</v>
      </c>
      <c r="BK135">
        <f>BG135*BH135*BI135</f>
        <v>0</v>
      </c>
      <c r="BL135">
        <f>(BJ135-BB135)/BI135</f>
        <v>0</v>
      </c>
      <c r="BM135">
        <f>(AZ135-BF135)/BF135</f>
        <v>0</v>
      </c>
      <c r="BN135">
        <f>AY135/(BA135+AY135/BF135)</f>
        <v>0</v>
      </c>
      <c r="BO135" t="s">
        <v>437</v>
      </c>
      <c r="BP135">
        <v>0</v>
      </c>
      <c r="BQ135">
        <f>IF(BP135&lt;&gt;0, BP135, BN135)</f>
        <v>0</v>
      </c>
      <c r="BR135">
        <f>1-BQ135/BF135</f>
        <v>0</v>
      </c>
      <c r="BS135">
        <f>(BF135-BE135)/(BF135-BQ135)</f>
        <v>0</v>
      </c>
      <c r="BT135">
        <f>(AZ135-BF135)/(AZ135-BQ135)</f>
        <v>0</v>
      </c>
      <c r="BU135">
        <f>(BF135-BE135)/(BF135-AY135)</f>
        <v>0</v>
      </c>
      <c r="BV135">
        <f>(AZ135-BF135)/(AZ135-AY135)</f>
        <v>0</v>
      </c>
      <c r="BW135">
        <f>(BS135*BQ135/BE135)</f>
        <v>0</v>
      </c>
      <c r="BX135">
        <f>(1-BW135)</f>
        <v>0</v>
      </c>
      <c r="DG135">
        <f>$B$13*EF135+$C$13*EG135+$F$13*ER135*(1-EU135)</f>
        <v>0</v>
      </c>
      <c r="DH135">
        <f>DG135*DI135</f>
        <v>0</v>
      </c>
      <c r="DI135">
        <f>($B$13*$D$11+$C$13*$D$11+$F$13*((FE135+EW135)/MAX(FE135+EW135+FF135, 0.1)*$I$11+FF135/MAX(FE135+EW135+FF135, 0.1)*$J$11))/($B$13+$C$13+$F$13)</f>
        <v>0</v>
      </c>
      <c r="DJ135">
        <f>($B$13*$K$11+$C$13*$K$11+$F$13*((FE135+EW135)/MAX(FE135+EW135+FF135, 0.1)*$P$11+FF135/MAX(FE135+EW135+FF135, 0.1)*$Q$11))/($B$13+$C$13+$F$13)</f>
        <v>0</v>
      </c>
      <c r="DK135">
        <v>5.66</v>
      </c>
      <c r="DL135">
        <v>0.5</v>
      </c>
      <c r="DM135" t="s">
        <v>438</v>
      </c>
      <c r="DN135">
        <v>2</v>
      </c>
      <c r="DO135" t="b">
        <v>1</v>
      </c>
      <c r="DP135">
        <v>1765316719.5</v>
      </c>
      <c r="DQ135">
        <v>399.7467096774194</v>
      </c>
      <c r="DR135">
        <v>400.1643548387096</v>
      </c>
      <c r="DS135">
        <v>17.35826129032258</v>
      </c>
      <c r="DT135">
        <v>17.26708709677419</v>
      </c>
      <c r="DU135">
        <v>399.8057096774194</v>
      </c>
      <c r="DV135">
        <v>17.28626129032259</v>
      </c>
      <c r="DW135">
        <v>500.0038064516128</v>
      </c>
      <c r="DX135">
        <v>89.73901612903224</v>
      </c>
      <c r="DY135">
        <v>0.09998295483870967</v>
      </c>
      <c r="DZ135">
        <v>24.67393870967742</v>
      </c>
      <c r="EA135">
        <v>24.99443870967741</v>
      </c>
      <c r="EB135">
        <v>999.9000000000003</v>
      </c>
      <c r="EC135">
        <v>0</v>
      </c>
      <c r="ED135">
        <v>0</v>
      </c>
      <c r="EE135">
        <v>9997.269677419354</v>
      </c>
      <c r="EF135">
        <v>0</v>
      </c>
      <c r="EG135">
        <v>9.835680000000004</v>
      </c>
      <c r="EH135">
        <v>-0.2417936774193548</v>
      </c>
      <c r="EI135">
        <v>406.9870322580646</v>
      </c>
      <c r="EJ135">
        <v>407.1953870967742</v>
      </c>
      <c r="EK135">
        <v>0.09101966451612903</v>
      </c>
      <c r="EL135">
        <v>400.1643548387096</v>
      </c>
      <c r="EM135">
        <v>17.26708709677419</v>
      </c>
      <c r="EN135">
        <v>1.557697741935484</v>
      </c>
      <c r="EO135">
        <v>1.549531290322581</v>
      </c>
      <c r="EP135">
        <v>13.54659677419355</v>
      </c>
      <c r="EQ135">
        <v>13.46586451612903</v>
      </c>
      <c r="ER135">
        <v>800.0025161290324</v>
      </c>
      <c r="ES135">
        <v>0.9500034193548387</v>
      </c>
      <c r="ET135">
        <v>0.04999666451612903</v>
      </c>
      <c r="EU135">
        <v>0</v>
      </c>
      <c r="EV135">
        <v>835.1915161290322</v>
      </c>
      <c r="EW135">
        <v>5.000779999999999</v>
      </c>
      <c r="EX135">
        <v>6303.075806451614</v>
      </c>
      <c r="EY135">
        <v>6463.445483870969</v>
      </c>
      <c r="EZ135">
        <v>35.84848387096773</v>
      </c>
      <c r="FA135">
        <v>38.55825806451612</v>
      </c>
      <c r="FB135">
        <v>37.8748064516129</v>
      </c>
      <c r="FC135">
        <v>38.21138709677417</v>
      </c>
      <c r="FD135">
        <v>37.89293548387096</v>
      </c>
      <c r="FE135">
        <v>755.253870967742</v>
      </c>
      <c r="FF135">
        <v>39.74774193548387</v>
      </c>
      <c r="FG135">
        <v>0</v>
      </c>
      <c r="FH135">
        <v>1765316726.9</v>
      </c>
      <c r="FI135">
        <v>0</v>
      </c>
      <c r="FJ135">
        <v>835.1847307692309</v>
      </c>
      <c r="FK135">
        <v>-2.115111103645785</v>
      </c>
      <c r="FL135">
        <v>17.10769234865785</v>
      </c>
      <c r="FM135">
        <v>6303.000769230769</v>
      </c>
      <c r="FN135">
        <v>15</v>
      </c>
      <c r="FO135">
        <v>1765316743.5</v>
      </c>
      <c r="FP135" t="s">
        <v>801</v>
      </c>
      <c r="FQ135">
        <v>1765316742.5</v>
      </c>
      <c r="FR135">
        <v>1765316743.5</v>
      </c>
      <c r="FS135">
        <v>118</v>
      </c>
      <c r="FT135">
        <v>-0.176</v>
      </c>
      <c r="FU135">
        <v>0.003</v>
      </c>
      <c r="FV135">
        <v>-0.059</v>
      </c>
      <c r="FW135">
        <v>0.07199999999999999</v>
      </c>
      <c r="FX135">
        <v>400</v>
      </c>
      <c r="FY135">
        <v>17</v>
      </c>
      <c r="FZ135">
        <v>0.38</v>
      </c>
      <c r="GA135">
        <v>0.21</v>
      </c>
      <c r="GB135">
        <v>-0.208485643902439</v>
      </c>
      <c r="GC135">
        <v>-0.4610387895470386</v>
      </c>
      <c r="GD135">
        <v>0.0771655885031349</v>
      </c>
      <c r="GE135">
        <v>1</v>
      </c>
      <c r="GF135">
        <v>835.2480294117648</v>
      </c>
      <c r="GG135">
        <v>-1.849152020289686</v>
      </c>
      <c r="GH135">
        <v>0.3119571506486543</v>
      </c>
      <c r="GI135">
        <v>0</v>
      </c>
      <c r="GJ135">
        <v>0.09146928048780488</v>
      </c>
      <c r="GK135">
        <v>-0.01005657491289221</v>
      </c>
      <c r="GL135">
        <v>0.001096435795328578</v>
      </c>
      <c r="GM135">
        <v>1</v>
      </c>
      <c r="GN135">
        <v>2</v>
      </c>
      <c r="GO135">
        <v>3</v>
      </c>
      <c r="GP135" t="s">
        <v>453</v>
      </c>
      <c r="GQ135">
        <v>3.10821</v>
      </c>
      <c r="GR135">
        <v>2.7917</v>
      </c>
      <c r="GS135">
        <v>0.0843119</v>
      </c>
      <c r="GT135">
        <v>0.084414</v>
      </c>
      <c r="GU135">
        <v>0.0856498</v>
      </c>
      <c r="GV135">
        <v>0.0860987</v>
      </c>
      <c r="GW135">
        <v>24022.3</v>
      </c>
      <c r="GX135">
        <v>21808.5</v>
      </c>
      <c r="GY135">
        <v>26791.8</v>
      </c>
      <c r="GZ135">
        <v>24025.8</v>
      </c>
      <c r="HA135">
        <v>39152.9</v>
      </c>
      <c r="HB135">
        <v>32407.1</v>
      </c>
      <c r="HC135">
        <v>46763</v>
      </c>
      <c r="HD135">
        <v>37995.4</v>
      </c>
      <c r="HE135">
        <v>1.88937</v>
      </c>
      <c r="HF135">
        <v>1.8636</v>
      </c>
      <c r="HG135">
        <v>0.0787079</v>
      </c>
      <c r="HH135">
        <v>0</v>
      </c>
      <c r="HI135">
        <v>23.6954</v>
      </c>
      <c r="HJ135">
        <v>999.9</v>
      </c>
      <c r="HK135">
        <v>42.6</v>
      </c>
      <c r="HL135">
        <v>30.6</v>
      </c>
      <c r="HM135">
        <v>20.9333</v>
      </c>
      <c r="HN135">
        <v>61.0031</v>
      </c>
      <c r="HO135">
        <v>27.52</v>
      </c>
      <c r="HP135">
        <v>1</v>
      </c>
      <c r="HQ135">
        <v>0.0216336</v>
      </c>
      <c r="HR135">
        <v>0.806106</v>
      </c>
      <c r="HS135">
        <v>20.2947</v>
      </c>
      <c r="HT135">
        <v>5.22163</v>
      </c>
      <c r="HU135">
        <v>11.9794</v>
      </c>
      <c r="HV135">
        <v>4.9655</v>
      </c>
      <c r="HW135">
        <v>3.27565</v>
      </c>
      <c r="HX135">
        <v>9999</v>
      </c>
      <c r="HY135">
        <v>9999</v>
      </c>
      <c r="HZ135">
        <v>9999</v>
      </c>
      <c r="IA135">
        <v>999.9</v>
      </c>
      <c r="IB135">
        <v>1.86386</v>
      </c>
      <c r="IC135">
        <v>1.86004</v>
      </c>
      <c r="ID135">
        <v>1.85836</v>
      </c>
      <c r="IE135">
        <v>1.85972</v>
      </c>
      <c r="IF135">
        <v>1.85981</v>
      </c>
      <c r="IG135">
        <v>1.8583</v>
      </c>
      <c r="IH135">
        <v>1.85742</v>
      </c>
      <c r="II135">
        <v>1.85233</v>
      </c>
      <c r="IJ135">
        <v>0</v>
      </c>
      <c r="IK135">
        <v>0</v>
      </c>
      <c r="IL135">
        <v>0</v>
      </c>
      <c r="IM135">
        <v>0</v>
      </c>
      <c r="IN135" t="s">
        <v>441</v>
      </c>
      <c r="IO135" t="s">
        <v>442</v>
      </c>
      <c r="IP135" t="s">
        <v>443</v>
      </c>
      <c r="IQ135" t="s">
        <v>443</v>
      </c>
      <c r="IR135" t="s">
        <v>443</v>
      </c>
      <c r="IS135" t="s">
        <v>443</v>
      </c>
      <c r="IT135">
        <v>0</v>
      </c>
      <c r="IU135">
        <v>100</v>
      </c>
      <c r="IV135">
        <v>100</v>
      </c>
      <c r="IW135">
        <v>-0.059</v>
      </c>
      <c r="IX135">
        <v>0.07199999999999999</v>
      </c>
      <c r="IY135">
        <v>-0.1620291200988186</v>
      </c>
      <c r="IZ135">
        <v>0.0001583678016168383</v>
      </c>
      <c r="JA135">
        <v>1.526473431467286E-06</v>
      </c>
      <c r="JB135">
        <v>-4.446382740029455E-10</v>
      </c>
      <c r="JC135">
        <v>-0.04445279479702351</v>
      </c>
      <c r="JD135">
        <v>-0.009941991807247691</v>
      </c>
      <c r="JE135">
        <v>0.001256427533001032</v>
      </c>
      <c r="JF135">
        <v>-1.689728105039484E-05</v>
      </c>
      <c r="JG135">
        <v>2</v>
      </c>
      <c r="JH135">
        <v>1984</v>
      </c>
      <c r="JI135">
        <v>0</v>
      </c>
      <c r="JJ135">
        <v>25</v>
      </c>
      <c r="JK135">
        <v>1.5</v>
      </c>
      <c r="JL135">
        <v>1.5</v>
      </c>
      <c r="JM135">
        <v>1.09741</v>
      </c>
      <c r="JN135">
        <v>2.62817</v>
      </c>
      <c r="JO135">
        <v>1.49658</v>
      </c>
      <c r="JP135">
        <v>2.34741</v>
      </c>
      <c r="JQ135">
        <v>1.54907</v>
      </c>
      <c r="JR135">
        <v>2.43652</v>
      </c>
      <c r="JS135">
        <v>35.244</v>
      </c>
      <c r="JT135">
        <v>24.14</v>
      </c>
      <c r="JU135">
        <v>18</v>
      </c>
      <c r="JV135">
        <v>479.491</v>
      </c>
      <c r="JW135">
        <v>491.84</v>
      </c>
      <c r="JX135">
        <v>23.2101</v>
      </c>
      <c r="JY135">
        <v>27.4649</v>
      </c>
      <c r="JZ135">
        <v>29.9999</v>
      </c>
      <c r="KA135">
        <v>27.7313</v>
      </c>
      <c r="KB135">
        <v>27.7351</v>
      </c>
      <c r="KC135">
        <v>22.0741</v>
      </c>
      <c r="KD135">
        <v>18.7407</v>
      </c>
      <c r="KE135">
        <v>51.3922</v>
      </c>
      <c r="KF135">
        <v>23.2093</v>
      </c>
      <c r="KG135">
        <v>400</v>
      </c>
      <c r="KH135">
        <v>17.2903</v>
      </c>
      <c r="KI135">
        <v>102.261</v>
      </c>
      <c r="KJ135">
        <v>91.64570000000001</v>
      </c>
    </row>
    <row r="136" spans="1:296">
      <c r="A136">
        <v>118</v>
      </c>
      <c r="B136">
        <v>1765316834.5</v>
      </c>
      <c r="C136">
        <v>19401.5</v>
      </c>
      <c r="D136" t="s">
        <v>802</v>
      </c>
      <c r="E136" t="s">
        <v>803</v>
      </c>
      <c r="F136">
        <v>5</v>
      </c>
      <c r="G136" t="s">
        <v>782</v>
      </c>
      <c r="H136">
        <v>1765316826.5</v>
      </c>
      <c r="I136">
        <f>(J136)/1000</f>
        <v>0</v>
      </c>
      <c r="J136">
        <f>IF(DO136, AM136, AG136)</f>
        <v>0</v>
      </c>
      <c r="K136">
        <f>IF(DO136, AH136, AF136)</f>
        <v>0</v>
      </c>
      <c r="L136">
        <f>DQ136 - IF(AT136&gt;1, K136*DK136*100.0/(AV136), 0)</f>
        <v>0</v>
      </c>
      <c r="M136">
        <f>((S136-I136/2)*L136-K136)/(S136+I136/2)</f>
        <v>0</v>
      </c>
      <c r="N136">
        <f>M136*(DX136+DY136)/1000.0</f>
        <v>0</v>
      </c>
      <c r="O136">
        <f>(DQ136 - IF(AT136&gt;1, K136*DK136*100.0/(AV136), 0))*(DX136+DY136)/1000.0</f>
        <v>0</v>
      </c>
      <c r="P136">
        <f>2.0/((1/R136-1/Q136)+SIGN(R136)*SQRT((1/R136-1/Q136)*(1/R136-1/Q136) + 4*DL136/((DL136+1)*(DL136+1))*(2*1/R136*1/Q136-1/Q136*1/Q136)))</f>
        <v>0</v>
      </c>
      <c r="Q136">
        <f>IF(LEFT(DM136,1)&lt;&gt;"0",IF(LEFT(DM136,1)="1",3.0,DN136),$D$5+$E$5*(EE136*DX136/($K$5*1000))+$F$5*(EE136*DX136/($K$5*1000))*MAX(MIN(DK136,$J$5),$I$5)*MAX(MIN(DK136,$J$5),$I$5)+$G$5*MAX(MIN(DK136,$J$5),$I$5)*(EE136*DX136/($K$5*1000))+$H$5*(EE136*DX136/($K$5*1000))*(EE136*DX136/($K$5*1000)))</f>
        <v>0</v>
      </c>
      <c r="R136">
        <f>I136*(1000-(1000*0.61365*exp(17.502*V136/(240.97+V136))/(DX136+DY136)+DS136)/2)/(1000*0.61365*exp(17.502*V136/(240.97+V136))/(DX136+DY136)-DS136)</f>
        <v>0</v>
      </c>
      <c r="S136">
        <f>1/((DL136+1)/(P136/1.6)+1/(Q136/1.37)) + DL136/((DL136+1)/(P136/1.6) + DL136/(Q136/1.37))</f>
        <v>0</v>
      </c>
      <c r="T136">
        <f>(DG136*DJ136)</f>
        <v>0</v>
      </c>
      <c r="U136">
        <f>(DZ136+(T136+2*0.95*5.67E-8*(((DZ136+$B$9)+273)^4-(DZ136+273)^4)-44100*I136)/(1.84*29.3*Q136+8*0.95*5.67E-8*(DZ136+273)^3))</f>
        <v>0</v>
      </c>
      <c r="V136">
        <f>($C$9*EA136+$D$9*EB136+$E$9*U136)</f>
        <v>0</v>
      </c>
      <c r="W136">
        <f>0.61365*exp(17.502*V136/(240.97+V136))</f>
        <v>0</v>
      </c>
      <c r="X136">
        <f>(Y136/Z136*100)</f>
        <v>0</v>
      </c>
      <c r="Y136">
        <f>DS136*(DX136+DY136)/1000</f>
        <v>0</v>
      </c>
      <c r="Z136">
        <f>0.61365*exp(17.502*DZ136/(240.97+DZ136))</f>
        <v>0</v>
      </c>
      <c r="AA136">
        <f>(W136-DS136*(DX136+DY136)/1000)</f>
        <v>0</v>
      </c>
      <c r="AB136">
        <f>(-I136*44100)</f>
        <v>0</v>
      </c>
      <c r="AC136">
        <f>2*29.3*Q136*0.92*(DZ136-V136)</f>
        <v>0</v>
      </c>
      <c r="AD136">
        <f>2*0.95*5.67E-8*(((DZ136+$B$9)+273)^4-(V136+273)^4)</f>
        <v>0</v>
      </c>
      <c r="AE136">
        <f>T136+AD136+AB136+AC136</f>
        <v>0</v>
      </c>
      <c r="AF136">
        <f>DW136*AT136*(DR136-DQ136*(1000-AT136*DT136)/(1000-AT136*DS136))/(100*DK136)</f>
        <v>0</v>
      </c>
      <c r="AG136">
        <f>1000*DW136*AT136*(DS136-DT136)/(100*DK136*(1000-AT136*DS136))</f>
        <v>0</v>
      </c>
      <c r="AH136">
        <f>(AI136 - AJ136 - DX136*1E3/(8.314*(DZ136+273.15)) * AL136/DW136 * AK136) * DW136/(100*DK136) * (1000 - DT136)/1000</f>
        <v>0</v>
      </c>
      <c r="AI136">
        <v>407.0945743659233</v>
      </c>
      <c r="AJ136">
        <v>406.7135030303031</v>
      </c>
      <c r="AK136">
        <v>-0.0001594136572787454</v>
      </c>
      <c r="AL136">
        <v>65.8641935011799</v>
      </c>
      <c r="AM136">
        <f>(AO136 - AN136 + DX136*1E3/(8.314*(DZ136+273.15)) * AQ136/DW136 * AP136) * DW136/(100*DK136) * 1000/(1000 - AO136)</f>
        <v>0</v>
      </c>
      <c r="AN136">
        <v>17.28854749160173</v>
      </c>
      <c r="AO136">
        <v>17.35854895104897</v>
      </c>
      <c r="AP136">
        <v>5.788864872535273E-05</v>
      </c>
      <c r="AQ136">
        <v>109.62</v>
      </c>
      <c r="AR136">
        <v>0</v>
      </c>
      <c r="AS136">
        <v>0</v>
      </c>
      <c r="AT136">
        <f>IF(AR136*$H$15&gt;=AV136,1.0,(AV136/(AV136-AR136*$H$15)))</f>
        <v>0</v>
      </c>
      <c r="AU136">
        <f>(AT136-1)*100</f>
        <v>0</v>
      </c>
      <c r="AV136">
        <f>MAX(0,($B$15+$C$15*EE136)/(1+$D$15*EE136)*DX136/(DZ136+273)*$E$15)</f>
        <v>0</v>
      </c>
      <c r="AW136" t="s">
        <v>437</v>
      </c>
      <c r="AX136" t="s">
        <v>437</v>
      </c>
      <c r="AY136">
        <v>0</v>
      </c>
      <c r="AZ136">
        <v>0</v>
      </c>
      <c r="BA136">
        <f>1-AY136/AZ136</f>
        <v>0</v>
      </c>
      <c r="BB136">
        <v>0</v>
      </c>
      <c r="BC136" t="s">
        <v>437</v>
      </c>
      <c r="BD136" t="s">
        <v>437</v>
      </c>
      <c r="BE136">
        <v>0</v>
      </c>
      <c r="BF136">
        <v>0</v>
      </c>
      <c r="BG136">
        <f>1-BE136/BF136</f>
        <v>0</v>
      </c>
      <c r="BH136">
        <v>0.5</v>
      </c>
      <c r="BI136">
        <f>DH136</f>
        <v>0</v>
      </c>
      <c r="BJ136">
        <f>K136</f>
        <v>0</v>
      </c>
      <c r="BK136">
        <f>BG136*BH136*BI136</f>
        <v>0</v>
      </c>
      <c r="BL136">
        <f>(BJ136-BB136)/BI136</f>
        <v>0</v>
      </c>
      <c r="BM136">
        <f>(AZ136-BF136)/BF136</f>
        <v>0</v>
      </c>
      <c r="BN136">
        <f>AY136/(BA136+AY136/BF136)</f>
        <v>0</v>
      </c>
      <c r="BO136" t="s">
        <v>437</v>
      </c>
      <c r="BP136">
        <v>0</v>
      </c>
      <c r="BQ136">
        <f>IF(BP136&lt;&gt;0, BP136, BN136)</f>
        <v>0</v>
      </c>
      <c r="BR136">
        <f>1-BQ136/BF136</f>
        <v>0</v>
      </c>
      <c r="BS136">
        <f>(BF136-BE136)/(BF136-BQ136)</f>
        <v>0</v>
      </c>
      <c r="BT136">
        <f>(AZ136-BF136)/(AZ136-BQ136)</f>
        <v>0</v>
      </c>
      <c r="BU136">
        <f>(BF136-BE136)/(BF136-AY136)</f>
        <v>0</v>
      </c>
      <c r="BV136">
        <f>(AZ136-BF136)/(AZ136-AY136)</f>
        <v>0</v>
      </c>
      <c r="BW136">
        <f>(BS136*BQ136/BE136)</f>
        <v>0</v>
      </c>
      <c r="BX136">
        <f>(1-BW136)</f>
        <v>0</v>
      </c>
      <c r="DG136">
        <f>$B$13*EF136+$C$13*EG136+$F$13*ER136*(1-EU136)</f>
        <v>0</v>
      </c>
      <c r="DH136">
        <f>DG136*DI136</f>
        <v>0</v>
      </c>
      <c r="DI136">
        <f>($B$13*$D$11+$C$13*$D$11+$F$13*((FE136+EW136)/MAX(FE136+EW136+FF136, 0.1)*$I$11+FF136/MAX(FE136+EW136+FF136, 0.1)*$J$11))/($B$13+$C$13+$F$13)</f>
        <v>0</v>
      </c>
      <c r="DJ136">
        <f>($B$13*$K$11+$C$13*$K$11+$F$13*((FE136+EW136)/MAX(FE136+EW136+FF136, 0.1)*$P$11+FF136/MAX(FE136+EW136+FF136, 0.1)*$Q$11))/($B$13+$C$13+$F$13)</f>
        <v>0</v>
      </c>
      <c r="DK136">
        <v>5.66</v>
      </c>
      <c r="DL136">
        <v>0.5</v>
      </c>
      <c r="DM136" t="s">
        <v>438</v>
      </c>
      <c r="DN136">
        <v>2</v>
      </c>
      <c r="DO136" t="b">
        <v>1</v>
      </c>
      <c r="DP136">
        <v>1765316826.5</v>
      </c>
      <c r="DQ136">
        <v>399.6690322580645</v>
      </c>
      <c r="DR136">
        <v>400.0407741935484</v>
      </c>
      <c r="DS136">
        <v>17.34005483870968</v>
      </c>
      <c r="DT136">
        <v>17.28114516129032</v>
      </c>
      <c r="DU136">
        <v>399.7220322580645</v>
      </c>
      <c r="DV136">
        <v>17.26805483870968</v>
      </c>
      <c r="DW136">
        <v>499.9926451612903</v>
      </c>
      <c r="DX136">
        <v>89.73949354838709</v>
      </c>
      <c r="DY136">
        <v>0.09998635483870971</v>
      </c>
      <c r="DZ136">
        <v>24.69547096774193</v>
      </c>
      <c r="EA136">
        <v>24.99484193548387</v>
      </c>
      <c r="EB136">
        <v>999.9000000000003</v>
      </c>
      <c r="EC136">
        <v>0</v>
      </c>
      <c r="ED136">
        <v>0</v>
      </c>
      <c r="EE136">
        <v>9997.656774193547</v>
      </c>
      <c r="EF136">
        <v>0</v>
      </c>
      <c r="EG136">
        <v>9.835680000000004</v>
      </c>
      <c r="EH136">
        <v>-0.3780035483870968</v>
      </c>
      <c r="EI136">
        <v>406.7160967741935</v>
      </c>
      <c r="EJ136">
        <v>407.0754516129031</v>
      </c>
      <c r="EK136">
        <v>0.06096506774193548</v>
      </c>
      <c r="EL136">
        <v>400.0407741935484</v>
      </c>
      <c r="EM136">
        <v>17.28114516129032</v>
      </c>
      <c r="EN136">
        <v>1.556273225806452</v>
      </c>
      <c r="EO136">
        <v>1.550801935483871</v>
      </c>
      <c r="EP136">
        <v>13.5325129032258</v>
      </c>
      <c r="EQ136">
        <v>13.47844516129032</v>
      </c>
      <c r="ER136">
        <v>800.0022903225808</v>
      </c>
      <c r="ES136">
        <v>0.9499940322580646</v>
      </c>
      <c r="ET136">
        <v>0.05000570322580646</v>
      </c>
      <c r="EU136">
        <v>0</v>
      </c>
      <c r="EV136">
        <v>832.2668709677417</v>
      </c>
      <c r="EW136">
        <v>5.000779999999999</v>
      </c>
      <c r="EX136">
        <v>6310.087096774192</v>
      </c>
      <c r="EY136">
        <v>6463.42387096774</v>
      </c>
      <c r="EZ136">
        <v>37.06629032258064</v>
      </c>
      <c r="FA136">
        <v>40.69135483870967</v>
      </c>
      <c r="FB136">
        <v>39.26983870967742</v>
      </c>
      <c r="FC136">
        <v>40.91109677419355</v>
      </c>
      <c r="FD136">
        <v>39.36264516129032</v>
      </c>
      <c r="FE136">
        <v>755.246774193548</v>
      </c>
      <c r="FF136">
        <v>39.7516129032258</v>
      </c>
      <c r="FG136">
        <v>0</v>
      </c>
      <c r="FH136">
        <v>1765316834.3</v>
      </c>
      <c r="FI136">
        <v>0</v>
      </c>
      <c r="FJ136">
        <v>832.2506400000001</v>
      </c>
      <c r="FK136">
        <v>-2.331461545829293</v>
      </c>
      <c r="FL136">
        <v>3.917692378225005</v>
      </c>
      <c r="FM136">
        <v>6310.0552</v>
      </c>
      <c r="FN136">
        <v>15</v>
      </c>
      <c r="FO136">
        <v>1765316861.5</v>
      </c>
      <c r="FP136" t="s">
        <v>804</v>
      </c>
      <c r="FQ136">
        <v>1765316861.5</v>
      </c>
      <c r="FR136">
        <v>1765316850.5</v>
      </c>
      <c r="FS136">
        <v>119</v>
      </c>
      <c r="FT136">
        <v>0.006</v>
      </c>
      <c r="FU136">
        <v>-0</v>
      </c>
      <c r="FV136">
        <v>-0.053</v>
      </c>
      <c r="FW136">
        <v>0.07199999999999999</v>
      </c>
      <c r="FX136">
        <v>400</v>
      </c>
      <c r="FY136">
        <v>17</v>
      </c>
      <c r="FZ136">
        <v>0.8</v>
      </c>
      <c r="GA136">
        <v>0.16</v>
      </c>
      <c r="GB136">
        <v>-0.383051325</v>
      </c>
      <c r="GC136">
        <v>0.02111683677298446</v>
      </c>
      <c r="GD136">
        <v>0.03711981029611244</v>
      </c>
      <c r="GE136">
        <v>1</v>
      </c>
      <c r="GF136">
        <v>832.3481176470588</v>
      </c>
      <c r="GG136">
        <v>-1.654239877162514</v>
      </c>
      <c r="GH136">
        <v>0.2602927949451251</v>
      </c>
      <c r="GI136">
        <v>0</v>
      </c>
      <c r="GJ136">
        <v>0.067470975</v>
      </c>
      <c r="GK136">
        <v>-0.09025132908067554</v>
      </c>
      <c r="GL136">
        <v>0.01555545837095053</v>
      </c>
      <c r="GM136">
        <v>1</v>
      </c>
      <c r="GN136">
        <v>2</v>
      </c>
      <c r="GO136">
        <v>3</v>
      </c>
      <c r="GP136" t="s">
        <v>453</v>
      </c>
      <c r="GQ136">
        <v>3.1083</v>
      </c>
      <c r="GR136">
        <v>2.79176</v>
      </c>
      <c r="GS136">
        <v>0.0843107</v>
      </c>
      <c r="GT136">
        <v>0.0843969</v>
      </c>
      <c r="GU136">
        <v>0.0856671</v>
      </c>
      <c r="GV136">
        <v>0.0861895</v>
      </c>
      <c r="GW136">
        <v>24024.4</v>
      </c>
      <c r="GX136">
        <v>21810.9</v>
      </c>
      <c r="GY136">
        <v>26793.9</v>
      </c>
      <c r="GZ136">
        <v>24027.9</v>
      </c>
      <c r="HA136">
        <v>39155</v>
      </c>
      <c r="HB136">
        <v>32406.5</v>
      </c>
      <c r="HC136">
        <v>46766.5</v>
      </c>
      <c r="HD136">
        <v>37998.6</v>
      </c>
      <c r="HE136">
        <v>1.88967</v>
      </c>
      <c r="HF136">
        <v>1.86405</v>
      </c>
      <c r="HG136">
        <v>0.0787824</v>
      </c>
      <c r="HH136">
        <v>0</v>
      </c>
      <c r="HI136">
        <v>23.6994</v>
      </c>
      <c r="HJ136">
        <v>999.9</v>
      </c>
      <c r="HK136">
        <v>42.3</v>
      </c>
      <c r="HL136">
        <v>30.6</v>
      </c>
      <c r="HM136">
        <v>20.7845</v>
      </c>
      <c r="HN136">
        <v>61.1931</v>
      </c>
      <c r="HO136">
        <v>27.5</v>
      </c>
      <c r="HP136">
        <v>1</v>
      </c>
      <c r="HQ136">
        <v>0.0182978</v>
      </c>
      <c r="HR136">
        <v>0.789619</v>
      </c>
      <c r="HS136">
        <v>20.2944</v>
      </c>
      <c r="HT136">
        <v>5.22163</v>
      </c>
      <c r="HU136">
        <v>11.9775</v>
      </c>
      <c r="HV136">
        <v>4.96535</v>
      </c>
      <c r="HW136">
        <v>3.2758</v>
      </c>
      <c r="HX136">
        <v>9999</v>
      </c>
      <c r="HY136">
        <v>9999</v>
      </c>
      <c r="HZ136">
        <v>9999</v>
      </c>
      <c r="IA136">
        <v>999.9</v>
      </c>
      <c r="IB136">
        <v>1.86389</v>
      </c>
      <c r="IC136">
        <v>1.86005</v>
      </c>
      <c r="ID136">
        <v>1.85837</v>
      </c>
      <c r="IE136">
        <v>1.8597</v>
      </c>
      <c r="IF136">
        <v>1.85983</v>
      </c>
      <c r="IG136">
        <v>1.85837</v>
      </c>
      <c r="IH136">
        <v>1.85743</v>
      </c>
      <c r="II136">
        <v>1.85237</v>
      </c>
      <c r="IJ136">
        <v>0</v>
      </c>
      <c r="IK136">
        <v>0</v>
      </c>
      <c r="IL136">
        <v>0</v>
      </c>
      <c r="IM136">
        <v>0</v>
      </c>
      <c r="IN136" t="s">
        <v>441</v>
      </c>
      <c r="IO136" t="s">
        <v>442</v>
      </c>
      <c r="IP136" t="s">
        <v>443</v>
      </c>
      <c r="IQ136" t="s">
        <v>443</v>
      </c>
      <c r="IR136" t="s">
        <v>443</v>
      </c>
      <c r="IS136" t="s">
        <v>443</v>
      </c>
      <c r="IT136">
        <v>0</v>
      </c>
      <c r="IU136">
        <v>100</v>
      </c>
      <c r="IV136">
        <v>100</v>
      </c>
      <c r="IW136">
        <v>-0.053</v>
      </c>
      <c r="IX136">
        <v>0.07199999999999999</v>
      </c>
      <c r="IY136">
        <v>-0.3380316624787804</v>
      </c>
      <c r="IZ136">
        <v>0.0001583678016168383</v>
      </c>
      <c r="JA136">
        <v>1.526473431467286E-06</v>
      </c>
      <c r="JB136">
        <v>-4.446382740029455E-10</v>
      </c>
      <c r="JC136">
        <v>-0.04190990603694045</v>
      </c>
      <c r="JD136">
        <v>-0.009941991807247691</v>
      </c>
      <c r="JE136">
        <v>0.001256427533001032</v>
      </c>
      <c r="JF136">
        <v>-1.689728105039484E-05</v>
      </c>
      <c r="JG136">
        <v>2</v>
      </c>
      <c r="JH136">
        <v>1984</v>
      </c>
      <c r="JI136">
        <v>0</v>
      </c>
      <c r="JJ136">
        <v>25</v>
      </c>
      <c r="JK136">
        <v>1.5</v>
      </c>
      <c r="JL136">
        <v>1.5</v>
      </c>
      <c r="JM136">
        <v>1.09497</v>
      </c>
      <c r="JN136">
        <v>2.62817</v>
      </c>
      <c r="JO136">
        <v>1.49658</v>
      </c>
      <c r="JP136">
        <v>2.34741</v>
      </c>
      <c r="JQ136">
        <v>1.54907</v>
      </c>
      <c r="JR136">
        <v>2.46338</v>
      </c>
      <c r="JS136">
        <v>35.2671</v>
      </c>
      <c r="JT136">
        <v>24.14</v>
      </c>
      <c r="JU136">
        <v>18</v>
      </c>
      <c r="JV136">
        <v>479.439</v>
      </c>
      <c r="JW136">
        <v>491.915</v>
      </c>
      <c r="JX136">
        <v>23.1794</v>
      </c>
      <c r="JY136">
        <v>27.4265</v>
      </c>
      <c r="JZ136">
        <v>29.9999</v>
      </c>
      <c r="KA136">
        <v>27.702</v>
      </c>
      <c r="KB136">
        <v>27.7094</v>
      </c>
      <c r="KC136">
        <v>22.0084</v>
      </c>
      <c r="KD136">
        <v>17.8992</v>
      </c>
      <c r="KE136">
        <v>51.3922</v>
      </c>
      <c r="KF136">
        <v>23.1867</v>
      </c>
      <c r="KG136">
        <v>400</v>
      </c>
      <c r="KH136">
        <v>17.3086</v>
      </c>
      <c r="KI136">
        <v>102.268</v>
      </c>
      <c r="KJ136">
        <v>91.6534</v>
      </c>
    </row>
    <row r="137" spans="1:296">
      <c r="A137">
        <v>119</v>
      </c>
      <c r="B137">
        <v>1765316938.5</v>
      </c>
      <c r="C137">
        <v>19505.5</v>
      </c>
      <c r="D137" t="s">
        <v>805</v>
      </c>
      <c r="E137" t="s">
        <v>806</v>
      </c>
      <c r="F137">
        <v>5</v>
      </c>
      <c r="G137" t="s">
        <v>782</v>
      </c>
      <c r="H137">
        <v>1765316930.5</v>
      </c>
      <c r="I137">
        <f>(J137)/1000</f>
        <v>0</v>
      </c>
      <c r="J137">
        <f>IF(DO137, AM137, AG137)</f>
        <v>0</v>
      </c>
      <c r="K137">
        <f>IF(DO137, AH137, AF137)</f>
        <v>0</v>
      </c>
      <c r="L137">
        <f>DQ137 - IF(AT137&gt;1, K137*DK137*100.0/(AV137), 0)</f>
        <v>0</v>
      </c>
      <c r="M137">
        <f>((S137-I137/2)*L137-K137)/(S137+I137/2)</f>
        <v>0</v>
      </c>
      <c r="N137">
        <f>M137*(DX137+DY137)/1000.0</f>
        <v>0</v>
      </c>
      <c r="O137">
        <f>(DQ137 - IF(AT137&gt;1, K137*DK137*100.0/(AV137), 0))*(DX137+DY137)/1000.0</f>
        <v>0</v>
      </c>
      <c r="P137">
        <f>2.0/((1/R137-1/Q137)+SIGN(R137)*SQRT((1/R137-1/Q137)*(1/R137-1/Q137) + 4*DL137/((DL137+1)*(DL137+1))*(2*1/R137*1/Q137-1/Q137*1/Q137)))</f>
        <v>0</v>
      </c>
      <c r="Q137">
        <f>IF(LEFT(DM137,1)&lt;&gt;"0",IF(LEFT(DM137,1)="1",3.0,DN137),$D$5+$E$5*(EE137*DX137/($K$5*1000))+$F$5*(EE137*DX137/($K$5*1000))*MAX(MIN(DK137,$J$5),$I$5)*MAX(MIN(DK137,$J$5),$I$5)+$G$5*MAX(MIN(DK137,$J$5),$I$5)*(EE137*DX137/($K$5*1000))+$H$5*(EE137*DX137/($K$5*1000))*(EE137*DX137/($K$5*1000)))</f>
        <v>0</v>
      </c>
      <c r="R137">
        <f>I137*(1000-(1000*0.61365*exp(17.502*V137/(240.97+V137))/(DX137+DY137)+DS137)/2)/(1000*0.61365*exp(17.502*V137/(240.97+V137))/(DX137+DY137)-DS137)</f>
        <v>0</v>
      </c>
      <c r="S137">
        <f>1/((DL137+1)/(P137/1.6)+1/(Q137/1.37)) + DL137/((DL137+1)/(P137/1.6) + DL137/(Q137/1.37))</f>
        <v>0</v>
      </c>
      <c r="T137">
        <f>(DG137*DJ137)</f>
        <v>0</v>
      </c>
      <c r="U137">
        <f>(DZ137+(T137+2*0.95*5.67E-8*(((DZ137+$B$9)+273)^4-(DZ137+273)^4)-44100*I137)/(1.84*29.3*Q137+8*0.95*5.67E-8*(DZ137+273)^3))</f>
        <v>0</v>
      </c>
      <c r="V137">
        <f>($C$9*EA137+$D$9*EB137+$E$9*U137)</f>
        <v>0</v>
      </c>
      <c r="W137">
        <f>0.61365*exp(17.502*V137/(240.97+V137))</f>
        <v>0</v>
      </c>
      <c r="X137">
        <f>(Y137/Z137*100)</f>
        <v>0</v>
      </c>
      <c r="Y137">
        <f>DS137*(DX137+DY137)/1000</f>
        <v>0</v>
      </c>
      <c r="Z137">
        <f>0.61365*exp(17.502*DZ137/(240.97+DZ137))</f>
        <v>0</v>
      </c>
      <c r="AA137">
        <f>(W137-DS137*(DX137+DY137)/1000)</f>
        <v>0</v>
      </c>
      <c r="AB137">
        <f>(-I137*44100)</f>
        <v>0</v>
      </c>
      <c r="AC137">
        <f>2*29.3*Q137*0.92*(DZ137-V137)</f>
        <v>0</v>
      </c>
      <c r="AD137">
        <f>2*0.95*5.67E-8*(((DZ137+$B$9)+273)^4-(V137+273)^4)</f>
        <v>0</v>
      </c>
      <c r="AE137">
        <f>T137+AD137+AB137+AC137</f>
        <v>0</v>
      </c>
      <c r="AF137">
        <f>DW137*AT137*(DR137-DQ137*(1000-AT137*DT137)/(1000-AT137*DS137))/(100*DK137)</f>
        <v>0</v>
      </c>
      <c r="AG137">
        <f>1000*DW137*AT137*(DS137-DT137)/(100*DK137*(1000-AT137*DS137))</f>
        <v>0</v>
      </c>
      <c r="AH137">
        <f>(AI137 - AJ137 - DX137*1E3/(8.314*(DZ137+273.15)) * AL137/DW137 * AK137) * DW137/(100*DK137) * (1000 - DT137)/1000</f>
        <v>0</v>
      </c>
      <c r="AI137">
        <v>610.5467203273851</v>
      </c>
      <c r="AJ137">
        <v>609.7249030303028</v>
      </c>
      <c r="AK137">
        <v>-0.000622519990060366</v>
      </c>
      <c r="AL137">
        <v>65.71371643719193</v>
      </c>
      <c r="AM137">
        <f>(AO137 - AN137 + DX137*1E3/(8.314*(DZ137+273.15)) * AQ137/DW137 * AP137) * DW137/(100*DK137) * 1000/(1000 - AO137)</f>
        <v>0</v>
      </c>
      <c r="AN137">
        <v>17.27959957505782</v>
      </c>
      <c r="AO137">
        <v>17.37109757575757</v>
      </c>
      <c r="AP137">
        <v>-2.817269990895277E-05</v>
      </c>
      <c r="AQ137">
        <v>106.7701740401791</v>
      </c>
      <c r="AR137">
        <v>0</v>
      </c>
      <c r="AS137">
        <v>0</v>
      </c>
      <c r="AT137">
        <f>IF(AR137*$H$15&gt;=AV137,1.0,(AV137/(AV137-AR137*$H$15)))</f>
        <v>0</v>
      </c>
      <c r="AU137">
        <f>(AT137-1)*100</f>
        <v>0</v>
      </c>
      <c r="AV137">
        <f>MAX(0,($B$15+$C$15*EE137)/(1+$D$15*EE137)*DX137/(DZ137+273)*$E$15)</f>
        <v>0</v>
      </c>
      <c r="AW137" t="s">
        <v>437</v>
      </c>
      <c r="AX137" t="s">
        <v>437</v>
      </c>
      <c r="AY137">
        <v>0</v>
      </c>
      <c r="AZ137">
        <v>0</v>
      </c>
      <c r="BA137">
        <f>1-AY137/AZ137</f>
        <v>0</v>
      </c>
      <c r="BB137">
        <v>0</v>
      </c>
      <c r="BC137" t="s">
        <v>437</v>
      </c>
      <c r="BD137" t="s">
        <v>437</v>
      </c>
      <c r="BE137">
        <v>0</v>
      </c>
      <c r="BF137">
        <v>0</v>
      </c>
      <c r="BG137">
        <f>1-BE137/BF137</f>
        <v>0</v>
      </c>
      <c r="BH137">
        <v>0.5</v>
      </c>
      <c r="BI137">
        <f>DH137</f>
        <v>0</v>
      </c>
      <c r="BJ137">
        <f>K137</f>
        <v>0</v>
      </c>
      <c r="BK137">
        <f>BG137*BH137*BI137</f>
        <v>0</v>
      </c>
      <c r="BL137">
        <f>(BJ137-BB137)/BI137</f>
        <v>0</v>
      </c>
      <c r="BM137">
        <f>(AZ137-BF137)/BF137</f>
        <v>0</v>
      </c>
      <c r="BN137">
        <f>AY137/(BA137+AY137/BF137)</f>
        <v>0</v>
      </c>
      <c r="BO137" t="s">
        <v>437</v>
      </c>
      <c r="BP137">
        <v>0</v>
      </c>
      <c r="BQ137">
        <f>IF(BP137&lt;&gt;0, BP137, BN137)</f>
        <v>0</v>
      </c>
      <c r="BR137">
        <f>1-BQ137/BF137</f>
        <v>0</v>
      </c>
      <c r="BS137">
        <f>(BF137-BE137)/(BF137-BQ137)</f>
        <v>0</v>
      </c>
      <c r="BT137">
        <f>(AZ137-BF137)/(AZ137-BQ137)</f>
        <v>0</v>
      </c>
      <c r="BU137">
        <f>(BF137-BE137)/(BF137-AY137)</f>
        <v>0</v>
      </c>
      <c r="BV137">
        <f>(AZ137-BF137)/(AZ137-AY137)</f>
        <v>0</v>
      </c>
      <c r="BW137">
        <f>(BS137*BQ137/BE137)</f>
        <v>0</v>
      </c>
      <c r="BX137">
        <f>(1-BW137)</f>
        <v>0</v>
      </c>
      <c r="DG137">
        <f>$B$13*EF137+$C$13*EG137+$F$13*ER137*(1-EU137)</f>
        <v>0</v>
      </c>
      <c r="DH137">
        <f>DG137*DI137</f>
        <v>0</v>
      </c>
      <c r="DI137">
        <f>($B$13*$D$11+$C$13*$D$11+$F$13*((FE137+EW137)/MAX(FE137+EW137+FF137, 0.1)*$I$11+FF137/MAX(FE137+EW137+FF137, 0.1)*$J$11))/($B$13+$C$13+$F$13)</f>
        <v>0</v>
      </c>
      <c r="DJ137">
        <f>($B$13*$K$11+$C$13*$K$11+$F$13*((FE137+EW137)/MAX(FE137+EW137+FF137, 0.1)*$P$11+FF137/MAX(FE137+EW137+FF137, 0.1)*$Q$11))/($B$13+$C$13+$F$13)</f>
        <v>0</v>
      </c>
      <c r="DK137">
        <v>5.66</v>
      </c>
      <c r="DL137">
        <v>0.5</v>
      </c>
      <c r="DM137" t="s">
        <v>438</v>
      </c>
      <c r="DN137">
        <v>2</v>
      </c>
      <c r="DO137" t="b">
        <v>1</v>
      </c>
      <c r="DP137">
        <v>1765316930.5</v>
      </c>
      <c r="DQ137">
        <v>599.3151935483872</v>
      </c>
      <c r="DR137">
        <v>600.0032903225807</v>
      </c>
      <c r="DS137">
        <v>17.37834193548387</v>
      </c>
      <c r="DT137">
        <v>17.29178064516129</v>
      </c>
      <c r="DU137">
        <v>598.8991935483872</v>
      </c>
      <c r="DV137">
        <v>17.30434193548387</v>
      </c>
      <c r="DW137">
        <v>500.0247419354839</v>
      </c>
      <c r="DX137">
        <v>89.73991935483872</v>
      </c>
      <c r="DY137">
        <v>0.1000543516129032</v>
      </c>
      <c r="DZ137">
        <v>24.7225935483871</v>
      </c>
      <c r="EA137">
        <v>24.99924193548388</v>
      </c>
      <c r="EB137">
        <v>999.9000000000003</v>
      </c>
      <c r="EC137">
        <v>0</v>
      </c>
      <c r="ED137">
        <v>0</v>
      </c>
      <c r="EE137">
        <v>9995.987419354838</v>
      </c>
      <c r="EF137">
        <v>0</v>
      </c>
      <c r="EG137">
        <v>9.835680000000004</v>
      </c>
      <c r="EH137">
        <v>-0.8894754516129031</v>
      </c>
      <c r="EI137">
        <v>609.7096129032257</v>
      </c>
      <c r="EJ137">
        <v>610.5608709677419</v>
      </c>
      <c r="EK137">
        <v>0.08684349032258065</v>
      </c>
      <c r="EL137">
        <v>600.0032903225807</v>
      </c>
      <c r="EM137">
        <v>17.29178064516129</v>
      </c>
      <c r="EN137">
        <v>1.559555806451613</v>
      </c>
      <c r="EO137">
        <v>1.551762903225806</v>
      </c>
      <c r="EP137">
        <v>13.56489032258064</v>
      </c>
      <c r="EQ137">
        <v>13.48795161290323</v>
      </c>
      <c r="ER137">
        <v>800.0057419354838</v>
      </c>
      <c r="ES137">
        <v>0.9499993548387096</v>
      </c>
      <c r="ET137">
        <v>0.0500009064516129</v>
      </c>
      <c r="EU137">
        <v>0</v>
      </c>
      <c r="EV137">
        <v>829.5205806451612</v>
      </c>
      <c r="EW137">
        <v>5.000779999999999</v>
      </c>
      <c r="EX137">
        <v>6293.407419354839</v>
      </c>
      <c r="EY137">
        <v>6463.461935483871</v>
      </c>
      <c r="EZ137">
        <v>37.24570967741936</v>
      </c>
      <c r="FA137">
        <v>40.1872258064516</v>
      </c>
      <c r="FB137">
        <v>39.16512903225806</v>
      </c>
      <c r="FC137">
        <v>40.35858064516129</v>
      </c>
      <c r="FD137">
        <v>38.99170967741934</v>
      </c>
      <c r="FE137">
        <v>755.2538709677417</v>
      </c>
      <c r="FF137">
        <v>39.75</v>
      </c>
      <c r="FG137">
        <v>0</v>
      </c>
      <c r="FH137">
        <v>1765316938.1</v>
      </c>
      <c r="FI137">
        <v>0</v>
      </c>
      <c r="FJ137">
        <v>829.5308846153847</v>
      </c>
      <c r="FK137">
        <v>-0.4084444448934341</v>
      </c>
      <c r="FL137">
        <v>-16.98358978157347</v>
      </c>
      <c r="FM137">
        <v>6293.161153846155</v>
      </c>
      <c r="FN137">
        <v>15</v>
      </c>
      <c r="FO137">
        <v>1765316956.5</v>
      </c>
      <c r="FP137" t="s">
        <v>807</v>
      </c>
      <c r="FQ137">
        <v>1765316954</v>
      </c>
      <c r="FR137">
        <v>1765316956.5</v>
      </c>
      <c r="FS137">
        <v>120</v>
      </c>
      <c r="FT137">
        <v>0.2</v>
      </c>
      <c r="FU137">
        <v>0.002</v>
      </c>
      <c r="FV137">
        <v>0.416</v>
      </c>
      <c r="FW137">
        <v>0.074</v>
      </c>
      <c r="FX137">
        <v>600</v>
      </c>
      <c r="FY137">
        <v>17</v>
      </c>
      <c r="FZ137">
        <v>0.33</v>
      </c>
      <c r="GA137">
        <v>0.19</v>
      </c>
      <c r="GB137">
        <v>-0.9130903500000001</v>
      </c>
      <c r="GC137">
        <v>0.417886761726082</v>
      </c>
      <c r="GD137">
        <v>0.09729547622103252</v>
      </c>
      <c r="GE137">
        <v>1</v>
      </c>
      <c r="GF137">
        <v>829.5535</v>
      </c>
      <c r="GG137">
        <v>-0.2667532464708565</v>
      </c>
      <c r="GH137">
        <v>0.2255303879355311</v>
      </c>
      <c r="GI137">
        <v>1</v>
      </c>
      <c r="GJ137">
        <v>0.0853974825</v>
      </c>
      <c r="GK137">
        <v>0.03256289268292677</v>
      </c>
      <c r="GL137">
        <v>0.003234699156018028</v>
      </c>
      <c r="GM137">
        <v>1</v>
      </c>
      <c r="GN137">
        <v>3</v>
      </c>
      <c r="GO137">
        <v>3</v>
      </c>
      <c r="GP137" t="s">
        <v>440</v>
      </c>
      <c r="GQ137">
        <v>3.10821</v>
      </c>
      <c r="GR137">
        <v>2.7916</v>
      </c>
      <c r="GS137">
        <v>0.113353</v>
      </c>
      <c r="GT137">
        <v>0.113556</v>
      </c>
      <c r="GU137">
        <v>0.0857207</v>
      </c>
      <c r="GV137">
        <v>0.08617569999999999</v>
      </c>
      <c r="GW137">
        <v>23265.9</v>
      </c>
      <c r="GX137">
        <v>21118.7</v>
      </c>
      <c r="GY137">
        <v>26797.6</v>
      </c>
      <c r="GZ137">
        <v>24030.3</v>
      </c>
      <c r="HA137">
        <v>39161.5</v>
      </c>
      <c r="HB137">
        <v>32412.9</v>
      </c>
      <c r="HC137">
        <v>46772.9</v>
      </c>
      <c r="HD137">
        <v>38002.1</v>
      </c>
      <c r="HE137">
        <v>1.89045</v>
      </c>
      <c r="HF137">
        <v>1.86553</v>
      </c>
      <c r="HG137">
        <v>0.082992</v>
      </c>
      <c r="HH137">
        <v>0</v>
      </c>
      <c r="HI137">
        <v>23.6332</v>
      </c>
      <c r="HJ137">
        <v>999.9</v>
      </c>
      <c r="HK137">
        <v>42</v>
      </c>
      <c r="HL137">
        <v>30.6</v>
      </c>
      <c r="HM137">
        <v>20.6384</v>
      </c>
      <c r="HN137">
        <v>61.4131</v>
      </c>
      <c r="HO137">
        <v>27.512</v>
      </c>
      <c r="HP137">
        <v>1</v>
      </c>
      <c r="HQ137">
        <v>0.012998</v>
      </c>
      <c r="HR137">
        <v>0.794227</v>
      </c>
      <c r="HS137">
        <v>20.2925</v>
      </c>
      <c r="HT137">
        <v>5.22178</v>
      </c>
      <c r="HU137">
        <v>11.9788</v>
      </c>
      <c r="HV137">
        <v>4.96555</v>
      </c>
      <c r="HW137">
        <v>3.27588</v>
      </c>
      <c r="HX137">
        <v>9999</v>
      </c>
      <c r="HY137">
        <v>9999</v>
      </c>
      <c r="HZ137">
        <v>9999</v>
      </c>
      <c r="IA137">
        <v>999.9</v>
      </c>
      <c r="IB137">
        <v>1.86388</v>
      </c>
      <c r="IC137">
        <v>1.86005</v>
      </c>
      <c r="ID137">
        <v>1.85837</v>
      </c>
      <c r="IE137">
        <v>1.85971</v>
      </c>
      <c r="IF137">
        <v>1.85983</v>
      </c>
      <c r="IG137">
        <v>1.85836</v>
      </c>
      <c r="IH137">
        <v>1.85744</v>
      </c>
      <c r="II137">
        <v>1.85238</v>
      </c>
      <c r="IJ137">
        <v>0</v>
      </c>
      <c r="IK137">
        <v>0</v>
      </c>
      <c r="IL137">
        <v>0</v>
      </c>
      <c r="IM137">
        <v>0</v>
      </c>
      <c r="IN137" t="s">
        <v>441</v>
      </c>
      <c r="IO137" t="s">
        <v>442</v>
      </c>
      <c r="IP137" t="s">
        <v>443</v>
      </c>
      <c r="IQ137" t="s">
        <v>443</v>
      </c>
      <c r="IR137" t="s">
        <v>443</v>
      </c>
      <c r="IS137" t="s">
        <v>443</v>
      </c>
      <c r="IT137">
        <v>0</v>
      </c>
      <c r="IU137">
        <v>100</v>
      </c>
      <c r="IV137">
        <v>100</v>
      </c>
      <c r="IW137">
        <v>0.416</v>
      </c>
      <c r="IX137">
        <v>0.074</v>
      </c>
      <c r="IY137">
        <v>-0.3321990769428439</v>
      </c>
      <c r="IZ137">
        <v>0.0001583678016168383</v>
      </c>
      <c r="JA137">
        <v>1.526473431467286E-06</v>
      </c>
      <c r="JB137">
        <v>-4.446382740029455E-10</v>
      </c>
      <c r="JC137">
        <v>-0.04235342637850081</v>
      </c>
      <c r="JD137">
        <v>-0.009941991807247691</v>
      </c>
      <c r="JE137">
        <v>0.001256427533001032</v>
      </c>
      <c r="JF137">
        <v>-1.689728105039484E-05</v>
      </c>
      <c r="JG137">
        <v>2</v>
      </c>
      <c r="JH137">
        <v>1984</v>
      </c>
      <c r="JI137">
        <v>0</v>
      </c>
      <c r="JJ137">
        <v>25</v>
      </c>
      <c r="JK137">
        <v>1.3</v>
      </c>
      <c r="JL137">
        <v>1.5</v>
      </c>
      <c r="JM137">
        <v>1.51489</v>
      </c>
      <c r="JN137">
        <v>2.64038</v>
      </c>
      <c r="JO137">
        <v>1.49658</v>
      </c>
      <c r="JP137">
        <v>2.34741</v>
      </c>
      <c r="JQ137">
        <v>1.54907</v>
      </c>
      <c r="JR137">
        <v>2.46704</v>
      </c>
      <c r="JS137">
        <v>35.244</v>
      </c>
      <c r="JT137">
        <v>24.1313</v>
      </c>
      <c r="JU137">
        <v>18</v>
      </c>
      <c r="JV137">
        <v>479.522</v>
      </c>
      <c r="JW137">
        <v>492.502</v>
      </c>
      <c r="JX137">
        <v>23.1307</v>
      </c>
      <c r="JY137">
        <v>27.3666</v>
      </c>
      <c r="JZ137">
        <v>29.9997</v>
      </c>
      <c r="KA137">
        <v>27.6547</v>
      </c>
      <c r="KB137">
        <v>27.6652</v>
      </c>
      <c r="KC137">
        <v>30.4365</v>
      </c>
      <c r="KD137">
        <v>17.3089</v>
      </c>
      <c r="KE137">
        <v>51.3922</v>
      </c>
      <c r="KF137">
        <v>23.1307</v>
      </c>
      <c r="KG137">
        <v>600</v>
      </c>
      <c r="KH137">
        <v>17.3475</v>
      </c>
      <c r="KI137">
        <v>102.282</v>
      </c>
      <c r="KJ137">
        <v>91.6621</v>
      </c>
    </row>
    <row r="138" spans="1:296">
      <c r="A138">
        <v>120</v>
      </c>
      <c r="B138">
        <v>1765317037</v>
      </c>
      <c r="C138">
        <v>19604</v>
      </c>
      <c r="D138" t="s">
        <v>808</v>
      </c>
      <c r="E138" t="s">
        <v>809</v>
      </c>
      <c r="F138">
        <v>5</v>
      </c>
      <c r="G138" t="s">
        <v>782</v>
      </c>
      <c r="H138">
        <v>1765317029.25</v>
      </c>
      <c r="I138">
        <f>(J138)/1000</f>
        <v>0</v>
      </c>
      <c r="J138">
        <f>IF(DO138, AM138, AG138)</f>
        <v>0</v>
      </c>
      <c r="K138">
        <f>IF(DO138, AH138, AF138)</f>
        <v>0</v>
      </c>
      <c r="L138">
        <f>DQ138 - IF(AT138&gt;1, K138*DK138*100.0/(AV138), 0)</f>
        <v>0</v>
      </c>
      <c r="M138">
        <f>((S138-I138/2)*L138-K138)/(S138+I138/2)</f>
        <v>0</v>
      </c>
      <c r="N138">
        <f>M138*(DX138+DY138)/1000.0</f>
        <v>0</v>
      </c>
      <c r="O138">
        <f>(DQ138 - IF(AT138&gt;1, K138*DK138*100.0/(AV138), 0))*(DX138+DY138)/1000.0</f>
        <v>0</v>
      </c>
      <c r="P138">
        <f>2.0/((1/R138-1/Q138)+SIGN(R138)*SQRT((1/R138-1/Q138)*(1/R138-1/Q138) + 4*DL138/((DL138+1)*(DL138+1))*(2*1/R138*1/Q138-1/Q138*1/Q138)))</f>
        <v>0</v>
      </c>
      <c r="Q138">
        <f>IF(LEFT(DM138,1)&lt;&gt;"0",IF(LEFT(DM138,1)="1",3.0,DN138),$D$5+$E$5*(EE138*DX138/($K$5*1000))+$F$5*(EE138*DX138/($K$5*1000))*MAX(MIN(DK138,$J$5),$I$5)*MAX(MIN(DK138,$J$5),$I$5)+$G$5*MAX(MIN(DK138,$J$5),$I$5)*(EE138*DX138/($K$5*1000))+$H$5*(EE138*DX138/($K$5*1000))*(EE138*DX138/($K$5*1000)))</f>
        <v>0</v>
      </c>
      <c r="R138">
        <f>I138*(1000-(1000*0.61365*exp(17.502*V138/(240.97+V138))/(DX138+DY138)+DS138)/2)/(1000*0.61365*exp(17.502*V138/(240.97+V138))/(DX138+DY138)-DS138)</f>
        <v>0</v>
      </c>
      <c r="S138">
        <f>1/((DL138+1)/(P138/1.6)+1/(Q138/1.37)) + DL138/((DL138+1)/(P138/1.6) + DL138/(Q138/1.37))</f>
        <v>0</v>
      </c>
      <c r="T138">
        <f>(DG138*DJ138)</f>
        <v>0</v>
      </c>
      <c r="U138">
        <f>(DZ138+(T138+2*0.95*5.67E-8*(((DZ138+$B$9)+273)^4-(DZ138+273)^4)-44100*I138)/(1.84*29.3*Q138+8*0.95*5.67E-8*(DZ138+273)^3))</f>
        <v>0</v>
      </c>
      <c r="V138">
        <f>($C$9*EA138+$D$9*EB138+$E$9*U138)</f>
        <v>0</v>
      </c>
      <c r="W138">
        <f>0.61365*exp(17.502*V138/(240.97+V138))</f>
        <v>0</v>
      </c>
      <c r="X138">
        <f>(Y138/Z138*100)</f>
        <v>0</v>
      </c>
      <c r="Y138">
        <f>DS138*(DX138+DY138)/1000</f>
        <v>0</v>
      </c>
      <c r="Z138">
        <f>0.61365*exp(17.502*DZ138/(240.97+DZ138))</f>
        <v>0</v>
      </c>
      <c r="AA138">
        <f>(W138-DS138*(DX138+DY138)/1000)</f>
        <v>0</v>
      </c>
      <c r="AB138">
        <f>(-I138*44100)</f>
        <v>0</v>
      </c>
      <c r="AC138">
        <f>2*29.3*Q138*0.92*(DZ138-V138)</f>
        <v>0</v>
      </c>
      <c r="AD138">
        <f>2*0.95*5.67E-8*(((DZ138+$B$9)+273)^4-(V138+273)^4)</f>
        <v>0</v>
      </c>
      <c r="AE138">
        <f>T138+AD138+AB138+AC138</f>
        <v>0</v>
      </c>
      <c r="AF138">
        <f>DW138*AT138*(DR138-DQ138*(1000-AT138*DT138)/(1000-AT138*DS138))/(100*DK138)</f>
        <v>0</v>
      </c>
      <c r="AG138">
        <f>1000*DW138*AT138*(DS138-DT138)/(100*DK138*(1000-AT138*DS138))</f>
        <v>0</v>
      </c>
      <c r="AH138">
        <f>(AI138 - AJ138 - DX138*1E3/(8.314*(DZ138+273.15)) * AL138/DW138 * AK138) * DW138/(100*DK138) * (1000 - DT138)/1000</f>
        <v>0</v>
      </c>
      <c r="AI138">
        <v>814.0245810372917</v>
      </c>
      <c r="AJ138">
        <v>813.0605151515147</v>
      </c>
      <c r="AK138">
        <v>0.001774364703981333</v>
      </c>
      <c r="AL138">
        <v>65.74120431086578</v>
      </c>
      <c r="AM138">
        <f>(AO138 - AN138 + DX138*1E3/(8.314*(DZ138+273.15)) * AQ138/DW138 * AP138) * DW138/(100*DK138) * 1000/(1000 - AO138)</f>
        <v>0</v>
      </c>
      <c r="AN138">
        <v>17.29032659012077</v>
      </c>
      <c r="AO138">
        <v>17.37688121212122</v>
      </c>
      <c r="AP138">
        <v>-3.507855904125872E-05</v>
      </c>
      <c r="AQ138">
        <v>107.0406041128128</v>
      </c>
      <c r="AR138">
        <v>0</v>
      </c>
      <c r="AS138">
        <v>0</v>
      </c>
      <c r="AT138">
        <f>IF(AR138*$H$15&gt;=AV138,1.0,(AV138/(AV138-AR138*$H$15)))</f>
        <v>0</v>
      </c>
      <c r="AU138">
        <f>(AT138-1)*100</f>
        <v>0</v>
      </c>
      <c r="AV138">
        <f>MAX(0,($B$15+$C$15*EE138)/(1+$D$15*EE138)*DX138/(DZ138+273)*$E$15)</f>
        <v>0</v>
      </c>
      <c r="AW138" t="s">
        <v>437</v>
      </c>
      <c r="AX138" t="s">
        <v>437</v>
      </c>
      <c r="AY138">
        <v>0</v>
      </c>
      <c r="AZ138">
        <v>0</v>
      </c>
      <c r="BA138">
        <f>1-AY138/AZ138</f>
        <v>0</v>
      </c>
      <c r="BB138">
        <v>0</v>
      </c>
      <c r="BC138" t="s">
        <v>437</v>
      </c>
      <c r="BD138" t="s">
        <v>437</v>
      </c>
      <c r="BE138">
        <v>0</v>
      </c>
      <c r="BF138">
        <v>0</v>
      </c>
      <c r="BG138">
        <f>1-BE138/BF138</f>
        <v>0</v>
      </c>
      <c r="BH138">
        <v>0.5</v>
      </c>
      <c r="BI138">
        <f>DH138</f>
        <v>0</v>
      </c>
      <c r="BJ138">
        <f>K138</f>
        <v>0</v>
      </c>
      <c r="BK138">
        <f>BG138*BH138*BI138</f>
        <v>0</v>
      </c>
      <c r="BL138">
        <f>(BJ138-BB138)/BI138</f>
        <v>0</v>
      </c>
      <c r="BM138">
        <f>(AZ138-BF138)/BF138</f>
        <v>0</v>
      </c>
      <c r="BN138">
        <f>AY138/(BA138+AY138/BF138)</f>
        <v>0</v>
      </c>
      <c r="BO138" t="s">
        <v>437</v>
      </c>
      <c r="BP138">
        <v>0</v>
      </c>
      <c r="BQ138">
        <f>IF(BP138&lt;&gt;0, BP138, BN138)</f>
        <v>0</v>
      </c>
      <c r="BR138">
        <f>1-BQ138/BF138</f>
        <v>0</v>
      </c>
      <c r="BS138">
        <f>(BF138-BE138)/(BF138-BQ138)</f>
        <v>0</v>
      </c>
      <c r="BT138">
        <f>(AZ138-BF138)/(AZ138-BQ138)</f>
        <v>0</v>
      </c>
      <c r="BU138">
        <f>(BF138-BE138)/(BF138-AY138)</f>
        <v>0</v>
      </c>
      <c r="BV138">
        <f>(AZ138-BF138)/(AZ138-AY138)</f>
        <v>0</v>
      </c>
      <c r="BW138">
        <f>(BS138*BQ138/BE138)</f>
        <v>0</v>
      </c>
      <c r="BX138">
        <f>(1-BW138)</f>
        <v>0</v>
      </c>
      <c r="DG138">
        <f>$B$13*EF138+$C$13*EG138+$F$13*ER138*(1-EU138)</f>
        <v>0</v>
      </c>
      <c r="DH138">
        <f>DG138*DI138</f>
        <v>0</v>
      </c>
      <c r="DI138">
        <f>($B$13*$D$11+$C$13*$D$11+$F$13*((FE138+EW138)/MAX(FE138+EW138+FF138, 0.1)*$I$11+FF138/MAX(FE138+EW138+FF138, 0.1)*$J$11))/($B$13+$C$13+$F$13)</f>
        <v>0</v>
      </c>
      <c r="DJ138">
        <f>($B$13*$K$11+$C$13*$K$11+$F$13*((FE138+EW138)/MAX(FE138+EW138+FF138, 0.1)*$P$11+FF138/MAX(FE138+EW138+FF138, 0.1)*$Q$11))/($B$13+$C$13+$F$13)</f>
        <v>0</v>
      </c>
      <c r="DK138">
        <v>5.66</v>
      </c>
      <c r="DL138">
        <v>0.5</v>
      </c>
      <c r="DM138" t="s">
        <v>438</v>
      </c>
      <c r="DN138">
        <v>2</v>
      </c>
      <c r="DO138" t="b">
        <v>1</v>
      </c>
      <c r="DP138">
        <v>1765317029.25</v>
      </c>
      <c r="DQ138">
        <v>798.9930666666669</v>
      </c>
      <c r="DR138">
        <v>800.0109666666667</v>
      </c>
      <c r="DS138">
        <v>17.38744666666667</v>
      </c>
      <c r="DT138">
        <v>17.29509666666667</v>
      </c>
      <c r="DU138">
        <v>798.1680666666668</v>
      </c>
      <c r="DV138">
        <v>17.31044666666667</v>
      </c>
      <c r="DW138">
        <v>499.9988</v>
      </c>
      <c r="DX138">
        <v>89.73769666666665</v>
      </c>
      <c r="DY138">
        <v>0.09995256666666669</v>
      </c>
      <c r="DZ138">
        <v>24.70122666666667</v>
      </c>
      <c r="EA138">
        <v>24.98730333333334</v>
      </c>
      <c r="EB138">
        <v>999.9000000000002</v>
      </c>
      <c r="EC138">
        <v>0</v>
      </c>
      <c r="ED138">
        <v>0</v>
      </c>
      <c r="EE138">
        <v>10001.744</v>
      </c>
      <c r="EF138">
        <v>0</v>
      </c>
      <c r="EG138">
        <v>9.835680000000002</v>
      </c>
      <c r="EH138">
        <v>-1.102207666666666</v>
      </c>
      <c r="EI138">
        <v>813.0447999999998</v>
      </c>
      <c r="EJ138">
        <v>814.0907333333332</v>
      </c>
      <c r="EK138">
        <v>0.09135824000000001</v>
      </c>
      <c r="EL138">
        <v>800.0109666666667</v>
      </c>
      <c r="EM138">
        <v>17.29509666666667</v>
      </c>
      <c r="EN138">
        <v>1.560220666666666</v>
      </c>
      <c r="EO138">
        <v>1.552023333333334</v>
      </c>
      <c r="EP138">
        <v>13.57142666666666</v>
      </c>
      <c r="EQ138">
        <v>13.49051666666667</v>
      </c>
      <c r="ER138">
        <v>800.0041666666667</v>
      </c>
      <c r="ES138">
        <v>0.9499910666666663</v>
      </c>
      <c r="ET138">
        <v>0.05000926000000001</v>
      </c>
      <c r="EU138">
        <v>0</v>
      </c>
      <c r="EV138">
        <v>829.7861333333334</v>
      </c>
      <c r="EW138">
        <v>5.00078</v>
      </c>
      <c r="EX138">
        <v>6272.373000000001</v>
      </c>
      <c r="EY138">
        <v>6463.432333333332</v>
      </c>
      <c r="EZ138">
        <v>36.31013333333333</v>
      </c>
      <c r="FA138">
        <v>38.70596666666665</v>
      </c>
      <c r="FB138">
        <v>38.17063333333332</v>
      </c>
      <c r="FC138">
        <v>38.37066666666666</v>
      </c>
      <c r="FD138">
        <v>37.96846666666666</v>
      </c>
      <c r="FE138">
        <v>755.2449999999997</v>
      </c>
      <c r="FF138">
        <v>39.757</v>
      </c>
      <c r="FG138">
        <v>0</v>
      </c>
      <c r="FH138">
        <v>1765317036.5</v>
      </c>
      <c r="FI138">
        <v>0</v>
      </c>
      <c r="FJ138">
        <v>829.7902307692307</v>
      </c>
      <c r="FK138">
        <v>-1.055863263989265</v>
      </c>
      <c r="FL138">
        <v>-8.676239216955594</v>
      </c>
      <c r="FM138">
        <v>6272.287692307694</v>
      </c>
      <c r="FN138">
        <v>15</v>
      </c>
      <c r="FO138">
        <v>1765317062</v>
      </c>
      <c r="FP138" t="s">
        <v>810</v>
      </c>
      <c r="FQ138">
        <v>1765317062</v>
      </c>
      <c r="FR138">
        <v>1765317054</v>
      </c>
      <c r="FS138">
        <v>121</v>
      </c>
      <c r="FT138">
        <v>0.082</v>
      </c>
      <c r="FU138">
        <v>0.003</v>
      </c>
      <c r="FV138">
        <v>0.825</v>
      </c>
      <c r="FW138">
        <v>0.077</v>
      </c>
      <c r="FX138">
        <v>800</v>
      </c>
      <c r="FY138">
        <v>17</v>
      </c>
      <c r="FZ138">
        <v>0.68</v>
      </c>
      <c r="GA138">
        <v>0.13</v>
      </c>
      <c r="GB138">
        <v>-1.125966341463414</v>
      </c>
      <c r="GC138">
        <v>0.4559341463414618</v>
      </c>
      <c r="GD138">
        <v>0.07364470178668156</v>
      </c>
      <c r="GE138">
        <v>1</v>
      </c>
      <c r="GF138">
        <v>829.7413529411764</v>
      </c>
      <c r="GG138">
        <v>0.5653170294947401</v>
      </c>
      <c r="GH138">
        <v>0.2789571843968834</v>
      </c>
      <c r="GI138">
        <v>1</v>
      </c>
      <c r="GJ138">
        <v>0.09127569756097562</v>
      </c>
      <c r="GK138">
        <v>0.0053465331010453</v>
      </c>
      <c r="GL138">
        <v>0.001364023280769743</v>
      </c>
      <c r="GM138">
        <v>1</v>
      </c>
      <c r="GN138">
        <v>3</v>
      </c>
      <c r="GO138">
        <v>3</v>
      </c>
      <c r="GP138" t="s">
        <v>440</v>
      </c>
      <c r="GQ138">
        <v>3.10831</v>
      </c>
      <c r="GR138">
        <v>2.79172</v>
      </c>
      <c r="GS138">
        <v>0.137947</v>
      </c>
      <c r="GT138">
        <v>0.138231</v>
      </c>
      <c r="GU138">
        <v>0.0857459</v>
      </c>
      <c r="GV138">
        <v>0.0862522</v>
      </c>
      <c r="GW138">
        <v>22624.4</v>
      </c>
      <c r="GX138">
        <v>20533.5</v>
      </c>
      <c r="GY138">
        <v>26801.6</v>
      </c>
      <c r="GZ138">
        <v>24032.8</v>
      </c>
      <c r="HA138">
        <v>39168.4</v>
      </c>
      <c r="HB138">
        <v>32415.9</v>
      </c>
      <c r="HC138">
        <v>46778.9</v>
      </c>
      <c r="HD138">
        <v>38005.9</v>
      </c>
      <c r="HE138">
        <v>1.89123</v>
      </c>
      <c r="HF138">
        <v>1.86742</v>
      </c>
      <c r="HG138">
        <v>0.0871383</v>
      </c>
      <c r="HH138">
        <v>0</v>
      </c>
      <c r="HI138">
        <v>23.5503</v>
      </c>
      <c r="HJ138">
        <v>999.9</v>
      </c>
      <c r="HK138">
        <v>41.8</v>
      </c>
      <c r="HL138">
        <v>30.6</v>
      </c>
      <c r="HM138">
        <v>20.5374</v>
      </c>
      <c r="HN138">
        <v>61.5031</v>
      </c>
      <c r="HO138">
        <v>27.3638</v>
      </c>
      <c r="HP138">
        <v>1</v>
      </c>
      <c r="HQ138">
        <v>0.00681402</v>
      </c>
      <c r="HR138">
        <v>0.585722</v>
      </c>
      <c r="HS138">
        <v>20.2936</v>
      </c>
      <c r="HT138">
        <v>5.22088</v>
      </c>
      <c r="HU138">
        <v>11.977</v>
      </c>
      <c r="HV138">
        <v>4.96535</v>
      </c>
      <c r="HW138">
        <v>3.27593</v>
      </c>
      <c r="HX138">
        <v>9999</v>
      </c>
      <c r="HY138">
        <v>9999</v>
      </c>
      <c r="HZ138">
        <v>9999</v>
      </c>
      <c r="IA138">
        <v>999.9</v>
      </c>
      <c r="IB138">
        <v>1.86387</v>
      </c>
      <c r="IC138">
        <v>1.86005</v>
      </c>
      <c r="ID138">
        <v>1.85837</v>
      </c>
      <c r="IE138">
        <v>1.8597</v>
      </c>
      <c r="IF138">
        <v>1.85981</v>
      </c>
      <c r="IG138">
        <v>1.85837</v>
      </c>
      <c r="IH138">
        <v>1.85744</v>
      </c>
      <c r="II138">
        <v>1.85237</v>
      </c>
      <c r="IJ138">
        <v>0</v>
      </c>
      <c r="IK138">
        <v>0</v>
      </c>
      <c r="IL138">
        <v>0</v>
      </c>
      <c r="IM138">
        <v>0</v>
      </c>
      <c r="IN138" t="s">
        <v>441</v>
      </c>
      <c r="IO138" t="s">
        <v>442</v>
      </c>
      <c r="IP138" t="s">
        <v>443</v>
      </c>
      <c r="IQ138" t="s">
        <v>443</v>
      </c>
      <c r="IR138" t="s">
        <v>443</v>
      </c>
      <c r="IS138" t="s">
        <v>443</v>
      </c>
      <c r="IT138">
        <v>0</v>
      </c>
      <c r="IU138">
        <v>100</v>
      </c>
      <c r="IV138">
        <v>100</v>
      </c>
      <c r="IW138">
        <v>0.825</v>
      </c>
      <c r="IX138">
        <v>0.077</v>
      </c>
      <c r="IY138">
        <v>-0.132100827775514</v>
      </c>
      <c r="IZ138">
        <v>0.0001583678016168383</v>
      </c>
      <c r="JA138">
        <v>1.526473431467286E-06</v>
      </c>
      <c r="JB138">
        <v>-4.446382740029455E-10</v>
      </c>
      <c r="JC138">
        <v>-0.04073185996030776</v>
      </c>
      <c r="JD138">
        <v>-0.009941991807247691</v>
      </c>
      <c r="JE138">
        <v>0.001256427533001032</v>
      </c>
      <c r="JF138">
        <v>-1.689728105039484E-05</v>
      </c>
      <c r="JG138">
        <v>2</v>
      </c>
      <c r="JH138">
        <v>1984</v>
      </c>
      <c r="JI138">
        <v>0</v>
      </c>
      <c r="JJ138">
        <v>25</v>
      </c>
      <c r="JK138">
        <v>1.4</v>
      </c>
      <c r="JL138">
        <v>1.3</v>
      </c>
      <c r="JM138">
        <v>1.91162</v>
      </c>
      <c r="JN138">
        <v>2.62695</v>
      </c>
      <c r="JO138">
        <v>1.49658</v>
      </c>
      <c r="JP138">
        <v>2.34741</v>
      </c>
      <c r="JQ138">
        <v>1.54907</v>
      </c>
      <c r="JR138">
        <v>2.42065</v>
      </c>
      <c r="JS138">
        <v>35.244</v>
      </c>
      <c r="JT138">
        <v>24.14</v>
      </c>
      <c r="JU138">
        <v>18</v>
      </c>
      <c r="JV138">
        <v>479.531</v>
      </c>
      <c r="JW138">
        <v>493.287</v>
      </c>
      <c r="JX138">
        <v>23.2986</v>
      </c>
      <c r="JY138">
        <v>27.2942</v>
      </c>
      <c r="JZ138">
        <v>29.9998</v>
      </c>
      <c r="KA138">
        <v>27.5977</v>
      </c>
      <c r="KB138">
        <v>27.6115</v>
      </c>
      <c r="KC138">
        <v>38.3833</v>
      </c>
      <c r="KD138">
        <v>16.4483</v>
      </c>
      <c r="KE138">
        <v>51.3922</v>
      </c>
      <c r="KF138">
        <v>23.303</v>
      </c>
      <c r="KG138">
        <v>800</v>
      </c>
      <c r="KH138">
        <v>17.3664</v>
      </c>
      <c r="KI138">
        <v>102.296</v>
      </c>
      <c r="KJ138">
        <v>91.6716</v>
      </c>
    </row>
    <row r="139" spans="1:296">
      <c r="A139">
        <v>121</v>
      </c>
      <c r="B139">
        <v>1765317153</v>
      </c>
      <c r="C139">
        <v>19720</v>
      </c>
      <c r="D139" t="s">
        <v>811</v>
      </c>
      <c r="E139" t="s">
        <v>812</v>
      </c>
      <c r="F139">
        <v>5</v>
      </c>
      <c r="G139" t="s">
        <v>782</v>
      </c>
      <c r="H139">
        <v>1765317145</v>
      </c>
      <c r="I139">
        <f>(J139)/1000</f>
        <v>0</v>
      </c>
      <c r="J139">
        <f>IF(DO139, AM139, AG139)</f>
        <v>0</v>
      </c>
      <c r="K139">
        <f>IF(DO139, AH139, AF139)</f>
        <v>0</v>
      </c>
      <c r="L139">
        <f>DQ139 - IF(AT139&gt;1, K139*DK139*100.0/(AV139), 0)</f>
        <v>0</v>
      </c>
      <c r="M139">
        <f>((S139-I139/2)*L139-K139)/(S139+I139/2)</f>
        <v>0</v>
      </c>
      <c r="N139">
        <f>M139*(DX139+DY139)/1000.0</f>
        <v>0</v>
      </c>
      <c r="O139">
        <f>(DQ139 - IF(AT139&gt;1, K139*DK139*100.0/(AV139), 0))*(DX139+DY139)/1000.0</f>
        <v>0</v>
      </c>
      <c r="P139">
        <f>2.0/((1/R139-1/Q139)+SIGN(R139)*SQRT((1/R139-1/Q139)*(1/R139-1/Q139) + 4*DL139/((DL139+1)*(DL139+1))*(2*1/R139*1/Q139-1/Q139*1/Q139)))</f>
        <v>0</v>
      </c>
      <c r="Q139">
        <f>IF(LEFT(DM139,1)&lt;&gt;"0",IF(LEFT(DM139,1)="1",3.0,DN139),$D$5+$E$5*(EE139*DX139/($K$5*1000))+$F$5*(EE139*DX139/($K$5*1000))*MAX(MIN(DK139,$J$5),$I$5)*MAX(MIN(DK139,$J$5),$I$5)+$G$5*MAX(MIN(DK139,$J$5),$I$5)*(EE139*DX139/($K$5*1000))+$H$5*(EE139*DX139/($K$5*1000))*(EE139*DX139/($K$5*1000)))</f>
        <v>0</v>
      </c>
      <c r="R139">
        <f>I139*(1000-(1000*0.61365*exp(17.502*V139/(240.97+V139))/(DX139+DY139)+DS139)/2)/(1000*0.61365*exp(17.502*V139/(240.97+V139))/(DX139+DY139)-DS139)</f>
        <v>0</v>
      </c>
      <c r="S139">
        <f>1/((DL139+1)/(P139/1.6)+1/(Q139/1.37)) + DL139/((DL139+1)/(P139/1.6) + DL139/(Q139/1.37))</f>
        <v>0</v>
      </c>
      <c r="T139">
        <f>(DG139*DJ139)</f>
        <v>0</v>
      </c>
      <c r="U139">
        <f>(DZ139+(T139+2*0.95*5.67E-8*(((DZ139+$B$9)+273)^4-(DZ139+273)^4)-44100*I139)/(1.84*29.3*Q139+8*0.95*5.67E-8*(DZ139+273)^3))</f>
        <v>0</v>
      </c>
      <c r="V139">
        <f>($C$9*EA139+$D$9*EB139+$E$9*U139)</f>
        <v>0</v>
      </c>
      <c r="W139">
        <f>0.61365*exp(17.502*V139/(240.97+V139))</f>
        <v>0</v>
      </c>
      <c r="X139">
        <f>(Y139/Z139*100)</f>
        <v>0</v>
      </c>
      <c r="Y139">
        <f>DS139*(DX139+DY139)/1000</f>
        <v>0</v>
      </c>
      <c r="Z139">
        <f>0.61365*exp(17.502*DZ139/(240.97+DZ139))</f>
        <v>0</v>
      </c>
      <c r="AA139">
        <f>(W139-DS139*(DX139+DY139)/1000)</f>
        <v>0</v>
      </c>
      <c r="AB139">
        <f>(-I139*44100)</f>
        <v>0</v>
      </c>
      <c r="AC139">
        <f>2*29.3*Q139*0.92*(DZ139-V139)</f>
        <v>0</v>
      </c>
      <c r="AD139">
        <f>2*0.95*5.67E-8*(((DZ139+$B$9)+273)^4-(V139+273)^4)</f>
        <v>0</v>
      </c>
      <c r="AE139">
        <f>T139+AD139+AB139+AC139</f>
        <v>0</v>
      </c>
      <c r="AF139">
        <f>DW139*AT139*(DR139-DQ139*(1000-AT139*DT139)/(1000-AT139*DS139))/(100*DK139)</f>
        <v>0</v>
      </c>
      <c r="AG139">
        <f>1000*DW139*AT139*(DS139-DT139)/(100*DK139*(1000-AT139*DS139))</f>
        <v>0</v>
      </c>
      <c r="AH139">
        <f>(AI139 - AJ139 - DX139*1E3/(8.314*(DZ139+273.15)) * AL139/DW139 * AK139) * DW139/(100*DK139) * (1000 - DT139)/1000</f>
        <v>0</v>
      </c>
      <c r="AI139">
        <v>1017.583664188551</v>
      </c>
      <c r="AJ139">
        <v>1016.707515151515</v>
      </c>
      <c r="AK139">
        <v>0.0006793680347649227</v>
      </c>
      <c r="AL139">
        <v>65.74728359959607</v>
      </c>
      <c r="AM139">
        <f>(AO139 - AN139 + DX139*1E3/(8.314*(DZ139+273.15)) * AQ139/DW139 * AP139) * DW139/(100*DK139) * 1000/(1000 - AO139)</f>
        <v>0</v>
      </c>
      <c r="AN139">
        <v>17.33077512987447</v>
      </c>
      <c r="AO139">
        <v>17.41694606060605</v>
      </c>
      <c r="AP139">
        <v>-9.023585592686866E-06</v>
      </c>
      <c r="AQ139">
        <v>107.1055552728476</v>
      </c>
      <c r="AR139">
        <v>0</v>
      </c>
      <c r="AS139">
        <v>0</v>
      </c>
      <c r="AT139">
        <f>IF(AR139*$H$15&gt;=AV139,1.0,(AV139/(AV139-AR139*$H$15)))</f>
        <v>0</v>
      </c>
      <c r="AU139">
        <f>(AT139-1)*100</f>
        <v>0</v>
      </c>
      <c r="AV139">
        <f>MAX(0,($B$15+$C$15*EE139)/(1+$D$15*EE139)*DX139/(DZ139+273)*$E$15)</f>
        <v>0</v>
      </c>
      <c r="AW139" t="s">
        <v>437</v>
      </c>
      <c r="AX139" t="s">
        <v>437</v>
      </c>
      <c r="AY139">
        <v>0</v>
      </c>
      <c r="AZ139">
        <v>0</v>
      </c>
      <c r="BA139">
        <f>1-AY139/AZ139</f>
        <v>0</v>
      </c>
      <c r="BB139">
        <v>0</v>
      </c>
      <c r="BC139" t="s">
        <v>437</v>
      </c>
      <c r="BD139" t="s">
        <v>437</v>
      </c>
      <c r="BE139">
        <v>0</v>
      </c>
      <c r="BF139">
        <v>0</v>
      </c>
      <c r="BG139">
        <f>1-BE139/BF139</f>
        <v>0</v>
      </c>
      <c r="BH139">
        <v>0.5</v>
      </c>
      <c r="BI139">
        <f>DH139</f>
        <v>0</v>
      </c>
      <c r="BJ139">
        <f>K139</f>
        <v>0</v>
      </c>
      <c r="BK139">
        <f>BG139*BH139*BI139</f>
        <v>0</v>
      </c>
      <c r="BL139">
        <f>(BJ139-BB139)/BI139</f>
        <v>0</v>
      </c>
      <c r="BM139">
        <f>(AZ139-BF139)/BF139</f>
        <v>0</v>
      </c>
      <c r="BN139">
        <f>AY139/(BA139+AY139/BF139)</f>
        <v>0</v>
      </c>
      <c r="BO139" t="s">
        <v>437</v>
      </c>
      <c r="BP139">
        <v>0</v>
      </c>
      <c r="BQ139">
        <f>IF(BP139&lt;&gt;0, BP139, BN139)</f>
        <v>0</v>
      </c>
      <c r="BR139">
        <f>1-BQ139/BF139</f>
        <v>0</v>
      </c>
      <c r="BS139">
        <f>(BF139-BE139)/(BF139-BQ139)</f>
        <v>0</v>
      </c>
      <c r="BT139">
        <f>(AZ139-BF139)/(AZ139-BQ139)</f>
        <v>0</v>
      </c>
      <c r="BU139">
        <f>(BF139-BE139)/(BF139-AY139)</f>
        <v>0</v>
      </c>
      <c r="BV139">
        <f>(AZ139-BF139)/(AZ139-AY139)</f>
        <v>0</v>
      </c>
      <c r="BW139">
        <f>(BS139*BQ139/BE139)</f>
        <v>0</v>
      </c>
      <c r="BX139">
        <f>(1-BW139)</f>
        <v>0</v>
      </c>
      <c r="DG139">
        <f>$B$13*EF139+$C$13*EG139+$F$13*ER139*(1-EU139)</f>
        <v>0</v>
      </c>
      <c r="DH139">
        <f>DG139*DI139</f>
        <v>0</v>
      </c>
      <c r="DI139">
        <f>($B$13*$D$11+$C$13*$D$11+$F$13*((FE139+EW139)/MAX(FE139+EW139+FF139, 0.1)*$I$11+FF139/MAX(FE139+EW139+FF139, 0.1)*$J$11))/($B$13+$C$13+$F$13)</f>
        <v>0</v>
      </c>
      <c r="DJ139">
        <f>($B$13*$K$11+$C$13*$K$11+$F$13*((FE139+EW139)/MAX(FE139+EW139+FF139, 0.1)*$P$11+FF139/MAX(FE139+EW139+FF139, 0.1)*$Q$11))/($B$13+$C$13+$F$13)</f>
        <v>0</v>
      </c>
      <c r="DK139">
        <v>5.66</v>
      </c>
      <c r="DL139">
        <v>0.5</v>
      </c>
      <c r="DM139" t="s">
        <v>438</v>
      </c>
      <c r="DN139">
        <v>2</v>
      </c>
      <c r="DO139" t="b">
        <v>1</v>
      </c>
      <c r="DP139">
        <v>1765317145</v>
      </c>
      <c r="DQ139">
        <v>998.6983225806453</v>
      </c>
      <c r="DR139">
        <v>999.9924193548387</v>
      </c>
      <c r="DS139">
        <v>17.41608064516129</v>
      </c>
      <c r="DT139">
        <v>17.33960322580645</v>
      </c>
      <c r="DU139">
        <v>997.7953225806452</v>
      </c>
      <c r="DV139">
        <v>17.33808064516129</v>
      </c>
      <c r="DW139">
        <v>499.9953870967742</v>
      </c>
      <c r="DX139">
        <v>89.73524193548386</v>
      </c>
      <c r="DY139">
        <v>0.09998812258064514</v>
      </c>
      <c r="DZ139">
        <v>24.69938064516129</v>
      </c>
      <c r="EA139">
        <v>24.9891</v>
      </c>
      <c r="EB139">
        <v>999.9000000000003</v>
      </c>
      <c r="EC139">
        <v>0</v>
      </c>
      <c r="ED139">
        <v>0</v>
      </c>
      <c r="EE139">
        <v>9994.836774193549</v>
      </c>
      <c r="EF139">
        <v>0</v>
      </c>
      <c r="EG139">
        <v>9.839352580645164</v>
      </c>
      <c r="EH139">
        <v>-1.010823096774194</v>
      </c>
      <c r="EI139">
        <v>1016.690322580645</v>
      </c>
      <c r="EJ139">
        <v>1017.638064516129</v>
      </c>
      <c r="EK139">
        <v>0.07789539032258062</v>
      </c>
      <c r="EL139">
        <v>999.9924193548387</v>
      </c>
      <c r="EM139">
        <v>17.33960322580645</v>
      </c>
      <c r="EN139">
        <v>1.562962258064516</v>
      </c>
      <c r="EO139">
        <v>1.555973225806452</v>
      </c>
      <c r="EP139">
        <v>13.59841612903226</v>
      </c>
      <c r="EQ139">
        <v>13.52956451612903</v>
      </c>
      <c r="ER139">
        <v>800.0280000000001</v>
      </c>
      <c r="ES139">
        <v>0.9500080645161291</v>
      </c>
      <c r="ET139">
        <v>0.04999192903225808</v>
      </c>
      <c r="EU139">
        <v>0</v>
      </c>
      <c r="EV139">
        <v>829.6425161290323</v>
      </c>
      <c r="EW139">
        <v>5.000779999999999</v>
      </c>
      <c r="EX139">
        <v>6267.354516129033</v>
      </c>
      <c r="EY139">
        <v>6463.662903225805</v>
      </c>
      <c r="EZ139">
        <v>35.94516129032257</v>
      </c>
      <c r="FA139">
        <v>38.81432258064516</v>
      </c>
      <c r="FB139">
        <v>37.84651612903225</v>
      </c>
      <c r="FC139">
        <v>38.44732258064514</v>
      </c>
      <c r="FD139">
        <v>38.04809677419353</v>
      </c>
      <c r="FE139">
        <v>755.2829032258063</v>
      </c>
      <c r="FF139">
        <v>39.74483870967742</v>
      </c>
      <c r="FG139">
        <v>0</v>
      </c>
      <c r="FH139">
        <v>1765317152.9</v>
      </c>
      <c r="FI139">
        <v>0</v>
      </c>
      <c r="FJ139">
        <v>829.6205384615384</v>
      </c>
      <c r="FK139">
        <v>-2.185572650848977</v>
      </c>
      <c r="FL139">
        <v>6.098461578960099</v>
      </c>
      <c r="FM139">
        <v>6267.477692307692</v>
      </c>
      <c r="FN139">
        <v>15</v>
      </c>
      <c r="FO139">
        <v>1765317173.5</v>
      </c>
      <c r="FP139" t="s">
        <v>813</v>
      </c>
      <c r="FQ139">
        <v>1765317173.5</v>
      </c>
      <c r="FR139">
        <v>1765317170</v>
      </c>
      <c r="FS139">
        <v>122</v>
      </c>
      <c r="FT139">
        <v>-0.286</v>
      </c>
      <c r="FU139">
        <v>0.001</v>
      </c>
      <c r="FV139">
        <v>0.903</v>
      </c>
      <c r="FW139">
        <v>0.078</v>
      </c>
      <c r="FX139">
        <v>1000</v>
      </c>
      <c r="FY139">
        <v>17</v>
      </c>
      <c r="FZ139">
        <v>0.58</v>
      </c>
      <c r="GA139">
        <v>0.15</v>
      </c>
      <c r="GB139">
        <v>-0.989752575</v>
      </c>
      <c r="GC139">
        <v>-0.35982255534709</v>
      </c>
      <c r="GD139">
        <v>0.08414993713363293</v>
      </c>
      <c r="GE139">
        <v>1</v>
      </c>
      <c r="GF139">
        <v>829.7657941176469</v>
      </c>
      <c r="GG139">
        <v>-1.814438500023072</v>
      </c>
      <c r="GH139">
        <v>0.2732791913702613</v>
      </c>
      <c r="GI139">
        <v>0</v>
      </c>
      <c r="GJ139">
        <v>0.07071005</v>
      </c>
      <c r="GK139">
        <v>0.1261262859287055</v>
      </c>
      <c r="GL139">
        <v>0.01245112718937526</v>
      </c>
      <c r="GM139">
        <v>0</v>
      </c>
      <c r="GN139">
        <v>1</v>
      </c>
      <c r="GO139">
        <v>3</v>
      </c>
      <c r="GP139" t="s">
        <v>469</v>
      </c>
      <c r="GQ139">
        <v>3.10832</v>
      </c>
      <c r="GR139">
        <v>2.79176</v>
      </c>
      <c r="GS139">
        <v>0.159577</v>
      </c>
      <c r="GT139">
        <v>0.159871</v>
      </c>
      <c r="GU139">
        <v>0.0858912</v>
      </c>
      <c r="GV139">
        <v>0.0863794</v>
      </c>
      <c r="GW139">
        <v>22059.7</v>
      </c>
      <c r="GX139">
        <v>20019.7</v>
      </c>
      <c r="GY139">
        <v>26804.6</v>
      </c>
      <c r="GZ139">
        <v>24034.5</v>
      </c>
      <c r="HA139">
        <v>39168.8</v>
      </c>
      <c r="HB139">
        <v>32415.5</v>
      </c>
      <c r="HC139">
        <v>46783.8</v>
      </c>
      <c r="HD139">
        <v>38008.2</v>
      </c>
      <c r="HE139">
        <v>1.8923</v>
      </c>
      <c r="HF139">
        <v>1.86935</v>
      </c>
      <c r="HG139">
        <v>0.0865944</v>
      </c>
      <c r="HH139">
        <v>0</v>
      </c>
      <c r="HI139">
        <v>23.5649</v>
      </c>
      <c r="HJ139">
        <v>999.9</v>
      </c>
      <c r="HK139">
        <v>41.6</v>
      </c>
      <c r="HL139">
        <v>30.6</v>
      </c>
      <c r="HM139">
        <v>20.4417</v>
      </c>
      <c r="HN139">
        <v>61.3331</v>
      </c>
      <c r="HO139">
        <v>27.5401</v>
      </c>
      <c r="HP139">
        <v>1</v>
      </c>
      <c r="HQ139">
        <v>0.00104167</v>
      </c>
      <c r="HR139">
        <v>0.549466</v>
      </c>
      <c r="HS139">
        <v>20.2954</v>
      </c>
      <c r="HT139">
        <v>5.22208</v>
      </c>
      <c r="HU139">
        <v>11.9787</v>
      </c>
      <c r="HV139">
        <v>4.96525</v>
      </c>
      <c r="HW139">
        <v>3.27598</v>
      </c>
      <c r="HX139">
        <v>9999</v>
      </c>
      <c r="HY139">
        <v>9999</v>
      </c>
      <c r="HZ139">
        <v>9999</v>
      </c>
      <c r="IA139">
        <v>999.9</v>
      </c>
      <c r="IB139">
        <v>1.86388</v>
      </c>
      <c r="IC139">
        <v>1.86005</v>
      </c>
      <c r="ID139">
        <v>1.85837</v>
      </c>
      <c r="IE139">
        <v>1.85973</v>
      </c>
      <c r="IF139">
        <v>1.85986</v>
      </c>
      <c r="IG139">
        <v>1.85836</v>
      </c>
      <c r="IH139">
        <v>1.85742</v>
      </c>
      <c r="II139">
        <v>1.8524</v>
      </c>
      <c r="IJ139">
        <v>0</v>
      </c>
      <c r="IK139">
        <v>0</v>
      </c>
      <c r="IL139">
        <v>0</v>
      </c>
      <c r="IM139">
        <v>0</v>
      </c>
      <c r="IN139" t="s">
        <v>441</v>
      </c>
      <c r="IO139" t="s">
        <v>442</v>
      </c>
      <c r="IP139" t="s">
        <v>443</v>
      </c>
      <c r="IQ139" t="s">
        <v>443</v>
      </c>
      <c r="IR139" t="s">
        <v>443</v>
      </c>
      <c r="IS139" t="s">
        <v>443</v>
      </c>
      <c r="IT139">
        <v>0</v>
      </c>
      <c r="IU139">
        <v>100</v>
      </c>
      <c r="IV139">
        <v>100</v>
      </c>
      <c r="IW139">
        <v>0.903</v>
      </c>
      <c r="IX139">
        <v>0.078</v>
      </c>
      <c r="IY139">
        <v>-0.04987167314503205</v>
      </c>
      <c r="IZ139">
        <v>0.0001583678016168383</v>
      </c>
      <c r="JA139">
        <v>1.526473431467286E-06</v>
      </c>
      <c r="JB139">
        <v>-4.446382740029455E-10</v>
      </c>
      <c r="JC139">
        <v>-0.03784033647105778</v>
      </c>
      <c r="JD139">
        <v>-0.009941991807247691</v>
      </c>
      <c r="JE139">
        <v>0.001256427533001032</v>
      </c>
      <c r="JF139">
        <v>-1.689728105039484E-05</v>
      </c>
      <c r="JG139">
        <v>2</v>
      </c>
      <c r="JH139">
        <v>1984</v>
      </c>
      <c r="JI139">
        <v>0</v>
      </c>
      <c r="JJ139">
        <v>25</v>
      </c>
      <c r="JK139">
        <v>1.5</v>
      </c>
      <c r="JL139">
        <v>1.6</v>
      </c>
      <c r="JM139">
        <v>2.29004</v>
      </c>
      <c r="JN139">
        <v>2.62939</v>
      </c>
      <c r="JO139">
        <v>1.49658</v>
      </c>
      <c r="JP139">
        <v>2.34741</v>
      </c>
      <c r="JQ139">
        <v>1.54907</v>
      </c>
      <c r="JR139">
        <v>2.34375</v>
      </c>
      <c r="JS139">
        <v>35.2209</v>
      </c>
      <c r="JT139">
        <v>24.1313</v>
      </c>
      <c r="JU139">
        <v>18</v>
      </c>
      <c r="JV139">
        <v>479.563</v>
      </c>
      <c r="JW139">
        <v>493.921</v>
      </c>
      <c r="JX139">
        <v>23.3145</v>
      </c>
      <c r="JY139">
        <v>27.2051</v>
      </c>
      <c r="JZ139">
        <v>29.9998</v>
      </c>
      <c r="KA139">
        <v>27.5215</v>
      </c>
      <c r="KB139">
        <v>27.5384</v>
      </c>
      <c r="KC139">
        <v>45.9645</v>
      </c>
      <c r="KD139">
        <v>16.1581</v>
      </c>
      <c r="KE139">
        <v>52.168</v>
      </c>
      <c r="KF139">
        <v>23.3242</v>
      </c>
      <c r="KG139">
        <v>1000</v>
      </c>
      <c r="KH139">
        <v>17.3495</v>
      </c>
      <c r="KI139">
        <v>102.307</v>
      </c>
      <c r="KJ139">
        <v>91.67740000000001</v>
      </c>
    </row>
    <row r="140" spans="1:296">
      <c r="A140">
        <v>122</v>
      </c>
      <c r="B140">
        <v>1765317264.5</v>
      </c>
      <c r="C140">
        <v>19831.5</v>
      </c>
      <c r="D140" t="s">
        <v>814</v>
      </c>
      <c r="E140" t="s">
        <v>815</v>
      </c>
      <c r="F140">
        <v>5</v>
      </c>
      <c r="G140" t="s">
        <v>782</v>
      </c>
      <c r="H140">
        <v>1765317256.5</v>
      </c>
      <c r="I140">
        <f>(J140)/1000</f>
        <v>0</v>
      </c>
      <c r="J140">
        <f>IF(DO140, AM140, AG140)</f>
        <v>0</v>
      </c>
      <c r="K140">
        <f>IF(DO140, AH140, AF140)</f>
        <v>0</v>
      </c>
      <c r="L140">
        <f>DQ140 - IF(AT140&gt;1, K140*DK140*100.0/(AV140), 0)</f>
        <v>0</v>
      </c>
      <c r="M140">
        <f>((S140-I140/2)*L140-K140)/(S140+I140/2)</f>
        <v>0</v>
      </c>
      <c r="N140">
        <f>M140*(DX140+DY140)/1000.0</f>
        <v>0</v>
      </c>
      <c r="O140">
        <f>(DQ140 - IF(AT140&gt;1, K140*DK140*100.0/(AV140), 0))*(DX140+DY140)/1000.0</f>
        <v>0</v>
      </c>
      <c r="P140">
        <f>2.0/((1/R140-1/Q140)+SIGN(R140)*SQRT((1/R140-1/Q140)*(1/R140-1/Q140) + 4*DL140/((DL140+1)*(DL140+1))*(2*1/R140*1/Q140-1/Q140*1/Q140)))</f>
        <v>0</v>
      </c>
      <c r="Q140">
        <f>IF(LEFT(DM140,1)&lt;&gt;"0",IF(LEFT(DM140,1)="1",3.0,DN140),$D$5+$E$5*(EE140*DX140/($K$5*1000))+$F$5*(EE140*DX140/($K$5*1000))*MAX(MIN(DK140,$J$5),$I$5)*MAX(MIN(DK140,$J$5),$I$5)+$G$5*MAX(MIN(DK140,$J$5),$I$5)*(EE140*DX140/($K$5*1000))+$H$5*(EE140*DX140/($K$5*1000))*(EE140*DX140/($K$5*1000)))</f>
        <v>0</v>
      </c>
      <c r="R140">
        <f>I140*(1000-(1000*0.61365*exp(17.502*V140/(240.97+V140))/(DX140+DY140)+DS140)/2)/(1000*0.61365*exp(17.502*V140/(240.97+V140))/(DX140+DY140)-DS140)</f>
        <v>0</v>
      </c>
      <c r="S140">
        <f>1/((DL140+1)/(P140/1.6)+1/(Q140/1.37)) + DL140/((DL140+1)/(P140/1.6) + DL140/(Q140/1.37))</f>
        <v>0</v>
      </c>
      <c r="T140">
        <f>(DG140*DJ140)</f>
        <v>0</v>
      </c>
      <c r="U140">
        <f>(DZ140+(T140+2*0.95*5.67E-8*(((DZ140+$B$9)+273)^4-(DZ140+273)^4)-44100*I140)/(1.84*29.3*Q140+8*0.95*5.67E-8*(DZ140+273)^3))</f>
        <v>0</v>
      </c>
      <c r="V140">
        <f>($C$9*EA140+$D$9*EB140+$E$9*U140)</f>
        <v>0</v>
      </c>
      <c r="W140">
        <f>0.61365*exp(17.502*V140/(240.97+V140))</f>
        <v>0</v>
      </c>
      <c r="X140">
        <f>(Y140/Z140*100)</f>
        <v>0</v>
      </c>
      <c r="Y140">
        <f>DS140*(DX140+DY140)/1000</f>
        <v>0</v>
      </c>
      <c r="Z140">
        <f>0.61365*exp(17.502*DZ140/(240.97+DZ140))</f>
        <v>0</v>
      </c>
      <c r="AA140">
        <f>(W140-DS140*(DX140+DY140)/1000)</f>
        <v>0</v>
      </c>
      <c r="AB140">
        <f>(-I140*44100)</f>
        <v>0</v>
      </c>
      <c r="AC140">
        <f>2*29.3*Q140*0.92*(DZ140-V140)</f>
        <v>0</v>
      </c>
      <c r="AD140">
        <f>2*0.95*5.67E-8*(((DZ140+$B$9)+273)^4-(V140+273)^4)</f>
        <v>0</v>
      </c>
      <c r="AE140">
        <f>T140+AD140+AB140+AC140</f>
        <v>0</v>
      </c>
      <c r="AF140">
        <f>DW140*AT140*(DR140-DQ140*(1000-AT140*DT140)/(1000-AT140*DS140))/(100*DK140)</f>
        <v>0</v>
      </c>
      <c r="AG140">
        <f>1000*DW140*AT140*(DS140-DT140)/(100*DK140*(1000-AT140*DS140))</f>
        <v>0</v>
      </c>
      <c r="AH140">
        <f>(AI140 - AJ140 - DX140*1E3/(8.314*(DZ140+273.15)) * AL140/DW140 * AK140) * DW140/(100*DK140) * (1000 - DT140)/1000</f>
        <v>0</v>
      </c>
      <c r="AI140">
        <v>1221.082256568275</v>
      </c>
      <c r="AJ140">
        <v>1219.56103030303</v>
      </c>
      <c r="AK140">
        <v>0.001646218621802987</v>
      </c>
      <c r="AL140">
        <v>65.74739631556754</v>
      </c>
      <c r="AM140">
        <f>(AO140 - AN140 + DX140*1E3/(8.314*(DZ140+273.15)) * AQ140/DW140 * AP140) * DW140/(100*DK140) * 1000/(1000 - AO140)</f>
        <v>0</v>
      </c>
      <c r="AN140">
        <v>17.29078412959421</v>
      </c>
      <c r="AO140">
        <v>17.38868484848485</v>
      </c>
      <c r="AP140">
        <v>-5.121486219374458E-05</v>
      </c>
      <c r="AQ140">
        <v>107.103734763445</v>
      </c>
      <c r="AR140">
        <v>0</v>
      </c>
      <c r="AS140">
        <v>0</v>
      </c>
      <c r="AT140">
        <f>IF(AR140*$H$15&gt;=AV140,1.0,(AV140/(AV140-AR140*$H$15)))</f>
        <v>0</v>
      </c>
      <c r="AU140">
        <f>(AT140-1)*100</f>
        <v>0</v>
      </c>
      <c r="AV140">
        <f>MAX(0,($B$15+$C$15*EE140)/(1+$D$15*EE140)*DX140/(DZ140+273)*$E$15)</f>
        <v>0</v>
      </c>
      <c r="AW140" t="s">
        <v>437</v>
      </c>
      <c r="AX140" t="s">
        <v>437</v>
      </c>
      <c r="AY140">
        <v>0</v>
      </c>
      <c r="AZ140">
        <v>0</v>
      </c>
      <c r="BA140">
        <f>1-AY140/AZ140</f>
        <v>0</v>
      </c>
      <c r="BB140">
        <v>0</v>
      </c>
      <c r="BC140" t="s">
        <v>437</v>
      </c>
      <c r="BD140" t="s">
        <v>437</v>
      </c>
      <c r="BE140">
        <v>0</v>
      </c>
      <c r="BF140">
        <v>0</v>
      </c>
      <c r="BG140">
        <f>1-BE140/BF140</f>
        <v>0</v>
      </c>
      <c r="BH140">
        <v>0.5</v>
      </c>
      <c r="BI140">
        <f>DH140</f>
        <v>0</v>
      </c>
      <c r="BJ140">
        <f>K140</f>
        <v>0</v>
      </c>
      <c r="BK140">
        <f>BG140*BH140*BI140</f>
        <v>0</v>
      </c>
      <c r="BL140">
        <f>(BJ140-BB140)/BI140</f>
        <v>0</v>
      </c>
      <c r="BM140">
        <f>(AZ140-BF140)/BF140</f>
        <v>0</v>
      </c>
      <c r="BN140">
        <f>AY140/(BA140+AY140/BF140)</f>
        <v>0</v>
      </c>
      <c r="BO140" t="s">
        <v>437</v>
      </c>
      <c r="BP140">
        <v>0</v>
      </c>
      <c r="BQ140">
        <f>IF(BP140&lt;&gt;0, BP140, BN140)</f>
        <v>0</v>
      </c>
      <c r="BR140">
        <f>1-BQ140/BF140</f>
        <v>0</v>
      </c>
      <c r="BS140">
        <f>(BF140-BE140)/(BF140-BQ140)</f>
        <v>0</v>
      </c>
      <c r="BT140">
        <f>(AZ140-BF140)/(AZ140-BQ140)</f>
        <v>0</v>
      </c>
      <c r="BU140">
        <f>(BF140-BE140)/(BF140-AY140)</f>
        <v>0</v>
      </c>
      <c r="BV140">
        <f>(AZ140-BF140)/(AZ140-AY140)</f>
        <v>0</v>
      </c>
      <c r="BW140">
        <f>(BS140*BQ140/BE140)</f>
        <v>0</v>
      </c>
      <c r="BX140">
        <f>(1-BW140)</f>
        <v>0</v>
      </c>
      <c r="DG140">
        <f>$B$13*EF140+$C$13*EG140+$F$13*ER140*(1-EU140)</f>
        <v>0</v>
      </c>
      <c r="DH140">
        <f>DG140*DI140</f>
        <v>0</v>
      </c>
      <c r="DI140">
        <f>($B$13*$D$11+$C$13*$D$11+$F$13*((FE140+EW140)/MAX(FE140+EW140+FF140, 0.1)*$I$11+FF140/MAX(FE140+EW140+FF140, 0.1)*$J$11))/($B$13+$C$13+$F$13)</f>
        <v>0</v>
      </c>
      <c r="DJ140">
        <f>($B$13*$K$11+$C$13*$K$11+$F$13*((FE140+EW140)/MAX(FE140+EW140+FF140, 0.1)*$P$11+FF140/MAX(FE140+EW140+FF140, 0.1)*$Q$11))/($B$13+$C$13+$F$13)</f>
        <v>0</v>
      </c>
      <c r="DK140">
        <v>5.66</v>
      </c>
      <c r="DL140">
        <v>0.5</v>
      </c>
      <c r="DM140" t="s">
        <v>438</v>
      </c>
      <c r="DN140">
        <v>2</v>
      </c>
      <c r="DO140" t="b">
        <v>1</v>
      </c>
      <c r="DP140">
        <v>1765317256.5</v>
      </c>
      <c r="DQ140">
        <v>1198.358709677419</v>
      </c>
      <c r="DR140">
        <v>1199.997741935484</v>
      </c>
      <c r="DS140">
        <v>17.39865806451613</v>
      </c>
      <c r="DT140">
        <v>17.30059354838709</v>
      </c>
      <c r="DU140">
        <v>1197.068709677419</v>
      </c>
      <c r="DV140">
        <v>17.31865806451613</v>
      </c>
      <c r="DW140">
        <v>500.0102903225806</v>
      </c>
      <c r="DX140">
        <v>89.73804516129032</v>
      </c>
      <c r="DY140">
        <v>0.09996699354838708</v>
      </c>
      <c r="DZ140">
        <v>24.72936451612903</v>
      </c>
      <c r="EA140">
        <v>25.00943870967742</v>
      </c>
      <c r="EB140">
        <v>999.9000000000003</v>
      </c>
      <c r="EC140">
        <v>0</v>
      </c>
      <c r="ED140">
        <v>0</v>
      </c>
      <c r="EE140">
        <v>10005.24258064516</v>
      </c>
      <c r="EF140">
        <v>0</v>
      </c>
      <c r="EG140">
        <v>9.835680000000004</v>
      </c>
      <c r="EH140">
        <v>-1.64980129032258</v>
      </c>
      <c r="EI140">
        <v>1219.566451612903</v>
      </c>
      <c r="EJ140">
        <v>1221.122580645161</v>
      </c>
      <c r="EK140">
        <v>0.09779930322580645</v>
      </c>
      <c r="EL140">
        <v>1199.997741935484</v>
      </c>
      <c r="EM140">
        <v>17.30059354838709</v>
      </c>
      <c r="EN140">
        <v>1.561297741935484</v>
      </c>
      <c r="EO140">
        <v>1.552520967741935</v>
      </c>
      <c r="EP140">
        <v>13.58203870967742</v>
      </c>
      <c r="EQ140">
        <v>13.49546451612903</v>
      </c>
      <c r="ER140">
        <v>800.016677419355</v>
      </c>
      <c r="ES140">
        <v>0.9499958709677421</v>
      </c>
      <c r="ET140">
        <v>0.05000387096774193</v>
      </c>
      <c r="EU140">
        <v>0</v>
      </c>
      <c r="EV140">
        <v>826.8636129032255</v>
      </c>
      <c r="EW140">
        <v>5.000779999999999</v>
      </c>
      <c r="EX140">
        <v>6274.514516129032</v>
      </c>
      <c r="EY140">
        <v>6463.544838709677</v>
      </c>
      <c r="EZ140">
        <v>37.13283870967741</v>
      </c>
      <c r="FA140">
        <v>40.80829032258064</v>
      </c>
      <c r="FB140">
        <v>39.36464516129031</v>
      </c>
      <c r="FC140">
        <v>41.01193548387095</v>
      </c>
      <c r="FD140">
        <v>39.34254838709676</v>
      </c>
      <c r="FE140">
        <v>755.2619354838711</v>
      </c>
      <c r="FF140">
        <v>39.75</v>
      </c>
      <c r="FG140">
        <v>0</v>
      </c>
      <c r="FH140">
        <v>1765317263.9</v>
      </c>
      <c r="FI140">
        <v>0</v>
      </c>
      <c r="FJ140">
        <v>826.8370399999999</v>
      </c>
      <c r="FK140">
        <v>-2.026692302992442</v>
      </c>
      <c r="FL140">
        <v>-1.800769155688642</v>
      </c>
      <c r="FM140">
        <v>6274.5224</v>
      </c>
      <c r="FN140">
        <v>15</v>
      </c>
      <c r="FO140">
        <v>1765317293</v>
      </c>
      <c r="FP140" t="s">
        <v>816</v>
      </c>
      <c r="FQ140">
        <v>1765317293</v>
      </c>
      <c r="FR140">
        <v>1765317281.5</v>
      </c>
      <c r="FS140">
        <v>123</v>
      </c>
      <c r="FT140">
        <v>0.008</v>
      </c>
      <c r="FU140">
        <v>0.001</v>
      </c>
      <c r="FV140">
        <v>1.29</v>
      </c>
      <c r="FW140">
        <v>0.08</v>
      </c>
      <c r="FX140">
        <v>1200</v>
      </c>
      <c r="FY140">
        <v>17</v>
      </c>
      <c r="FZ140">
        <v>1.14</v>
      </c>
      <c r="GA140">
        <v>0.15</v>
      </c>
      <c r="GB140">
        <v>-1.637380487804878</v>
      </c>
      <c r="GC140">
        <v>-0.1169527526132402</v>
      </c>
      <c r="GD140">
        <v>0.06369272072170237</v>
      </c>
      <c r="GE140">
        <v>1</v>
      </c>
      <c r="GF140">
        <v>826.9258235294117</v>
      </c>
      <c r="GG140">
        <v>-1.973750953024145</v>
      </c>
      <c r="GH140">
        <v>0.271661496826712</v>
      </c>
      <c r="GI140">
        <v>0</v>
      </c>
      <c r="GJ140">
        <v>0.09722649268292682</v>
      </c>
      <c r="GK140">
        <v>0.009747595818815539</v>
      </c>
      <c r="GL140">
        <v>0.001198329116482561</v>
      </c>
      <c r="GM140">
        <v>1</v>
      </c>
      <c r="GN140">
        <v>2</v>
      </c>
      <c r="GO140">
        <v>3</v>
      </c>
      <c r="GP140" t="s">
        <v>453</v>
      </c>
      <c r="GQ140">
        <v>3.10827</v>
      </c>
      <c r="GR140">
        <v>2.79164</v>
      </c>
      <c r="GS140">
        <v>0.178948</v>
      </c>
      <c r="GT140">
        <v>0.179313</v>
      </c>
      <c r="GU140">
        <v>0.08580160000000001</v>
      </c>
      <c r="GV140">
        <v>0.0862526</v>
      </c>
      <c r="GW140">
        <v>21554.5</v>
      </c>
      <c r="GX140">
        <v>19558.8</v>
      </c>
      <c r="GY140">
        <v>26808</v>
      </c>
      <c r="GZ140">
        <v>24036.8</v>
      </c>
      <c r="HA140">
        <v>39179.9</v>
      </c>
      <c r="HB140">
        <v>32424.6</v>
      </c>
      <c r="HC140">
        <v>46789.7</v>
      </c>
      <c r="HD140">
        <v>38011.3</v>
      </c>
      <c r="HE140">
        <v>1.8933</v>
      </c>
      <c r="HF140">
        <v>1.8715</v>
      </c>
      <c r="HG140">
        <v>0.08771569999999999</v>
      </c>
      <c r="HH140">
        <v>0</v>
      </c>
      <c r="HI140">
        <v>23.5642</v>
      </c>
      <c r="HJ140">
        <v>999.9</v>
      </c>
      <c r="HK140">
        <v>41.5</v>
      </c>
      <c r="HL140">
        <v>30.6</v>
      </c>
      <c r="HM140">
        <v>20.392</v>
      </c>
      <c r="HN140">
        <v>61.1531</v>
      </c>
      <c r="HO140">
        <v>27.2756</v>
      </c>
      <c r="HP140">
        <v>1</v>
      </c>
      <c r="HQ140">
        <v>-0.00582063</v>
      </c>
      <c r="HR140">
        <v>0.622448</v>
      </c>
      <c r="HS140">
        <v>20.2953</v>
      </c>
      <c r="HT140">
        <v>5.22208</v>
      </c>
      <c r="HU140">
        <v>11.9782</v>
      </c>
      <c r="HV140">
        <v>4.96545</v>
      </c>
      <c r="HW140">
        <v>3.276</v>
      </c>
      <c r="HX140">
        <v>9999</v>
      </c>
      <c r="HY140">
        <v>9999</v>
      </c>
      <c r="HZ140">
        <v>9999</v>
      </c>
      <c r="IA140">
        <v>999.9</v>
      </c>
      <c r="IB140">
        <v>1.8639</v>
      </c>
      <c r="IC140">
        <v>1.86004</v>
      </c>
      <c r="ID140">
        <v>1.85837</v>
      </c>
      <c r="IE140">
        <v>1.85968</v>
      </c>
      <c r="IF140">
        <v>1.8598</v>
      </c>
      <c r="IG140">
        <v>1.85835</v>
      </c>
      <c r="IH140">
        <v>1.85741</v>
      </c>
      <c r="II140">
        <v>1.85241</v>
      </c>
      <c r="IJ140">
        <v>0</v>
      </c>
      <c r="IK140">
        <v>0</v>
      </c>
      <c r="IL140">
        <v>0</v>
      </c>
      <c r="IM140">
        <v>0</v>
      </c>
      <c r="IN140" t="s">
        <v>441</v>
      </c>
      <c r="IO140" t="s">
        <v>442</v>
      </c>
      <c r="IP140" t="s">
        <v>443</v>
      </c>
      <c r="IQ140" t="s">
        <v>443</v>
      </c>
      <c r="IR140" t="s">
        <v>443</v>
      </c>
      <c r="IS140" t="s">
        <v>443</v>
      </c>
      <c r="IT140">
        <v>0</v>
      </c>
      <c r="IU140">
        <v>100</v>
      </c>
      <c r="IV140">
        <v>100</v>
      </c>
      <c r="IW140">
        <v>1.29</v>
      </c>
      <c r="IX140">
        <v>0.08</v>
      </c>
      <c r="IY140">
        <v>-0.3358354595527697</v>
      </c>
      <c r="IZ140">
        <v>0.0001583678016168383</v>
      </c>
      <c r="JA140">
        <v>1.526473431467286E-06</v>
      </c>
      <c r="JB140">
        <v>-4.446382740029455E-10</v>
      </c>
      <c r="JC140">
        <v>-0.03715727044627208</v>
      </c>
      <c r="JD140">
        <v>-0.009941991807247691</v>
      </c>
      <c r="JE140">
        <v>0.001256427533001032</v>
      </c>
      <c r="JF140">
        <v>-1.689728105039484E-05</v>
      </c>
      <c r="JG140">
        <v>2</v>
      </c>
      <c r="JH140">
        <v>1984</v>
      </c>
      <c r="JI140">
        <v>0</v>
      </c>
      <c r="JJ140">
        <v>25</v>
      </c>
      <c r="JK140">
        <v>1.5</v>
      </c>
      <c r="JL140">
        <v>1.6</v>
      </c>
      <c r="JM140">
        <v>2.65259</v>
      </c>
      <c r="JN140">
        <v>2.62695</v>
      </c>
      <c r="JO140">
        <v>1.49658</v>
      </c>
      <c r="JP140">
        <v>2.34741</v>
      </c>
      <c r="JQ140">
        <v>1.54907</v>
      </c>
      <c r="JR140">
        <v>2.37793</v>
      </c>
      <c r="JS140">
        <v>35.1978</v>
      </c>
      <c r="JT140">
        <v>24.1313</v>
      </c>
      <c r="JU140">
        <v>18</v>
      </c>
      <c r="JV140">
        <v>479.556</v>
      </c>
      <c r="JW140">
        <v>494.697</v>
      </c>
      <c r="JX140">
        <v>23.2807</v>
      </c>
      <c r="JY140">
        <v>27.1232</v>
      </c>
      <c r="JZ140">
        <v>29.9997</v>
      </c>
      <c r="KA140">
        <v>27.4459</v>
      </c>
      <c r="KB140">
        <v>27.4648</v>
      </c>
      <c r="KC140">
        <v>53.2304</v>
      </c>
      <c r="KD140">
        <v>15.8673</v>
      </c>
      <c r="KE140">
        <v>52.9106</v>
      </c>
      <c r="KF140">
        <v>23.2724</v>
      </c>
      <c r="KG140">
        <v>1200</v>
      </c>
      <c r="KH140">
        <v>17.2971</v>
      </c>
      <c r="KI140">
        <v>102.32</v>
      </c>
      <c r="KJ140">
        <v>91.6854</v>
      </c>
    </row>
    <row r="141" spans="1:296">
      <c r="A141">
        <v>123</v>
      </c>
      <c r="B141">
        <v>1765317368.5</v>
      </c>
      <c r="C141">
        <v>19935.5</v>
      </c>
      <c r="D141" t="s">
        <v>817</v>
      </c>
      <c r="E141" t="s">
        <v>818</v>
      </c>
      <c r="F141">
        <v>5</v>
      </c>
      <c r="G141" t="s">
        <v>782</v>
      </c>
      <c r="H141">
        <v>1765317360.75</v>
      </c>
      <c r="I141">
        <f>(J141)/1000</f>
        <v>0</v>
      </c>
      <c r="J141">
        <f>IF(DO141, AM141, AG141)</f>
        <v>0</v>
      </c>
      <c r="K141">
        <f>IF(DO141, AH141, AF141)</f>
        <v>0</v>
      </c>
      <c r="L141">
        <f>DQ141 - IF(AT141&gt;1, K141*DK141*100.0/(AV141), 0)</f>
        <v>0</v>
      </c>
      <c r="M141">
        <f>((S141-I141/2)*L141-K141)/(S141+I141/2)</f>
        <v>0</v>
      </c>
      <c r="N141">
        <f>M141*(DX141+DY141)/1000.0</f>
        <v>0</v>
      </c>
      <c r="O141">
        <f>(DQ141 - IF(AT141&gt;1, K141*DK141*100.0/(AV141), 0))*(DX141+DY141)/1000.0</f>
        <v>0</v>
      </c>
      <c r="P141">
        <f>2.0/((1/R141-1/Q141)+SIGN(R141)*SQRT((1/R141-1/Q141)*(1/R141-1/Q141) + 4*DL141/((DL141+1)*(DL141+1))*(2*1/R141*1/Q141-1/Q141*1/Q141)))</f>
        <v>0</v>
      </c>
      <c r="Q141">
        <f>IF(LEFT(DM141,1)&lt;&gt;"0",IF(LEFT(DM141,1)="1",3.0,DN141),$D$5+$E$5*(EE141*DX141/($K$5*1000))+$F$5*(EE141*DX141/($K$5*1000))*MAX(MIN(DK141,$J$5),$I$5)*MAX(MIN(DK141,$J$5),$I$5)+$G$5*MAX(MIN(DK141,$J$5),$I$5)*(EE141*DX141/($K$5*1000))+$H$5*(EE141*DX141/($K$5*1000))*(EE141*DX141/($K$5*1000)))</f>
        <v>0</v>
      </c>
      <c r="R141">
        <f>I141*(1000-(1000*0.61365*exp(17.502*V141/(240.97+V141))/(DX141+DY141)+DS141)/2)/(1000*0.61365*exp(17.502*V141/(240.97+V141))/(DX141+DY141)-DS141)</f>
        <v>0</v>
      </c>
      <c r="S141">
        <f>1/((DL141+1)/(P141/1.6)+1/(Q141/1.37)) + DL141/((DL141+1)/(P141/1.6) + DL141/(Q141/1.37))</f>
        <v>0</v>
      </c>
      <c r="T141">
        <f>(DG141*DJ141)</f>
        <v>0</v>
      </c>
      <c r="U141">
        <f>(DZ141+(T141+2*0.95*5.67E-8*(((DZ141+$B$9)+273)^4-(DZ141+273)^4)-44100*I141)/(1.84*29.3*Q141+8*0.95*5.67E-8*(DZ141+273)^3))</f>
        <v>0</v>
      </c>
      <c r="V141">
        <f>($C$9*EA141+$D$9*EB141+$E$9*U141)</f>
        <v>0</v>
      </c>
      <c r="W141">
        <f>0.61365*exp(17.502*V141/(240.97+V141))</f>
        <v>0</v>
      </c>
      <c r="X141">
        <f>(Y141/Z141*100)</f>
        <v>0</v>
      </c>
      <c r="Y141">
        <f>DS141*(DX141+DY141)/1000</f>
        <v>0</v>
      </c>
      <c r="Z141">
        <f>0.61365*exp(17.502*DZ141/(240.97+DZ141))</f>
        <v>0</v>
      </c>
      <c r="AA141">
        <f>(W141-DS141*(DX141+DY141)/1000)</f>
        <v>0</v>
      </c>
      <c r="AB141">
        <f>(-I141*44100)</f>
        <v>0</v>
      </c>
      <c r="AC141">
        <f>2*29.3*Q141*0.92*(DZ141-V141)</f>
        <v>0</v>
      </c>
      <c r="AD141">
        <f>2*0.95*5.67E-8*(((DZ141+$B$9)+273)^4-(V141+273)^4)</f>
        <v>0</v>
      </c>
      <c r="AE141">
        <f>T141+AD141+AB141+AC141</f>
        <v>0</v>
      </c>
      <c r="AF141">
        <f>DW141*AT141*(DR141-DQ141*(1000-AT141*DT141)/(1000-AT141*DS141))/(100*DK141)</f>
        <v>0</v>
      </c>
      <c r="AG141">
        <f>1000*DW141*AT141*(DS141-DT141)/(100*DK141*(1000-AT141*DS141))</f>
        <v>0</v>
      </c>
      <c r="AH141">
        <f>(AI141 - AJ141 - DX141*1E3/(8.314*(DZ141+273.15)) * AL141/DW141 * AK141) * DW141/(100*DK141) * (1000 - DT141)/1000</f>
        <v>0</v>
      </c>
      <c r="AI141">
        <v>1526.605839537841</v>
      </c>
      <c r="AJ141">
        <v>1524.255757575757</v>
      </c>
      <c r="AK141">
        <v>0.04817441618764352</v>
      </c>
      <c r="AL141">
        <v>65.77846314057933</v>
      </c>
      <c r="AM141">
        <f>(AO141 - AN141 + DX141*1E3/(8.314*(DZ141+273.15)) * AQ141/DW141 * AP141) * DW141/(100*DK141) * 1000/(1000 - AO141)</f>
        <v>0</v>
      </c>
      <c r="AN141">
        <v>17.31163505634055</v>
      </c>
      <c r="AO141">
        <v>17.39933515151514</v>
      </c>
      <c r="AP141">
        <v>-1.71518966834625E-05</v>
      </c>
      <c r="AQ141">
        <v>107.4573879607208</v>
      </c>
      <c r="AR141">
        <v>0</v>
      </c>
      <c r="AS141">
        <v>0</v>
      </c>
      <c r="AT141">
        <f>IF(AR141*$H$15&gt;=AV141,1.0,(AV141/(AV141-AR141*$H$15)))</f>
        <v>0</v>
      </c>
      <c r="AU141">
        <f>(AT141-1)*100</f>
        <v>0</v>
      </c>
      <c r="AV141">
        <f>MAX(0,($B$15+$C$15*EE141)/(1+$D$15*EE141)*DX141/(DZ141+273)*$E$15)</f>
        <v>0</v>
      </c>
      <c r="AW141" t="s">
        <v>437</v>
      </c>
      <c r="AX141" t="s">
        <v>437</v>
      </c>
      <c r="AY141">
        <v>0</v>
      </c>
      <c r="AZ141">
        <v>0</v>
      </c>
      <c r="BA141">
        <f>1-AY141/AZ141</f>
        <v>0</v>
      </c>
      <c r="BB141">
        <v>0</v>
      </c>
      <c r="BC141" t="s">
        <v>437</v>
      </c>
      <c r="BD141" t="s">
        <v>437</v>
      </c>
      <c r="BE141">
        <v>0</v>
      </c>
      <c r="BF141">
        <v>0</v>
      </c>
      <c r="BG141">
        <f>1-BE141/BF141</f>
        <v>0</v>
      </c>
      <c r="BH141">
        <v>0.5</v>
      </c>
      <c r="BI141">
        <f>DH141</f>
        <v>0</v>
      </c>
      <c r="BJ141">
        <f>K141</f>
        <v>0</v>
      </c>
      <c r="BK141">
        <f>BG141*BH141*BI141</f>
        <v>0</v>
      </c>
      <c r="BL141">
        <f>(BJ141-BB141)/BI141</f>
        <v>0</v>
      </c>
      <c r="BM141">
        <f>(AZ141-BF141)/BF141</f>
        <v>0</v>
      </c>
      <c r="BN141">
        <f>AY141/(BA141+AY141/BF141)</f>
        <v>0</v>
      </c>
      <c r="BO141" t="s">
        <v>437</v>
      </c>
      <c r="BP141">
        <v>0</v>
      </c>
      <c r="BQ141">
        <f>IF(BP141&lt;&gt;0, BP141, BN141)</f>
        <v>0</v>
      </c>
      <c r="BR141">
        <f>1-BQ141/BF141</f>
        <v>0</v>
      </c>
      <c r="BS141">
        <f>(BF141-BE141)/(BF141-BQ141)</f>
        <v>0</v>
      </c>
      <c r="BT141">
        <f>(AZ141-BF141)/(AZ141-BQ141)</f>
        <v>0</v>
      </c>
      <c r="BU141">
        <f>(BF141-BE141)/(BF141-AY141)</f>
        <v>0</v>
      </c>
      <c r="BV141">
        <f>(AZ141-BF141)/(AZ141-AY141)</f>
        <v>0</v>
      </c>
      <c r="BW141">
        <f>(BS141*BQ141/BE141)</f>
        <v>0</v>
      </c>
      <c r="BX141">
        <f>(1-BW141)</f>
        <v>0</v>
      </c>
      <c r="DG141">
        <f>$B$13*EF141+$C$13*EG141+$F$13*ER141*(1-EU141)</f>
        <v>0</v>
      </c>
      <c r="DH141">
        <f>DG141*DI141</f>
        <v>0</v>
      </c>
      <c r="DI141">
        <f>($B$13*$D$11+$C$13*$D$11+$F$13*((FE141+EW141)/MAX(FE141+EW141+FF141, 0.1)*$I$11+FF141/MAX(FE141+EW141+FF141, 0.1)*$J$11))/($B$13+$C$13+$F$13)</f>
        <v>0</v>
      </c>
      <c r="DJ141">
        <f>($B$13*$K$11+$C$13*$K$11+$F$13*((FE141+EW141)/MAX(FE141+EW141+FF141, 0.1)*$P$11+FF141/MAX(FE141+EW141+FF141, 0.1)*$Q$11))/($B$13+$C$13+$F$13)</f>
        <v>0</v>
      </c>
      <c r="DK141">
        <v>5.66</v>
      </c>
      <c r="DL141">
        <v>0.5</v>
      </c>
      <c r="DM141" t="s">
        <v>438</v>
      </c>
      <c r="DN141">
        <v>2</v>
      </c>
      <c r="DO141" t="b">
        <v>1</v>
      </c>
      <c r="DP141">
        <v>1765317360.75</v>
      </c>
      <c r="DQ141">
        <v>1497.863666666667</v>
      </c>
      <c r="DR141">
        <v>1500.039333333333</v>
      </c>
      <c r="DS141">
        <v>17.40166</v>
      </c>
      <c r="DT141">
        <v>17.31311333333333</v>
      </c>
      <c r="DU141">
        <v>1495.743666666667</v>
      </c>
      <c r="DV141">
        <v>17.32266</v>
      </c>
      <c r="DW141">
        <v>500.0069</v>
      </c>
      <c r="DX141">
        <v>89.73764666666666</v>
      </c>
      <c r="DY141">
        <v>0.09990780666666667</v>
      </c>
      <c r="DZ141">
        <v>24.73885333333333</v>
      </c>
      <c r="EA141">
        <v>24.99428</v>
      </c>
      <c r="EB141">
        <v>999.9000000000002</v>
      </c>
      <c r="EC141">
        <v>0</v>
      </c>
      <c r="ED141">
        <v>0</v>
      </c>
      <c r="EE141">
        <v>10012.46933333334</v>
      </c>
      <c r="EF141">
        <v>0</v>
      </c>
      <c r="EG141">
        <v>9.835680000000002</v>
      </c>
      <c r="EH141">
        <v>-2.457645666666667</v>
      </c>
      <c r="EI141">
        <v>1524.105666666667</v>
      </c>
      <c r="EJ141">
        <v>1526.466666666666</v>
      </c>
      <c r="EK141">
        <v>0.09036776333333334</v>
      </c>
      <c r="EL141">
        <v>1500.039333333333</v>
      </c>
      <c r="EM141">
        <v>17.31311333333333</v>
      </c>
      <c r="EN141">
        <v>1.561748</v>
      </c>
      <c r="EO141">
        <v>1.553638333333333</v>
      </c>
      <c r="EP141">
        <v>13.58647333333333</v>
      </c>
      <c r="EQ141">
        <v>13.50649</v>
      </c>
      <c r="ER141">
        <v>800.0093333333333</v>
      </c>
      <c r="ES141">
        <v>0.9499964666666664</v>
      </c>
      <c r="ET141">
        <v>0.05000381</v>
      </c>
      <c r="EU141">
        <v>0</v>
      </c>
      <c r="EV141">
        <v>825.7273333333334</v>
      </c>
      <c r="EW141">
        <v>5.00078</v>
      </c>
      <c r="EX141">
        <v>6265.467000000001</v>
      </c>
      <c r="EY141">
        <v>6463.485333333334</v>
      </c>
      <c r="EZ141">
        <v>37.21646666666666</v>
      </c>
      <c r="FA141">
        <v>40.02473333333332</v>
      </c>
      <c r="FB141">
        <v>38.80386666666665</v>
      </c>
      <c r="FC141">
        <v>40.10813333333332</v>
      </c>
      <c r="FD141">
        <v>38.80799999999999</v>
      </c>
      <c r="FE141">
        <v>755.2566666666664</v>
      </c>
      <c r="FF141">
        <v>39.75166666666667</v>
      </c>
      <c r="FG141">
        <v>0</v>
      </c>
      <c r="FH141">
        <v>1765317368.3</v>
      </c>
      <c r="FI141">
        <v>0</v>
      </c>
      <c r="FJ141">
        <v>825.7446399999999</v>
      </c>
      <c r="FK141">
        <v>0.5660769204060777</v>
      </c>
      <c r="FL141">
        <v>-17.85461542463704</v>
      </c>
      <c r="FM141">
        <v>6265.3188</v>
      </c>
      <c r="FN141">
        <v>15</v>
      </c>
      <c r="FO141">
        <v>1765317384.5</v>
      </c>
      <c r="FP141" t="s">
        <v>819</v>
      </c>
      <c r="FQ141">
        <v>1765317384.5</v>
      </c>
      <c r="FR141">
        <v>1765317384.5</v>
      </c>
      <c r="FS141">
        <v>124</v>
      </c>
      <c r="FT141">
        <v>0.278</v>
      </c>
      <c r="FU141">
        <v>-0.001</v>
      </c>
      <c r="FV141">
        <v>2.12</v>
      </c>
      <c r="FW141">
        <v>0.079</v>
      </c>
      <c r="FX141">
        <v>1500</v>
      </c>
      <c r="FY141">
        <v>17</v>
      </c>
      <c r="FZ141">
        <v>1.45</v>
      </c>
      <c r="GA141">
        <v>0.17</v>
      </c>
      <c r="GB141">
        <v>-2.4805265</v>
      </c>
      <c r="GC141">
        <v>0.4478186116322737</v>
      </c>
      <c r="GD141">
        <v>0.1393538241949248</v>
      </c>
      <c r="GE141">
        <v>1</v>
      </c>
      <c r="GF141">
        <v>825.7357647058823</v>
      </c>
      <c r="GG141">
        <v>0.1577081731196383</v>
      </c>
      <c r="GH141">
        <v>0.2018791220775252</v>
      </c>
      <c r="GI141">
        <v>1</v>
      </c>
      <c r="GJ141">
        <v>0.0891214825</v>
      </c>
      <c r="GK141">
        <v>0.02498499399624742</v>
      </c>
      <c r="GL141">
        <v>0.003493793592707467</v>
      </c>
      <c r="GM141">
        <v>1</v>
      </c>
      <c r="GN141">
        <v>3</v>
      </c>
      <c r="GO141">
        <v>3</v>
      </c>
      <c r="GP141" t="s">
        <v>440</v>
      </c>
      <c r="GQ141">
        <v>3.10831</v>
      </c>
      <c r="GR141">
        <v>2.79169</v>
      </c>
      <c r="GS141">
        <v>0.204806</v>
      </c>
      <c r="GT141">
        <v>0.205273</v>
      </c>
      <c r="GU141">
        <v>0.0858575</v>
      </c>
      <c r="GV141">
        <v>0.08640680000000001</v>
      </c>
      <c r="GW141">
        <v>20878.6</v>
      </c>
      <c r="GX141">
        <v>18942.3</v>
      </c>
      <c r="GY141">
        <v>26810.7</v>
      </c>
      <c r="GZ141">
        <v>24038.5</v>
      </c>
      <c r="HA141">
        <v>39184.8</v>
      </c>
      <c r="HB141">
        <v>32424</v>
      </c>
      <c r="HC141">
        <v>46794.7</v>
      </c>
      <c r="HD141">
        <v>38013.9</v>
      </c>
      <c r="HE141">
        <v>1.8944</v>
      </c>
      <c r="HF141">
        <v>1.87357</v>
      </c>
      <c r="HG141">
        <v>0.0854731</v>
      </c>
      <c r="HH141">
        <v>0</v>
      </c>
      <c r="HI141">
        <v>23.5836</v>
      </c>
      <c r="HJ141">
        <v>999.9</v>
      </c>
      <c r="HK141">
        <v>41.4</v>
      </c>
      <c r="HL141">
        <v>30.6</v>
      </c>
      <c r="HM141">
        <v>20.3421</v>
      </c>
      <c r="HN141">
        <v>61.4332</v>
      </c>
      <c r="HO141">
        <v>27.2957</v>
      </c>
      <c r="HP141">
        <v>1</v>
      </c>
      <c r="HQ141">
        <v>-0.0122459</v>
      </c>
      <c r="HR141">
        <v>0.5570040000000001</v>
      </c>
      <c r="HS141">
        <v>20.2939</v>
      </c>
      <c r="HT141">
        <v>5.22238</v>
      </c>
      <c r="HU141">
        <v>11.9767</v>
      </c>
      <c r="HV141">
        <v>4.9655</v>
      </c>
      <c r="HW141">
        <v>3.27595</v>
      </c>
      <c r="HX141">
        <v>9999</v>
      </c>
      <c r="HY141">
        <v>9999</v>
      </c>
      <c r="HZ141">
        <v>9999</v>
      </c>
      <c r="IA141">
        <v>999.9</v>
      </c>
      <c r="IB141">
        <v>1.86389</v>
      </c>
      <c r="IC141">
        <v>1.86006</v>
      </c>
      <c r="ID141">
        <v>1.85835</v>
      </c>
      <c r="IE141">
        <v>1.85967</v>
      </c>
      <c r="IF141">
        <v>1.85983</v>
      </c>
      <c r="IG141">
        <v>1.85835</v>
      </c>
      <c r="IH141">
        <v>1.85744</v>
      </c>
      <c r="II141">
        <v>1.85238</v>
      </c>
      <c r="IJ141">
        <v>0</v>
      </c>
      <c r="IK141">
        <v>0</v>
      </c>
      <c r="IL141">
        <v>0</v>
      </c>
      <c r="IM141">
        <v>0</v>
      </c>
      <c r="IN141" t="s">
        <v>441</v>
      </c>
      <c r="IO141" t="s">
        <v>442</v>
      </c>
      <c r="IP141" t="s">
        <v>443</v>
      </c>
      <c r="IQ141" t="s">
        <v>443</v>
      </c>
      <c r="IR141" t="s">
        <v>443</v>
      </c>
      <c r="IS141" t="s">
        <v>443</v>
      </c>
      <c r="IT141">
        <v>0</v>
      </c>
      <c r="IU141">
        <v>100</v>
      </c>
      <c r="IV141">
        <v>100</v>
      </c>
      <c r="IW141">
        <v>2.12</v>
      </c>
      <c r="IX141">
        <v>0.079</v>
      </c>
      <c r="IY141">
        <v>-0.3272280930645514</v>
      </c>
      <c r="IZ141">
        <v>0.0001583678016168383</v>
      </c>
      <c r="JA141">
        <v>1.526473431467286E-06</v>
      </c>
      <c r="JB141">
        <v>-4.446382740029455E-10</v>
      </c>
      <c r="JC141">
        <v>-0.03613977498449863</v>
      </c>
      <c r="JD141">
        <v>-0.009941991807247691</v>
      </c>
      <c r="JE141">
        <v>0.001256427533001032</v>
      </c>
      <c r="JF141">
        <v>-1.689728105039484E-05</v>
      </c>
      <c r="JG141">
        <v>2</v>
      </c>
      <c r="JH141">
        <v>1984</v>
      </c>
      <c r="JI141">
        <v>0</v>
      </c>
      <c r="JJ141">
        <v>25</v>
      </c>
      <c r="JK141">
        <v>1.3</v>
      </c>
      <c r="JL141">
        <v>1.4</v>
      </c>
      <c r="JM141">
        <v>3.16772</v>
      </c>
      <c r="JN141">
        <v>2.60498</v>
      </c>
      <c r="JO141">
        <v>1.49658</v>
      </c>
      <c r="JP141">
        <v>2.34741</v>
      </c>
      <c r="JQ141">
        <v>1.54907</v>
      </c>
      <c r="JR141">
        <v>2.46704</v>
      </c>
      <c r="JS141">
        <v>35.1516</v>
      </c>
      <c r="JT141">
        <v>24.14</v>
      </c>
      <c r="JU141">
        <v>18</v>
      </c>
      <c r="JV141">
        <v>479.64</v>
      </c>
      <c r="JW141">
        <v>495.456</v>
      </c>
      <c r="JX141">
        <v>23.2729</v>
      </c>
      <c r="JY141">
        <v>27.0498</v>
      </c>
      <c r="JZ141">
        <v>29.9998</v>
      </c>
      <c r="KA141">
        <v>27.3747</v>
      </c>
      <c r="KB141">
        <v>27.3951</v>
      </c>
      <c r="KC141">
        <v>63.5531</v>
      </c>
      <c r="KD141">
        <v>15.8673</v>
      </c>
      <c r="KE141">
        <v>53.6639</v>
      </c>
      <c r="KF141">
        <v>23.272</v>
      </c>
      <c r="KG141">
        <v>1500</v>
      </c>
      <c r="KH141">
        <v>17.331</v>
      </c>
      <c r="KI141">
        <v>102.331</v>
      </c>
      <c r="KJ141">
        <v>91.6918</v>
      </c>
    </row>
    <row r="142" spans="1:296">
      <c r="A142">
        <v>124</v>
      </c>
      <c r="B142">
        <v>1765317475.5</v>
      </c>
      <c r="C142">
        <v>20042.5</v>
      </c>
      <c r="D142" t="s">
        <v>820</v>
      </c>
      <c r="E142" t="s">
        <v>821</v>
      </c>
      <c r="F142">
        <v>5</v>
      </c>
      <c r="G142" t="s">
        <v>782</v>
      </c>
      <c r="H142">
        <v>1765317467.5</v>
      </c>
      <c r="I142">
        <f>(J142)/1000</f>
        <v>0</v>
      </c>
      <c r="J142">
        <f>IF(DO142, AM142, AG142)</f>
        <v>0</v>
      </c>
      <c r="K142">
        <f>IF(DO142, AH142, AF142)</f>
        <v>0</v>
      </c>
      <c r="L142">
        <f>DQ142 - IF(AT142&gt;1, K142*DK142*100.0/(AV142), 0)</f>
        <v>0</v>
      </c>
      <c r="M142">
        <f>((S142-I142/2)*L142-K142)/(S142+I142/2)</f>
        <v>0</v>
      </c>
      <c r="N142">
        <f>M142*(DX142+DY142)/1000.0</f>
        <v>0</v>
      </c>
      <c r="O142">
        <f>(DQ142 - IF(AT142&gt;1, K142*DK142*100.0/(AV142), 0))*(DX142+DY142)/1000.0</f>
        <v>0</v>
      </c>
      <c r="P142">
        <f>2.0/((1/R142-1/Q142)+SIGN(R142)*SQRT((1/R142-1/Q142)*(1/R142-1/Q142) + 4*DL142/((DL142+1)*(DL142+1))*(2*1/R142*1/Q142-1/Q142*1/Q142)))</f>
        <v>0</v>
      </c>
      <c r="Q142">
        <f>IF(LEFT(DM142,1)&lt;&gt;"0",IF(LEFT(DM142,1)="1",3.0,DN142),$D$5+$E$5*(EE142*DX142/($K$5*1000))+$F$5*(EE142*DX142/($K$5*1000))*MAX(MIN(DK142,$J$5),$I$5)*MAX(MIN(DK142,$J$5),$I$5)+$G$5*MAX(MIN(DK142,$J$5),$I$5)*(EE142*DX142/($K$5*1000))+$H$5*(EE142*DX142/($K$5*1000))*(EE142*DX142/($K$5*1000)))</f>
        <v>0</v>
      </c>
      <c r="R142">
        <f>I142*(1000-(1000*0.61365*exp(17.502*V142/(240.97+V142))/(DX142+DY142)+DS142)/2)/(1000*0.61365*exp(17.502*V142/(240.97+V142))/(DX142+DY142)-DS142)</f>
        <v>0</v>
      </c>
      <c r="S142">
        <f>1/((DL142+1)/(P142/1.6)+1/(Q142/1.37)) + DL142/((DL142+1)/(P142/1.6) + DL142/(Q142/1.37))</f>
        <v>0</v>
      </c>
      <c r="T142">
        <f>(DG142*DJ142)</f>
        <v>0</v>
      </c>
      <c r="U142">
        <f>(DZ142+(T142+2*0.95*5.67E-8*(((DZ142+$B$9)+273)^4-(DZ142+273)^4)-44100*I142)/(1.84*29.3*Q142+8*0.95*5.67E-8*(DZ142+273)^3))</f>
        <v>0</v>
      </c>
      <c r="V142">
        <f>($C$9*EA142+$D$9*EB142+$E$9*U142)</f>
        <v>0</v>
      </c>
      <c r="W142">
        <f>0.61365*exp(17.502*V142/(240.97+V142))</f>
        <v>0</v>
      </c>
      <c r="X142">
        <f>(Y142/Z142*100)</f>
        <v>0</v>
      </c>
      <c r="Y142">
        <f>DS142*(DX142+DY142)/1000</f>
        <v>0</v>
      </c>
      <c r="Z142">
        <f>0.61365*exp(17.502*DZ142/(240.97+DZ142))</f>
        <v>0</v>
      </c>
      <c r="AA142">
        <f>(W142-DS142*(DX142+DY142)/1000)</f>
        <v>0</v>
      </c>
      <c r="AB142">
        <f>(-I142*44100)</f>
        <v>0</v>
      </c>
      <c r="AC142">
        <f>2*29.3*Q142*0.92*(DZ142-V142)</f>
        <v>0</v>
      </c>
      <c r="AD142">
        <f>2*0.95*5.67E-8*(((DZ142+$B$9)+273)^4-(V142+273)^4)</f>
        <v>0</v>
      </c>
      <c r="AE142">
        <f>T142+AD142+AB142+AC142</f>
        <v>0</v>
      </c>
      <c r="AF142">
        <f>DW142*AT142*(DR142-DQ142*(1000-AT142*DT142)/(1000-AT142*DS142))/(100*DK142)</f>
        <v>0</v>
      </c>
      <c r="AG142">
        <f>1000*DW142*AT142*(DS142-DT142)/(100*DK142*(1000-AT142*DS142))</f>
        <v>0</v>
      </c>
      <c r="AH142">
        <f>(AI142 - AJ142 - DX142*1E3/(8.314*(DZ142+273.15)) * AL142/DW142 * AK142) * DW142/(100*DK142) * (1000 - DT142)/1000</f>
        <v>0</v>
      </c>
      <c r="AI142">
        <v>407.0682067963319</v>
      </c>
      <c r="AJ142">
        <v>407.5455878787879</v>
      </c>
      <c r="AK142">
        <v>0.00562981902157228</v>
      </c>
      <c r="AL142">
        <v>65.75758462384661</v>
      </c>
      <c r="AM142">
        <f>(AO142 - AN142 + DX142*1E3/(8.314*(DZ142+273.15)) * AQ142/DW142 * AP142) * DW142/(100*DK142) * 1000/(1000 - AO142)</f>
        <v>0</v>
      </c>
      <c r="AN142">
        <v>17.40706967309132</v>
      </c>
      <c r="AO142">
        <v>17.48975939393939</v>
      </c>
      <c r="AP142">
        <v>5.790643621729555E-06</v>
      </c>
      <c r="AQ142">
        <v>107.2194281026996</v>
      </c>
      <c r="AR142">
        <v>0</v>
      </c>
      <c r="AS142">
        <v>0</v>
      </c>
      <c r="AT142">
        <f>IF(AR142*$H$15&gt;=AV142,1.0,(AV142/(AV142-AR142*$H$15)))</f>
        <v>0</v>
      </c>
      <c r="AU142">
        <f>(AT142-1)*100</f>
        <v>0</v>
      </c>
      <c r="AV142">
        <f>MAX(0,($B$15+$C$15*EE142)/(1+$D$15*EE142)*DX142/(DZ142+273)*$E$15)</f>
        <v>0</v>
      </c>
      <c r="AW142" t="s">
        <v>437</v>
      </c>
      <c r="AX142" t="s">
        <v>437</v>
      </c>
      <c r="AY142">
        <v>0</v>
      </c>
      <c r="AZ142">
        <v>0</v>
      </c>
      <c r="BA142">
        <f>1-AY142/AZ142</f>
        <v>0</v>
      </c>
      <c r="BB142">
        <v>0</v>
      </c>
      <c r="BC142" t="s">
        <v>437</v>
      </c>
      <c r="BD142" t="s">
        <v>437</v>
      </c>
      <c r="BE142">
        <v>0</v>
      </c>
      <c r="BF142">
        <v>0</v>
      </c>
      <c r="BG142">
        <f>1-BE142/BF142</f>
        <v>0</v>
      </c>
      <c r="BH142">
        <v>0.5</v>
      </c>
      <c r="BI142">
        <f>DH142</f>
        <v>0</v>
      </c>
      <c r="BJ142">
        <f>K142</f>
        <v>0</v>
      </c>
      <c r="BK142">
        <f>BG142*BH142*BI142</f>
        <v>0</v>
      </c>
      <c r="BL142">
        <f>(BJ142-BB142)/BI142</f>
        <v>0</v>
      </c>
      <c r="BM142">
        <f>(AZ142-BF142)/BF142</f>
        <v>0</v>
      </c>
      <c r="BN142">
        <f>AY142/(BA142+AY142/BF142)</f>
        <v>0</v>
      </c>
      <c r="BO142" t="s">
        <v>437</v>
      </c>
      <c r="BP142">
        <v>0</v>
      </c>
      <c r="BQ142">
        <f>IF(BP142&lt;&gt;0, BP142, BN142)</f>
        <v>0</v>
      </c>
      <c r="BR142">
        <f>1-BQ142/BF142</f>
        <v>0</v>
      </c>
      <c r="BS142">
        <f>(BF142-BE142)/(BF142-BQ142)</f>
        <v>0</v>
      </c>
      <c r="BT142">
        <f>(AZ142-BF142)/(AZ142-BQ142)</f>
        <v>0</v>
      </c>
      <c r="BU142">
        <f>(BF142-BE142)/(BF142-AY142)</f>
        <v>0</v>
      </c>
      <c r="BV142">
        <f>(AZ142-BF142)/(AZ142-AY142)</f>
        <v>0</v>
      </c>
      <c r="BW142">
        <f>(BS142*BQ142/BE142)</f>
        <v>0</v>
      </c>
      <c r="BX142">
        <f>(1-BW142)</f>
        <v>0</v>
      </c>
      <c r="DG142">
        <f>$B$13*EF142+$C$13*EG142+$F$13*ER142*(1-EU142)</f>
        <v>0</v>
      </c>
      <c r="DH142">
        <f>DG142*DI142</f>
        <v>0</v>
      </c>
      <c r="DI142">
        <f>($B$13*$D$11+$C$13*$D$11+$F$13*((FE142+EW142)/MAX(FE142+EW142+FF142, 0.1)*$I$11+FF142/MAX(FE142+EW142+FF142, 0.1)*$J$11))/($B$13+$C$13+$F$13)</f>
        <v>0</v>
      </c>
      <c r="DJ142">
        <f>($B$13*$K$11+$C$13*$K$11+$F$13*((FE142+EW142)/MAX(FE142+EW142+FF142, 0.1)*$P$11+FF142/MAX(FE142+EW142+FF142, 0.1)*$Q$11))/($B$13+$C$13+$F$13)</f>
        <v>0</v>
      </c>
      <c r="DK142">
        <v>5.66</v>
      </c>
      <c r="DL142">
        <v>0.5</v>
      </c>
      <c r="DM142" t="s">
        <v>438</v>
      </c>
      <c r="DN142">
        <v>2</v>
      </c>
      <c r="DO142" t="b">
        <v>1</v>
      </c>
      <c r="DP142">
        <v>1765317467.5</v>
      </c>
      <c r="DQ142">
        <v>400.0150322580645</v>
      </c>
      <c r="DR142">
        <v>399.9713548387097</v>
      </c>
      <c r="DS142">
        <v>17.46892258064516</v>
      </c>
      <c r="DT142">
        <v>17.4165</v>
      </c>
      <c r="DU142">
        <v>400.1900322580645</v>
      </c>
      <c r="DV142">
        <v>17.39492258064516</v>
      </c>
      <c r="DW142">
        <v>500.007129032258</v>
      </c>
      <c r="DX142">
        <v>89.74096774193548</v>
      </c>
      <c r="DY142">
        <v>0.09990623870967742</v>
      </c>
      <c r="DZ142">
        <v>24.72036129032258</v>
      </c>
      <c r="EA142">
        <v>24.99339032258065</v>
      </c>
      <c r="EB142">
        <v>999.9000000000003</v>
      </c>
      <c r="EC142">
        <v>0</v>
      </c>
      <c r="ED142">
        <v>0</v>
      </c>
      <c r="EE142">
        <v>10009.87258064516</v>
      </c>
      <c r="EF142">
        <v>0</v>
      </c>
      <c r="EG142">
        <v>9.835680000000004</v>
      </c>
      <c r="EH142">
        <v>0.4503911612903226</v>
      </c>
      <c r="EI142">
        <v>407.5440322580645</v>
      </c>
      <c r="EJ142">
        <v>407.0609999999999</v>
      </c>
      <c r="EK142">
        <v>0.05973255806451613</v>
      </c>
      <c r="EL142">
        <v>399.9713548387097</v>
      </c>
      <c r="EM142">
        <v>17.4165</v>
      </c>
      <c r="EN142">
        <v>1.568333225806452</v>
      </c>
      <c r="EO142">
        <v>1.562972580645161</v>
      </c>
      <c r="EP142">
        <v>13.65114838709678</v>
      </c>
      <c r="EQ142">
        <v>13.59851290322581</v>
      </c>
      <c r="ER142">
        <v>799.9923548387096</v>
      </c>
      <c r="ES142">
        <v>0.949999387096774</v>
      </c>
      <c r="ET142">
        <v>0.05000084193548388</v>
      </c>
      <c r="EU142">
        <v>0</v>
      </c>
      <c r="EV142">
        <v>827.0291612903227</v>
      </c>
      <c r="EW142">
        <v>5.000779999999999</v>
      </c>
      <c r="EX142">
        <v>6248.42451612903</v>
      </c>
      <c r="EY142">
        <v>6463.353548387096</v>
      </c>
      <c r="EZ142">
        <v>36.2498064516129</v>
      </c>
      <c r="FA142">
        <v>38.50174193548386</v>
      </c>
      <c r="FB142">
        <v>37.95335483870966</v>
      </c>
      <c r="FC142">
        <v>38.19729032258063</v>
      </c>
      <c r="FD142">
        <v>37.90493548387096</v>
      </c>
      <c r="FE142">
        <v>755.2412903225807</v>
      </c>
      <c r="FF142">
        <v>39.75032258064516</v>
      </c>
      <c r="FG142">
        <v>0</v>
      </c>
      <c r="FH142">
        <v>1765317475.1</v>
      </c>
      <c r="FI142">
        <v>0</v>
      </c>
      <c r="FJ142">
        <v>827.07332</v>
      </c>
      <c r="FK142">
        <v>1.781999991196448</v>
      </c>
      <c r="FL142">
        <v>1.866923064345934</v>
      </c>
      <c r="FM142">
        <v>6248.430000000001</v>
      </c>
      <c r="FN142">
        <v>15</v>
      </c>
      <c r="FO142">
        <v>1765317492.5</v>
      </c>
      <c r="FP142" t="s">
        <v>822</v>
      </c>
      <c r="FQ142">
        <v>1765317487.5</v>
      </c>
      <c r="FR142">
        <v>1765317492.5</v>
      </c>
      <c r="FS142">
        <v>125</v>
      </c>
      <c r="FT142">
        <v>-0.406</v>
      </c>
      <c r="FU142">
        <v>-0.005</v>
      </c>
      <c r="FV142">
        <v>-0.175</v>
      </c>
      <c r="FW142">
        <v>0.074</v>
      </c>
      <c r="FX142">
        <v>400</v>
      </c>
      <c r="FY142">
        <v>17</v>
      </c>
      <c r="FZ142">
        <v>0.55</v>
      </c>
      <c r="GA142">
        <v>0.14</v>
      </c>
      <c r="GB142">
        <v>0.4836924634146341</v>
      </c>
      <c r="GC142">
        <v>-0.5000431358885012</v>
      </c>
      <c r="GD142">
        <v>0.06642444444340138</v>
      </c>
      <c r="GE142">
        <v>0</v>
      </c>
      <c r="GF142">
        <v>826.9442058823528</v>
      </c>
      <c r="GG142">
        <v>2.191306337574829</v>
      </c>
      <c r="GH142">
        <v>0.3094011083492688</v>
      </c>
      <c r="GI142">
        <v>0</v>
      </c>
      <c r="GJ142">
        <v>0.06668323170731709</v>
      </c>
      <c r="GK142">
        <v>-0.07846558327526131</v>
      </c>
      <c r="GL142">
        <v>0.01735381215868003</v>
      </c>
      <c r="GM142">
        <v>1</v>
      </c>
      <c r="GN142">
        <v>1</v>
      </c>
      <c r="GO142">
        <v>3</v>
      </c>
      <c r="GP142" t="s">
        <v>469</v>
      </c>
      <c r="GQ142">
        <v>3.10819</v>
      </c>
      <c r="GR142">
        <v>2.79178</v>
      </c>
      <c r="GS142">
        <v>0.0844739</v>
      </c>
      <c r="GT142">
        <v>0.0844775</v>
      </c>
      <c r="GU142">
        <v>0.0861941</v>
      </c>
      <c r="GV142">
        <v>0.08669200000000001</v>
      </c>
      <c r="GW142">
        <v>24038.4</v>
      </c>
      <c r="GX142">
        <v>21821.1</v>
      </c>
      <c r="GY142">
        <v>26812.8</v>
      </c>
      <c r="GZ142">
        <v>24039.5</v>
      </c>
      <c r="HA142">
        <v>39158.6</v>
      </c>
      <c r="HB142">
        <v>32401.8</v>
      </c>
      <c r="HC142">
        <v>46798.9</v>
      </c>
      <c r="HD142">
        <v>38014.5</v>
      </c>
      <c r="HE142">
        <v>1.8944</v>
      </c>
      <c r="HF142">
        <v>1.87243</v>
      </c>
      <c r="HG142">
        <v>0.08590150000000001</v>
      </c>
      <c r="HH142">
        <v>0</v>
      </c>
      <c r="HI142">
        <v>23.5761</v>
      </c>
      <c r="HJ142">
        <v>999.9</v>
      </c>
      <c r="HK142">
        <v>41.5</v>
      </c>
      <c r="HL142">
        <v>30.6</v>
      </c>
      <c r="HM142">
        <v>20.3917</v>
      </c>
      <c r="HN142">
        <v>60.8432</v>
      </c>
      <c r="HO142">
        <v>27.7163</v>
      </c>
      <c r="HP142">
        <v>1</v>
      </c>
      <c r="HQ142">
        <v>-0.0172078</v>
      </c>
      <c r="HR142">
        <v>0.59976</v>
      </c>
      <c r="HS142">
        <v>20.2936</v>
      </c>
      <c r="HT142">
        <v>5.22328</v>
      </c>
      <c r="HU142">
        <v>11.9764</v>
      </c>
      <c r="HV142">
        <v>4.96565</v>
      </c>
      <c r="HW142">
        <v>3.2759</v>
      </c>
      <c r="HX142">
        <v>9999</v>
      </c>
      <c r="HY142">
        <v>9999</v>
      </c>
      <c r="HZ142">
        <v>9999</v>
      </c>
      <c r="IA142">
        <v>999.9</v>
      </c>
      <c r="IB142">
        <v>1.86386</v>
      </c>
      <c r="IC142">
        <v>1.86004</v>
      </c>
      <c r="ID142">
        <v>1.85837</v>
      </c>
      <c r="IE142">
        <v>1.85971</v>
      </c>
      <c r="IF142">
        <v>1.8598</v>
      </c>
      <c r="IG142">
        <v>1.85836</v>
      </c>
      <c r="IH142">
        <v>1.8574</v>
      </c>
      <c r="II142">
        <v>1.8524</v>
      </c>
      <c r="IJ142">
        <v>0</v>
      </c>
      <c r="IK142">
        <v>0</v>
      </c>
      <c r="IL142">
        <v>0</v>
      </c>
      <c r="IM142">
        <v>0</v>
      </c>
      <c r="IN142" t="s">
        <v>441</v>
      </c>
      <c r="IO142" t="s">
        <v>442</v>
      </c>
      <c r="IP142" t="s">
        <v>443</v>
      </c>
      <c r="IQ142" t="s">
        <v>443</v>
      </c>
      <c r="IR142" t="s">
        <v>443</v>
      </c>
      <c r="IS142" t="s">
        <v>443</v>
      </c>
      <c r="IT142">
        <v>0</v>
      </c>
      <c r="IU142">
        <v>100</v>
      </c>
      <c r="IV142">
        <v>100</v>
      </c>
      <c r="IW142">
        <v>-0.175</v>
      </c>
      <c r="IX142">
        <v>0.074</v>
      </c>
      <c r="IY142">
        <v>-0.04760369168737311</v>
      </c>
      <c r="IZ142">
        <v>0.0001583678016168383</v>
      </c>
      <c r="JA142">
        <v>1.526473431467286E-06</v>
      </c>
      <c r="JB142">
        <v>-4.446382740029455E-10</v>
      </c>
      <c r="JC142">
        <v>-0.03698749436222858</v>
      </c>
      <c r="JD142">
        <v>-0.009941991807247691</v>
      </c>
      <c r="JE142">
        <v>0.001256427533001032</v>
      </c>
      <c r="JF142">
        <v>-1.689728105039484E-05</v>
      </c>
      <c r="JG142">
        <v>2</v>
      </c>
      <c r="JH142">
        <v>1984</v>
      </c>
      <c r="JI142">
        <v>0</v>
      </c>
      <c r="JJ142">
        <v>25</v>
      </c>
      <c r="JK142">
        <v>1.5</v>
      </c>
      <c r="JL142">
        <v>1.5</v>
      </c>
      <c r="JM142">
        <v>1.09253</v>
      </c>
      <c r="JN142">
        <v>2.61841</v>
      </c>
      <c r="JO142">
        <v>1.49658</v>
      </c>
      <c r="JP142">
        <v>2.34741</v>
      </c>
      <c r="JQ142">
        <v>1.54907</v>
      </c>
      <c r="JR142">
        <v>2.39868</v>
      </c>
      <c r="JS142">
        <v>35.1286</v>
      </c>
      <c r="JT142">
        <v>24.1313</v>
      </c>
      <c r="JU142">
        <v>18</v>
      </c>
      <c r="JV142">
        <v>479.145</v>
      </c>
      <c r="JW142">
        <v>494.14</v>
      </c>
      <c r="JX142">
        <v>23.2407</v>
      </c>
      <c r="JY142">
        <v>26.9874</v>
      </c>
      <c r="JZ142">
        <v>29.9998</v>
      </c>
      <c r="KA142">
        <v>27.3106</v>
      </c>
      <c r="KB142">
        <v>27.3301</v>
      </c>
      <c r="KC142">
        <v>21.9753</v>
      </c>
      <c r="KD142">
        <v>15.5904</v>
      </c>
      <c r="KE142">
        <v>54.4059</v>
      </c>
      <c r="KF142">
        <v>23.2406</v>
      </c>
      <c r="KG142">
        <v>400</v>
      </c>
      <c r="KH142">
        <v>17.318</v>
      </c>
      <c r="KI142">
        <v>102.34</v>
      </c>
      <c r="KJ142">
        <v>91.6942</v>
      </c>
    </row>
    <row r="143" spans="1:296">
      <c r="A143">
        <v>125</v>
      </c>
      <c r="B143">
        <v>1765318540.6</v>
      </c>
      <c r="C143">
        <v>21107.59999990463</v>
      </c>
      <c r="D143" t="s">
        <v>823</v>
      </c>
      <c r="E143" t="s">
        <v>824</v>
      </c>
      <c r="F143">
        <v>5</v>
      </c>
      <c r="G143" t="s">
        <v>825</v>
      </c>
      <c r="H143">
        <v>1765318532.849999</v>
      </c>
      <c r="I143">
        <f>(J143)/1000</f>
        <v>0</v>
      </c>
      <c r="J143">
        <f>IF(DO143, AM143, AG143)</f>
        <v>0</v>
      </c>
      <c r="K143">
        <f>IF(DO143, AH143, AF143)</f>
        <v>0</v>
      </c>
      <c r="L143">
        <f>DQ143 - IF(AT143&gt;1, K143*DK143*100.0/(AV143), 0)</f>
        <v>0</v>
      </c>
      <c r="M143">
        <f>((S143-I143/2)*L143-K143)/(S143+I143/2)</f>
        <v>0</v>
      </c>
      <c r="N143">
        <f>M143*(DX143+DY143)/1000.0</f>
        <v>0</v>
      </c>
      <c r="O143">
        <f>(DQ143 - IF(AT143&gt;1, K143*DK143*100.0/(AV143), 0))*(DX143+DY143)/1000.0</f>
        <v>0</v>
      </c>
      <c r="P143">
        <f>2.0/((1/R143-1/Q143)+SIGN(R143)*SQRT((1/R143-1/Q143)*(1/R143-1/Q143) + 4*DL143/((DL143+1)*(DL143+1))*(2*1/R143*1/Q143-1/Q143*1/Q143)))</f>
        <v>0</v>
      </c>
      <c r="Q143">
        <f>IF(LEFT(DM143,1)&lt;&gt;"0",IF(LEFT(DM143,1)="1",3.0,DN143),$D$5+$E$5*(EE143*DX143/($K$5*1000))+$F$5*(EE143*DX143/($K$5*1000))*MAX(MIN(DK143,$J$5),$I$5)*MAX(MIN(DK143,$J$5),$I$5)+$G$5*MAX(MIN(DK143,$J$5),$I$5)*(EE143*DX143/($K$5*1000))+$H$5*(EE143*DX143/($K$5*1000))*(EE143*DX143/($K$5*1000)))</f>
        <v>0</v>
      </c>
      <c r="R143">
        <f>I143*(1000-(1000*0.61365*exp(17.502*V143/(240.97+V143))/(DX143+DY143)+DS143)/2)/(1000*0.61365*exp(17.502*V143/(240.97+V143))/(DX143+DY143)-DS143)</f>
        <v>0</v>
      </c>
      <c r="S143">
        <f>1/((DL143+1)/(P143/1.6)+1/(Q143/1.37)) + DL143/((DL143+1)/(P143/1.6) + DL143/(Q143/1.37))</f>
        <v>0</v>
      </c>
      <c r="T143">
        <f>(DG143*DJ143)</f>
        <v>0</v>
      </c>
      <c r="U143">
        <f>(DZ143+(T143+2*0.95*5.67E-8*(((DZ143+$B$9)+273)^4-(DZ143+273)^4)-44100*I143)/(1.84*29.3*Q143+8*0.95*5.67E-8*(DZ143+273)^3))</f>
        <v>0</v>
      </c>
      <c r="V143">
        <f>($C$9*EA143+$D$9*EB143+$E$9*U143)</f>
        <v>0</v>
      </c>
      <c r="W143">
        <f>0.61365*exp(17.502*V143/(240.97+V143))</f>
        <v>0</v>
      </c>
      <c r="X143">
        <f>(Y143/Z143*100)</f>
        <v>0</v>
      </c>
      <c r="Y143">
        <f>DS143*(DX143+DY143)/1000</f>
        <v>0</v>
      </c>
      <c r="Z143">
        <f>0.61365*exp(17.502*DZ143/(240.97+DZ143))</f>
        <v>0</v>
      </c>
      <c r="AA143">
        <f>(W143-DS143*(DX143+DY143)/1000)</f>
        <v>0</v>
      </c>
      <c r="AB143">
        <f>(-I143*44100)</f>
        <v>0</v>
      </c>
      <c r="AC143">
        <f>2*29.3*Q143*0.92*(DZ143-V143)</f>
        <v>0</v>
      </c>
      <c r="AD143">
        <f>2*0.95*5.67E-8*(((DZ143+$B$9)+273)^4-(V143+273)^4)</f>
        <v>0</v>
      </c>
      <c r="AE143">
        <f>T143+AD143+AB143+AC143</f>
        <v>0</v>
      </c>
      <c r="AF143">
        <f>DW143*AT143*(DR143-DQ143*(1000-AT143*DT143)/(1000-AT143*DS143))/(100*DK143)</f>
        <v>0</v>
      </c>
      <c r="AG143">
        <f>1000*DW143*AT143*(DS143-DT143)/(100*DK143*(1000-AT143*DS143))</f>
        <v>0</v>
      </c>
      <c r="AH143">
        <f>(AI143 - AJ143 - DX143*1E3/(8.314*(DZ143+273.15)) * AL143/DW143 * AK143) * DW143/(100*DK143) * (1000 - DT143)/1000</f>
        <v>0</v>
      </c>
      <c r="AI143">
        <v>406.9205245959872</v>
      </c>
      <c r="AJ143">
        <v>402.5077818181817</v>
      </c>
      <c r="AK143">
        <v>-0.001288552316512911</v>
      </c>
      <c r="AL143">
        <v>65.85980908829329</v>
      </c>
      <c r="AM143">
        <f>(AO143 - AN143 + DX143*1E3/(8.314*(DZ143+273.15)) * AQ143/DW143 * AP143) * DW143/(100*DK143) * 1000/(1000 - AO143)</f>
        <v>0</v>
      </c>
      <c r="AN143">
        <v>16.97090767913512</v>
      </c>
      <c r="AO143">
        <v>17.50826713286714</v>
      </c>
      <c r="AP143">
        <v>-1.210582346368403E-05</v>
      </c>
      <c r="AQ143">
        <v>109.5955739955783</v>
      </c>
      <c r="AR143">
        <v>15</v>
      </c>
      <c r="AS143">
        <v>3</v>
      </c>
      <c r="AT143">
        <f>IF(AR143*$H$15&gt;=AV143,1.0,(AV143/(AV143-AR143*$H$15)))</f>
        <v>0</v>
      </c>
      <c r="AU143">
        <f>(AT143-1)*100</f>
        <v>0</v>
      </c>
      <c r="AV143">
        <f>MAX(0,($B$15+$C$15*EE143)/(1+$D$15*EE143)*DX143/(DZ143+273)*$E$15)</f>
        <v>0</v>
      </c>
      <c r="AW143" t="s">
        <v>437</v>
      </c>
      <c r="AX143" t="s">
        <v>437</v>
      </c>
      <c r="AY143">
        <v>0</v>
      </c>
      <c r="AZ143">
        <v>0</v>
      </c>
      <c r="BA143">
        <f>1-AY143/AZ143</f>
        <v>0</v>
      </c>
      <c r="BB143">
        <v>0</v>
      </c>
      <c r="BC143" t="s">
        <v>437</v>
      </c>
      <c r="BD143" t="s">
        <v>437</v>
      </c>
      <c r="BE143">
        <v>0</v>
      </c>
      <c r="BF143">
        <v>0</v>
      </c>
      <c r="BG143">
        <f>1-BE143/BF143</f>
        <v>0</v>
      </c>
      <c r="BH143">
        <v>0.5</v>
      </c>
      <c r="BI143">
        <f>DH143</f>
        <v>0</v>
      </c>
      <c r="BJ143">
        <f>K143</f>
        <v>0</v>
      </c>
      <c r="BK143">
        <f>BG143*BH143*BI143</f>
        <v>0</v>
      </c>
      <c r="BL143">
        <f>(BJ143-BB143)/BI143</f>
        <v>0</v>
      </c>
      <c r="BM143">
        <f>(AZ143-BF143)/BF143</f>
        <v>0</v>
      </c>
      <c r="BN143">
        <f>AY143/(BA143+AY143/BF143)</f>
        <v>0</v>
      </c>
      <c r="BO143" t="s">
        <v>437</v>
      </c>
      <c r="BP143">
        <v>0</v>
      </c>
      <c r="BQ143">
        <f>IF(BP143&lt;&gt;0, BP143, BN143)</f>
        <v>0</v>
      </c>
      <c r="BR143">
        <f>1-BQ143/BF143</f>
        <v>0</v>
      </c>
      <c r="BS143">
        <f>(BF143-BE143)/(BF143-BQ143)</f>
        <v>0</v>
      </c>
      <c r="BT143">
        <f>(AZ143-BF143)/(AZ143-BQ143)</f>
        <v>0</v>
      </c>
      <c r="BU143">
        <f>(BF143-BE143)/(BF143-AY143)</f>
        <v>0</v>
      </c>
      <c r="BV143">
        <f>(AZ143-BF143)/(AZ143-AY143)</f>
        <v>0</v>
      </c>
      <c r="BW143">
        <f>(BS143*BQ143/BE143)</f>
        <v>0</v>
      </c>
      <c r="BX143">
        <f>(1-BW143)</f>
        <v>0</v>
      </c>
      <c r="DG143">
        <f>$B$13*EF143+$C$13*EG143+$F$13*ER143*(1-EU143)</f>
        <v>0</v>
      </c>
      <c r="DH143">
        <f>DG143*DI143</f>
        <v>0</v>
      </c>
      <c r="DI143">
        <f>($B$13*$D$11+$C$13*$D$11+$F$13*((FE143+EW143)/MAX(FE143+EW143+FF143, 0.1)*$I$11+FF143/MAX(FE143+EW143+FF143, 0.1)*$J$11))/($B$13+$C$13+$F$13)</f>
        <v>0</v>
      </c>
      <c r="DJ143">
        <f>($B$13*$K$11+$C$13*$K$11+$F$13*((FE143+EW143)/MAX(FE143+EW143+FF143, 0.1)*$P$11+FF143/MAX(FE143+EW143+FF143, 0.1)*$Q$11))/($B$13+$C$13+$F$13)</f>
        <v>0</v>
      </c>
      <c r="DK143">
        <v>6</v>
      </c>
      <c r="DL143">
        <v>0.5</v>
      </c>
      <c r="DM143" t="s">
        <v>438</v>
      </c>
      <c r="DN143">
        <v>2</v>
      </c>
      <c r="DO143" t="b">
        <v>1</v>
      </c>
      <c r="DP143">
        <v>1765318532.849999</v>
      </c>
      <c r="DQ143">
        <v>395.5751</v>
      </c>
      <c r="DR143">
        <v>399.9985666666667</v>
      </c>
      <c r="DS143">
        <v>17.49783</v>
      </c>
      <c r="DT143">
        <v>16.97162</v>
      </c>
      <c r="DU143">
        <v>395.6821</v>
      </c>
      <c r="DV143">
        <v>17.43183</v>
      </c>
      <c r="DW143">
        <v>500.0133999999999</v>
      </c>
      <c r="DX143">
        <v>89.72909333333332</v>
      </c>
      <c r="DY143">
        <v>0.09998602333333335</v>
      </c>
      <c r="DZ143">
        <v>24.79213</v>
      </c>
      <c r="EA143">
        <v>25.01194333333334</v>
      </c>
      <c r="EB143">
        <v>999.9000000000002</v>
      </c>
      <c r="EC143">
        <v>0</v>
      </c>
      <c r="ED143">
        <v>0</v>
      </c>
      <c r="EE143">
        <v>10001.87366666667</v>
      </c>
      <c r="EF143">
        <v>0</v>
      </c>
      <c r="EG143">
        <v>9.89639</v>
      </c>
      <c r="EH143">
        <v>-4.496435333333333</v>
      </c>
      <c r="EI143">
        <v>402.5502</v>
      </c>
      <c r="EJ143">
        <v>406.9045</v>
      </c>
      <c r="EK143">
        <v>0.5369086333333333</v>
      </c>
      <c r="EL143">
        <v>399.9985666666667</v>
      </c>
      <c r="EM143">
        <v>16.97162</v>
      </c>
      <c r="EN143">
        <v>1.571024666666667</v>
      </c>
      <c r="EO143">
        <v>1.522849333333333</v>
      </c>
      <c r="EP143">
        <v>13.67751</v>
      </c>
      <c r="EQ143">
        <v>13.19952</v>
      </c>
      <c r="ER143">
        <v>799.9735999999999</v>
      </c>
      <c r="ES143">
        <v>0.9499969666666669</v>
      </c>
      <c r="ET143">
        <v>0.05000278333333334</v>
      </c>
      <c r="EU143">
        <v>0</v>
      </c>
      <c r="EV143">
        <v>858.3592666666668</v>
      </c>
      <c r="EW143">
        <v>5.00078</v>
      </c>
      <c r="EX143">
        <v>6493.531333333333</v>
      </c>
      <c r="EY143">
        <v>6463.196666666667</v>
      </c>
      <c r="EZ143">
        <v>37.43726666666666</v>
      </c>
      <c r="FA143">
        <v>41.0498</v>
      </c>
      <c r="FB143">
        <v>39.72053333333333</v>
      </c>
      <c r="FC143">
        <v>41.46226666666666</v>
      </c>
      <c r="FD143">
        <v>39.67473333333331</v>
      </c>
      <c r="FE143">
        <v>755.2223333333332</v>
      </c>
      <c r="FF143">
        <v>39.75</v>
      </c>
      <c r="FG143">
        <v>0</v>
      </c>
      <c r="FH143">
        <v>1765318540.1</v>
      </c>
      <c r="FI143">
        <v>0</v>
      </c>
      <c r="FJ143">
        <v>858.3414230769231</v>
      </c>
      <c r="FK143">
        <v>-2.407623939142062</v>
      </c>
      <c r="FL143">
        <v>-5.063247808156965</v>
      </c>
      <c r="FM143">
        <v>6493.64923076923</v>
      </c>
      <c r="FN143">
        <v>15</v>
      </c>
      <c r="FO143">
        <v>1765318564.6</v>
      </c>
      <c r="FP143" t="s">
        <v>826</v>
      </c>
      <c r="FQ143">
        <v>1765318564.6</v>
      </c>
      <c r="FR143">
        <v>1765318558.6</v>
      </c>
      <c r="FS143">
        <v>126</v>
      </c>
      <c r="FT143">
        <v>0.068</v>
      </c>
      <c r="FU143">
        <v>-0.001</v>
      </c>
      <c r="FV143">
        <v>-0.107</v>
      </c>
      <c r="FW143">
        <v>0.066</v>
      </c>
      <c r="FX143">
        <v>400</v>
      </c>
      <c r="FY143">
        <v>17</v>
      </c>
      <c r="FZ143">
        <v>0.31</v>
      </c>
      <c r="GA143">
        <v>0.15</v>
      </c>
      <c r="GB143">
        <v>-4.5016935</v>
      </c>
      <c r="GC143">
        <v>0.1884312945591104</v>
      </c>
      <c r="GD143">
        <v>0.05162024179282774</v>
      </c>
      <c r="GE143">
        <v>1</v>
      </c>
      <c r="GF143">
        <v>858.4952352941176</v>
      </c>
      <c r="GG143">
        <v>-2.384171124578455</v>
      </c>
      <c r="GH143">
        <v>0.3078306504274079</v>
      </c>
      <c r="GI143">
        <v>0</v>
      </c>
      <c r="GJ143">
        <v>0.537683375</v>
      </c>
      <c r="GK143">
        <v>-0.009064221388368727</v>
      </c>
      <c r="GL143">
        <v>0.001614259004737165</v>
      </c>
      <c r="GM143">
        <v>1</v>
      </c>
      <c r="GN143">
        <v>2</v>
      </c>
      <c r="GO143">
        <v>3</v>
      </c>
      <c r="GP143" t="s">
        <v>453</v>
      </c>
      <c r="GQ143">
        <v>3.10819</v>
      </c>
      <c r="GR143">
        <v>2.79173</v>
      </c>
      <c r="GS143">
        <v>0.0838069</v>
      </c>
      <c r="GT143">
        <v>0.084546</v>
      </c>
      <c r="GU143">
        <v>0.0863468</v>
      </c>
      <c r="GV143">
        <v>0.0852</v>
      </c>
      <c r="GW143">
        <v>24066.8</v>
      </c>
      <c r="GX143">
        <v>21825.8</v>
      </c>
      <c r="GY143">
        <v>26823.8</v>
      </c>
      <c r="GZ143">
        <v>24045.3</v>
      </c>
      <c r="HA143">
        <v>39167.7</v>
      </c>
      <c r="HB143">
        <v>32460.6</v>
      </c>
      <c r="HC143">
        <v>46818.4</v>
      </c>
      <c r="HD143">
        <v>38021.2</v>
      </c>
      <c r="HE143">
        <v>1.86873</v>
      </c>
      <c r="HF143">
        <v>1.87915</v>
      </c>
      <c r="HG143">
        <v>0.08079409999999999</v>
      </c>
      <c r="HH143">
        <v>0</v>
      </c>
      <c r="HI143">
        <v>23.6745</v>
      </c>
      <c r="HJ143">
        <v>999.9</v>
      </c>
      <c r="HK143">
        <v>41.7</v>
      </c>
      <c r="HL143">
        <v>30.3</v>
      </c>
      <c r="HM143">
        <v>20.1443</v>
      </c>
      <c r="HN143">
        <v>61.195</v>
      </c>
      <c r="HO143">
        <v>27.6562</v>
      </c>
      <c r="HP143">
        <v>1</v>
      </c>
      <c r="HQ143">
        <v>-0.0432673</v>
      </c>
      <c r="HR143">
        <v>0.666593</v>
      </c>
      <c r="HS143">
        <v>20.2948</v>
      </c>
      <c r="HT143">
        <v>5.22073</v>
      </c>
      <c r="HU143">
        <v>11.9748</v>
      </c>
      <c r="HV143">
        <v>4.96555</v>
      </c>
      <c r="HW143">
        <v>3.2759</v>
      </c>
      <c r="HX143">
        <v>9999</v>
      </c>
      <c r="HY143">
        <v>9999</v>
      </c>
      <c r="HZ143">
        <v>9999</v>
      </c>
      <c r="IA143">
        <v>999.9</v>
      </c>
      <c r="IB143">
        <v>1.86387</v>
      </c>
      <c r="IC143">
        <v>1.86005</v>
      </c>
      <c r="ID143">
        <v>1.85835</v>
      </c>
      <c r="IE143">
        <v>1.85971</v>
      </c>
      <c r="IF143">
        <v>1.8598</v>
      </c>
      <c r="IG143">
        <v>1.85834</v>
      </c>
      <c r="IH143">
        <v>1.85741</v>
      </c>
      <c r="II143">
        <v>1.85237</v>
      </c>
      <c r="IJ143">
        <v>0</v>
      </c>
      <c r="IK143">
        <v>0</v>
      </c>
      <c r="IL143">
        <v>0</v>
      </c>
      <c r="IM143">
        <v>0</v>
      </c>
      <c r="IN143" t="s">
        <v>441</v>
      </c>
      <c r="IO143" t="s">
        <v>442</v>
      </c>
      <c r="IP143" t="s">
        <v>443</v>
      </c>
      <c r="IQ143" t="s">
        <v>443</v>
      </c>
      <c r="IR143" t="s">
        <v>443</v>
      </c>
      <c r="IS143" t="s">
        <v>443</v>
      </c>
      <c r="IT143">
        <v>0</v>
      </c>
      <c r="IU143">
        <v>100</v>
      </c>
      <c r="IV143">
        <v>100</v>
      </c>
      <c r="IW143">
        <v>-0.107</v>
      </c>
      <c r="IX143">
        <v>0.066</v>
      </c>
      <c r="IY143">
        <v>-0.4539911626692497</v>
      </c>
      <c r="IZ143">
        <v>0.0001583678016168383</v>
      </c>
      <c r="JA143">
        <v>1.526473431467286E-06</v>
      </c>
      <c r="JB143">
        <v>-4.446382740029455E-10</v>
      </c>
      <c r="JC143">
        <v>-0.04227345307117963</v>
      </c>
      <c r="JD143">
        <v>-0.009941991807247691</v>
      </c>
      <c r="JE143">
        <v>0.001256427533001032</v>
      </c>
      <c r="JF143">
        <v>-1.689728105039484E-05</v>
      </c>
      <c r="JG143">
        <v>2</v>
      </c>
      <c r="JH143">
        <v>1984</v>
      </c>
      <c r="JI143">
        <v>0</v>
      </c>
      <c r="JJ143">
        <v>25</v>
      </c>
      <c r="JK143">
        <v>17.6</v>
      </c>
      <c r="JL143">
        <v>17.5</v>
      </c>
      <c r="JM143">
        <v>1.09253</v>
      </c>
      <c r="JN143">
        <v>2.60742</v>
      </c>
      <c r="JO143">
        <v>1.49658</v>
      </c>
      <c r="JP143">
        <v>2.34741</v>
      </c>
      <c r="JQ143">
        <v>1.54907</v>
      </c>
      <c r="JR143">
        <v>2.42676</v>
      </c>
      <c r="JS143">
        <v>34.8755</v>
      </c>
      <c r="JT143">
        <v>24.14</v>
      </c>
      <c r="JU143">
        <v>18</v>
      </c>
      <c r="JV143">
        <v>461.927</v>
      </c>
      <c r="JW143">
        <v>495.318</v>
      </c>
      <c r="JX143">
        <v>23.252</v>
      </c>
      <c r="JY143">
        <v>26.6665</v>
      </c>
      <c r="JZ143">
        <v>30.0002</v>
      </c>
      <c r="KA143">
        <v>26.9493</v>
      </c>
      <c r="KB143">
        <v>26.9586</v>
      </c>
      <c r="KC143">
        <v>21.9839</v>
      </c>
      <c r="KD143">
        <v>16.6986</v>
      </c>
      <c r="KE143">
        <v>57.6423</v>
      </c>
      <c r="KF143">
        <v>23.2498</v>
      </c>
      <c r="KG143">
        <v>400</v>
      </c>
      <c r="KH143">
        <v>16.9469</v>
      </c>
      <c r="KI143">
        <v>102.382</v>
      </c>
      <c r="KJ143">
        <v>91.71250000000001</v>
      </c>
    </row>
    <row r="144" spans="1:296">
      <c r="A144">
        <v>126</v>
      </c>
      <c r="B144">
        <v>1765318638.1</v>
      </c>
      <c r="C144">
        <v>21205.09999990463</v>
      </c>
      <c r="D144" t="s">
        <v>827</v>
      </c>
      <c r="E144" t="s">
        <v>828</v>
      </c>
      <c r="F144">
        <v>5</v>
      </c>
      <c r="G144" t="s">
        <v>825</v>
      </c>
      <c r="H144">
        <v>1765318630.349999</v>
      </c>
      <c r="I144">
        <f>(J144)/1000</f>
        <v>0</v>
      </c>
      <c r="J144">
        <f>IF(DO144, AM144, AG144)</f>
        <v>0</v>
      </c>
      <c r="K144">
        <f>IF(DO144, AH144, AF144)</f>
        <v>0</v>
      </c>
      <c r="L144">
        <f>DQ144 - IF(AT144&gt;1, K144*DK144*100.0/(AV144), 0)</f>
        <v>0</v>
      </c>
      <c r="M144">
        <f>((S144-I144/2)*L144-K144)/(S144+I144/2)</f>
        <v>0</v>
      </c>
      <c r="N144">
        <f>M144*(DX144+DY144)/1000.0</f>
        <v>0</v>
      </c>
      <c r="O144">
        <f>(DQ144 - IF(AT144&gt;1, K144*DK144*100.0/(AV144), 0))*(DX144+DY144)/1000.0</f>
        <v>0</v>
      </c>
      <c r="P144">
        <f>2.0/((1/R144-1/Q144)+SIGN(R144)*SQRT((1/R144-1/Q144)*(1/R144-1/Q144) + 4*DL144/((DL144+1)*(DL144+1))*(2*1/R144*1/Q144-1/Q144*1/Q144)))</f>
        <v>0</v>
      </c>
      <c r="Q144">
        <f>IF(LEFT(DM144,1)&lt;&gt;"0",IF(LEFT(DM144,1)="1",3.0,DN144),$D$5+$E$5*(EE144*DX144/($K$5*1000))+$F$5*(EE144*DX144/($K$5*1000))*MAX(MIN(DK144,$J$5),$I$5)*MAX(MIN(DK144,$J$5),$I$5)+$G$5*MAX(MIN(DK144,$J$5),$I$5)*(EE144*DX144/($K$5*1000))+$H$5*(EE144*DX144/($K$5*1000))*(EE144*DX144/($K$5*1000)))</f>
        <v>0</v>
      </c>
      <c r="R144">
        <f>I144*(1000-(1000*0.61365*exp(17.502*V144/(240.97+V144))/(DX144+DY144)+DS144)/2)/(1000*0.61365*exp(17.502*V144/(240.97+V144))/(DX144+DY144)-DS144)</f>
        <v>0</v>
      </c>
      <c r="S144">
        <f>1/((DL144+1)/(P144/1.6)+1/(Q144/1.37)) + DL144/((DL144+1)/(P144/1.6) + DL144/(Q144/1.37))</f>
        <v>0</v>
      </c>
      <c r="T144">
        <f>(DG144*DJ144)</f>
        <v>0</v>
      </c>
      <c r="U144">
        <f>(DZ144+(T144+2*0.95*5.67E-8*(((DZ144+$B$9)+273)^4-(DZ144+273)^4)-44100*I144)/(1.84*29.3*Q144+8*0.95*5.67E-8*(DZ144+273)^3))</f>
        <v>0</v>
      </c>
      <c r="V144">
        <f>($C$9*EA144+$D$9*EB144+$E$9*U144)</f>
        <v>0</v>
      </c>
      <c r="W144">
        <f>0.61365*exp(17.502*V144/(240.97+V144))</f>
        <v>0</v>
      </c>
      <c r="X144">
        <f>(Y144/Z144*100)</f>
        <v>0</v>
      </c>
      <c r="Y144">
        <f>DS144*(DX144+DY144)/1000</f>
        <v>0</v>
      </c>
      <c r="Z144">
        <f>0.61365*exp(17.502*DZ144/(240.97+DZ144))</f>
        <v>0</v>
      </c>
      <c r="AA144">
        <f>(W144-DS144*(DX144+DY144)/1000)</f>
        <v>0</v>
      </c>
      <c r="AB144">
        <f>(-I144*44100)</f>
        <v>0</v>
      </c>
      <c r="AC144">
        <f>2*29.3*Q144*0.92*(DZ144-V144)</f>
        <v>0</v>
      </c>
      <c r="AD144">
        <f>2*0.95*5.67E-8*(((DZ144+$B$9)+273)^4-(V144+273)^4)</f>
        <v>0</v>
      </c>
      <c r="AE144">
        <f>T144+AD144+AB144+AC144</f>
        <v>0</v>
      </c>
      <c r="AF144">
        <f>DW144*AT144*(DR144-DQ144*(1000-AT144*DT144)/(1000-AT144*DS144))/(100*DK144)</f>
        <v>0</v>
      </c>
      <c r="AG144">
        <f>1000*DW144*AT144*(DS144-DT144)/(100*DK144*(1000-AT144*DS144))</f>
        <v>0</v>
      </c>
      <c r="AH144">
        <f>(AI144 - AJ144 - DX144*1E3/(8.314*(DZ144+273.15)) * AL144/DW144 * AK144) * DW144/(100*DK144) * (1000 - DT144)/1000</f>
        <v>0</v>
      </c>
      <c r="AI144">
        <v>305.1564284348343</v>
      </c>
      <c r="AJ144">
        <v>302.1511757575757</v>
      </c>
      <c r="AK144">
        <v>0.0002610726484992073</v>
      </c>
      <c r="AL144">
        <v>65.76176921108176</v>
      </c>
      <c r="AM144">
        <f>(AO144 - AN144 + DX144*1E3/(8.314*(DZ144+273.15)) * AQ144/DW144 * AP144) * DW144/(100*DK144) * 1000/(1000 - AO144)</f>
        <v>0</v>
      </c>
      <c r="AN144">
        <v>16.96180934280328</v>
      </c>
      <c r="AO144">
        <v>17.50371818181818</v>
      </c>
      <c r="AP144">
        <v>1.472780431562432E-05</v>
      </c>
      <c r="AQ144">
        <v>107.2628934624135</v>
      </c>
      <c r="AR144">
        <v>15</v>
      </c>
      <c r="AS144">
        <v>3</v>
      </c>
      <c r="AT144">
        <f>IF(AR144*$H$15&gt;=AV144,1.0,(AV144/(AV144-AR144*$H$15)))</f>
        <v>0</v>
      </c>
      <c r="AU144">
        <f>(AT144-1)*100</f>
        <v>0</v>
      </c>
      <c r="AV144">
        <f>MAX(0,($B$15+$C$15*EE144)/(1+$D$15*EE144)*DX144/(DZ144+273)*$E$15)</f>
        <v>0</v>
      </c>
      <c r="AW144" t="s">
        <v>437</v>
      </c>
      <c r="AX144" t="s">
        <v>437</v>
      </c>
      <c r="AY144">
        <v>0</v>
      </c>
      <c r="AZ144">
        <v>0</v>
      </c>
      <c r="BA144">
        <f>1-AY144/AZ144</f>
        <v>0</v>
      </c>
      <c r="BB144">
        <v>0</v>
      </c>
      <c r="BC144" t="s">
        <v>437</v>
      </c>
      <c r="BD144" t="s">
        <v>437</v>
      </c>
      <c r="BE144">
        <v>0</v>
      </c>
      <c r="BF144">
        <v>0</v>
      </c>
      <c r="BG144">
        <f>1-BE144/BF144</f>
        <v>0</v>
      </c>
      <c r="BH144">
        <v>0.5</v>
      </c>
      <c r="BI144">
        <f>DH144</f>
        <v>0</v>
      </c>
      <c r="BJ144">
        <f>K144</f>
        <v>0</v>
      </c>
      <c r="BK144">
        <f>BG144*BH144*BI144</f>
        <v>0</v>
      </c>
      <c r="BL144">
        <f>(BJ144-BB144)/BI144</f>
        <v>0</v>
      </c>
      <c r="BM144">
        <f>(AZ144-BF144)/BF144</f>
        <v>0</v>
      </c>
      <c r="BN144">
        <f>AY144/(BA144+AY144/BF144)</f>
        <v>0</v>
      </c>
      <c r="BO144" t="s">
        <v>437</v>
      </c>
      <c r="BP144">
        <v>0</v>
      </c>
      <c r="BQ144">
        <f>IF(BP144&lt;&gt;0, BP144, BN144)</f>
        <v>0</v>
      </c>
      <c r="BR144">
        <f>1-BQ144/BF144</f>
        <v>0</v>
      </c>
      <c r="BS144">
        <f>(BF144-BE144)/(BF144-BQ144)</f>
        <v>0</v>
      </c>
      <c r="BT144">
        <f>(AZ144-BF144)/(AZ144-BQ144)</f>
        <v>0</v>
      </c>
      <c r="BU144">
        <f>(BF144-BE144)/(BF144-AY144)</f>
        <v>0</v>
      </c>
      <c r="BV144">
        <f>(AZ144-BF144)/(AZ144-AY144)</f>
        <v>0</v>
      </c>
      <c r="BW144">
        <f>(BS144*BQ144/BE144)</f>
        <v>0</v>
      </c>
      <c r="BX144">
        <f>(1-BW144)</f>
        <v>0</v>
      </c>
      <c r="DG144">
        <f>$B$13*EF144+$C$13*EG144+$F$13*ER144*(1-EU144)</f>
        <v>0</v>
      </c>
      <c r="DH144">
        <f>DG144*DI144</f>
        <v>0</v>
      </c>
      <c r="DI144">
        <f>($B$13*$D$11+$C$13*$D$11+$F$13*((FE144+EW144)/MAX(FE144+EW144+FF144, 0.1)*$I$11+FF144/MAX(FE144+EW144+FF144, 0.1)*$J$11))/($B$13+$C$13+$F$13)</f>
        <v>0</v>
      </c>
      <c r="DJ144">
        <f>($B$13*$K$11+$C$13*$K$11+$F$13*((FE144+EW144)/MAX(FE144+EW144+FF144, 0.1)*$P$11+FF144/MAX(FE144+EW144+FF144, 0.1)*$Q$11))/($B$13+$C$13+$F$13)</f>
        <v>0</v>
      </c>
      <c r="DK144">
        <v>6</v>
      </c>
      <c r="DL144">
        <v>0.5</v>
      </c>
      <c r="DM144" t="s">
        <v>438</v>
      </c>
      <c r="DN144">
        <v>2</v>
      </c>
      <c r="DO144" t="b">
        <v>1</v>
      </c>
      <c r="DP144">
        <v>1765318630.349999</v>
      </c>
      <c r="DQ144">
        <v>296.9028</v>
      </c>
      <c r="DR144">
        <v>299.9989666666667</v>
      </c>
      <c r="DS144">
        <v>17.48857333333333</v>
      </c>
      <c r="DT144">
        <v>16.95892666666667</v>
      </c>
      <c r="DU144">
        <v>297.0908</v>
      </c>
      <c r="DV144">
        <v>17.42557333333333</v>
      </c>
      <c r="DW144">
        <v>500.0142</v>
      </c>
      <c r="DX144">
        <v>89.73043</v>
      </c>
      <c r="DY144">
        <v>0.1000301</v>
      </c>
      <c r="DZ144">
        <v>24.80592333333334</v>
      </c>
      <c r="EA144">
        <v>25.00735333333333</v>
      </c>
      <c r="EB144">
        <v>999.9000000000002</v>
      </c>
      <c r="EC144">
        <v>0</v>
      </c>
      <c r="ED144">
        <v>0</v>
      </c>
      <c r="EE144">
        <v>9996.371333333334</v>
      </c>
      <c r="EF144">
        <v>0</v>
      </c>
      <c r="EG144">
        <v>9.89639</v>
      </c>
      <c r="EH144">
        <v>-3.124185999999999</v>
      </c>
      <c r="EI144">
        <v>302.1628</v>
      </c>
      <c r="EJ144">
        <v>305.1743666666666</v>
      </c>
      <c r="EK144">
        <v>0.5418282333333334</v>
      </c>
      <c r="EL144">
        <v>299.9989666666667</v>
      </c>
      <c r="EM144">
        <v>16.95892666666667</v>
      </c>
      <c r="EN144">
        <v>1.570350333333333</v>
      </c>
      <c r="EO144">
        <v>1.521732</v>
      </c>
      <c r="EP144">
        <v>13.67088666666667</v>
      </c>
      <c r="EQ144">
        <v>13.18828666666667</v>
      </c>
      <c r="ER144">
        <v>799.9760666666666</v>
      </c>
      <c r="ES144">
        <v>0.9499940666666665</v>
      </c>
      <c r="ET144">
        <v>0.05000623333333334</v>
      </c>
      <c r="EU144">
        <v>0</v>
      </c>
      <c r="EV144">
        <v>855.8694</v>
      </c>
      <c r="EW144">
        <v>5.00078</v>
      </c>
      <c r="EX144">
        <v>6463.755</v>
      </c>
      <c r="EY144">
        <v>6463.209333333332</v>
      </c>
      <c r="EZ144">
        <v>37.0684</v>
      </c>
      <c r="FA144">
        <v>39.61226666666666</v>
      </c>
      <c r="FB144">
        <v>38.60176666666666</v>
      </c>
      <c r="FC144">
        <v>39.66219999999998</v>
      </c>
      <c r="FD144">
        <v>38.60393333333332</v>
      </c>
      <c r="FE144">
        <v>755.2206666666669</v>
      </c>
      <c r="FF144">
        <v>39.75</v>
      </c>
      <c r="FG144">
        <v>0</v>
      </c>
      <c r="FH144">
        <v>1765318637.9</v>
      </c>
      <c r="FI144">
        <v>0</v>
      </c>
      <c r="FJ144">
        <v>855.8658</v>
      </c>
      <c r="FK144">
        <v>-1.519999989086038</v>
      </c>
      <c r="FL144">
        <v>-12.06307686417001</v>
      </c>
      <c r="FM144">
        <v>6463.554399999999</v>
      </c>
      <c r="FN144">
        <v>15</v>
      </c>
      <c r="FO144">
        <v>1765318660.1</v>
      </c>
      <c r="FP144" t="s">
        <v>829</v>
      </c>
      <c r="FQ144">
        <v>1765318657.1</v>
      </c>
      <c r="FR144">
        <v>1765318660.1</v>
      </c>
      <c r="FS144">
        <v>127</v>
      </c>
      <c r="FT144">
        <v>0.025</v>
      </c>
      <c r="FU144">
        <v>-0.003</v>
      </c>
      <c r="FV144">
        <v>-0.188</v>
      </c>
      <c r="FW144">
        <v>0.063</v>
      </c>
      <c r="FX144">
        <v>300</v>
      </c>
      <c r="FY144">
        <v>17</v>
      </c>
      <c r="FZ144">
        <v>0.34</v>
      </c>
      <c r="GA144">
        <v>0.12</v>
      </c>
      <c r="GB144">
        <v>-3.098961</v>
      </c>
      <c r="GC144">
        <v>-0.4002711444652756</v>
      </c>
      <c r="GD144">
        <v>0.05502060663060704</v>
      </c>
      <c r="GE144">
        <v>1</v>
      </c>
      <c r="GF144">
        <v>855.8467941176469</v>
      </c>
      <c r="GG144">
        <v>0.1853781496566515</v>
      </c>
      <c r="GH144">
        <v>0.2544206543839554</v>
      </c>
      <c r="GI144">
        <v>1</v>
      </c>
      <c r="GJ144">
        <v>0.542400525</v>
      </c>
      <c r="GK144">
        <v>-0.006262998123828379</v>
      </c>
      <c r="GL144">
        <v>0.001121735307180349</v>
      </c>
      <c r="GM144">
        <v>1</v>
      </c>
      <c r="GN144">
        <v>3</v>
      </c>
      <c r="GO144">
        <v>3</v>
      </c>
      <c r="GP144" t="s">
        <v>440</v>
      </c>
      <c r="GQ144">
        <v>3.10808</v>
      </c>
      <c r="GR144">
        <v>2.79155</v>
      </c>
      <c r="GS144">
        <v>0.0669025</v>
      </c>
      <c r="GT144">
        <v>0.06745429999999999</v>
      </c>
      <c r="GU144">
        <v>0.0863371</v>
      </c>
      <c r="GV144">
        <v>0.0851697</v>
      </c>
      <c r="GW144">
        <v>24510.2</v>
      </c>
      <c r="GX144">
        <v>22232.2</v>
      </c>
      <c r="GY144">
        <v>26823.1</v>
      </c>
      <c r="GZ144">
        <v>24044.1</v>
      </c>
      <c r="HA144">
        <v>39164.7</v>
      </c>
      <c r="HB144">
        <v>32458.2</v>
      </c>
      <c r="HC144">
        <v>46816.8</v>
      </c>
      <c r="HD144">
        <v>38019.2</v>
      </c>
      <c r="HE144">
        <v>1.86855</v>
      </c>
      <c r="HF144">
        <v>1.879</v>
      </c>
      <c r="HG144">
        <v>0.0814497</v>
      </c>
      <c r="HH144">
        <v>0</v>
      </c>
      <c r="HI144">
        <v>23.6616</v>
      </c>
      <c r="HJ144">
        <v>999.9</v>
      </c>
      <c r="HK144">
        <v>41.8</v>
      </c>
      <c r="HL144">
        <v>30.3</v>
      </c>
      <c r="HM144">
        <v>20.1921</v>
      </c>
      <c r="HN144">
        <v>61.025</v>
      </c>
      <c r="HO144">
        <v>27.7123</v>
      </c>
      <c r="HP144">
        <v>1</v>
      </c>
      <c r="HQ144">
        <v>-0.0420884</v>
      </c>
      <c r="HR144">
        <v>0.73387</v>
      </c>
      <c r="HS144">
        <v>20.2927</v>
      </c>
      <c r="HT144">
        <v>5.22103</v>
      </c>
      <c r="HU144">
        <v>11.9748</v>
      </c>
      <c r="HV144">
        <v>4.9655</v>
      </c>
      <c r="HW144">
        <v>3.27578</v>
      </c>
      <c r="HX144">
        <v>9999</v>
      </c>
      <c r="HY144">
        <v>9999</v>
      </c>
      <c r="HZ144">
        <v>9999</v>
      </c>
      <c r="IA144">
        <v>999.9</v>
      </c>
      <c r="IB144">
        <v>1.86386</v>
      </c>
      <c r="IC144">
        <v>1.86005</v>
      </c>
      <c r="ID144">
        <v>1.85837</v>
      </c>
      <c r="IE144">
        <v>1.85968</v>
      </c>
      <c r="IF144">
        <v>1.8598</v>
      </c>
      <c r="IG144">
        <v>1.85835</v>
      </c>
      <c r="IH144">
        <v>1.85741</v>
      </c>
      <c r="II144">
        <v>1.85236</v>
      </c>
      <c r="IJ144">
        <v>0</v>
      </c>
      <c r="IK144">
        <v>0</v>
      </c>
      <c r="IL144">
        <v>0</v>
      </c>
      <c r="IM144">
        <v>0</v>
      </c>
      <c r="IN144" t="s">
        <v>441</v>
      </c>
      <c r="IO144" t="s">
        <v>442</v>
      </c>
      <c r="IP144" t="s">
        <v>443</v>
      </c>
      <c r="IQ144" t="s">
        <v>443</v>
      </c>
      <c r="IR144" t="s">
        <v>443</v>
      </c>
      <c r="IS144" t="s">
        <v>443</v>
      </c>
      <c r="IT144">
        <v>0</v>
      </c>
      <c r="IU144">
        <v>100</v>
      </c>
      <c r="IV144">
        <v>100</v>
      </c>
      <c r="IW144">
        <v>-0.188</v>
      </c>
      <c r="IX144">
        <v>0.063</v>
      </c>
      <c r="IY144">
        <v>-0.3861287406076122</v>
      </c>
      <c r="IZ144">
        <v>0.0001583678016168383</v>
      </c>
      <c r="JA144">
        <v>1.526473431467286E-06</v>
      </c>
      <c r="JB144">
        <v>-4.446382740029455E-10</v>
      </c>
      <c r="JC144">
        <v>-0.04367644079675494</v>
      </c>
      <c r="JD144">
        <v>-0.009941991807247691</v>
      </c>
      <c r="JE144">
        <v>0.001256427533001032</v>
      </c>
      <c r="JF144">
        <v>-1.689728105039484E-05</v>
      </c>
      <c r="JG144">
        <v>2</v>
      </c>
      <c r="JH144">
        <v>1984</v>
      </c>
      <c r="JI144">
        <v>0</v>
      </c>
      <c r="JJ144">
        <v>25</v>
      </c>
      <c r="JK144">
        <v>1.2</v>
      </c>
      <c r="JL144">
        <v>1.3</v>
      </c>
      <c r="JM144">
        <v>0.8703610000000001</v>
      </c>
      <c r="JN144">
        <v>2.62207</v>
      </c>
      <c r="JO144">
        <v>1.49658</v>
      </c>
      <c r="JP144">
        <v>2.34741</v>
      </c>
      <c r="JQ144">
        <v>1.54907</v>
      </c>
      <c r="JR144">
        <v>2.36084</v>
      </c>
      <c r="JS144">
        <v>34.8755</v>
      </c>
      <c r="JT144">
        <v>24.1313</v>
      </c>
      <c r="JU144">
        <v>18</v>
      </c>
      <c r="JV144">
        <v>461.813</v>
      </c>
      <c r="JW144">
        <v>495.181</v>
      </c>
      <c r="JX144">
        <v>23.162</v>
      </c>
      <c r="JY144">
        <v>26.6777</v>
      </c>
      <c r="JZ144">
        <v>30.0002</v>
      </c>
      <c r="KA144">
        <v>26.947</v>
      </c>
      <c r="KB144">
        <v>26.9541</v>
      </c>
      <c r="KC144">
        <v>17.5179</v>
      </c>
      <c r="KD144">
        <v>17.2912</v>
      </c>
      <c r="KE144">
        <v>57.8255</v>
      </c>
      <c r="KF144">
        <v>23.1608</v>
      </c>
      <c r="KG144">
        <v>300</v>
      </c>
      <c r="KH144">
        <v>16.932</v>
      </c>
      <c r="KI144">
        <v>102.379</v>
      </c>
      <c r="KJ144">
        <v>91.70780000000001</v>
      </c>
    </row>
    <row r="145" spans="1:296">
      <c r="A145">
        <v>127</v>
      </c>
      <c r="B145">
        <v>1765318732.1</v>
      </c>
      <c r="C145">
        <v>21299.09999990463</v>
      </c>
      <c r="D145" t="s">
        <v>830</v>
      </c>
      <c r="E145" t="s">
        <v>831</v>
      </c>
      <c r="F145">
        <v>5</v>
      </c>
      <c r="G145" t="s">
        <v>825</v>
      </c>
      <c r="H145">
        <v>1765318724.099999</v>
      </c>
      <c r="I145">
        <f>(J145)/1000</f>
        <v>0</v>
      </c>
      <c r="J145">
        <f>IF(DO145, AM145, AG145)</f>
        <v>0</v>
      </c>
      <c r="K145">
        <f>IF(DO145, AH145, AF145)</f>
        <v>0</v>
      </c>
      <c r="L145">
        <f>DQ145 - IF(AT145&gt;1, K145*DK145*100.0/(AV145), 0)</f>
        <v>0</v>
      </c>
      <c r="M145">
        <f>((S145-I145/2)*L145-K145)/(S145+I145/2)</f>
        <v>0</v>
      </c>
      <c r="N145">
        <f>M145*(DX145+DY145)/1000.0</f>
        <v>0</v>
      </c>
      <c r="O145">
        <f>(DQ145 - IF(AT145&gt;1, K145*DK145*100.0/(AV145), 0))*(DX145+DY145)/1000.0</f>
        <v>0</v>
      </c>
      <c r="P145">
        <f>2.0/((1/R145-1/Q145)+SIGN(R145)*SQRT((1/R145-1/Q145)*(1/R145-1/Q145) + 4*DL145/((DL145+1)*(DL145+1))*(2*1/R145*1/Q145-1/Q145*1/Q145)))</f>
        <v>0</v>
      </c>
      <c r="Q145">
        <f>IF(LEFT(DM145,1)&lt;&gt;"0",IF(LEFT(DM145,1)="1",3.0,DN145),$D$5+$E$5*(EE145*DX145/($K$5*1000))+$F$5*(EE145*DX145/($K$5*1000))*MAX(MIN(DK145,$J$5),$I$5)*MAX(MIN(DK145,$J$5),$I$5)+$G$5*MAX(MIN(DK145,$J$5),$I$5)*(EE145*DX145/($K$5*1000))+$H$5*(EE145*DX145/($K$5*1000))*(EE145*DX145/($K$5*1000)))</f>
        <v>0</v>
      </c>
      <c r="R145">
        <f>I145*(1000-(1000*0.61365*exp(17.502*V145/(240.97+V145))/(DX145+DY145)+DS145)/2)/(1000*0.61365*exp(17.502*V145/(240.97+V145))/(DX145+DY145)-DS145)</f>
        <v>0</v>
      </c>
      <c r="S145">
        <f>1/((DL145+1)/(P145/1.6)+1/(Q145/1.37)) + DL145/((DL145+1)/(P145/1.6) + DL145/(Q145/1.37))</f>
        <v>0</v>
      </c>
      <c r="T145">
        <f>(DG145*DJ145)</f>
        <v>0</v>
      </c>
      <c r="U145">
        <f>(DZ145+(T145+2*0.95*5.67E-8*(((DZ145+$B$9)+273)^4-(DZ145+273)^4)-44100*I145)/(1.84*29.3*Q145+8*0.95*5.67E-8*(DZ145+273)^3))</f>
        <v>0</v>
      </c>
      <c r="V145">
        <f>($C$9*EA145+$D$9*EB145+$E$9*U145)</f>
        <v>0</v>
      </c>
      <c r="W145">
        <f>0.61365*exp(17.502*V145/(240.97+V145))</f>
        <v>0</v>
      </c>
      <c r="X145">
        <f>(Y145/Z145*100)</f>
        <v>0</v>
      </c>
      <c r="Y145">
        <f>DS145*(DX145+DY145)/1000</f>
        <v>0</v>
      </c>
      <c r="Z145">
        <f>0.61365*exp(17.502*DZ145/(240.97+DZ145))</f>
        <v>0</v>
      </c>
      <c r="AA145">
        <f>(W145-DS145*(DX145+DY145)/1000)</f>
        <v>0</v>
      </c>
      <c r="AB145">
        <f>(-I145*44100)</f>
        <v>0</v>
      </c>
      <c r="AC145">
        <f>2*29.3*Q145*0.92*(DZ145-V145)</f>
        <v>0</v>
      </c>
      <c r="AD145">
        <f>2*0.95*5.67E-8*(((DZ145+$B$9)+273)^4-(V145+273)^4)</f>
        <v>0</v>
      </c>
      <c r="AE145">
        <f>T145+AD145+AB145+AC145</f>
        <v>0</v>
      </c>
      <c r="AF145">
        <f>DW145*AT145*(DR145-DQ145*(1000-AT145*DT145)/(1000-AT145*DS145))/(100*DK145)</f>
        <v>0</v>
      </c>
      <c r="AG145">
        <f>1000*DW145*AT145*(DS145-DT145)/(100*DK145*(1000-AT145*DS145))</f>
        <v>0</v>
      </c>
      <c r="AH145">
        <f>(AI145 - AJ145 - DX145*1E3/(8.314*(DZ145+273.15)) * AL145/DW145 * AK145) * DW145/(100*DK145) * (1000 - DT145)/1000</f>
        <v>0</v>
      </c>
      <c r="AI145">
        <v>203.4510126241184</v>
      </c>
      <c r="AJ145">
        <v>201.6721333333333</v>
      </c>
      <c r="AK145">
        <v>-0.0008219174889905443</v>
      </c>
      <c r="AL145">
        <v>65.51670858658544</v>
      </c>
      <c r="AM145">
        <f>(AO145 - AN145 + DX145*1E3/(8.314*(DZ145+273.15)) * AQ145/DW145 * AP145) * DW145/(100*DK145) * 1000/(1000 - AO145)</f>
        <v>0</v>
      </c>
      <c r="AN145">
        <v>16.93532848484848</v>
      </c>
      <c r="AO145">
        <v>17.49005454545453</v>
      </c>
      <c r="AP145">
        <v>7.884671961971905E-06</v>
      </c>
      <c r="AQ145">
        <v>105.2641525012973</v>
      </c>
      <c r="AR145">
        <v>15</v>
      </c>
      <c r="AS145">
        <v>3</v>
      </c>
      <c r="AT145">
        <f>IF(AR145*$H$15&gt;=AV145,1.0,(AV145/(AV145-AR145*$H$15)))</f>
        <v>0</v>
      </c>
      <c r="AU145">
        <f>(AT145-1)*100</f>
        <v>0</v>
      </c>
      <c r="AV145">
        <f>MAX(0,($B$15+$C$15*EE145)/(1+$D$15*EE145)*DX145/(DZ145+273)*$E$15)</f>
        <v>0</v>
      </c>
      <c r="AW145" t="s">
        <v>437</v>
      </c>
      <c r="AX145" t="s">
        <v>437</v>
      </c>
      <c r="AY145">
        <v>0</v>
      </c>
      <c r="AZ145">
        <v>0</v>
      </c>
      <c r="BA145">
        <f>1-AY145/AZ145</f>
        <v>0</v>
      </c>
      <c r="BB145">
        <v>0</v>
      </c>
      <c r="BC145" t="s">
        <v>437</v>
      </c>
      <c r="BD145" t="s">
        <v>437</v>
      </c>
      <c r="BE145">
        <v>0</v>
      </c>
      <c r="BF145">
        <v>0</v>
      </c>
      <c r="BG145">
        <f>1-BE145/BF145</f>
        <v>0</v>
      </c>
      <c r="BH145">
        <v>0.5</v>
      </c>
      <c r="BI145">
        <f>DH145</f>
        <v>0</v>
      </c>
      <c r="BJ145">
        <f>K145</f>
        <v>0</v>
      </c>
      <c r="BK145">
        <f>BG145*BH145*BI145</f>
        <v>0</v>
      </c>
      <c r="BL145">
        <f>(BJ145-BB145)/BI145</f>
        <v>0</v>
      </c>
      <c r="BM145">
        <f>(AZ145-BF145)/BF145</f>
        <v>0</v>
      </c>
      <c r="BN145">
        <f>AY145/(BA145+AY145/BF145)</f>
        <v>0</v>
      </c>
      <c r="BO145" t="s">
        <v>437</v>
      </c>
      <c r="BP145">
        <v>0</v>
      </c>
      <c r="BQ145">
        <f>IF(BP145&lt;&gt;0, BP145, BN145)</f>
        <v>0</v>
      </c>
      <c r="BR145">
        <f>1-BQ145/BF145</f>
        <v>0</v>
      </c>
      <c r="BS145">
        <f>(BF145-BE145)/(BF145-BQ145)</f>
        <v>0</v>
      </c>
      <c r="BT145">
        <f>(AZ145-BF145)/(AZ145-BQ145)</f>
        <v>0</v>
      </c>
      <c r="BU145">
        <f>(BF145-BE145)/(BF145-AY145)</f>
        <v>0</v>
      </c>
      <c r="BV145">
        <f>(AZ145-BF145)/(AZ145-AY145)</f>
        <v>0</v>
      </c>
      <c r="BW145">
        <f>(BS145*BQ145/BE145)</f>
        <v>0</v>
      </c>
      <c r="BX145">
        <f>(1-BW145)</f>
        <v>0</v>
      </c>
      <c r="DG145">
        <f>$B$13*EF145+$C$13*EG145+$F$13*ER145*(1-EU145)</f>
        <v>0</v>
      </c>
      <c r="DH145">
        <f>DG145*DI145</f>
        <v>0</v>
      </c>
      <c r="DI145">
        <f>($B$13*$D$11+$C$13*$D$11+$F$13*((FE145+EW145)/MAX(FE145+EW145+FF145, 0.1)*$I$11+FF145/MAX(FE145+EW145+FF145, 0.1)*$J$11))/($B$13+$C$13+$F$13)</f>
        <v>0</v>
      </c>
      <c r="DJ145">
        <f>($B$13*$K$11+$C$13*$K$11+$F$13*((FE145+EW145)/MAX(FE145+EW145+FF145, 0.1)*$P$11+FF145/MAX(FE145+EW145+FF145, 0.1)*$Q$11))/($B$13+$C$13+$F$13)</f>
        <v>0</v>
      </c>
      <c r="DK145">
        <v>6</v>
      </c>
      <c r="DL145">
        <v>0.5</v>
      </c>
      <c r="DM145" t="s">
        <v>438</v>
      </c>
      <c r="DN145">
        <v>2</v>
      </c>
      <c r="DO145" t="b">
        <v>1</v>
      </c>
      <c r="DP145">
        <v>1765318724.099999</v>
      </c>
      <c r="DQ145">
        <v>198.2291290322581</v>
      </c>
      <c r="DR145">
        <v>199.9950322580645</v>
      </c>
      <c r="DS145">
        <v>17.47925161290323</v>
      </c>
      <c r="DT145">
        <v>16.93298064516129</v>
      </c>
      <c r="DU145">
        <v>198.4381290322581</v>
      </c>
      <c r="DV145">
        <v>17.41925161290323</v>
      </c>
      <c r="DW145">
        <v>500.0225161290323</v>
      </c>
      <c r="DX145">
        <v>89.7358</v>
      </c>
      <c r="DY145">
        <v>0.1000291032258065</v>
      </c>
      <c r="DZ145">
        <v>24.76388064516129</v>
      </c>
      <c r="EA145">
        <v>24.99211290322581</v>
      </c>
      <c r="EB145">
        <v>999.9000000000003</v>
      </c>
      <c r="EC145">
        <v>0</v>
      </c>
      <c r="ED145">
        <v>0</v>
      </c>
      <c r="EE145">
        <v>9994.476774193547</v>
      </c>
      <c r="EF145">
        <v>0</v>
      </c>
      <c r="EG145">
        <v>9.89639</v>
      </c>
      <c r="EH145">
        <v>-1.829689032258065</v>
      </c>
      <c r="EI145">
        <v>201.6931935483871</v>
      </c>
      <c r="EJ145">
        <v>203.4398387096774</v>
      </c>
      <c r="EK145">
        <v>0.558739806451613</v>
      </c>
      <c r="EL145">
        <v>199.9950322580645</v>
      </c>
      <c r="EM145">
        <v>16.93298064516129</v>
      </c>
      <c r="EN145">
        <v>1.569633870967742</v>
      </c>
      <c r="EO145">
        <v>1.519495806451613</v>
      </c>
      <c r="EP145">
        <v>13.66387419354839</v>
      </c>
      <c r="EQ145">
        <v>13.16576129032258</v>
      </c>
      <c r="ER145">
        <v>799.9928064516132</v>
      </c>
      <c r="ES145">
        <v>0.9499896129032256</v>
      </c>
      <c r="ET145">
        <v>0.05001076129032259</v>
      </c>
      <c r="EU145">
        <v>0</v>
      </c>
      <c r="EV145">
        <v>856.7162903225807</v>
      </c>
      <c r="EW145">
        <v>5.000779999999999</v>
      </c>
      <c r="EX145">
        <v>6450.21</v>
      </c>
      <c r="EY145">
        <v>6463.336129032257</v>
      </c>
      <c r="EZ145">
        <v>36.31032258064516</v>
      </c>
      <c r="FA145">
        <v>38.56825806451612</v>
      </c>
      <c r="FB145">
        <v>37.91712903225805</v>
      </c>
      <c r="FC145">
        <v>38.29812903225805</v>
      </c>
      <c r="FD145">
        <v>37.95741935483871</v>
      </c>
      <c r="FE145">
        <v>755.2332258064515</v>
      </c>
      <c r="FF145">
        <v>39.76</v>
      </c>
      <c r="FG145">
        <v>0</v>
      </c>
      <c r="FH145">
        <v>1765318731.5</v>
      </c>
      <c r="FI145">
        <v>0</v>
      </c>
      <c r="FJ145">
        <v>856.698</v>
      </c>
      <c r="FK145">
        <v>0.1886923171622721</v>
      </c>
      <c r="FL145">
        <v>-5.127692278157849</v>
      </c>
      <c r="FM145">
        <v>6450.177999999999</v>
      </c>
      <c r="FN145">
        <v>15</v>
      </c>
      <c r="FO145">
        <v>1765318755.1</v>
      </c>
      <c r="FP145" t="s">
        <v>832</v>
      </c>
      <c r="FQ145">
        <v>1765318755.1</v>
      </c>
      <c r="FR145">
        <v>1765318749.1</v>
      </c>
      <c r="FS145">
        <v>128</v>
      </c>
      <c r="FT145">
        <v>0.062</v>
      </c>
      <c r="FU145">
        <v>-0.003</v>
      </c>
      <c r="FV145">
        <v>-0.209</v>
      </c>
      <c r="FW145">
        <v>0.06</v>
      </c>
      <c r="FX145">
        <v>200</v>
      </c>
      <c r="FY145">
        <v>17</v>
      </c>
      <c r="FZ145">
        <v>0.43</v>
      </c>
      <c r="GA145">
        <v>0.11</v>
      </c>
      <c r="GB145">
        <v>-1.79773625</v>
      </c>
      <c r="GC145">
        <v>-0.4710685553470881</v>
      </c>
      <c r="GD145">
        <v>0.06443892165017583</v>
      </c>
      <c r="GE145">
        <v>1</v>
      </c>
      <c r="GF145">
        <v>856.6935</v>
      </c>
      <c r="GG145">
        <v>-0.002521005325638326</v>
      </c>
      <c r="GH145">
        <v>0.2324578709459091</v>
      </c>
      <c r="GI145">
        <v>1</v>
      </c>
      <c r="GJ145">
        <v>0.562482925</v>
      </c>
      <c r="GK145">
        <v>-0.07252175234521782</v>
      </c>
      <c r="GL145">
        <v>0.007285698234855402</v>
      </c>
      <c r="GM145">
        <v>1</v>
      </c>
      <c r="GN145">
        <v>3</v>
      </c>
      <c r="GO145">
        <v>3</v>
      </c>
      <c r="GP145" t="s">
        <v>440</v>
      </c>
      <c r="GQ145">
        <v>3.1082</v>
      </c>
      <c r="GR145">
        <v>2.79164</v>
      </c>
      <c r="GS145">
        <v>0.0476674</v>
      </c>
      <c r="GT145">
        <v>0.0479978</v>
      </c>
      <c r="GU145">
        <v>0.0863001</v>
      </c>
      <c r="GV145">
        <v>0.085075</v>
      </c>
      <c r="GW145">
        <v>25014.5</v>
      </c>
      <c r="GX145">
        <v>22694.8</v>
      </c>
      <c r="GY145">
        <v>26822</v>
      </c>
      <c r="GZ145">
        <v>24042.7</v>
      </c>
      <c r="HA145">
        <v>39162.7</v>
      </c>
      <c r="HB145">
        <v>32458.5</v>
      </c>
      <c r="HC145">
        <v>46815.4</v>
      </c>
      <c r="HD145">
        <v>38017.9</v>
      </c>
      <c r="HE145">
        <v>1.8682</v>
      </c>
      <c r="HF145">
        <v>1.87857</v>
      </c>
      <c r="HG145">
        <v>0.0796169</v>
      </c>
      <c r="HH145">
        <v>0</v>
      </c>
      <c r="HI145">
        <v>23.6913</v>
      </c>
      <c r="HJ145">
        <v>999.9</v>
      </c>
      <c r="HK145">
        <v>41.9</v>
      </c>
      <c r="HL145">
        <v>30.2</v>
      </c>
      <c r="HM145">
        <v>20.1231</v>
      </c>
      <c r="HN145">
        <v>61.405</v>
      </c>
      <c r="HO145">
        <v>27.3918</v>
      </c>
      <c r="HP145">
        <v>1</v>
      </c>
      <c r="HQ145">
        <v>-0.040686</v>
      </c>
      <c r="HR145">
        <v>0.605752</v>
      </c>
      <c r="HS145">
        <v>20.2933</v>
      </c>
      <c r="HT145">
        <v>5.22133</v>
      </c>
      <c r="HU145">
        <v>11.9752</v>
      </c>
      <c r="HV145">
        <v>4.9655</v>
      </c>
      <c r="HW145">
        <v>3.27595</v>
      </c>
      <c r="HX145">
        <v>9999</v>
      </c>
      <c r="HY145">
        <v>9999</v>
      </c>
      <c r="HZ145">
        <v>9999</v>
      </c>
      <c r="IA145">
        <v>999.9</v>
      </c>
      <c r="IB145">
        <v>1.86388</v>
      </c>
      <c r="IC145">
        <v>1.86005</v>
      </c>
      <c r="ID145">
        <v>1.85835</v>
      </c>
      <c r="IE145">
        <v>1.85968</v>
      </c>
      <c r="IF145">
        <v>1.85981</v>
      </c>
      <c r="IG145">
        <v>1.85833</v>
      </c>
      <c r="IH145">
        <v>1.8574</v>
      </c>
      <c r="II145">
        <v>1.85238</v>
      </c>
      <c r="IJ145">
        <v>0</v>
      </c>
      <c r="IK145">
        <v>0</v>
      </c>
      <c r="IL145">
        <v>0</v>
      </c>
      <c r="IM145">
        <v>0</v>
      </c>
      <c r="IN145" t="s">
        <v>441</v>
      </c>
      <c r="IO145" t="s">
        <v>442</v>
      </c>
      <c r="IP145" t="s">
        <v>443</v>
      </c>
      <c r="IQ145" t="s">
        <v>443</v>
      </c>
      <c r="IR145" t="s">
        <v>443</v>
      </c>
      <c r="IS145" t="s">
        <v>443</v>
      </c>
      <c r="IT145">
        <v>0</v>
      </c>
      <c r="IU145">
        <v>100</v>
      </c>
      <c r="IV145">
        <v>100</v>
      </c>
      <c r="IW145">
        <v>-0.209</v>
      </c>
      <c r="IX145">
        <v>0.06</v>
      </c>
      <c r="IY145">
        <v>-0.3609244281120824</v>
      </c>
      <c r="IZ145">
        <v>0.0001583678016168383</v>
      </c>
      <c r="JA145">
        <v>1.526473431467286E-06</v>
      </c>
      <c r="JB145">
        <v>-4.446382740029455E-10</v>
      </c>
      <c r="JC145">
        <v>-0.04627443056901956</v>
      </c>
      <c r="JD145">
        <v>-0.009941991807247691</v>
      </c>
      <c r="JE145">
        <v>0.001256427533001032</v>
      </c>
      <c r="JF145">
        <v>-1.689728105039484E-05</v>
      </c>
      <c r="JG145">
        <v>2</v>
      </c>
      <c r="JH145">
        <v>1984</v>
      </c>
      <c r="JI145">
        <v>0</v>
      </c>
      <c r="JJ145">
        <v>25</v>
      </c>
      <c r="JK145">
        <v>1.2</v>
      </c>
      <c r="JL145">
        <v>1.2</v>
      </c>
      <c r="JM145">
        <v>0.638428</v>
      </c>
      <c r="JN145">
        <v>2.62939</v>
      </c>
      <c r="JO145">
        <v>1.49658</v>
      </c>
      <c r="JP145">
        <v>2.34741</v>
      </c>
      <c r="JQ145">
        <v>1.54907</v>
      </c>
      <c r="JR145">
        <v>2.42432</v>
      </c>
      <c r="JS145">
        <v>34.8755</v>
      </c>
      <c r="JT145">
        <v>24.14</v>
      </c>
      <c r="JU145">
        <v>18</v>
      </c>
      <c r="JV145">
        <v>461.696</v>
      </c>
      <c r="JW145">
        <v>494.981</v>
      </c>
      <c r="JX145">
        <v>23.2897</v>
      </c>
      <c r="JY145">
        <v>26.7026</v>
      </c>
      <c r="JZ145">
        <v>30.0001</v>
      </c>
      <c r="KA145">
        <v>26.9575</v>
      </c>
      <c r="KB145">
        <v>26.9631</v>
      </c>
      <c r="KC145">
        <v>12.8618</v>
      </c>
      <c r="KD145">
        <v>17.5639</v>
      </c>
      <c r="KE145">
        <v>57.8255</v>
      </c>
      <c r="KF145">
        <v>23.2913</v>
      </c>
      <c r="KG145">
        <v>200</v>
      </c>
      <c r="KH145">
        <v>16.9083</v>
      </c>
      <c r="KI145">
        <v>102.375</v>
      </c>
      <c r="KJ145">
        <v>91.7038</v>
      </c>
    </row>
    <row r="146" spans="1:296">
      <c r="A146">
        <v>128</v>
      </c>
      <c r="B146">
        <v>1765318828.6</v>
      </c>
      <c r="C146">
        <v>21395.59999990463</v>
      </c>
      <c r="D146" t="s">
        <v>833</v>
      </c>
      <c r="E146" t="s">
        <v>834</v>
      </c>
      <c r="F146">
        <v>5</v>
      </c>
      <c r="G146" t="s">
        <v>825</v>
      </c>
      <c r="H146">
        <v>1765318820.849999</v>
      </c>
      <c r="I146">
        <f>(J146)/1000</f>
        <v>0</v>
      </c>
      <c r="J146">
        <f>IF(DO146, AM146, AG146)</f>
        <v>0</v>
      </c>
      <c r="K146">
        <f>IF(DO146, AH146, AF146)</f>
        <v>0</v>
      </c>
      <c r="L146">
        <f>DQ146 - IF(AT146&gt;1, K146*DK146*100.0/(AV146), 0)</f>
        <v>0</v>
      </c>
      <c r="M146">
        <f>((S146-I146/2)*L146-K146)/(S146+I146/2)</f>
        <v>0</v>
      </c>
      <c r="N146">
        <f>M146*(DX146+DY146)/1000.0</f>
        <v>0</v>
      </c>
      <c r="O146">
        <f>(DQ146 - IF(AT146&gt;1, K146*DK146*100.0/(AV146), 0))*(DX146+DY146)/1000.0</f>
        <v>0</v>
      </c>
      <c r="P146">
        <f>2.0/((1/R146-1/Q146)+SIGN(R146)*SQRT((1/R146-1/Q146)*(1/R146-1/Q146) + 4*DL146/((DL146+1)*(DL146+1))*(2*1/R146*1/Q146-1/Q146*1/Q146)))</f>
        <v>0</v>
      </c>
      <c r="Q146">
        <f>IF(LEFT(DM146,1)&lt;&gt;"0",IF(LEFT(DM146,1)="1",3.0,DN146),$D$5+$E$5*(EE146*DX146/($K$5*1000))+$F$5*(EE146*DX146/($K$5*1000))*MAX(MIN(DK146,$J$5),$I$5)*MAX(MIN(DK146,$J$5),$I$5)+$G$5*MAX(MIN(DK146,$J$5),$I$5)*(EE146*DX146/($K$5*1000))+$H$5*(EE146*DX146/($K$5*1000))*(EE146*DX146/($K$5*1000)))</f>
        <v>0</v>
      </c>
      <c r="R146">
        <f>I146*(1000-(1000*0.61365*exp(17.502*V146/(240.97+V146))/(DX146+DY146)+DS146)/2)/(1000*0.61365*exp(17.502*V146/(240.97+V146))/(DX146+DY146)-DS146)</f>
        <v>0</v>
      </c>
      <c r="S146">
        <f>1/((DL146+1)/(P146/1.6)+1/(Q146/1.37)) + DL146/((DL146+1)/(P146/1.6) + DL146/(Q146/1.37))</f>
        <v>0</v>
      </c>
      <c r="T146">
        <f>(DG146*DJ146)</f>
        <v>0</v>
      </c>
      <c r="U146">
        <f>(DZ146+(T146+2*0.95*5.67E-8*(((DZ146+$B$9)+273)^4-(DZ146+273)^4)-44100*I146)/(1.84*29.3*Q146+8*0.95*5.67E-8*(DZ146+273)^3))</f>
        <v>0</v>
      </c>
      <c r="V146">
        <f>($C$9*EA146+$D$9*EB146+$E$9*U146)</f>
        <v>0</v>
      </c>
      <c r="W146">
        <f>0.61365*exp(17.502*V146/(240.97+V146))</f>
        <v>0</v>
      </c>
      <c r="X146">
        <f>(Y146/Z146*100)</f>
        <v>0</v>
      </c>
      <c r="Y146">
        <f>DS146*(DX146+DY146)/1000</f>
        <v>0</v>
      </c>
      <c r="Z146">
        <f>0.61365*exp(17.502*DZ146/(240.97+DZ146))</f>
        <v>0</v>
      </c>
      <c r="AA146">
        <f>(W146-DS146*(DX146+DY146)/1000)</f>
        <v>0</v>
      </c>
      <c r="AB146">
        <f>(-I146*44100)</f>
        <v>0</v>
      </c>
      <c r="AC146">
        <f>2*29.3*Q146*0.92*(DZ146-V146)</f>
        <v>0</v>
      </c>
      <c r="AD146">
        <f>2*0.95*5.67E-8*(((DZ146+$B$9)+273)^4-(V146+273)^4)</f>
        <v>0</v>
      </c>
      <c r="AE146">
        <f>T146+AD146+AB146+AC146</f>
        <v>0</v>
      </c>
      <c r="AF146">
        <f>DW146*AT146*(DR146-DQ146*(1000-AT146*DT146)/(1000-AT146*DS146))/(100*DK146)</f>
        <v>0</v>
      </c>
      <c r="AG146">
        <f>1000*DW146*AT146*(DS146-DT146)/(100*DK146*(1000-AT146*DS146))</f>
        <v>0</v>
      </c>
      <c r="AH146">
        <f>(AI146 - AJ146 - DX146*1E3/(8.314*(DZ146+273.15)) * AL146/DW146 * AK146) * DW146/(100*DK146) * (1000 - DT146)/1000</f>
        <v>0</v>
      </c>
      <c r="AI146">
        <v>101.6786132615178</v>
      </c>
      <c r="AJ146">
        <v>101.2157575757576</v>
      </c>
      <c r="AK146">
        <v>-0.001307684451813683</v>
      </c>
      <c r="AL146">
        <v>65.77288813791746</v>
      </c>
      <c r="AM146">
        <f>(AO146 - AN146 + DX146*1E3/(8.314*(DZ146+273.15)) * AQ146/DW146 * AP146) * DW146/(100*DK146) * 1000/(1000 - AO146)</f>
        <v>0</v>
      </c>
      <c r="AN146">
        <v>16.90510519540194</v>
      </c>
      <c r="AO146">
        <v>17.45880545454545</v>
      </c>
      <c r="AP146">
        <v>2.189355063973588E-06</v>
      </c>
      <c r="AQ146">
        <v>107.3921318538959</v>
      </c>
      <c r="AR146">
        <v>15</v>
      </c>
      <c r="AS146">
        <v>3</v>
      </c>
      <c r="AT146">
        <f>IF(AR146*$H$15&gt;=AV146,1.0,(AV146/(AV146-AR146*$H$15)))</f>
        <v>0</v>
      </c>
      <c r="AU146">
        <f>(AT146-1)*100</f>
        <v>0</v>
      </c>
      <c r="AV146">
        <f>MAX(0,($B$15+$C$15*EE146)/(1+$D$15*EE146)*DX146/(DZ146+273)*$E$15)</f>
        <v>0</v>
      </c>
      <c r="AW146" t="s">
        <v>437</v>
      </c>
      <c r="AX146" t="s">
        <v>437</v>
      </c>
      <c r="AY146">
        <v>0</v>
      </c>
      <c r="AZ146">
        <v>0</v>
      </c>
      <c r="BA146">
        <f>1-AY146/AZ146</f>
        <v>0</v>
      </c>
      <c r="BB146">
        <v>0</v>
      </c>
      <c r="BC146" t="s">
        <v>437</v>
      </c>
      <c r="BD146" t="s">
        <v>437</v>
      </c>
      <c r="BE146">
        <v>0</v>
      </c>
      <c r="BF146">
        <v>0</v>
      </c>
      <c r="BG146">
        <f>1-BE146/BF146</f>
        <v>0</v>
      </c>
      <c r="BH146">
        <v>0.5</v>
      </c>
      <c r="BI146">
        <f>DH146</f>
        <v>0</v>
      </c>
      <c r="BJ146">
        <f>K146</f>
        <v>0</v>
      </c>
      <c r="BK146">
        <f>BG146*BH146*BI146</f>
        <v>0</v>
      </c>
      <c r="BL146">
        <f>(BJ146-BB146)/BI146</f>
        <v>0</v>
      </c>
      <c r="BM146">
        <f>(AZ146-BF146)/BF146</f>
        <v>0</v>
      </c>
      <c r="BN146">
        <f>AY146/(BA146+AY146/BF146)</f>
        <v>0</v>
      </c>
      <c r="BO146" t="s">
        <v>437</v>
      </c>
      <c r="BP146">
        <v>0</v>
      </c>
      <c r="BQ146">
        <f>IF(BP146&lt;&gt;0, BP146, BN146)</f>
        <v>0</v>
      </c>
      <c r="BR146">
        <f>1-BQ146/BF146</f>
        <v>0</v>
      </c>
      <c r="BS146">
        <f>(BF146-BE146)/(BF146-BQ146)</f>
        <v>0</v>
      </c>
      <c r="BT146">
        <f>(AZ146-BF146)/(AZ146-BQ146)</f>
        <v>0</v>
      </c>
      <c r="BU146">
        <f>(BF146-BE146)/(BF146-AY146)</f>
        <v>0</v>
      </c>
      <c r="BV146">
        <f>(AZ146-BF146)/(AZ146-AY146)</f>
        <v>0</v>
      </c>
      <c r="BW146">
        <f>(BS146*BQ146/BE146)</f>
        <v>0</v>
      </c>
      <c r="BX146">
        <f>(1-BW146)</f>
        <v>0</v>
      </c>
      <c r="DG146">
        <f>$B$13*EF146+$C$13*EG146+$F$13*ER146*(1-EU146)</f>
        <v>0</v>
      </c>
      <c r="DH146">
        <f>DG146*DI146</f>
        <v>0</v>
      </c>
      <c r="DI146">
        <f>($B$13*$D$11+$C$13*$D$11+$F$13*((FE146+EW146)/MAX(FE146+EW146+FF146, 0.1)*$I$11+FF146/MAX(FE146+EW146+FF146, 0.1)*$J$11))/($B$13+$C$13+$F$13)</f>
        <v>0</v>
      </c>
      <c r="DJ146">
        <f>($B$13*$K$11+$C$13*$K$11+$F$13*((FE146+EW146)/MAX(FE146+EW146+FF146, 0.1)*$P$11+FF146/MAX(FE146+EW146+FF146, 0.1)*$Q$11))/($B$13+$C$13+$F$13)</f>
        <v>0</v>
      </c>
      <c r="DK146">
        <v>6</v>
      </c>
      <c r="DL146">
        <v>0.5</v>
      </c>
      <c r="DM146" t="s">
        <v>438</v>
      </c>
      <c r="DN146">
        <v>2</v>
      </c>
      <c r="DO146" t="b">
        <v>1</v>
      </c>
      <c r="DP146">
        <v>1765318820.849999</v>
      </c>
      <c r="DQ146">
        <v>99.56914999999999</v>
      </c>
      <c r="DR146">
        <v>99.99451000000001</v>
      </c>
      <c r="DS146">
        <v>17.44972666666667</v>
      </c>
      <c r="DT146">
        <v>16.90253666666667</v>
      </c>
      <c r="DU146">
        <v>99.75515</v>
      </c>
      <c r="DV146">
        <v>17.38972666666667</v>
      </c>
      <c r="DW146">
        <v>500.0012333333333</v>
      </c>
      <c r="DX146">
        <v>89.73684000000002</v>
      </c>
      <c r="DY146">
        <v>0.09997952</v>
      </c>
      <c r="DZ146">
        <v>24.73872999999999</v>
      </c>
      <c r="EA146">
        <v>24.99887666666666</v>
      </c>
      <c r="EB146">
        <v>999.9000000000002</v>
      </c>
      <c r="EC146">
        <v>0</v>
      </c>
      <c r="ED146">
        <v>0</v>
      </c>
      <c r="EE146">
        <v>9995.118999999999</v>
      </c>
      <c r="EF146">
        <v>0</v>
      </c>
      <c r="EG146">
        <v>9.888297</v>
      </c>
      <c r="EH146">
        <v>-0.5074788333333333</v>
      </c>
      <c r="EI146">
        <v>101.2548666666667</v>
      </c>
      <c r="EJ146">
        <v>101.7137666666667</v>
      </c>
      <c r="EK146">
        <v>0.5565022000000001</v>
      </c>
      <c r="EL146">
        <v>99.99451000000001</v>
      </c>
      <c r="EM146">
        <v>16.90253666666667</v>
      </c>
      <c r="EN146">
        <v>1.566718666666666</v>
      </c>
      <c r="EO146">
        <v>1.516779666666667</v>
      </c>
      <c r="EP146">
        <v>13.63531</v>
      </c>
      <c r="EQ146">
        <v>13.13836666666667</v>
      </c>
      <c r="ER146">
        <v>799.9693333333333</v>
      </c>
      <c r="ES146">
        <v>0.9499908333333331</v>
      </c>
      <c r="ET146">
        <v>0.05000953666666667</v>
      </c>
      <c r="EU146">
        <v>0</v>
      </c>
      <c r="EV146">
        <v>859.4282999999999</v>
      </c>
      <c r="EW146">
        <v>5.00078</v>
      </c>
      <c r="EX146">
        <v>6455.198000000001</v>
      </c>
      <c r="EY146">
        <v>6463.149333333333</v>
      </c>
      <c r="EZ146">
        <v>35.74966666666666</v>
      </c>
      <c r="FA146">
        <v>38.08313333333333</v>
      </c>
      <c r="FB146">
        <v>37.47053333333333</v>
      </c>
      <c r="FC146">
        <v>37.7624</v>
      </c>
      <c r="FD146">
        <v>37.55373333333333</v>
      </c>
      <c r="FE146">
        <v>755.213</v>
      </c>
      <c r="FF146">
        <v>39.757</v>
      </c>
      <c r="FG146">
        <v>0</v>
      </c>
      <c r="FH146">
        <v>1765318828.1</v>
      </c>
      <c r="FI146">
        <v>0</v>
      </c>
      <c r="FJ146">
        <v>859.4543076923076</v>
      </c>
      <c r="FK146">
        <v>-0.5757264952123898</v>
      </c>
      <c r="FL146">
        <v>-5.284786377514733</v>
      </c>
      <c r="FM146">
        <v>6455.274615384616</v>
      </c>
      <c r="FN146">
        <v>15</v>
      </c>
      <c r="FO146">
        <v>1765318845.6</v>
      </c>
      <c r="FP146" t="s">
        <v>835</v>
      </c>
      <c r="FQ146">
        <v>1765318844.6</v>
      </c>
      <c r="FR146">
        <v>1765318845.6</v>
      </c>
      <c r="FS146">
        <v>129</v>
      </c>
      <c r="FT146">
        <v>0.082</v>
      </c>
      <c r="FU146">
        <v>0.001</v>
      </c>
      <c r="FV146">
        <v>-0.186</v>
      </c>
      <c r="FW146">
        <v>0.06</v>
      </c>
      <c r="FX146">
        <v>100</v>
      </c>
      <c r="FY146">
        <v>17</v>
      </c>
      <c r="FZ146">
        <v>0.36</v>
      </c>
      <c r="GA146">
        <v>0.12</v>
      </c>
      <c r="GB146">
        <v>-0.4797205365853658</v>
      </c>
      <c r="GC146">
        <v>-0.4073950871080135</v>
      </c>
      <c r="GD146">
        <v>0.05526826405729782</v>
      </c>
      <c r="GE146">
        <v>1</v>
      </c>
      <c r="GF146">
        <v>859.4158823529411</v>
      </c>
      <c r="GG146">
        <v>0.2916424754529142</v>
      </c>
      <c r="GH146">
        <v>0.2328638537739657</v>
      </c>
      <c r="GI146">
        <v>1</v>
      </c>
      <c r="GJ146">
        <v>0.5587652926829269</v>
      </c>
      <c r="GK146">
        <v>-0.03941243205574888</v>
      </c>
      <c r="GL146">
        <v>0.003977593666747692</v>
      </c>
      <c r="GM146">
        <v>1</v>
      </c>
      <c r="GN146">
        <v>3</v>
      </c>
      <c r="GO146">
        <v>3</v>
      </c>
      <c r="GP146" t="s">
        <v>440</v>
      </c>
      <c r="GQ146">
        <v>3.10805</v>
      </c>
      <c r="GR146">
        <v>2.79163</v>
      </c>
      <c r="GS146">
        <v>0.0254803</v>
      </c>
      <c r="GT146">
        <v>0.0255238</v>
      </c>
      <c r="GU146">
        <v>0.0861978</v>
      </c>
      <c r="GV146">
        <v>0.0849636</v>
      </c>
      <c r="GW146">
        <v>25595.9</v>
      </c>
      <c r="GX146">
        <v>23229.4</v>
      </c>
      <c r="GY146">
        <v>26820.6</v>
      </c>
      <c r="GZ146">
        <v>24041.4</v>
      </c>
      <c r="HA146">
        <v>39162.1</v>
      </c>
      <c r="HB146">
        <v>32458.5</v>
      </c>
      <c r="HC146">
        <v>46812.5</v>
      </c>
      <c r="HD146">
        <v>38015.9</v>
      </c>
      <c r="HE146">
        <v>1.86795</v>
      </c>
      <c r="HF146">
        <v>1.87808</v>
      </c>
      <c r="HG146">
        <v>0.0769198</v>
      </c>
      <c r="HH146">
        <v>0</v>
      </c>
      <c r="HI146">
        <v>23.7338</v>
      </c>
      <c r="HJ146">
        <v>999.9</v>
      </c>
      <c r="HK146">
        <v>42.2</v>
      </c>
      <c r="HL146">
        <v>30.2</v>
      </c>
      <c r="HM146">
        <v>20.2649</v>
      </c>
      <c r="HN146">
        <v>61.015</v>
      </c>
      <c r="HO146">
        <v>27.6803</v>
      </c>
      <c r="HP146">
        <v>1</v>
      </c>
      <c r="HQ146">
        <v>-0.0376321</v>
      </c>
      <c r="HR146">
        <v>0.664338</v>
      </c>
      <c r="HS146">
        <v>20.295</v>
      </c>
      <c r="HT146">
        <v>5.22088</v>
      </c>
      <c r="HU146">
        <v>11.9764</v>
      </c>
      <c r="HV146">
        <v>4.96565</v>
      </c>
      <c r="HW146">
        <v>3.27593</v>
      </c>
      <c r="HX146">
        <v>9999</v>
      </c>
      <c r="HY146">
        <v>9999</v>
      </c>
      <c r="HZ146">
        <v>9999</v>
      </c>
      <c r="IA146">
        <v>999.9</v>
      </c>
      <c r="IB146">
        <v>1.86388</v>
      </c>
      <c r="IC146">
        <v>1.86005</v>
      </c>
      <c r="ID146">
        <v>1.85836</v>
      </c>
      <c r="IE146">
        <v>1.85972</v>
      </c>
      <c r="IF146">
        <v>1.85982</v>
      </c>
      <c r="IG146">
        <v>1.85835</v>
      </c>
      <c r="IH146">
        <v>1.85737</v>
      </c>
      <c r="II146">
        <v>1.85239</v>
      </c>
      <c r="IJ146">
        <v>0</v>
      </c>
      <c r="IK146">
        <v>0</v>
      </c>
      <c r="IL146">
        <v>0</v>
      </c>
      <c r="IM146">
        <v>0</v>
      </c>
      <c r="IN146" t="s">
        <v>441</v>
      </c>
      <c r="IO146" t="s">
        <v>442</v>
      </c>
      <c r="IP146" t="s">
        <v>443</v>
      </c>
      <c r="IQ146" t="s">
        <v>443</v>
      </c>
      <c r="IR146" t="s">
        <v>443</v>
      </c>
      <c r="IS146" t="s">
        <v>443</v>
      </c>
      <c r="IT146">
        <v>0</v>
      </c>
      <c r="IU146">
        <v>100</v>
      </c>
      <c r="IV146">
        <v>100</v>
      </c>
      <c r="IW146">
        <v>-0.186</v>
      </c>
      <c r="IX146">
        <v>0.06</v>
      </c>
      <c r="IY146">
        <v>-0.2986290530902235</v>
      </c>
      <c r="IZ146">
        <v>0.0001583678016168383</v>
      </c>
      <c r="JA146">
        <v>1.526473431467286E-06</v>
      </c>
      <c r="JB146">
        <v>-4.446382740029455E-10</v>
      </c>
      <c r="JC146">
        <v>-0.04889594001536997</v>
      </c>
      <c r="JD146">
        <v>-0.009941991807247691</v>
      </c>
      <c r="JE146">
        <v>0.001256427533001032</v>
      </c>
      <c r="JF146">
        <v>-1.689728105039484E-05</v>
      </c>
      <c r="JG146">
        <v>2</v>
      </c>
      <c r="JH146">
        <v>1984</v>
      </c>
      <c r="JI146">
        <v>0</v>
      </c>
      <c r="JJ146">
        <v>25</v>
      </c>
      <c r="JK146">
        <v>1.2</v>
      </c>
      <c r="JL146">
        <v>1.3</v>
      </c>
      <c r="JM146">
        <v>0.395508</v>
      </c>
      <c r="JN146">
        <v>2.65137</v>
      </c>
      <c r="JO146">
        <v>1.49658</v>
      </c>
      <c r="JP146">
        <v>2.34741</v>
      </c>
      <c r="JQ146">
        <v>1.54907</v>
      </c>
      <c r="JR146">
        <v>2.34741</v>
      </c>
      <c r="JS146">
        <v>34.8755</v>
      </c>
      <c r="JT146">
        <v>24.1313</v>
      </c>
      <c r="JU146">
        <v>18</v>
      </c>
      <c r="JV146">
        <v>461.715</v>
      </c>
      <c r="JW146">
        <v>494.812</v>
      </c>
      <c r="JX146">
        <v>23.2817</v>
      </c>
      <c r="JY146">
        <v>26.7359</v>
      </c>
      <c r="JZ146">
        <v>30.0001</v>
      </c>
      <c r="KA146">
        <v>26.9788</v>
      </c>
      <c r="KB146">
        <v>26.9813</v>
      </c>
      <c r="KC146">
        <v>8.01267</v>
      </c>
      <c r="KD146">
        <v>18.1305</v>
      </c>
      <c r="KE146">
        <v>58.2151</v>
      </c>
      <c r="KF146">
        <v>23.2835</v>
      </c>
      <c r="KG146">
        <v>100</v>
      </c>
      <c r="KH146">
        <v>16.8756</v>
      </c>
      <c r="KI146">
        <v>102.369</v>
      </c>
      <c r="KJ146">
        <v>91.699</v>
      </c>
    </row>
    <row r="147" spans="1:296">
      <c r="A147">
        <v>129</v>
      </c>
      <c r="B147">
        <v>1765318936.6</v>
      </c>
      <c r="C147">
        <v>21503.59999990463</v>
      </c>
      <c r="D147" t="s">
        <v>836</v>
      </c>
      <c r="E147" t="s">
        <v>837</v>
      </c>
      <c r="F147">
        <v>5</v>
      </c>
      <c r="G147" t="s">
        <v>825</v>
      </c>
      <c r="H147">
        <v>1765318928.599999</v>
      </c>
      <c r="I147">
        <f>(J147)/1000</f>
        <v>0</v>
      </c>
      <c r="J147">
        <f>IF(DO147, AM147, AG147)</f>
        <v>0</v>
      </c>
      <c r="K147">
        <f>IF(DO147, AH147, AF147)</f>
        <v>0</v>
      </c>
      <c r="L147">
        <f>DQ147 - IF(AT147&gt;1, K147*DK147*100.0/(AV147), 0)</f>
        <v>0</v>
      </c>
      <c r="M147">
        <f>((S147-I147/2)*L147-K147)/(S147+I147/2)</f>
        <v>0</v>
      </c>
      <c r="N147">
        <f>M147*(DX147+DY147)/1000.0</f>
        <v>0</v>
      </c>
      <c r="O147">
        <f>(DQ147 - IF(AT147&gt;1, K147*DK147*100.0/(AV147), 0))*(DX147+DY147)/1000.0</f>
        <v>0</v>
      </c>
      <c r="P147">
        <f>2.0/((1/R147-1/Q147)+SIGN(R147)*SQRT((1/R147-1/Q147)*(1/R147-1/Q147) + 4*DL147/((DL147+1)*(DL147+1))*(2*1/R147*1/Q147-1/Q147*1/Q147)))</f>
        <v>0</v>
      </c>
      <c r="Q147">
        <f>IF(LEFT(DM147,1)&lt;&gt;"0",IF(LEFT(DM147,1)="1",3.0,DN147),$D$5+$E$5*(EE147*DX147/($K$5*1000))+$F$5*(EE147*DX147/($K$5*1000))*MAX(MIN(DK147,$J$5),$I$5)*MAX(MIN(DK147,$J$5),$I$5)+$G$5*MAX(MIN(DK147,$J$5),$I$5)*(EE147*DX147/($K$5*1000))+$H$5*(EE147*DX147/($K$5*1000))*(EE147*DX147/($K$5*1000)))</f>
        <v>0</v>
      </c>
      <c r="R147">
        <f>I147*(1000-(1000*0.61365*exp(17.502*V147/(240.97+V147))/(DX147+DY147)+DS147)/2)/(1000*0.61365*exp(17.502*V147/(240.97+V147))/(DX147+DY147)-DS147)</f>
        <v>0</v>
      </c>
      <c r="S147">
        <f>1/((DL147+1)/(P147/1.6)+1/(Q147/1.37)) + DL147/((DL147+1)/(P147/1.6) + DL147/(Q147/1.37))</f>
        <v>0</v>
      </c>
      <c r="T147">
        <f>(DG147*DJ147)</f>
        <v>0</v>
      </c>
      <c r="U147">
        <f>(DZ147+(T147+2*0.95*5.67E-8*(((DZ147+$B$9)+273)^4-(DZ147+273)^4)-44100*I147)/(1.84*29.3*Q147+8*0.95*5.67E-8*(DZ147+273)^3))</f>
        <v>0</v>
      </c>
      <c r="V147">
        <f>($C$9*EA147+$D$9*EB147+$E$9*U147)</f>
        <v>0</v>
      </c>
      <c r="W147">
        <f>0.61365*exp(17.502*V147/(240.97+V147))</f>
        <v>0</v>
      </c>
      <c r="X147">
        <f>(Y147/Z147*100)</f>
        <v>0</v>
      </c>
      <c r="Y147">
        <f>DS147*(DX147+DY147)/1000</f>
        <v>0</v>
      </c>
      <c r="Z147">
        <f>0.61365*exp(17.502*DZ147/(240.97+DZ147))</f>
        <v>0</v>
      </c>
      <c r="AA147">
        <f>(W147-DS147*(DX147+DY147)/1000)</f>
        <v>0</v>
      </c>
      <c r="AB147">
        <f>(-I147*44100)</f>
        <v>0</v>
      </c>
      <c r="AC147">
        <f>2*29.3*Q147*0.92*(DZ147-V147)</f>
        <v>0</v>
      </c>
      <c r="AD147">
        <f>2*0.95*5.67E-8*(((DZ147+$B$9)+273)^4-(V147+273)^4)</f>
        <v>0</v>
      </c>
      <c r="AE147">
        <f>T147+AD147+AB147+AC147</f>
        <v>0</v>
      </c>
      <c r="AF147">
        <f>DW147*AT147*(DR147-DQ147*(1000-AT147*DT147)/(1000-AT147*DS147))/(100*DK147)</f>
        <v>0</v>
      </c>
      <c r="AG147">
        <f>1000*DW147*AT147*(DS147-DT147)/(100*DK147*(1000-AT147*DS147))</f>
        <v>0</v>
      </c>
      <c r="AH147">
        <f>(AI147 - AJ147 - DX147*1E3/(8.314*(DZ147+273.15)) * AL147/DW147 * AK147) * DW147/(100*DK147) * (1000 - DT147)/1000</f>
        <v>0</v>
      </c>
      <c r="AI147">
        <v>50.86641682785275</v>
      </c>
      <c r="AJ147">
        <v>51.03625818181817</v>
      </c>
      <c r="AK147">
        <v>-0.0002842133711527537</v>
      </c>
      <c r="AL147">
        <v>65.52516013573785</v>
      </c>
      <c r="AM147">
        <f>(AO147 - AN147 + DX147*1E3/(8.314*(DZ147+273.15)) * AQ147/DW147 * AP147) * DW147/(100*DK147) * 1000/(1000 - AO147)</f>
        <v>0</v>
      </c>
      <c r="AN147">
        <v>16.84936848484848</v>
      </c>
      <c r="AO147">
        <v>17.42190363636364</v>
      </c>
      <c r="AP147">
        <v>5.127323656809597E-06</v>
      </c>
      <c r="AQ147">
        <v>105.3160569905237</v>
      </c>
      <c r="AR147">
        <v>15</v>
      </c>
      <c r="AS147">
        <v>3</v>
      </c>
      <c r="AT147">
        <f>IF(AR147*$H$15&gt;=AV147,1.0,(AV147/(AV147-AR147*$H$15)))</f>
        <v>0</v>
      </c>
      <c r="AU147">
        <f>(AT147-1)*100</f>
        <v>0</v>
      </c>
      <c r="AV147">
        <f>MAX(0,($B$15+$C$15*EE147)/(1+$D$15*EE147)*DX147/(DZ147+273)*$E$15)</f>
        <v>0</v>
      </c>
      <c r="AW147" t="s">
        <v>437</v>
      </c>
      <c r="AX147" t="s">
        <v>437</v>
      </c>
      <c r="AY147">
        <v>0</v>
      </c>
      <c r="AZ147">
        <v>0</v>
      </c>
      <c r="BA147">
        <f>1-AY147/AZ147</f>
        <v>0</v>
      </c>
      <c r="BB147">
        <v>0</v>
      </c>
      <c r="BC147" t="s">
        <v>437</v>
      </c>
      <c r="BD147" t="s">
        <v>437</v>
      </c>
      <c r="BE147">
        <v>0</v>
      </c>
      <c r="BF147">
        <v>0</v>
      </c>
      <c r="BG147">
        <f>1-BE147/BF147</f>
        <v>0</v>
      </c>
      <c r="BH147">
        <v>0.5</v>
      </c>
      <c r="BI147">
        <f>DH147</f>
        <v>0</v>
      </c>
      <c r="BJ147">
        <f>K147</f>
        <v>0</v>
      </c>
      <c r="BK147">
        <f>BG147*BH147*BI147</f>
        <v>0</v>
      </c>
      <c r="BL147">
        <f>(BJ147-BB147)/BI147</f>
        <v>0</v>
      </c>
      <c r="BM147">
        <f>(AZ147-BF147)/BF147</f>
        <v>0</v>
      </c>
      <c r="BN147">
        <f>AY147/(BA147+AY147/BF147)</f>
        <v>0</v>
      </c>
      <c r="BO147" t="s">
        <v>437</v>
      </c>
      <c r="BP147">
        <v>0</v>
      </c>
      <c r="BQ147">
        <f>IF(BP147&lt;&gt;0, BP147, BN147)</f>
        <v>0</v>
      </c>
      <c r="BR147">
        <f>1-BQ147/BF147</f>
        <v>0</v>
      </c>
      <c r="BS147">
        <f>(BF147-BE147)/(BF147-BQ147)</f>
        <v>0</v>
      </c>
      <c r="BT147">
        <f>(AZ147-BF147)/(AZ147-BQ147)</f>
        <v>0</v>
      </c>
      <c r="BU147">
        <f>(BF147-BE147)/(BF147-AY147)</f>
        <v>0</v>
      </c>
      <c r="BV147">
        <f>(AZ147-BF147)/(AZ147-AY147)</f>
        <v>0</v>
      </c>
      <c r="BW147">
        <f>(BS147*BQ147/BE147)</f>
        <v>0</v>
      </c>
      <c r="BX147">
        <f>(1-BW147)</f>
        <v>0</v>
      </c>
      <c r="DG147">
        <f>$B$13*EF147+$C$13*EG147+$F$13*ER147*(1-EU147)</f>
        <v>0</v>
      </c>
      <c r="DH147">
        <f>DG147*DI147</f>
        <v>0</v>
      </c>
      <c r="DI147">
        <f>($B$13*$D$11+$C$13*$D$11+$F$13*((FE147+EW147)/MAX(FE147+EW147+FF147, 0.1)*$I$11+FF147/MAX(FE147+EW147+FF147, 0.1)*$J$11))/($B$13+$C$13+$F$13)</f>
        <v>0</v>
      </c>
      <c r="DJ147">
        <f>($B$13*$K$11+$C$13*$K$11+$F$13*((FE147+EW147)/MAX(FE147+EW147+FF147, 0.1)*$P$11+FF147/MAX(FE147+EW147+FF147, 0.1)*$Q$11))/($B$13+$C$13+$F$13)</f>
        <v>0</v>
      </c>
      <c r="DK147">
        <v>6</v>
      </c>
      <c r="DL147">
        <v>0.5</v>
      </c>
      <c r="DM147" t="s">
        <v>438</v>
      </c>
      <c r="DN147">
        <v>2</v>
      </c>
      <c r="DO147" t="b">
        <v>1</v>
      </c>
      <c r="DP147">
        <v>1765318928.599999</v>
      </c>
      <c r="DQ147">
        <v>50.18237096774192</v>
      </c>
      <c r="DR147">
        <v>49.99566129032259</v>
      </c>
      <c r="DS147">
        <v>17.42047741935484</v>
      </c>
      <c r="DT147">
        <v>16.84728709677419</v>
      </c>
      <c r="DU147">
        <v>50.35537096774192</v>
      </c>
      <c r="DV147">
        <v>17.35847741935483</v>
      </c>
      <c r="DW147">
        <v>500.0013225806451</v>
      </c>
      <c r="DX147">
        <v>89.73665806451613</v>
      </c>
      <c r="DY147">
        <v>0.09998104516129033</v>
      </c>
      <c r="DZ147">
        <v>24.75924193548387</v>
      </c>
      <c r="EA147">
        <v>25.02140322580645</v>
      </c>
      <c r="EB147">
        <v>999.9000000000003</v>
      </c>
      <c r="EC147">
        <v>0</v>
      </c>
      <c r="ED147">
        <v>0</v>
      </c>
      <c r="EE147">
        <v>9997.868064516128</v>
      </c>
      <c r="EF147">
        <v>0</v>
      </c>
      <c r="EG147">
        <v>9.889244193548386</v>
      </c>
      <c r="EH147">
        <v>0.1542542258064516</v>
      </c>
      <c r="EI147">
        <v>51.03942258064515</v>
      </c>
      <c r="EJ147">
        <v>50.85239032258064</v>
      </c>
      <c r="EK147">
        <v>0.5805468387096774</v>
      </c>
      <c r="EL147">
        <v>49.99566129032259</v>
      </c>
      <c r="EM147">
        <v>16.84728709677419</v>
      </c>
      <c r="EN147">
        <v>1.563915483870968</v>
      </c>
      <c r="EO147">
        <v>1.511818709677419</v>
      </c>
      <c r="EP147">
        <v>13.6077935483871</v>
      </c>
      <c r="EQ147">
        <v>13.08823548387097</v>
      </c>
      <c r="ER147">
        <v>799.9827419354839</v>
      </c>
      <c r="ES147">
        <v>0.9499928064516129</v>
      </c>
      <c r="ET147">
        <v>0.05000695483870968</v>
      </c>
      <c r="EU147">
        <v>0</v>
      </c>
      <c r="EV147">
        <v>859.0287096774193</v>
      </c>
      <c r="EW147">
        <v>5.000779999999999</v>
      </c>
      <c r="EX147">
        <v>6483.63806451613</v>
      </c>
      <c r="EY147">
        <v>6463.260322580645</v>
      </c>
      <c r="EZ147">
        <v>36.92103225806451</v>
      </c>
      <c r="FA147">
        <v>40.45741935483869</v>
      </c>
      <c r="FB147">
        <v>38.74774193548387</v>
      </c>
      <c r="FC147">
        <v>40.58654838709678</v>
      </c>
      <c r="FD147">
        <v>39.21545161290321</v>
      </c>
      <c r="FE147">
        <v>755.2264516129031</v>
      </c>
      <c r="FF147">
        <v>39.75322580645161</v>
      </c>
      <c r="FG147">
        <v>0</v>
      </c>
      <c r="FH147">
        <v>1765318936.1</v>
      </c>
      <c r="FI147">
        <v>0</v>
      </c>
      <c r="FJ147">
        <v>859.011653846154</v>
      </c>
      <c r="FK147">
        <v>-1.918051287401963</v>
      </c>
      <c r="FL147">
        <v>9.599999920638279</v>
      </c>
      <c r="FM147">
        <v>6483.759999999999</v>
      </c>
      <c r="FN147">
        <v>15</v>
      </c>
      <c r="FO147">
        <v>1765318955.1</v>
      </c>
      <c r="FP147" t="s">
        <v>838</v>
      </c>
      <c r="FQ147">
        <v>1765318950.6</v>
      </c>
      <c r="FR147">
        <v>1765318955.1</v>
      </c>
      <c r="FS147">
        <v>130</v>
      </c>
      <c r="FT147">
        <v>0.033</v>
      </c>
      <c r="FU147">
        <v>0.003</v>
      </c>
      <c r="FV147">
        <v>-0.173</v>
      </c>
      <c r="FW147">
        <v>0.062</v>
      </c>
      <c r="FX147">
        <v>50</v>
      </c>
      <c r="FY147">
        <v>17</v>
      </c>
      <c r="FZ147">
        <v>0.38</v>
      </c>
      <c r="GA147">
        <v>0.25</v>
      </c>
      <c r="GB147">
        <v>0.1542994</v>
      </c>
      <c r="GC147">
        <v>-0.05578194371482172</v>
      </c>
      <c r="GD147">
        <v>0.02461563182085725</v>
      </c>
      <c r="GE147">
        <v>1</v>
      </c>
      <c r="GF147">
        <v>859.0895294117647</v>
      </c>
      <c r="GG147">
        <v>-1.199388849230867</v>
      </c>
      <c r="GH147">
        <v>0.2159109613998166</v>
      </c>
      <c r="GI147">
        <v>0</v>
      </c>
      <c r="GJ147">
        <v>0.5858754500000001</v>
      </c>
      <c r="GK147">
        <v>-0.09334973358349105</v>
      </c>
      <c r="GL147">
        <v>0.009182241569872797</v>
      </c>
      <c r="GM147">
        <v>1</v>
      </c>
      <c r="GN147">
        <v>2</v>
      </c>
      <c r="GO147">
        <v>3</v>
      </c>
      <c r="GP147" t="s">
        <v>453</v>
      </c>
      <c r="GQ147">
        <v>3.10817</v>
      </c>
      <c r="GR147">
        <v>2.79155</v>
      </c>
      <c r="GS147">
        <v>0.0131911</v>
      </c>
      <c r="GT147">
        <v>0.0130757</v>
      </c>
      <c r="GU147">
        <v>0.08605210000000001</v>
      </c>
      <c r="GV147">
        <v>0.08475530000000001</v>
      </c>
      <c r="GW147">
        <v>25916.2</v>
      </c>
      <c r="GX147">
        <v>23524.4</v>
      </c>
      <c r="GY147">
        <v>26818</v>
      </c>
      <c r="GZ147">
        <v>24039.8</v>
      </c>
      <c r="HA147">
        <v>39163.1</v>
      </c>
      <c r="HB147">
        <v>32462.7</v>
      </c>
      <c r="HC147">
        <v>46807.9</v>
      </c>
      <c r="HD147">
        <v>38013.4</v>
      </c>
      <c r="HE147">
        <v>1.86758</v>
      </c>
      <c r="HF147">
        <v>1.87725</v>
      </c>
      <c r="HG147">
        <v>0.0754036</v>
      </c>
      <c r="HH147">
        <v>0</v>
      </c>
      <c r="HI147">
        <v>23.7762</v>
      </c>
      <c r="HJ147">
        <v>999.9</v>
      </c>
      <c r="HK147">
        <v>42.3</v>
      </c>
      <c r="HL147">
        <v>30.2</v>
      </c>
      <c r="HM147">
        <v>20.3159</v>
      </c>
      <c r="HN147">
        <v>60.955</v>
      </c>
      <c r="HO147">
        <v>27.3598</v>
      </c>
      <c r="HP147">
        <v>1</v>
      </c>
      <c r="HQ147">
        <v>-0.0327388</v>
      </c>
      <c r="HR147">
        <v>0.856187</v>
      </c>
      <c r="HS147">
        <v>20.294</v>
      </c>
      <c r="HT147">
        <v>5.22118</v>
      </c>
      <c r="HU147">
        <v>11.9761</v>
      </c>
      <c r="HV147">
        <v>4.9657</v>
      </c>
      <c r="HW147">
        <v>3.2759</v>
      </c>
      <c r="HX147">
        <v>9999</v>
      </c>
      <c r="HY147">
        <v>9999</v>
      </c>
      <c r="HZ147">
        <v>9999</v>
      </c>
      <c r="IA147">
        <v>999.9</v>
      </c>
      <c r="IB147">
        <v>1.86389</v>
      </c>
      <c r="IC147">
        <v>1.86005</v>
      </c>
      <c r="ID147">
        <v>1.85837</v>
      </c>
      <c r="IE147">
        <v>1.8597</v>
      </c>
      <c r="IF147">
        <v>1.85984</v>
      </c>
      <c r="IG147">
        <v>1.85837</v>
      </c>
      <c r="IH147">
        <v>1.85742</v>
      </c>
      <c r="II147">
        <v>1.85236</v>
      </c>
      <c r="IJ147">
        <v>0</v>
      </c>
      <c r="IK147">
        <v>0</v>
      </c>
      <c r="IL147">
        <v>0</v>
      </c>
      <c r="IM147">
        <v>0</v>
      </c>
      <c r="IN147" t="s">
        <v>441</v>
      </c>
      <c r="IO147" t="s">
        <v>442</v>
      </c>
      <c r="IP147" t="s">
        <v>443</v>
      </c>
      <c r="IQ147" t="s">
        <v>443</v>
      </c>
      <c r="IR147" t="s">
        <v>443</v>
      </c>
      <c r="IS147" t="s">
        <v>443</v>
      </c>
      <c r="IT147">
        <v>0</v>
      </c>
      <c r="IU147">
        <v>100</v>
      </c>
      <c r="IV147">
        <v>100</v>
      </c>
      <c r="IW147">
        <v>-0.173</v>
      </c>
      <c r="IX147">
        <v>0.062</v>
      </c>
      <c r="IY147">
        <v>-0.217246635886484</v>
      </c>
      <c r="IZ147">
        <v>0.0001583678016168383</v>
      </c>
      <c r="JA147">
        <v>1.526473431467286E-06</v>
      </c>
      <c r="JB147">
        <v>-4.446382740029455E-10</v>
      </c>
      <c r="JC147">
        <v>-0.04825510490812941</v>
      </c>
      <c r="JD147">
        <v>-0.009941991807247691</v>
      </c>
      <c r="JE147">
        <v>0.001256427533001032</v>
      </c>
      <c r="JF147">
        <v>-1.689728105039484E-05</v>
      </c>
      <c r="JG147">
        <v>2</v>
      </c>
      <c r="JH147">
        <v>1984</v>
      </c>
      <c r="JI147">
        <v>0</v>
      </c>
      <c r="JJ147">
        <v>25</v>
      </c>
      <c r="JK147">
        <v>1.5</v>
      </c>
      <c r="JL147">
        <v>1.5</v>
      </c>
      <c r="JM147">
        <v>0.273438</v>
      </c>
      <c r="JN147">
        <v>2.66602</v>
      </c>
      <c r="JO147">
        <v>1.49658</v>
      </c>
      <c r="JP147">
        <v>2.34741</v>
      </c>
      <c r="JQ147">
        <v>1.54907</v>
      </c>
      <c r="JR147">
        <v>2.45605</v>
      </c>
      <c r="JS147">
        <v>34.8755</v>
      </c>
      <c r="JT147">
        <v>24.14</v>
      </c>
      <c r="JU147">
        <v>18</v>
      </c>
      <c r="JV147">
        <v>461.789</v>
      </c>
      <c r="JW147">
        <v>494.571</v>
      </c>
      <c r="JX147">
        <v>23.2154</v>
      </c>
      <c r="JY147">
        <v>26.7857</v>
      </c>
      <c r="JZ147">
        <v>30.0005</v>
      </c>
      <c r="KA147">
        <v>27.0169</v>
      </c>
      <c r="KB147">
        <v>27.0156</v>
      </c>
      <c r="KC147">
        <v>5.56265</v>
      </c>
      <c r="KD147">
        <v>18.5638</v>
      </c>
      <c r="KE147">
        <v>58.2151</v>
      </c>
      <c r="KF147">
        <v>23.1972</v>
      </c>
      <c r="KG147">
        <v>50</v>
      </c>
      <c r="KH147">
        <v>16.8323</v>
      </c>
      <c r="KI147">
        <v>102.359</v>
      </c>
      <c r="KJ147">
        <v>91.693</v>
      </c>
    </row>
    <row r="148" spans="1:296">
      <c r="A148">
        <v>130</v>
      </c>
      <c r="B148">
        <v>1765319020.1</v>
      </c>
      <c r="C148">
        <v>21587.09999990463</v>
      </c>
      <c r="D148" t="s">
        <v>839</v>
      </c>
      <c r="E148" t="s">
        <v>840</v>
      </c>
      <c r="F148">
        <v>5</v>
      </c>
      <c r="G148" t="s">
        <v>825</v>
      </c>
      <c r="H148">
        <v>1765319012.099999</v>
      </c>
      <c r="I148">
        <f>(J148)/1000</f>
        <v>0</v>
      </c>
      <c r="J148">
        <f>IF(DO148, AM148, AG148)</f>
        <v>0</v>
      </c>
      <c r="K148">
        <f>IF(DO148, AH148, AF148)</f>
        <v>0</v>
      </c>
      <c r="L148">
        <f>DQ148 - IF(AT148&gt;1, K148*DK148*100.0/(AV148), 0)</f>
        <v>0</v>
      </c>
      <c r="M148">
        <f>((S148-I148/2)*L148-K148)/(S148+I148/2)</f>
        <v>0</v>
      </c>
      <c r="N148">
        <f>M148*(DX148+DY148)/1000.0</f>
        <v>0</v>
      </c>
      <c r="O148">
        <f>(DQ148 - IF(AT148&gt;1, K148*DK148*100.0/(AV148), 0))*(DX148+DY148)/1000.0</f>
        <v>0</v>
      </c>
      <c r="P148">
        <f>2.0/((1/R148-1/Q148)+SIGN(R148)*SQRT((1/R148-1/Q148)*(1/R148-1/Q148) + 4*DL148/((DL148+1)*(DL148+1))*(2*1/R148*1/Q148-1/Q148*1/Q148)))</f>
        <v>0</v>
      </c>
      <c r="Q148">
        <f>IF(LEFT(DM148,1)&lt;&gt;"0",IF(LEFT(DM148,1)="1",3.0,DN148),$D$5+$E$5*(EE148*DX148/($K$5*1000))+$F$5*(EE148*DX148/($K$5*1000))*MAX(MIN(DK148,$J$5),$I$5)*MAX(MIN(DK148,$J$5),$I$5)+$G$5*MAX(MIN(DK148,$J$5),$I$5)*(EE148*DX148/($K$5*1000))+$H$5*(EE148*DX148/($K$5*1000))*(EE148*DX148/($K$5*1000)))</f>
        <v>0</v>
      </c>
      <c r="R148">
        <f>I148*(1000-(1000*0.61365*exp(17.502*V148/(240.97+V148))/(DX148+DY148)+DS148)/2)/(1000*0.61365*exp(17.502*V148/(240.97+V148))/(DX148+DY148)-DS148)</f>
        <v>0</v>
      </c>
      <c r="S148">
        <f>1/((DL148+1)/(P148/1.6)+1/(Q148/1.37)) + DL148/((DL148+1)/(P148/1.6) + DL148/(Q148/1.37))</f>
        <v>0</v>
      </c>
      <c r="T148">
        <f>(DG148*DJ148)</f>
        <v>0</v>
      </c>
      <c r="U148">
        <f>(DZ148+(T148+2*0.95*5.67E-8*(((DZ148+$B$9)+273)^4-(DZ148+273)^4)-44100*I148)/(1.84*29.3*Q148+8*0.95*5.67E-8*(DZ148+273)^3))</f>
        <v>0</v>
      </c>
      <c r="V148">
        <f>($C$9*EA148+$D$9*EB148+$E$9*U148)</f>
        <v>0</v>
      </c>
      <c r="W148">
        <f>0.61365*exp(17.502*V148/(240.97+V148))</f>
        <v>0</v>
      </c>
      <c r="X148">
        <f>(Y148/Z148*100)</f>
        <v>0</v>
      </c>
      <c r="Y148">
        <f>DS148*(DX148+DY148)/1000</f>
        <v>0</v>
      </c>
      <c r="Z148">
        <f>0.61365*exp(17.502*DZ148/(240.97+DZ148))</f>
        <v>0</v>
      </c>
      <c r="AA148">
        <f>(W148-DS148*(DX148+DY148)/1000)</f>
        <v>0</v>
      </c>
      <c r="AB148">
        <f>(-I148*44100)</f>
        <v>0</v>
      </c>
      <c r="AC148">
        <f>2*29.3*Q148*0.92*(DZ148-V148)</f>
        <v>0</v>
      </c>
      <c r="AD148">
        <f>2*0.95*5.67E-8*(((DZ148+$B$9)+273)^4-(V148+273)^4)</f>
        <v>0</v>
      </c>
      <c r="AE148">
        <f>T148+AD148+AB148+AC148</f>
        <v>0</v>
      </c>
      <c r="AF148">
        <f>DW148*AT148*(DR148-DQ148*(1000-AT148*DT148)/(1000-AT148*DS148))/(100*DK148)</f>
        <v>0</v>
      </c>
      <c r="AG148">
        <f>1000*DW148*AT148*(DS148-DT148)/(100*DK148*(1000-AT148*DS148))</f>
        <v>0</v>
      </c>
      <c r="AH148">
        <f>(AI148 - AJ148 - DX148*1E3/(8.314*(DZ148+273.15)) * AL148/DW148 * AK148) * DW148/(100*DK148) * (1000 - DT148)/1000</f>
        <v>0</v>
      </c>
      <c r="AI148">
        <v>0.2190672830108786</v>
      </c>
      <c r="AJ148">
        <v>1.096097212121212</v>
      </c>
      <c r="AK148">
        <v>3.615310964592102E-05</v>
      </c>
      <c r="AL148">
        <v>65.76788838688219</v>
      </c>
      <c r="AM148">
        <f>(AO148 - AN148 + DX148*1E3/(8.314*(DZ148+273.15)) * AQ148/DW148 * AP148) * DW148/(100*DK148) * 1000/(1000 - AO148)</f>
        <v>0</v>
      </c>
      <c r="AN148">
        <v>16.89521814242662</v>
      </c>
      <c r="AO148">
        <v>17.47342727272726</v>
      </c>
      <c r="AP148">
        <v>-3.670316333257537E-05</v>
      </c>
      <c r="AQ148">
        <v>107.3331593930654</v>
      </c>
      <c r="AR148">
        <v>15</v>
      </c>
      <c r="AS148">
        <v>3</v>
      </c>
      <c r="AT148">
        <f>IF(AR148*$H$15&gt;=AV148,1.0,(AV148/(AV148-AR148*$H$15)))</f>
        <v>0</v>
      </c>
      <c r="AU148">
        <f>(AT148-1)*100</f>
        <v>0</v>
      </c>
      <c r="AV148">
        <f>MAX(0,($B$15+$C$15*EE148)/(1+$D$15*EE148)*DX148/(DZ148+273)*$E$15)</f>
        <v>0</v>
      </c>
      <c r="AW148" t="s">
        <v>437</v>
      </c>
      <c r="AX148" t="s">
        <v>437</v>
      </c>
      <c r="AY148">
        <v>0</v>
      </c>
      <c r="AZ148">
        <v>0</v>
      </c>
      <c r="BA148">
        <f>1-AY148/AZ148</f>
        <v>0</v>
      </c>
      <c r="BB148">
        <v>0</v>
      </c>
      <c r="BC148" t="s">
        <v>437</v>
      </c>
      <c r="BD148" t="s">
        <v>437</v>
      </c>
      <c r="BE148">
        <v>0</v>
      </c>
      <c r="BF148">
        <v>0</v>
      </c>
      <c r="BG148">
        <f>1-BE148/BF148</f>
        <v>0</v>
      </c>
      <c r="BH148">
        <v>0.5</v>
      </c>
      <c r="BI148">
        <f>DH148</f>
        <v>0</v>
      </c>
      <c r="BJ148">
        <f>K148</f>
        <v>0</v>
      </c>
      <c r="BK148">
        <f>BG148*BH148*BI148</f>
        <v>0</v>
      </c>
      <c r="BL148">
        <f>(BJ148-BB148)/BI148</f>
        <v>0</v>
      </c>
      <c r="BM148">
        <f>(AZ148-BF148)/BF148</f>
        <v>0</v>
      </c>
      <c r="BN148">
        <f>AY148/(BA148+AY148/BF148)</f>
        <v>0</v>
      </c>
      <c r="BO148" t="s">
        <v>437</v>
      </c>
      <c r="BP148">
        <v>0</v>
      </c>
      <c r="BQ148">
        <f>IF(BP148&lt;&gt;0, BP148, BN148)</f>
        <v>0</v>
      </c>
      <c r="BR148">
        <f>1-BQ148/BF148</f>
        <v>0</v>
      </c>
      <c r="BS148">
        <f>(BF148-BE148)/(BF148-BQ148)</f>
        <v>0</v>
      </c>
      <c r="BT148">
        <f>(AZ148-BF148)/(AZ148-BQ148)</f>
        <v>0</v>
      </c>
      <c r="BU148">
        <f>(BF148-BE148)/(BF148-AY148)</f>
        <v>0</v>
      </c>
      <c r="BV148">
        <f>(AZ148-BF148)/(AZ148-AY148)</f>
        <v>0</v>
      </c>
      <c r="BW148">
        <f>(BS148*BQ148/BE148)</f>
        <v>0</v>
      </c>
      <c r="BX148">
        <f>(1-BW148)</f>
        <v>0</v>
      </c>
      <c r="DG148">
        <f>$B$13*EF148+$C$13*EG148+$F$13*ER148*(1-EU148)</f>
        <v>0</v>
      </c>
      <c r="DH148">
        <f>DG148*DI148</f>
        <v>0</v>
      </c>
      <c r="DI148">
        <f>($B$13*$D$11+$C$13*$D$11+$F$13*((FE148+EW148)/MAX(FE148+EW148+FF148, 0.1)*$I$11+FF148/MAX(FE148+EW148+FF148, 0.1)*$J$11))/($B$13+$C$13+$F$13)</f>
        <v>0</v>
      </c>
      <c r="DJ148">
        <f>($B$13*$K$11+$C$13*$K$11+$F$13*((FE148+EW148)/MAX(FE148+EW148+FF148, 0.1)*$P$11+FF148/MAX(FE148+EW148+FF148, 0.1)*$Q$11))/($B$13+$C$13+$F$13)</f>
        <v>0</v>
      </c>
      <c r="DK148">
        <v>6</v>
      </c>
      <c r="DL148">
        <v>0.5</v>
      </c>
      <c r="DM148" t="s">
        <v>438</v>
      </c>
      <c r="DN148">
        <v>2</v>
      </c>
      <c r="DO148" t="b">
        <v>1</v>
      </c>
      <c r="DP148">
        <v>1765319012.099999</v>
      </c>
      <c r="DQ148">
        <v>1.143930322580645</v>
      </c>
      <c r="DR148">
        <v>0.2183278387096774</v>
      </c>
      <c r="DS148">
        <v>17.47219032258065</v>
      </c>
      <c r="DT148">
        <v>16.90198709677419</v>
      </c>
      <c r="DU148">
        <v>1.294930322580645</v>
      </c>
      <c r="DV148">
        <v>17.40919032258065</v>
      </c>
      <c r="DW148">
        <v>500.0125161290323</v>
      </c>
      <c r="DX148">
        <v>89.73991290322577</v>
      </c>
      <c r="DY148">
        <v>0.09998097741935483</v>
      </c>
      <c r="DZ148">
        <v>24.76917096774194</v>
      </c>
      <c r="EA148">
        <v>25.00859677419355</v>
      </c>
      <c r="EB148">
        <v>999.9000000000003</v>
      </c>
      <c r="EC148">
        <v>0</v>
      </c>
      <c r="ED148">
        <v>0</v>
      </c>
      <c r="EE148">
        <v>9991.326129032257</v>
      </c>
      <c r="EF148">
        <v>0</v>
      </c>
      <c r="EG148">
        <v>9.890907419354839</v>
      </c>
      <c r="EH148">
        <v>0.8925467096774193</v>
      </c>
      <c r="EI148">
        <v>1.130641612903226</v>
      </c>
      <c r="EJ148">
        <v>0.2220815806451613</v>
      </c>
      <c r="EK148">
        <v>0.5808238387096774</v>
      </c>
      <c r="EL148">
        <v>0.2183278387096774</v>
      </c>
      <c r="EM148">
        <v>16.90198709677419</v>
      </c>
      <c r="EN148">
        <v>1.568905161290322</v>
      </c>
      <c r="EO148">
        <v>1.516782580645162</v>
      </c>
      <c r="EP148">
        <v>13.65674838709677</v>
      </c>
      <c r="EQ148">
        <v>13.1384064516129</v>
      </c>
      <c r="ER148">
        <v>800.0215161290323</v>
      </c>
      <c r="ES148">
        <v>0.9499950967741936</v>
      </c>
      <c r="ET148">
        <v>0.05000472258064517</v>
      </c>
      <c r="EU148">
        <v>0</v>
      </c>
      <c r="EV148">
        <v>859.7905483870968</v>
      </c>
      <c r="EW148">
        <v>5.000779999999999</v>
      </c>
      <c r="EX148">
        <v>6506.224516129033</v>
      </c>
      <c r="EY148">
        <v>6463.580967741934</v>
      </c>
      <c r="EZ148">
        <v>37.5542258064516</v>
      </c>
      <c r="FA148">
        <v>41.16706451612901</v>
      </c>
      <c r="FB148">
        <v>39.34854838709676</v>
      </c>
      <c r="FC148">
        <v>41.62870967741934</v>
      </c>
      <c r="FD148">
        <v>39.54819354838709</v>
      </c>
      <c r="FE148">
        <v>755.2658064516131</v>
      </c>
      <c r="FF148">
        <v>39.75516129032258</v>
      </c>
      <c r="FG148">
        <v>0</v>
      </c>
      <c r="FH148">
        <v>1765319020.1</v>
      </c>
      <c r="FI148">
        <v>0</v>
      </c>
      <c r="FJ148">
        <v>859.7956923076922</v>
      </c>
      <c r="FK148">
        <v>-0.2404786353371701</v>
      </c>
      <c r="FL148">
        <v>-22.63247866474281</v>
      </c>
      <c r="FM148">
        <v>6506.387692307694</v>
      </c>
      <c r="FN148">
        <v>15</v>
      </c>
      <c r="FO148">
        <v>1765319038.1</v>
      </c>
      <c r="FP148" t="s">
        <v>841</v>
      </c>
      <c r="FQ148">
        <v>1765319038.1</v>
      </c>
      <c r="FR148">
        <v>1765319038.1</v>
      </c>
      <c r="FS148">
        <v>131</v>
      </c>
      <c r="FT148">
        <v>0.033</v>
      </c>
      <c r="FU148">
        <v>0</v>
      </c>
      <c r="FV148">
        <v>-0.151</v>
      </c>
      <c r="FW148">
        <v>0.063</v>
      </c>
      <c r="FX148">
        <v>0</v>
      </c>
      <c r="FY148">
        <v>17</v>
      </c>
      <c r="FZ148">
        <v>0.27</v>
      </c>
      <c r="GA148">
        <v>0.16</v>
      </c>
      <c r="GB148">
        <v>0.9132265000000001</v>
      </c>
      <c r="GC148">
        <v>-0.4282913921200773</v>
      </c>
      <c r="GD148">
        <v>0.04670837632587971</v>
      </c>
      <c r="GE148">
        <v>1</v>
      </c>
      <c r="GF148">
        <v>859.7644705882352</v>
      </c>
      <c r="GG148">
        <v>0.3567914430684981</v>
      </c>
      <c r="GH148">
        <v>0.2261769524970087</v>
      </c>
      <c r="GI148">
        <v>1</v>
      </c>
      <c r="GJ148">
        <v>0.5773578749999999</v>
      </c>
      <c r="GK148">
        <v>0.06820580487804881</v>
      </c>
      <c r="GL148">
        <v>0.008678432019055922</v>
      </c>
      <c r="GM148">
        <v>1</v>
      </c>
      <c r="GN148">
        <v>3</v>
      </c>
      <c r="GO148">
        <v>3</v>
      </c>
      <c r="GP148" t="s">
        <v>440</v>
      </c>
      <c r="GQ148">
        <v>3.10821</v>
      </c>
      <c r="GR148">
        <v>2.79164</v>
      </c>
      <c r="GS148">
        <v>0.000334029</v>
      </c>
      <c r="GT148">
        <v>7.17995E-05</v>
      </c>
      <c r="GU148">
        <v>0.0862184</v>
      </c>
      <c r="GV148">
        <v>0.0849178</v>
      </c>
      <c r="GW148">
        <v>26251.2</v>
      </c>
      <c r="GX148">
        <v>23832.9</v>
      </c>
      <c r="GY148">
        <v>26815.3</v>
      </c>
      <c r="GZ148">
        <v>24038.4</v>
      </c>
      <c r="HA148">
        <v>39150.4</v>
      </c>
      <c r="HB148">
        <v>32453.2</v>
      </c>
      <c r="HC148">
        <v>46803.1</v>
      </c>
      <c r="HD148">
        <v>38010.7</v>
      </c>
      <c r="HE148">
        <v>1.86735</v>
      </c>
      <c r="HF148">
        <v>1.87595</v>
      </c>
      <c r="HG148">
        <v>0.0737607</v>
      </c>
      <c r="HH148">
        <v>0</v>
      </c>
      <c r="HI148">
        <v>23.7895</v>
      </c>
      <c r="HJ148">
        <v>999.9</v>
      </c>
      <c r="HK148">
        <v>42.4</v>
      </c>
      <c r="HL148">
        <v>30.2</v>
      </c>
      <c r="HM148">
        <v>20.363</v>
      </c>
      <c r="HN148">
        <v>61.285</v>
      </c>
      <c r="HO148">
        <v>27.6002</v>
      </c>
      <c r="HP148">
        <v>1</v>
      </c>
      <c r="HQ148">
        <v>-0.028374</v>
      </c>
      <c r="HR148">
        <v>0.874858</v>
      </c>
      <c r="HS148">
        <v>20.2918</v>
      </c>
      <c r="HT148">
        <v>5.22118</v>
      </c>
      <c r="HU148">
        <v>11.9763</v>
      </c>
      <c r="HV148">
        <v>4.96555</v>
      </c>
      <c r="HW148">
        <v>3.27585</v>
      </c>
      <c r="HX148">
        <v>9999</v>
      </c>
      <c r="HY148">
        <v>9999</v>
      </c>
      <c r="HZ148">
        <v>9999</v>
      </c>
      <c r="IA148">
        <v>999.9</v>
      </c>
      <c r="IB148">
        <v>1.86392</v>
      </c>
      <c r="IC148">
        <v>1.86005</v>
      </c>
      <c r="ID148">
        <v>1.85837</v>
      </c>
      <c r="IE148">
        <v>1.85972</v>
      </c>
      <c r="IF148">
        <v>1.85987</v>
      </c>
      <c r="IG148">
        <v>1.85836</v>
      </c>
      <c r="IH148">
        <v>1.85742</v>
      </c>
      <c r="II148">
        <v>1.85241</v>
      </c>
      <c r="IJ148">
        <v>0</v>
      </c>
      <c r="IK148">
        <v>0</v>
      </c>
      <c r="IL148">
        <v>0</v>
      </c>
      <c r="IM148">
        <v>0</v>
      </c>
      <c r="IN148" t="s">
        <v>441</v>
      </c>
      <c r="IO148" t="s">
        <v>442</v>
      </c>
      <c r="IP148" t="s">
        <v>443</v>
      </c>
      <c r="IQ148" t="s">
        <v>443</v>
      </c>
      <c r="IR148" t="s">
        <v>443</v>
      </c>
      <c r="IS148" t="s">
        <v>443</v>
      </c>
      <c r="IT148">
        <v>0</v>
      </c>
      <c r="IU148">
        <v>100</v>
      </c>
      <c r="IV148">
        <v>100</v>
      </c>
      <c r="IW148">
        <v>-0.151</v>
      </c>
      <c r="IX148">
        <v>0.063</v>
      </c>
      <c r="IY148">
        <v>-0.1842638087690153</v>
      </c>
      <c r="IZ148">
        <v>0.0001583678016168383</v>
      </c>
      <c r="JA148">
        <v>1.526473431467286E-06</v>
      </c>
      <c r="JB148">
        <v>-4.446382740029455E-10</v>
      </c>
      <c r="JC148">
        <v>-0.04492861006053055</v>
      </c>
      <c r="JD148">
        <v>-0.009941991807247691</v>
      </c>
      <c r="JE148">
        <v>0.001256427533001032</v>
      </c>
      <c r="JF148">
        <v>-1.689728105039484E-05</v>
      </c>
      <c r="JG148">
        <v>2</v>
      </c>
      <c r="JH148">
        <v>1984</v>
      </c>
      <c r="JI148">
        <v>0</v>
      </c>
      <c r="JJ148">
        <v>25</v>
      </c>
      <c r="JK148">
        <v>1.2</v>
      </c>
      <c r="JL148">
        <v>1.1</v>
      </c>
      <c r="JM148">
        <v>0.0292969</v>
      </c>
      <c r="JN148">
        <v>4.99634</v>
      </c>
      <c r="JO148">
        <v>1.49658</v>
      </c>
      <c r="JP148">
        <v>2.34741</v>
      </c>
      <c r="JQ148">
        <v>1.54907</v>
      </c>
      <c r="JR148">
        <v>2.4707</v>
      </c>
      <c r="JS148">
        <v>34.8985</v>
      </c>
      <c r="JT148">
        <v>24.1313</v>
      </c>
      <c r="JU148">
        <v>18</v>
      </c>
      <c r="JV148">
        <v>461.939</v>
      </c>
      <c r="JW148">
        <v>494.028</v>
      </c>
      <c r="JX148">
        <v>23.134</v>
      </c>
      <c r="JY148">
        <v>26.833</v>
      </c>
      <c r="JZ148">
        <v>30.0004</v>
      </c>
      <c r="KA148">
        <v>27.0539</v>
      </c>
      <c r="KB148">
        <v>27.051</v>
      </c>
      <c r="KC148">
        <v>0</v>
      </c>
      <c r="KD148">
        <v>18.5078</v>
      </c>
      <c r="KE148">
        <v>58.2151</v>
      </c>
      <c r="KF148">
        <v>23.1355</v>
      </c>
      <c r="KG148">
        <v>0</v>
      </c>
      <c r="KH148">
        <v>16.8537</v>
      </c>
      <c r="KI148">
        <v>102.349</v>
      </c>
      <c r="KJ148">
        <v>91.68680000000001</v>
      </c>
    </row>
    <row r="149" spans="1:296">
      <c r="A149">
        <v>131</v>
      </c>
      <c r="B149">
        <v>1765319129.1</v>
      </c>
      <c r="C149">
        <v>21696.09999990463</v>
      </c>
      <c r="D149" t="s">
        <v>842</v>
      </c>
      <c r="E149" t="s">
        <v>843</v>
      </c>
      <c r="F149">
        <v>5</v>
      </c>
      <c r="G149" t="s">
        <v>825</v>
      </c>
      <c r="H149">
        <v>1765319121.099999</v>
      </c>
      <c r="I149">
        <f>(J149)/1000</f>
        <v>0</v>
      </c>
      <c r="J149">
        <f>IF(DO149, AM149, AG149)</f>
        <v>0</v>
      </c>
      <c r="K149">
        <f>IF(DO149, AH149, AF149)</f>
        <v>0</v>
      </c>
      <c r="L149">
        <f>DQ149 - IF(AT149&gt;1, K149*DK149*100.0/(AV149), 0)</f>
        <v>0</v>
      </c>
      <c r="M149">
        <f>((S149-I149/2)*L149-K149)/(S149+I149/2)</f>
        <v>0</v>
      </c>
      <c r="N149">
        <f>M149*(DX149+DY149)/1000.0</f>
        <v>0</v>
      </c>
      <c r="O149">
        <f>(DQ149 - IF(AT149&gt;1, K149*DK149*100.0/(AV149), 0))*(DX149+DY149)/1000.0</f>
        <v>0</v>
      </c>
      <c r="P149">
        <f>2.0/((1/R149-1/Q149)+SIGN(R149)*SQRT((1/R149-1/Q149)*(1/R149-1/Q149) + 4*DL149/((DL149+1)*(DL149+1))*(2*1/R149*1/Q149-1/Q149*1/Q149)))</f>
        <v>0</v>
      </c>
      <c r="Q149">
        <f>IF(LEFT(DM149,1)&lt;&gt;"0",IF(LEFT(DM149,1)="1",3.0,DN149),$D$5+$E$5*(EE149*DX149/($K$5*1000))+$F$5*(EE149*DX149/($K$5*1000))*MAX(MIN(DK149,$J$5),$I$5)*MAX(MIN(DK149,$J$5),$I$5)+$G$5*MAX(MIN(DK149,$J$5),$I$5)*(EE149*DX149/($K$5*1000))+$H$5*(EE149*DX149/($K$5*1000))*(EE149*DX149/($K$5*1000)))</f>
        <v>0</v>
      </c>
      <c r="R149">
        <f>I149*(1000-(1000*0.61365*exp(17.502*V149/(240.97+V149))/(DX149+DY149)+DS149)/2)/(1000*0.61365*exp(17.502*V149/(240.97+V149))/(DX149+DY149)-DS149)</f>
        <v>0</v>
      </c>
      <c r="S149">
        <f>1/((DL149+1)/(P149/1.6)+1/(Q149/1.37)) + DL149/((DL149+1)/(P149/1.6) + DL149/(Q149/1.37))</f>
        <v>0</v>
      </c>
      <c r="T149">
        <f>(DG149*DJ149)</f>
        <v>0</v>
      </c>
      <c r="U149">
        <f>(DZ149+(T149+2*0.95*5.67E-8*(((DZ149+$B$9)+273)^4-(DZ149+273)^4)-44100*I149)/(1.84*29.3*Q149+8*0.95*5.67E-8*(DZ149+273)^3))</f>
        <v>0</v>
      </c>
      <c r="V149">
        <f>($C$9*EA149+$D$9*EB149+$E$9*U149)</f>
        <v>0</v>
      </c>
      <c r="W149">
        <f>0.61365*exp(17.502*V149/(240.97+V149))</f>
        <v>0</v>
      </c>
      <c r="X149">
        <f>(Y149/Z149*100)</f>
        <v>0</v>
      </c>
      <c r="Y149">
        <f>DS149*(DX149+DY149)/1000</f>
        <v>0</v>
      </c>
      <c r="Z149">
        <f>0.61365*exp(17.502*DZ149/(240.97+DZ149))</f>
        <v>0</v>
      </c>
      <c r="AA149">
        <f>(W149-DS149*(DX149+DY149)/1000)</f>
        <v>0</v>
      </c>
      <c r="AB149">
        <f>(-I149*44100)</f>
        <v>0</v>
      </c>
      <c r="AC149">
        <f>2*29.3*Q149*0.92*(DZ149-V149)</f>
        <v>0</v>
      </c>
      <c r="AD149">
        <f>2*0.95*5.67E-8*(((DZ149+$B$9)+273)^4-(V149+273)^4)</f>
        <v>0</v>
      </c>
      <c r="AE149">
        <f>T149+AD149+AB149+AC149</f>
        <v>0</v>
      </c>
      <c r="AF149">
        <f>DW149*AT149*(DR149-DQ149*(1000-AT149*DT149)/(1000-AT149*DS149))/(100*DK149)</f>
        <v>0</v>
      </c>
      <c r="AG149">
        <f>1000*DW149*AT149*(DS149-DT149)/(100*DK149*(1000-AT149*DS149))</f>
        <v>0</v>
      </c>
      <c r="AH149">
        <f>(AI149 - AJ149 - DX149*1E3/(8.314*(DZ149+273.15)) * AL149/DW149 * AK149) * DW149/(100*DK149) * (1000 - DT149)/1000</f>
        <v>0</v>
      </c>
      <c r="AI149">
        <v>406.9506170214241</v>
      </c>
      <c r="AJ149">
        <v>402.5645151515151</v>
      </c>
      <c r="AK149">
        <v>-0.001053658407498883</v>
      </c>
      <c r="AL149">
        <v>65.73442328188285</v>
      </c>
      <c r="AM149">
        <f>(AO149 - AN149 + DX149*1E3/(8.314*(DZ149+273.15)) * AQ149/DW149 * AP149) * DW149/(100*DK149) * 1000/(1000 - AO149)</f>
        <v>0</v>
      </c>
      <c r="AN149">
        <v>16.85551903918783</v>
      </c>
      <c r="AO149">
        <v>17.44295818181817</v>
      </c>
      <c r="AP149">
        <v>2.045920504895355E-05</v>
      </c>
      <c r="AQ149">
        <v>106.9710393265764</v>
      </c>
      <c r="AR149">
        <v>15</v>
      </c>
      <c r="AS149">
        <v>3</v>
      </c>
      <c r="AT149">
        <f>IF(AR149*$H$15&gt;=AV149,1.0,(AV149/(AV149-AR149*$H$15)))</f>
        <v>0</v>
      </c>
      <c r="AU149">
        <f>(AT149-1)*100</f>
        <v>0</v>
      </c>
      <c r="AV149">
        <f>MAX(0,($B$15+$C$15*EE149)/(1+$D$15*EE149)*DX149/(DZ149+273)*$E$15)</f>
        <v>0</v>
      </c>
      <c r="AW149" t="s">
        <v>437</v>
      </c>
      <c r="AX149" t="s">
        <v>437</v>
      </c>
      <c r="AY149">
        <v>0</v>
      </c>
      <c r="AZ149">
        <v>0</v>
      </c>
      <c r="BA149">
        <f>1-AY149/AZ149</f>
        <v>0</v>
      </c>
      <c r="BB149">
        <v>0</v>
      </c>
      <c r="BC149" t="s">
        <v>437</v>
      </c>
      <c r="BD149" t="s">
        <v>437</v>
      </c>
      <c r="BE149">
        <v>0</v>
      </c>
      <c r="BF149">
        <v>0</v>
      </c>
      <c r="BG149">
        <f>1-BE149/BF149</f>
        <v>0</v>
      </c>
      <c r="BH149">
        <v>0.5</v>
      </c>
      <c r="BI149">
        <f>DH149</f>
        <v>0</v>
      </c>
      <c r="BJ149">
        <f>K149</f>
        <v>0</v>
      </c>
      <c r="BK149">
        <f>BG149*BH149*BI149</f>
        <v>0</v>
      </c>
      <c r="BL149">
        <f>(BJ149-BB149)/BI149</f>
        <v>0</v>
      </c>
      <c r="BM149">
        <f>(AZ149-BF149)/BF149</f>
        <v>0</v>
      </c>
      <c r="BN149">
        <f>AY149/(BA149+AY149/BF149)</f>
        <v>0</v>
      </c>
      <c r="BO149" t="s">
        <v>437</v>
      </c>
      <c r="BP149">
        <v>0</v>
      </c>
      <c r="BQ149">
        <f>IF(BP149&lt;&gt;0, BP149, BN149)</f>
        <v>0</v>
      </c>
      <c r="BR149">
        <f>1-BQ149/BF149</f>
        <v>0</v>
      </c>
      <c r="BS149">
        <f>(BF149-BE149)/(BF149-BQ149)</f>
        <v>0</v>
      </c>
      <c r="BT149">
        <f>(AZ149-BF149)/(AZ149-BQ149)</f>
        <v>0</v>
      </c>
      <c r="BU149">
        <f>(BF149-BE149)/(BF149-AY149)</f>
        <v>0</v>
      </c>
      <c r="BV149">
        <f>(AZ149-BF149)/(AZ149-AY149)</f>
        <v>0</v>
      </c>
      <c r="BW149">
        <f>(BS149*BQ149/BE149)</f>
        <v>0</v>
      </c>
      <c r="BX149">
        <f>(1-BW149)</f>
        <v>0</v>
      </c>
      <c r="DG149">
        <f>$B$13*EF149+$C$13*EG149+$F$13*ER149*(1-EU149)</f>
        <v>0</v>
      </c>
      <c r="DH149">
        <f>DG149*DI149</f>
        <v>0</v>
      </c>
      <c r="DI149">
        <f>($B$13*$D$11+$C$13*$D$11+$F$13*((FE149+EW149)/MAX(FE149+EW149+FF149, 0.1)*$I$11+FF149/MAX(FE149+EW149+FF149, 0.1)*$J$11))/($B$13+$C$13+$F$13)</f>
        <v>0</v>
      </c>
      <c r="DJ149">
        <f>($B$13*$K$11+$C$13*$K$11+$F$13*((FE149+EW149)/MAX(FE149+EW149+FF149, 0.1)*$P$11+FF149/MAX(FE149+EW149+FF149, 0.1)*$Q$11))/($B$13+$C$13+$F$13)</f>
        <v>0</v>
      </c>
      <c r="DK149">
        <v>6</v>
      </c>
      <c r="DL149">
        <v>0.5</v>
      </c>
      <c r="DM149" t="s">
        <v>438</v>
      </c>
      <c r="DN149">
        <v>2</v>
      </c>
      <c r="DO149" t="b">
        <v>1</v>
      </c>
      <c r="DP149">
        <v>1765319121.099999</v>
      </c>
      <c r="DQ149">
        <v>395.3516451612903</v>
      </c>
      <c r="DR149">
        <v>400.1341935483871</v>
      </c>
      <c r="DS149">
        <v>17.43103548387097</v>
      </c>
      <c r="DT149">
        <v>16.8534935483871</v>
      </c>
      <c r="DU149">
        <v>395.4816451612903</v>
      </c>
      <c r="DV149">
        <v>17.36803548387097</v>
      </c>
      <c r="DW149">
        <v>500.0072258064517</v>
      </c>
      <c r="DX149">
        <v>89.73798064516131</v>
      </c>
      <c r="DY149">
        <v>0.0999463612903226</v>
      </c>
      <c r="DZ149">
        <v>24.76100967741935</v>
      </c>
      <c r="EA149">
        <v>24.99488064516129</v>
      </c>
      <c r="EB149">
        <v>999.9000000000003</v>
      </c>
      <c r="EC149">
        <v>0</v>
      </c>
      <c r="ED149">
        <v>0</v>
      </c>
      <c r="EE149">
        <v>10004.45580645161</v>
      </c>
      <c r="EF149">
        <v>0</v>
      </c>
      <c r="EG149">
        <v>9.89639</v>
      </c>
      <c r="EH149">
        <v>-4.529917741935484</v>
      </c>
      <c r="EI149">
        <v>402.6265483870968</v>
      </c>
      <c r="EJ149">
        <v>406.9934838709677</v>
      </c>
      <c r="EK149">
        <v>0.5875992258064515</v>
      </c>
      <c r="EL149">
        <v>400.1341935483871</v>
      </c>
      <c r="EM149">
        <v>16.8534935483871</v>
      </c>
      <c r="EN149">
        <v>1.565129032258065</v>
      </c>
      <c r="EO149">
        <v>1.512399032258064</v>
      </c>
      <c r="EP149">
        <v>13.6197</v>
      </c>
      <c r="EQ149">
        <v>13.0940935483871</v>
      </c>
      <c r="ER149">
        <v>800.0230645161291</v>
      </c>
      <c r="ES149">
        <v>0.9499962258064514</v>
      </c>
      <c r="ET149">
        <v>0.05000407741935485</v>
      </c>
      <c r="EU149">
        <v>0</v>
      </c>
      <c r="EV149">
        <v>852.5889999999999</v>
      </c>
      <c r="EW149">
        <v>5.000779999999999</v>
      </c>
      <c r="EX149">
        <v>6430.774516129033</v>
      </c>
      <c r="EY149">
        <v>6463.59483870968</v>
      </c>
      <c r="EZ149">
        <v>36.6086129032258</v>
      </c>
      <c r="FA149">
        <v>39.07238709677419</v>
      </c>
      <c r="FB149">
        <v>38.12267741935483</v>
      </c>
      <c r="FC149">
        <v>38.81019354838708</v>
      </c>
      <c r="FD149">
        <v>38.145</v>
      </c>
      <c r="FE149">
        <v>755.2690322580644</v>
      </c>
      <c r="FF149">
        <v>39.75032258064516</v>
      </c>
      <c r="FG149">
        <v>0</v>
      </c>
      <c r="FH149">
        <v>1765319128.7</v>
      </c>
      <c r="FI149">
        <v>0</v>
      </c>
      <c r="FJ149">
        <v>852.5912000000001</v>
      </c>
      <c r="FK149">
        <v>0.9498461615767255</v>
      </c>
      <c r="FL149">
        <v>-15.07307689465002</v>
      </c>
      <c r="FM149">
        <v>6430.3544</v>
      </c>
      <c r="FN149">
        <v>15</v>
      </c>
      <c r="FO149">
        <v>1765319154.6</v>
      </c>
      <c r="FP149" t="s">
        <v>844</v>
      </c>
      <c r="FQ149">
        <v>1765319154.6</v>
      </c>
      <c r="FR149">
        <v>1765319148.1</v>
      </c>
      <c r="FS149">
        <v>132</v>
      </c>
      <c r="FT149">
        <v>-0.259</v>
      </c>
      <c r="FU149">
        <v>0.001</v>
      </c>
      <c r="FV149">
        <v>-0.13</v>
      </c>
      <c r="FW149">
        <v>0.063</v>
      </c>
      <c r="FX149">
        <v>401</v>
      </c>
      <c r="FY149">
        <v>17</v>
      </c>
      <c r="FZ149">
        <v>0.62</v>
      </c>
      <c r="GA149">
        <v>0.16</v>
      </c>
      <c r="GB149">
        <v>-4.501605853658536</v>
      </c>
      <c r="GC149">
        <v>-0.5800210452961755</v>
      </c>
      <c r="GD149">
        <v>0.06028447468201004</v>
      </c>
      <c r="GE149">
        <v>0</v>
      </c>
      <c r="GF149">
        <v>852.6076176470588</v>
      </c>
      <c r="GG149">
        <v>0.2216501188322389</v>
      </c>
      <c r="GH149">
        <v>0.1615547648369561</v>
      </c>
      <c r="GI149">
        <v>1</v>
      </c>
      <c r="GJ149">
        <v>0.5874112195121951</v>
      </c>
      <c r="GK149">
        <v>0.004348787456446909</v>
      </c>
      <c r="GL149">
        <v>0.0009509908186624347</v>
      </c>
      <c r="GM149">
        <v>1</v>
      </c>
      <c r="GN149">
        <v>2</v>
      </c>
      <c r="GO149">
        <v>3</v>
      </c>
      <c r="GP149" t="s">
        <v>453</v>
      </c>
      <c r="GQ149">
        <v>3.10823</v>
      </c>
      <c r="GR149">
        <v>2.79169</v>
      </c>
      <c r="GS149">
        <v>0.083748</v>
      </c>
      <c r="GT149">
        <v>0.0845413</v>
      </c>
      <c r="GU149">
        <v>0.08609899999999999</v>
      </c>
      <c r="GV149">
        <v>0.0847619</v>
      </c>
      <c r="GW149">
        <v>24057.6</v>
      </c>
      <c r="GX149">
        <v>21817.5</v>
      </c>
      <c r="GY149">
        <v>26812.7</v>
      </c>
      <c r="GZ149">
        <v>24037</v>
      </c>
      <c r="HA149">
        <v>39162.6</v>
      </c>
      <c r="HB149">
        <v>32466.1</v>
      </c>
      <c r="HC149">
        <v>46799</v>
      </c>
      <c r="HD149">
        <v>38009.1</v>
      </c>
      <c r="HE149">
        <v>1.8671</v>
      </c>
      <c r="HF149">
        <v>1.87602</v>
      </c>
      <c r="HG149">
        <v>0.0727549</v>
      </c>
      <c r="HH149">
        <v>0</v>
      </c>
      <c r="HI149">
        <v>23.8054</v>
      </c>
      <c r="HJ149">
        <v>999.9</v>
      </c>
      <c r="HK149">
        <v>42.5</v>
      </c>
      <c r="HL149">
        <v>30.2</v>
      </c>
      <c r="HM149">
        <v>20.4091</v>
      </c>
      <c r="HN149">
        <v>61.455</v>
      </c>
      <c r="HO149">
        <v>27.3558</v>
      </c>
      <c r="HP149">
        <v>1</v>
      </c>
      <c r="HQ149">
        <v>-0.0230208</v>
      </c>
      <c r="HR149">
        <v>0.783069</v>
      </c>
      <c r="HS149">
        <v>20.2924</v>
      </c>
      <c r="HT149">
        <v>5.22208</v>
      </c>
      <c r="HU149">
        <v>11.9785</v>
      </c>
      <c r="HV149">
        <v>4.9656</v>
      </c>
      <c r="HW149">
        <v>3.2759</v>
      </c>
      <c r="HX149">
        <v>9999</v>
      </c>
      <c r="HY149">
        <v>9999</v>
      </c>
      <c r="HZ149">
        <v>9999</v>
      </c>
      <c r="IA149">
        <v>999.9</v>
      </c>
      <c r="IB149">
        <v>1.86387</v>
      </c>
      <c r="IC149">
        <v>1.86004</v>
      </c>
      <c r="ID149">
        <v>1.85833</v>
      </c>
      <c r="IE149">
        <v>1.85967</v>
      </c>
      <c r="IF149">
        <v>1.85977</v>
      </c>
      <c r="IG149">
        <v>1.85831</v>
      </c>
      <c r="IH149">
        <v>1.85736</v>
      </c>
      <c r="II149">
        <v>1.85238</v>
      </c>
      <c r="IJ149">
        <v>0</v>
      </c>
      <c r="IK149">
        <v>0</v>
      </c>
      <c r="IL149">
        <v>0</v>
      </c>
      <c r="IM149">
        <v>0</v>
      </c>
      <c r="IN149" t="s">
        <v>441</v>
      </c>
      <c r="IO149" t="s">
        <v>442</v>
      </c>
      <c r="IP149" t="s">
        <v>443</v>
      </c>
      <c r="IQ149" t="s">
        <v>443</v>
      </c>
      <c r="IR149" t="s">
        <v>443</v>
      </c>
      <c r="IS149" t="s">
        <v>443</v>
      </c>
      <c r="IT149">
        <v>0</v>
      </c>
      <c r="IU149">
        <v>100</v>
      </c>
      <c r="IV149">
        <v>100</v>
      </c>
      <c r="IW149">
        <v>-0.13</v>
      </c>
      <c r="IX149">
        <v>0.063</v>
      </c>
      <c r="IY149">
        <v>-0.151144911531317</v>
      </c>
      <c r="IZ149">
        <v>0.0001583678016168383</v>
      </c>
      <c r="JA149">
        <v>1.526473431467286E-06</v>
      </c>
      <c r="JB149">
        <v>-4.446382740029455E-10</v>
      </c>
      <c r="JC149">
        <v>-0.04473038375757894</v>
      </c>
      <c r="JD149">
        <v>-0.009941991807247691</v>
      </c>
      <c r="JE149">
        <v>0.001256427533001032</v>
      </c>
      <c r="JF149">
        <v>-1.689728105039484E-05</v>
      </c>
      <c r="JG149">
        <v>2</v>
      </c>
      <c r="JH149">
        <v>1984</v>
      </c>
      <c r="JI149">
        <v>0</v>
      </c>
      <c r="JJ149">
        <v>25</v>
      </c>
      <c r="JK149">
        <v>1.5</v>
      </c>
      <c r="JL149">
        <v>1.5</v>
      </c>
      <c r="JM149">
        <v>1.09863</v>
      </c>
      <c r="JN149">
        <v>2.63428</v>
      </c>
      <c r="JO149">
        <v>1.49658</v>
      </c>
      <c r="JP149">
        <v>2.34741</v>
      </c>
      <c r="JQ149">
        <v>1.54907</v>
      </c>
      <c r="JR149">
        <v>2.45483</v>
      </c>
      <c r="JS149">
        <v>34.9214</v>
      </c>
      <c r="JT149">
        <v>24.14</v>
      </c>
      <c r="JU149">
        <v>18</v>
      </c>
      <c r="JV149">
        <v>462.211</v>
      </c>
      <c r="JW149">
        <v>494.536</v>
      </c>
      <c r="JX149">
        <v>23.202</v>
      </c>
      <c r="JY149">
        <v>26.8995</v>
      </c>
      <c r="JZ149">
        <v>30.0004</v>
      </c>
      <c r="KA149">
        <v>27.1095</v>
      </c>
      <c r="KB149">
        <v>27.1037</v>
      </c>
      <c r="KC149">
        <v>22.079</v>
      </c>
      <c r="KD149">
        <v>19.0874</v>
      </c>
      <c r="KE149">
        <v>58.2151</v>
      </c>
      <c r="KF149">
        <v>23.2044</v>
      </c>
      <c r="KG149">
        <v>400</v>
      </c>
      <c r="KH149">
        <v>16.8421</v>
      </c>
      <c r="KI149">
        <v>102.34</v>
      </c>
      <c r="KJ149">
        <v>91.6824</v>
      </c>
    </row>
    <row r="150" spans="1:296">
      <c r="A150">
        <v>132</v>
      </c>
      <c r="B150">
        <v>1765319245.6</v>
      </c>
      <c r="C150">
        <v>21812.59999990463</v>
      </c>
      <c r="D150" t="s">
        <v>845</v>
      </c>
      <c r="E150" t="s">
        <v>846</v>
      </c>
      <c r="F150">
        <v>5</v>
      </c>
      <c r="G150" t="s">
        <v>825</v>
      </c>
      <c r="H150">
        <v>1765319237.599999</v>
      </c>
      <c r="I150">
        <f>(J150)/1000</f>
        <v>0</v>
      </c>
      <c r="J150">
        <f>IF(DO150, AM150, AG150)</f>
        <v>0</v>
      </c>
      <c r="K150">
        <f>IF(DO150, AH150, AF150)</f>
        <v>0</v>
      </c>
      <c r="L150">
        <f>DQ150 - IF(AT150&gt;1, K150*DK150*100.0/(AV150), 0)</f>
        <v>0</v>
      </c>
      <c r="M150">
        <f>((S150-I150/2)*L150-K150)/(S150+I150/2)</f>
        <v>0</v>
      </c>
      <c r="N150">
        <f>M150*(DX150+DY150)/1000.0</f>
        <v>0</v>
      </c>
      <c r="O150">
        <f>(DQ150 - IF(AT150&gt;1, K150*DK150*100.0/(AV150), 0))*(DX150+DY150)/1000.0</f>
        <v>0</v>
      </c>
      <c r="P150">
        <f>2.0/((1/R150-1/Q150)+SIGN(R150)*SQRT((1/R150-1/Q150)*(1/R150-1/Q150) + 4*DL150/((DL150+1)*(DL150+1))*(2*1/R150*1/Q150-1/Q150*1/Q150)))</f>
        <v>0</v>
      </c>
      <c r="Q150">
        <f>IF(LEFT(DM150,1)&lt;&gt;"0",IF(LEFT(DM150,1)="1",3.0,DN150),$D$5+$E$5*(EE150*DX150/($K$5*1000))+$F$5*(EE150*DX150/($K$5*1000))*MAX(MIN(DK150,$J$5),$I$5)*MAX(MIN(DK150,$J$5),$I$5)+$G$5*MAX(MIN(DK150,$J$5),$I$5)*(EE150*DX150/($K$5*1000))+$H$5*(EE150*DX150/($K$5*1000))*(EE150*DX150/($K$5*1000)))</f>
        <v>0</v>
      </c>
      <c r="R150">
        <f>I150*(1000-(1000*0.61365*exp(17.502*V150/(240.97+V150))/(DX150+DY150)+DS150)/2)/(1000*0.61365*exp(17.502*V150/(240.97+V150))/(DX150+DY150)-DS150)</f>
        <v>0</v>
      </c>
      <c r="S150">
        <f>1/((DL150+1)/(P150/1.6)+1/(Q150/1.37)) + DL150/((DL150+1)/(P150/1.6) + DL150/(Q150/1.37))</f>
        <v>0</v>
      </c>
      <c r="T150">
        <f>(DG150*DJ150)</f>
        <v>0</v>
      </c>
      <c r="U150">
        <f>(DZ150+(T150+2*0.95*5.67E-8*(((DZ150+$B$9)+273)^4-(DZ150+273)^4)-44100*I150)/(1.84*29.3*Q150+8*0.95*5.67E-8*(DZ150+273)^3))</f>
        <v>0</v>
      </c>
      <c r="V150">
        <f>($C$9*EA150+$D$9*EB150+$E$9*U150)</f>
        <v>0</v>
      </c>
      <c r="W150">
        <f>0.61365*exp(17.502*V150/(240.97+V150))</f>
        <v>0</v>
      </c>
      <c r="X150">
        <f>(Y150/Z150*100)</f>
        <v>0</v>
      </c>
      <c r="Y150">
        <f>DS150*(DX150+DY150)/1000</f>
        <v>0</v>
      </c>
      <c r="Z150">
        <f>0.61365*exp(17.502*DZ150/(240.97+DZ150))</f>
        <v>0</v>
      </c>
      <c r="AA150">
        <f>(W150-DS150*(DX150+DY150)/1000)</f>
        <v>0</v>
      </c>
      <c r="AB150">
        <f>(-I150*44100)</f>
        <v>0</v>
      </c>
      <c r="AC150">
        <f>2*29.3*Q150*0.92*(DZ150-V150)</f>
        <v>0</v>
      </c>
      <c r="AD150">
        <f>2*0.95*5.67E-8*(((DZ150+$B$9)+273)^4-(V150+273)^4)</f>
        <v>0</v>
      </c>
      <c r="AE150">
        <f>T150+AD150+AB150+AC150</f>
        <v>0</v>
      </c>
      <c r="AF150">
        <f>DW150*AT150*(DR150-DQ150*(1000-AT150*DT150)/(1000-AT150*DS150))/(100*DK150)</f>
        <v>0</v>
      </c>
      <c r="AG150">
        <f>1000*DW150*AT150*(DS150-DT150)/(100*DK150*(1000-AT150*DS150))</f>
        <v>0</v>
      </c>
      <c r="AH150">
        <f>(AI150 - AJ150 - DX150*1E3/(8.314*(DZ150+273.15)) * AL150/DW150 * AK150) * DW150/(100*DK150) * (1000 - DT150)/1000</f>
        <v>0</v>
      </c>
      <c r="AI150">
        <v>406.9044871784556</v>
      </c>
      <c r="AJ150">
        <v>402.1913818181817</v>
      </c>
      <c r="AK150">
        <v>0.001632228626386924</v>
      </c>
      <c r="AL150">
        <v>65.77524906780336</v>
      </c>
      <c r="AM150">
        <f>(AO150 - AN150 + DX150*1E3/(8.314*(DZ150+273.15)) * AQ150/DW150 * AP150) * DW150/(100*DK150) * 1000/(1000 - AO150)</f>
        <v>0</v>
      </c>
      <c r="AN150">
        <v>16.87672928213518</v>
      </c>
      <c r="AO150">
        <v>17.47418121212121</v>
      </c>
      <c r="AP150">
        <v>1.449940964637987E-05</v>
      </c>
      <c r="AQ150">
        <v>107.4202565487672</v>
      </c>
      <c r="AR150">
        <v>14</v>
      </c>
      <c r="AS150">
        <v>3</v>
      </c>
      <c r="AT150">
        <f>IF(AR150*$H$15&gt;=AV150,1.0,(AV150/(AV150-AR150*$H$15)))</f>
        <v>0</v>
      </c>
      <c r="AU150">
        <f>(AT150-1)*100</f>
        <v>0</v>
      </c>
      <c r="AV150">
        <f>MAX(0,($B$15+$C$15*EE150)/(1+$D$15*EE150)*DX150/(DZ150+273)*$E$15)</f>
        <v>0</v>
      </c>
      <c r="AW150" t="s">
        <v>437</v>
      </c>
      <c r="AX150" t="s">
        <v>437</v>
      </c>
      <c r="AY150">
        <v>0</v>
      </c>
      <c r="AZ150">
        <v>0</v>
      </c>
      <c r="BA150">
        <f>1-AY150/AZ150</f>
        <v>0</v>
      </c>
      <c r="BB150">
        <v>0</v>
      </c>
      <c r="BC150" t="s">
        <v>437</v>
      </c>
      <c r="BD150" t="s">
        <v>437</v>
      </c>
      <c r="BE150">
        <v>0</v>
      </c>
      <c r="BF150">
        <v>0</v>
      </c>
      <c r="BG150">
        <f>1-BE150/BF150</f>
        <v>0</v>
      </c>
      <c r="BH150">
        <v>0.5</v>
      </c>
      <c r="BI150">
        <f>DH150</f>
        <v>0</v>
      </c>
      <c r="BJ150">
        <f>K150</f>
        <v>0</v>
      </c>
      <c r="BK150">
        <f>BG150*BH150*BI150</f>
        <v>0</v>
      </c>
      <c r="BL150">
        <f>(BJ150-BB150)/BI150</f>
        <v>0</v>
      </c>
      <c r="BM150">
        <f>(AZ150-BF150)/BF150</f>
        <v>0</v>
      </c>
      <c r="BN150">
        <f>AY150/(BA150+AY150/BF150)</f>
        <v>0</v>
      </c>
      <c r="BO150" t="s">
        <v>437</v>
      </c>
      <c r="BP150">
        <v>0</v>
      </c>
      <c r="BQ150">
        <f>IF(BP150&lt;&gt;0, BP150, BN150)</f>
        <v>0</v>
      </c>
      <c r="BR150">
        <f>1-BQ150/BF150</f>
        <v>0</v>
      </c>
      <c r="BS150">
        <f>(BF150-BE150)/(BF150-BQ150)</f>
        <v>0</v>
      </c>
      <c r="BT150">
        <f>(AZ150-BF150)/(AZ150-BQ150)</f>
        <v>0</v>
      </c>
      <c r="BU150">
        <f>(BF150-BE150)/(BF150-AY150)</f>
        <v>0</v>
      </c>
      <c r="BV150">
        <f>(AZ150-BF150)/(AZ150-AY150)</f>
        <v>0</v>
      </c>
      <c r="BW150">
        <f>(BS150*BQ150/BE150)</f>
        <v>0</v>
      </c>
      <c r="BX150">
        <f>(1-BW150)</f>
        <v>0</v>
      </c>
      <c r="DG150">
        <f>$B$13*EF150+$C$13*EG150+$F$13*ER150*(1-EU150)</f>
        <v>0</v>
      </c>
      <c r="DH150">
        <f>DG150*DI150</f>
        <v>0</v>
      </c>
      <c r="DI150">
        <f>($B$13*$D$11+$C$13*$D$11+$F$13*((FE150+EW150)/MAX(FE150+EW150+FF150, 0.1)*$I$11+FF150/MAX(FE150+EW150+FF150, 0.1)*$J$11))/($B$13+$C$13+$F$13)</f>
        <v>0</v>
      </c>
      <c r="DJ150">
        <f>($B$13*$K$11+$C$13*$K$11+$F$13*((FE150+EW150)/MAX(FE150+EW150+FF150, 0.1)*$P$11+FF150/MAX(FE150+EW150+FF150, 0.1)*$Q$11))/($B$13+$C$13+$F$13)</f>
        <v>0</v>
      </c>
      <c r="DK150">
        <v>6</v>
      </c>
      <c r="DL150">
        <v>0.5</v>
      </c>
      <c r="DM150" t="s">
        <v>438</v>
      </c>
      <c r="DN150">
        <v>2</v>
      </c>
      <c r="DO150" t="b">
        <v>1</v>
      </c>
      <c r="DP150">
        <v>1765319237.599999</v>
      </c>
      <c r="DQ150">
        <v>395.1707096774193</v>
      </c>
      <c r="DR150">
        <v>400.0216774193549</v>
      </c>
      <c r="DS150">
        <v>17.45945806451613</v>
      </c>
      <c r="DT150">
        <v>16.8754</v>
      </c>
      <c r="DU150">
        <v>395.2547096774193</v>
      </c>
      <c r="DV150">
        <v>17.39645806451613</v>
      </c>
      <c r="DW150">
        <v>500.0089677419356</v>
      </c>
      <c r="DX150">
        <v>89.73956451612902</v>
      </c>
      <c r="DY150">
        <v>0.1000027451612903</v>
      </c>
      <c r="DZ150">
        <v>24.74162580645161</v>
      </c>
      <c r="EA150">
        <v>24.99330645161291</v>
      </c>
      <c r="EB150">
        <v>999.9000000000003</v>
      </c>
      <c r="EC150">
        <v>0</v>
      </c>
      <c r="ED150">
        <v>0</v>
      </c>
      <c r="EE150">
        <v>9993.022903225807</v>
      </c>
      <c r="EF150">
        <v>0</v>
      </c>
      <c r="EG150">
        <v>9.853893870967742</v>
      </c>
      <c r="EH150">
        <v>-4.90344064516129</v>
      </c>
      <c r="EI150">
        <v>402.1439354838709</v>
      </c>
      <c r="EJ150">
        <v>406.8880000000001</v>
      </c>
      <c r="EK150">
        <v>0.5953300967741936</v>
      </c>
      <c r="EL150">
        <v>400.0216774193549</v>
      </c>
      <c r="EM150">
        <v>16.8754</v>
      </c>
      <c r="EN150">
        <v>1.567814838709678</v>
      </c>
      <c r="EO150">
        <v>1.514390645161291</v>
      </c>
      <c r="EP150">
        <v>13.64604516129032</v>
      </c>
      <c r="EQ150">
        <v>13.11424193548387</v>
      </c>
      <c r="ER150">
        <v>800.0193870967743</v>
      </c>
      <c r="ES150">
        <v>0.9499926129032256</v>
      </c>
      <c r="ET150">
        <v>0.05000773548387098</v>
      </c>
      <c r="EU150">
        <v>0</v>
      </c>
      <c r="EV150">
        <v>855.0160967741933</v>
      </c>
      <c r="EW150">
        <v>5.000779999999999</v>
      </c>
      <c r="EX150">
        <v>6431.896451612903</v>
      </c>
      <c r="EY150">
        <v>6463.556774193548</v>
      </c>
      <c r="EZ150">
        <v>35.8728064516129</v>
      </c>
      <c r="FA150">
        <v>38.276</v>
      </c>
      <c r="FB150">
        <v>37.32848387096774</v>
      </c>
      <c r="FC150">
        <v>37.88487096774194</v>
      </c>
      <c r="FD150">
        <v>37.42519354838709</v>
      </c>
      <c r="FE150">
        <v>755.2609677419352</v>
      </c>
      <c r="FF150">
        <v>39.76</v>
      </c>
      <c r="FG150">
        <v>0</v>
      </c>
      <c r="FH150">
        <v>1765319245.1</v>
      </c>
      <c r="FI150">
        <v>0</v>
      </c>
      <c r="FJ150">
        <v>855.0796</v>
      </c>
      <c r="FK150">
        <v>2.035538467459784</v>
      </c>
      <c r="FL150">
        <v>4.876153809104847</v>
      </c>
      <c r="FM150">
        <v>6431.7376</v>
      </c>
      <c r="FN150">
        <v>15</v>
      </c>
      <c r="FO150">
        <v>1765319265.1</v>
      </c>
      <c r="FP150" t="s">
        <v>847</v>
      </c>
      <c r="FQ150">
        <v>1765319265.1</v>
      </c>
      <c r="FR150">
        <v>1765319262.6</v>
      </c>
      <c r="FS150">
        <v>133</v>
      </c>
      <c r="FT150">
        <v>0.047</v>
      </c>
      <c r="FU150">
        <v>-0.001</v>
      </c>
      <c r="FV150">
        <v>-0.08400000000000001</v>
      </c>
      <c r="FW150">
        <v>0.063</v>
      </c>
      <c r="FX150">
        <v>400</v>
      </c>
      <c r="FY150">
        <v>17</v>
      </c>
      <c r="FZ150">
        <v>0.78</v>
      </c>
      <c r="GA150">
        <v>0.19</v>
      </c>
      <c r="GB150">
        <v>-4.906357317073171</v>
      </c>
      <c r="GC150">
        <v>0.01719763066202097</v>
      </c>
      <c r="GD150">
        <v>0.03162480240172651</v>
      </c>
      <c r="GE150">
        <v>1</v>
      </c>
      <c r="GF150">
        <v>855.0091176470587</v>
      </c>
      <c r="GG150">
        <v>1.436271961043966</v>
      </c>
      <c r="GH150">
        <v>0.3118299654228818</v>
      </c>
      <c r="GI150">
        <v>0</v>
      </c>
      <c r="GJ150">
        <v>0.594614756097561</v>
      </c>
      <c r="GK150">
        <v>0.01142103135888429</v>
      </c>
      <c r="GL150">
        <v>0.001327576055980989</v>
      </c>
      <c r="GM150">
        <v>1</v>
      </c>
      <c r="GN150">
        <v>2</v>
      </c>
      <c r="GO150">
        <v>3</v>
      </c>
      <c r="GP150" t="s">
        <v>453</v>
      </c>
      <c r="GQ150">
        <v>3.10808</v>
      </c>
      <c r="GR150">
        <v>2.79164</v>
      </c>
      <c r="GS150">
        <v>0.0837137</v>
      </c>
      <c r="GT150">
        <v>0.0845199</v>
      </c>
      <c r="GU150">
        <v>0.0861919</v>
      </c>
      <c r="GV150">
        <v>0.0848328</v>
      </c>
      <c r="GW150">
        <v>24055.4</v>
      </c>
      <c r="GX150">
        <v>21815.7</v>
      </c>
      <c r="GY150">
        <v>26809.4</v>
      </c>
      <c r="GZ150">
        <v>24034.7</v>
      </c>
      <c r="HA150">
        <v>39153.9</v>
      </c>
      <c r="HB150">
        <v>32461.2</v>
      </c>
      <c r="HC150">
        <v>46793.4</v>
      </c>
      <c r="HD150">
        <v>38006.2</v>
      </c>
      <c r="HE150">
        <v>1.8666</v>
      </c>
      <c r="HF150">
        <v>1.8749</v>
      </c>
      <c r="HG150">
        <v>0.07281079999999999</v>
      </c>
      <c r="HH150">
        <v>0</v>
      </c>
      <c r="HI150">
        <v>23.8013</v>
      </c>
      <c r="HJ150">
        <v>999.9</v>
      </c>
      <c r="HK150">
        <v>42.5</v>
      </c>
      <c r="HL150">
        <v>30.2</v>
      </c>
      <c r="HM150">
        <v>20.4095</v>
      </c>
      <c r="HN150">
        <v>61.075</v>
      </c>
      <c r="HO150">
        <v>27.6122</v>
      </c>
      <c r="HP150">
        <v>1</v>
      </c>
      <c r="HQ150">
        <v>-0.0171951</v>
      </c>
      <c r="HR150">
        <v>0.750806</v>
      </c>
      <c r="HS150">
        <v>20.2926</v>
      </c>
      <c r="HT150">
        <v>5.21894</v>
      </c>
      <c r="HU150">
        <v>11.9757</v>
      </c>
      <c r="HV150">
        <v>4.9657</v>
      </c>
      <c r="HW150">
        <v>3.27595</v>
      </c>
      <c r="HX150">
        <v>9999</v>
      </c>
      <c r="HY150">
        <v>9999</v>
      </c>
      <c r="HZ150">
        <v>9999</v>
      </c>
      <c r="IA150">
        <v>999.9</v>
      </c>
      <c r="IB150">
        <v>1.86388</v>
      </c>
      <c r="IC150">
        <v>1.86005</v>
      </c>
      <c r="ID150">
        <v>1.85837</v>
      </c>
      <c r="IE150">
        <v>1.8597</v>
      </c>
      <c r="IF150">
        <v>1.85983</v>
      </c>
      <c r="IG150">
        <v>1.85835</v>
      </c>
      <c r="IH150">
        <v>1.85737</v>
      </c>
      <c r="II150">
        <v>1.8524</v>
      </c>
      <c r="IJ150">
        <v>0</v>
      </c>
      <c r="IK150">
        <v>0</v>
      </c>
      <c r="IL150">
        <v>0</v>
      </c>
      <c r="IM150">
        <v>0</v>
      </c>
      <c r="IN150" t="s">
        <v>441</v>
      </c>
      <c r="IO150" t="s">
        <v>442</v>
      </c>
      <c r="IP150" t="s">
        <v>443</v>
      </c>
      <c r="IQ150" t="s">
        <v>443</v>
      </c>
      <c r="IR150" t="s">
        <v>443</v>
      </c>
      <c r="IS150" t="s">
        <v>443</v>
      </c>
      <c r="IT150">
        <v>0</v>
      </c>
      <c r="IU150">
        <v>100</v>
      </c>
      <c r="IV150">
        <v>100</v>
      </c>
      <c r="IW150">
        <v>-0.08400000000000001</v>
      </c>
      <c r="IX150">
        <v>0.063</v>
      </c>
      <c r="IY150">
        <v>-0.410086624392275</v>
      </c>
      <c r="IZ150">
        <v>0.0001583678016168383</v>
      </c>
      <c r="JA150">
        <v>1.526473431467286E-06</v>
      </c>
      <c r="JB150">
        <v>-4.446382740029455E-10</v>
      </c>
      <c r="JC150">
        <v>-0.04405508053334552</v>
      </c>
      <c r="JD150">
        <v>-0.009941991807247691</v>
      </c>
      <c r="JE150">
        <v>0.001256427533001032</v>
      </c>
      <c r="JF150">
        <v>-1.689728105039484E-05</v>
      </c>
      <c r="JG150">
        <v>2</v>
      </c>
      <c r="JH150">
        <v>1984</v>
      </c>
      <c r="JI150">
        <v>0</v>
      </c>
      <c r="JJ150">
        <v>25</v>
      </c>
      <c r="JK150">
        <v>1.5</v>
      </c>
      <c r="JL150">
        <v>1.6</v>
      </c>
      <c r="JM150">
        <v>1.09497</v>
      </c>
      <c r="JN150">
        <v>2.62085</v>
      </c>
      <c r="JO150">
        <v>1.49658</v>
      </c>
      <c r="JP150">
        <v>2.34741</v>
      </c>
      <c r="JQ150">
        <v>1.54907</v>
      </c>
      <c r="JR150">
        <v>2.38281</v>
      </c>
      <c r="JS150">
        <v>34.9444</v>
      </c>
      <c r="JT150">
        <v>24.1313</v>
      </c>
      <c r="JU150">
        <v>18</v>
      </c>
      <c r="JV150">
        <v>462.401</v>
      </c>
      <c r="JW150">
        <v>494.321</v>
      </c>
      <c r="JX150">
        <v>23.2709</v>
      </c>
      <c r="JY150">
        <v>26.9687</v>
      </c>
      <c r="JZ150">
        <v>30.0003</v>
      </c>
      <c r="KA150">
        <v>27.1727</v>
      </c>
      <c r="KB150">
        <v>27.1639</v>
      </c>
      <c r="KC150">
        <v>22.0147</v>
      </c>
      <c r="KD150">
        <v>19.0562</v>
      </c>
      <c r="KE150">
        <v>58.2151</v>
      </c>
      <c r="KF150">
        <v>23.2706</v>
      </c>
      <c r="KG150">
        <v>400</v>
      </c>
      <c r="KH150">
        <v>16.8322</v>
      </c>
      <c r="KI150">
        <v>102.327</v>
      </c>
      <c r="KJ150">
        <v>91.6747</v>
      </c>
    </row>
    <row r="151" spans="1:296">
      <c r="A151">
        <v>133</v>
      </c>
      <c r="B151">
        <v>1765319340.1</v>
      </c>
      <c r="C151">
        <v>21907.09999990463</v>
      </c>
      <c r="D151" t="s">
        <v>848</v>
      </c>
      <c r="E151" t="s">
        <v>849</v>
      </c>
      <c r="F151">
        <v>5</v>
      </c>
      <c r="G151" t="s">
        <v>825</v>
      </c>
      <c r="H151">
        <v>1765319332.099999</v>
      </c>
      <c r="I151">
        <f>(J151)/1000</f>
        <v>0</v>
      </c>
      <c r="J151">
        <f>IF(DO151, AM151, AG151)</f>
        <v>0</v>
      </c>
      <c r="K151">
        <f>IF(DO151, AH151, AF151)</f>
        <v>0</v>
      </c>
      <c r="L151">
        <f>DQ151 - IF(AT151&gt;1, K151*DK151*100.0/(AV151), 0)</f>
        <v>0</v>
      </c>
      <c r="M151">
        <f>((S151-I151/2)*L151-K151)/(S151+I151/2)</f>
        <v>0</v>
      </c>
      <c r="N151">
        <f>M151*(DX151+DY151)/1000.0</f>
        <v>0</v>
      </c>
      <c r="O151">
        <f>(DQ151 - IF(AT151&gt;1, K151*DK151*100.0/(AV151), 0))*(DX151+DY151)/1000.0</f>
        <v>0</v>
      </c>
      <c r="P151">
        <f>2.0/((1/R151-1/Q151)+SIGN(R151)*SQRT((1/R151-1/Q151)*(1/R151-1/Q151) + 4*DL151/((DL151+1)*(DL151+1))*(2*1/R151*1/Q151-1/Q151*1/Q151)))</f>
        <v>0</v>
      </c>
      <c r="Q151">
        <f>IF(LEFT(DM151,1)&lt;&gt;"0",IF(LEFT(DM151,1)="1",3.0,DN151),$D$5+$E$5*(EE151*DX151/($K$5*1000))+$F$5*(EE151*DX151/($K$5*1000))*MAX(MIN(DK151,$J$5),$I$5)*MAX(MIN(DK151,$J$5),$I$5)+$G$5*MAX(MIN(DK151,$J$5),$I$5)*(EE151*DX151/($K$5*1000))+$H$5*(EE151*DX151/($K$5*1000))*(EE151*DX151/($K$5*1000)))</f>
        <v>0</v>
      </c>
      <c r="R151">
        <f>I151*(1000-(1000*0.61365*exp(17.502*V151/(240.97+V151))/(DX151+DY151)+DS151)/2)/(1000*0.61365*exp(17.502*V151/(240.97+V151))/(DX151+DY151)-DS151)</f>
        <v>0</v>
      </c>
      <c r="S151">
        <f>1/((DL151+1)/(P151/1.6)+1/(Q151/1.37)) + DL151/((DL151+1)/(P151/1.6) + DL151/(Q151/1.37))</f>
        <v>0</v>
      </c>
      <c r="T151">
        <f>(DG151*DJ151)</f>
        <v>0</v>
      </c>
      <c r="U151">
        <f>(DZ151+(T151+2*0.95*5.67E-8*(((DZ151+$B$9)+273)^4-(DZ151+273)^4)-44100*I151)/(1.84*29.3*Q151+8*0.95*5.67E-8*(DZ151+273)^3))</f>
        <v>0</v>
      </c>
      <c r="V151">
        <f>($C$9*EA151+$D$9*EB151+$E$9*U151)</f>
        <v>0</v>
      </c>
      <c r="W151">
        <f>0.61365*exp(17.502*V151/(240.97+V151))</f>
        <v>0</v>
      </c>
      <c r="X151">
        <f>(Y151/Z151*100)</f>
        <v>0</v>
      </c>
      <c r="Y151">
        <f>DS151*(DX151+DY151)/1000</f>
        <v>0</v>
      </c>
      <c r="Z151">
        <f>0.61365*exp(17.502*DZ151/(240.97+DZ151))</f>
        <v>0</v>
      </c>
      <c r="AA151">
        <f>(W151-DS151*(DX151+DY151)/1000)</f>
        <v>0</v>
      </c>
      <c r="AB151">
        <f>(-I151*44100)</f>
        <v>0</v>
      </c>
      <c r="AC151">
        <f>2*29.3*Q151*0.92*(DZ151-V151)</f>
        <v>0</v>
      </c>
      <c r="AD151">
        <f>2*0.95*5.67E-8*(((DZ151+$B$9)+273)^4-(V151+273)^4)</f>
        <v>0</v>
      </c>
      <c r="AE151">
        <f>T151+AD151+AB151+AC151</f>
        <v>0</v>
      </c>
      <c r="AF151">
        <f>DW151*AT151*(DR151-DQ151*(1000-AT151*DT151)/(1000-AT151*DS151))/(100*DK151)</f>
        <v>0</v>
      </c>
      <c r="AG151">
        <f>1000*DW151*AT151*(DS151-DT151)/(100*DK151*(1000-AT151*DS151))</f>
        <v>0</v>
      </c>
      <c r="AH151">
        <f>(AI151 - AJ151 - DX151*1E3/(8.314*(DZ151+273.15)) * AL151/DW151 * AK151) * DW151/(100*DK151) * (1000 - DT151)/1000</f>
        <v>0</v>
      </c>
      <c r="AI151">
        <v>610.3253980555907</v>
      </c>
      <c r="AJ151">
        <v>602.6858181818178</v>
      </c>
      <c r="AK151">
        <v>0.001431367592174143</v>
      </c>
      <c r="AL151">
        <v>65.86040267063767</v>
      </c>
      <c r="AM151">
        <f>(AO151 - AN151 + DX151*1E3/(8.314*(DZ151+273.15)) * AQ151/DW151 * AP151) * DW151/(100*DK151) * 1000/(1000 - AO151)</f>
        <v>0</v>
      </c>
      <c r="AN151">
        <v>16.78698190727274</v>
      </c>
      <c r="AO151">
        <v>17.39699300699301</v>
      </c>
      <c r="AP151">
        <v>-3.596777491439111E-05</v>
      </c>
      <c r="AQ151">
        <v>109.62</v>
      </c>
      <c r="AR151">
        <v>14</v>
      </c>
      <c r="AS151">
        <v>3</v>
      </c>
      <c r="AT151">
        <f>IF(AR151*$H$15&gt;=AV151,1.0,(AV151/(AV151-AR151*$H$15)))</f>
        <v>0</v>
      </c>
      <c r="AU151">
        <f>(AT151-1)*100</f>
        <v>0</v>
      </c>
      <c r="AV151">
        <f>MAX(0,($B$15+$C$15*EE151)/(1+$D$15*EE151)*DX151/(DZ151+273)*$E$15)</f>
        <v>0</v>
      </c>
      <c r="AW151" t="s">
        <v>437</v>
      </c>
      <c r="AX151" t="s">
        <v>437</v>
      </c>
      <c r="AY151">
        <v>0</v>
      </c>
      <c r="AZ151">
        <v>0</v>
      </c>
      <c r="BA151">
        <f>1-AY151/AZ151</f>
        <v>0</v>
      </c>
      <c r="BB151">
        <v>0</v>
      </c>
      <c r="BC151" t="s">
        <v>437</v>
      </c>
      <c r="BD151" t="s">
        <v>437</v>
      </c>
      <c r="BE151">
        <v>0</v>
      </c>
      <c r="BF151">
        <v>0</v>
      </c>
      <c r="BG151">
        <f>1-BE151/BF151</f>
        <v>0</v>
      </c>
      <c r="BH151">
        <v>0.5</v>
      </c>
      <c r="BI151">
        <f>DH151</f>
        <v>0</v>
      </c>
      <c r="BJ151">
        <f>K151</f>
        <v>0</v>
      </c>
      <c r="BK151">
        <f>BG151*BH151*BI151</f>
        <v>0</v>
      </c>
      <c r="BL151">
        <f>(BJ151-BB151)/BI151</f>
        <v>0</v>
      </c>
      <c r="BM151">
        <f>(AZ151-BF151)/BF151</f>
        <v>0</v>
      </c>
      <c r="BN151">
        <f>AY151/(BA151+AY151/BF151)</f>
        <v>0</v>
      </c>
      <c r="BO151" t="s">
        <v>437</v>
      </c>
      <c r="BP151">
        <v>0</v>
      </c>
      <c r="BQ151">
        <f>IF(BP151&lt;&gt;0, BP151, BN151)</f>
        <v>0</v>
      </c>
      <c r="BR151">
        <f>1-BQ151/BF151</f>
        <v>0</v>
      </c>
      <c r="BS151">
        <f>(BF151-BE151)/(BF151-BQ151)</f>
        <v>0</v>
      </c>
      <c r="BT151">
        <f>(AZ151-BF151)/(AZ151-BQ151)</f>
        <v>0</v>
      </c>
      <c r="BU151">
        <f>(BF151-BE151)/(BF151-AY151)</f>
        <v>0</v>
      </c>
      <c r="BV151">
        <f>(AZ151-BF151)/(AZ151-AY151)</f>
        <v>0</v>
      </c>
      <c r="BW151">
        <f>(BS151*BQ151/BE151)</f>
        <v>0</v>
      </c>
      <c r="BX151">
        <f>(1-BW151)</f>
        <v>0</v>
      </c>
      <c r="DG151">
        <f>$B$13*EF151+$C$13*EG151+$F$13*ER151*(1-EU151)</f>
        <v>0</v>
      </c>
      <c r="DH151">
        <f>DG151*DI151</f>
        <v>0</v>
      </c>
      <c r="DI151">
        <f>($B$13*$D$11+$C$13*$D$11+$F$13*((FE151+EW151)/MAX(FE151+EW151+FF151, 0.1)*$I$11+FF151/MAX(FE151+EW151+FF151, 0.1)*$J$11))/($B$13+$C$13+$F$13)</f>
        <v>0</v>
      </c>
      <c r="DJ151">
        <f>($B$13*$K$11+$C$13*$K$11+$F$13*((FE151+EW151)/MAX(FE151+EW151+FF151, 0.1)*$P$11+FF151/MAX(FE151+EW151+FF151, 0.1)*$Q$11))/($B$13+$C$13+$F$13)</f>
        <v>0</v>
      </c>
      <c r="DK151">
        <v>6</v>
      </c>
      <c r="DL151">
        <v>0.5</v>
      </c>
      <c r="DM151" t="s">
        <v>438</v>
      </c>
      <c r="DN151">
        <v>2</v>
      </c>
      <c r="DO151" t="b">
        <v>1</v>
      </c>
      <c r="DP151">
        <v>1765319332.099999</v>
      </c>
      <c r="DQ151">
        <v>592.3596774193547</v>
      </c>
      <c r="DR151">
        <v>600.0101935483872</v>
      </c>
      <c r="DS151">
        <v>17.38295483870968</v>
      </c>
      <c r="DT151">
        <v>16.78602258064516</v>
      </c>
      <c r="DU151">
        <v>591.9806774193547</v>
      </c>
      <c r="DV151">
        <v>17.31995483870968</v>
      </c>
      <c r="DW151">
        <v>500.0074838709677</v>
      </c>
      <c r="DX151">
        <v>89.73995483870966</v>
      </c>
      <c r="DY151">
        <v>0.1000466161290323</v>
      </c>
      <c r="DZ151">
        <v>24.74439032258065</v>
      </c>
      <c r="EA151">
        <v>24.99866129032259</v>
      </c>
      <c r="EB151">
        <v>999.9000000000003</v>
      </c>
      <c r="EC151">
        <v>0</v>
      </c>
      <c r="ED151">
        <v>0</v>
      </c>
      <c r="EE151">
        <v>9990.85064516129</v>
      </c>
      <c r="EF151">
        <v>0</v>
      </c>
      <c r="EG151">
        <v>9.89639</v>
      </c>
      <c r="EH151">
        <v>-7.856486451612903</v>
      </c>
      <c r="EI151">
        <v>602.6348387096774</v>
      </c>
      <c r="EJ151">
        <v>610.254</v>
      </c>
      <c r="EK151">
        <v>0.606036741935484</v>
      </c>
      <c r="EL151">
        <v>600.0101935483872</v>
      </c>
      <c r="EM151">
        <v>16.78602258064516</v>
      </c>
      <c r="EN151">
        <v>1.560761612903226</v>
      </c>
      <c r="EO151">
        <v>1.506375483870968</v>
      </c>
      <c r="EP151">
        <v>13.57676451612904</v>
      </c>
      <c r="EQ151">
        <v>13.03303225806452</v>
      </c>
      <c r="ER151">
        <v>800.029064516129</v>
      </c>
      <c r="ES151">
        <v>0.9500046774193546</v>
      </c>
      <c r="ET151">
        <v>0.0499952741935484</v>
      </c>
      <c r="EU151">
        <v>0</v>
      </c>
      <c r="EV151">
        <v>866.0164193548387</v>
      </c>
      <c r="EW151">
        <v>5.000779999999999</v>
      </c>
      <c r="EX151">
        <v>6516.824193548387</v>
      </c>
      <c r="EY151">
        <v>6463.663548387095</v>
      </c>
      <c r="EZ151">
        <v>35.95748387096774</v>
      </c>
      <c r="FA151">
        <v>38.81432258064517</v>
      </c>
      <c r="FB151">
        <v>38.07841935483869</v>
      </c>
      <c r="FC151">
        <v>38.54819354838709</v>
      </c>
      <c r="FD151">
        <v>38.15296774193547</v>
      </c>
      <c r="FE151">
        <v>755.2803225806452</v>
      </c>
      <c r="FF151">
        <v>39.74709677419355</v>
      </c>
      <c r="FG151">
        <v>0</v>
      </c>
      <c r="FH151">
        <v>1765319339.9</v>
      </c>
      <c r="FI151">
        <v>0</v>
      </c>
      <c r="FJ151">
        <v>865.99716</v>
      </c>
      <c r="FK151">
        <v>0.2456923058497461</v>
      </c>
      <c r="FL151">
        <v>14.92692296694084</v>
      </c>
      <c r="FM151">
        <v>6516.9188</v>
      </c>
      <c r="FN151">
        <v>15</v>
      </c>
      <c r="FO151">
        <v>1765319364.1</v>
      </c>
      <c r="FP151" t="s">
        <v>850</v>
      </c>
      <c r="FQ151">
        <v>1765319364.1</v>
      </c>
      <c r="FR151">
        <v>1765319357.1</v>
      </c>
      <c r="FS151">
        <v>134</v>
      </c>
      <c r="FT151">
        <v>0.194</v>
      </c>
      <c r="FU151">
        <v>0.002</v>
      </c>
      <c r="FV151">
        <v>0.379</v>
      </c>
      <c r="FW151">
        <v>0.063</v>
      </c>
      <c r="FX151">
        <v>600</v>
      </c>
      <c r="FY151">
        <v>17</v>
      </c>
      <c r="FZ151">
        <v>0.36</v>
      </c>
      <c r="GA151">
        <v>0.12</v>
      </c>
      <c r="GB151">
        <v>-7.88732575</v>
      </c>
      <c r="GC151">
        <v>0.4499019512195167</v>
      </c>
      <c r="GD151">
        <v>0.07830141077552495</v>
      </c>
      <c r="GE151">
        <v>1</v>
      </c>
      <c r="GF151">
        <v>865.958088235294</v>
      </c>
      <c r="GG151">
        <v>0.4708479752024023</v>
      </c>
      <c r="GH151">
        <v>0.1931269572749996</v>
      </c>
      <c r="GI151">
        <v>1</v>
      </c>
      <c r="GJ151">
        <v>0.604796425</v>
      </c>
      <c r="GK151">
        <v>0.02579129831144335</v>
      </c>
      <c r="GL151">
        <v>0.002629616900686309</v>
      </c>
      <c r="GM151">
        <v>1</v>
      </c>
      <c r="GN151">
        <v>3</v>
      </c>
      <c r="GO151">
        <v>3</v>
      </c>
      <c r="GP151" t="s">
        <v>440</v>
      </c>
      <c r="GQ151">
        <v>3.10826</v>
      </c>
      <c r="GR151">
        <v>2.79143</v>
      </c>
      <c r="GS151">
        <v>0.112545</v>
      </c>
      <c r="GT151">
        <v>0.113667</v>
      </c>
      <c r="GU151">
        <v>0.08591219999999999</v>
      </c>
      <c r="GV151">
        <v>0.0844902</v>
      </c>
      <c r="GW151">
        <v>23296.5</v>
      </c>
      <c r="GX151">
        <v>21120</v>
      </c>
      <c r="GY151">
        <v>26807.3</v>
      </c>
      <c r="GZ151">
        <v>24033.4</v>
      </c>
      <c r="HA151">
        <v>39166.6</v>
      </c>
      <c r="HB151">
        <v>32474.9</v>
      </c>
      <c r="HC151">
        <v>46789.6</v>
      </c>
      <c r="HD151">
        <v>38004.5</v>
      </c>
      <c r="HE151">
        <v>1.86602</v>
      </c>
      <c r="HF151">
        <v>1.87447</v>
      </c>
      <c r="HG151">
        <v>0.0723973</v>
      </c>
      <c r="HH151">
        <v>0</v>
      </c>
      <c r="HI151">
        <v>23.8054</v>
      </c>
      <c r="HJ151">
        <v>999.9</v>
      </c>
      <c r="HK151">
        <v>42.5</v>
      </c>
      <c r="HL151">
        <v>30.2</v>
      </c>
      <c r="HM151">
        <v>20.4107</v>
      </c>
      <c r="HN151">
        <v>61.205</v>
      </c>
      <c r="HO151">
        <v>27.2436</v>
      </c>
      <c r="HP151">
        <v>1</v>
      </c>
      <c r="HQ151">
        <v>-0.0125051</v>
      </c>
      <c r="HR151">
        <v>0.816983</v>
      </c>
      <c r="HS151">
        <v>20.2942</v>
      </c>
      <c r="HT151">
        <v>5.22328</v>
      </c>
      <c r="HU151">
        <v>11.9766</v>
      </c>
      <c r="HV151">
        <v>4.9657</v>
      </c>
      <c r="HW151">
        <v>3.27595</v>
      </c>
      <c r="HX151">
        <v>9999</v>
      </c>
      <c r="HY151">
        <v>9999</v>
      </c>
      <c r="HZ151">
        <v>9999</v>
      </c>
      <c r="IA151">
        <v>999.9</v>
      </c>
      <c r="IB151">
        <v>1.86386</v>
      </c>
      <c r="IC151">
        <v>1.86004</v>
      </c>
      <c r="ID151">
        <v>1.85836</v>
      </c>
      <c r="IE151">
        <v>1.85963</v>
      </c>
      <c r="IF151">
        <v>1.85979</v>
      </c>
      <c r="IG151">
        <v>1.85835</v>
      </c>
      <c r="IH151">
        <v>1.85737</v>
      </c>
      <c r="II151">
        <v>1.85238</v>
      </c>
      <c r="IJ151">
        <v>0</v>
      </c>
      <c r="IK151">
        <v>0</v>
      </c>
      <c r="IL151">
        <v>0</v>
      </c>
      <c r="IM151">
        <v>0</v>
      </c>
      <c r="IN151" t="s">
        <v>441</v>
      </c>
      <c r="IO151" t="s">
        <v>442</v>
      </c>
      <c r="IP151" t="s">
        <v>443</v>
      </c>
      <c r="IQ151" t="s">
        <v>443</v>
      </c>
      <c r="IR151" t="s">
        <v>443</v>
      </c>
      <c r="IS151" t="s">
        <v>443</v>
      </c>
      <c r="IT151">
        <v>0</v>
      </c>
      <c r="IU151">
        <v>100</v>
      </c>
      <c r="IV151">
        <v>100</v>
      </c>
      <c r="IW151">
        <v>0.379</v>
      </c>
      <c r="IX151">
        <v>0.063</v>
      </c>
      <c r="IY151">
        <v>-0.3633966265559745</v>
      </c>
      <c r="IZ151">
        <v>0.0001583678016168383</v>
      </c>
      <c r="JA151">
        <v>1.526473431467286E-06</v>
      </c>
      <c r="JB151">
        <v>-4.446382740029455E-10</v>
      </c>
      <c r="JC151">
        <v>-0.04482044370150723</v>
      </c>
      <c r="JD151">
        <v>-0.009941991807247691</v>
      </c>
      <c r="JE151">
        <v>0.001256427533001032</v>
      </c>
      <c r="JF151">
        <v>-1.689728105039484E-05</v>
      </c>
      <c r="JG151">
        <v>2</v>
      </c>
      <c r="JH151">
        <v>1984</v>
      </c>
      <c r="JI151">
        <v>0</v>
      </c>
      <c r="JJ151">
        <v>25</v>
      </c>
      <c r="JK151">
        <v>1.2</v>
      </c>
      <c r="JL151">
        <v>1.3</v>
      </c>
      <c r="JM151">
        <v>1.51611</v>
      </c>
      <c r="JN151">
        <v>2.6416</v>
      </c>
      <c r="JO151">
        <v>1.49658</v>
      </c>
      <c r="JP151">
        <v>2.34863</v>
      </c>
      <c r="JQ151">
        <v>1.54907</v>
      </c>
      <c r="JR151">
        <v>2.45361</v>
      </c>
      <c r="JS151">
        <v>34.9674</v>
      </c>
      <c r="JT151">
        <v>24.14</v>
      </c>
      <c r="JU151">
        <v>18</v>
      </c>
      <c r="JV151">
        <v>462.439</v>
      </c>
      <c r="JW151">
        <v>494.461</v>
      </c>
      <c r="JX151">
        <v>23.2377</v>
      </c>
      <c r="JY151">
        <v>27.0198</v>
      </c>
      <c r="JZ151">
        <v>30.0003</v>
      </c>
      <c r="KA151">
        <v>27.2212</v>
      </c>
      <c r="KB151">
        <v>27.2121</v>
      </c>
      <c r="KC151">
        <v>30.4463</v>
      </c>
      <c r="KD151">
        <v>19.2728</v>
      </c>
      <c r="KE151">
        <v>57.845</v>
      </c>
      <c r="KF151">
        <v>23.2448</v>
      </c>
      <c r="KG151">
        <v>600</v>
      </c>
      <c r="KH151">
        <v>16.8265</v>
      </c>
      <c r="KI151">
        <v>102.319</v>
      </c>
      <c r="KJ151">
        <v>91.6703</v>
      </c>
    </row>
    <row r="152" spans="1:296">
      <c r="A152">
        <v>134</v>
      </c>
      <c r="B152">
        <v>1765319455.1</v>
      </c>
      <c r="C152">
        <v>22022.09999990463</v>
      </c>
      <c r="D152" t="s">
        <v>851</v>
      </c>
      <c r="E152" t="s">
        <v>852</v>
      </c>
      <c r="F152">
        <v>5</v>
      </c>
      <c r="G152" t="s">
        <v>825</v>
      </c>
      <c r="H152">
        <v>1765319447.099999</v>
      </c>
      <c r="I152">
        <f>(J152)/1000</f>
        <v>0</v>
      </c>
      <c r="J152">
        <f>IF(DO152, AM152, AG152)</f>
        <v>0</v>
      </c>
      <c r="K152">
        <f>IF(DO152, AH152, AF152)</f>
        <v>0</v>
      </c>
      <c r="L152">
        <f>DQ152 - IF(AT152&gt;1, K152*DK152*100.0/(AV152), 0)</f>
        <v>0</v>
      </c>
      <c r="M152">
        <f>((S152-I152/2)*L152-K152)/(S152+I152/2)</f>
        <v>0</v>
      </c>
      <c r="N152">
        <f>M152*(DX152+DY152)/1000.0</f>
        <v>0</v>
      </c>
      <c r="O152">
        <f>(DQ152 - IF(AT152&gt;1, K152*DK152*100.0/(AV152), 0))*(DX152+DY152)/1000.0</f>
        <v>0</v>
      </c>
      <c r="P152">
        <f>2.0/((1/R152-1/Q152)+SIGN(R152)*SQRT((1/R152-1/Q152)*(1/R152-1/Q152) + 4*DL152/((DL152+1)*(DL152+1))*(2*1/R152*1/Q152-1/Q152*1/Q152)))</f>
        <v>0</v>
      </c>
      <c r="Q152">
        <f>IF(LEFT(DM152,1)&lt;&gt;"0",IF(LEFT(DM152,1)="1",3.0,DN152),$D$5+$E$5*(EE152*DX152/($K$5*1000))+$F$5*(EE152*DX152/($K$5*1000))*MAX(MIN(DK152,$J$5),$I$5)*MAX(MIN(DK152,$J$5),$I$5)+$G$5*MAX(MIN(DK152,$J$5),$I$5)*(EE152*DX152/($K$5*1000))+$H$5*(EE152*DX152/($K$5*1000))*(EE152*DX152/($K$5*1000)))</f>
        <v>0</v>
      </c>
      <c r="R152">
        <f>I152*(1000-(1000*0.61365*exp(17.502*V152/(240.97+V152))/(DX152+DY152)+DS152)/2)/(1000*0.61365*exp(17.502*V152/(240.97+V152))/(DX152+DY152)-DS152)</f>
        <v>0</v>
      </c>
      <c r="S152">
        <f>1/((DL152+1)/(P152/1.6)+1/(Q152/1.37)) + DL152/((DL152+1)/(P152/1.6) + DL152/(Q152/1.37))</f>
        <v>0</v>
      </c>
      <c r="T152">
        <f>(DG152*DJ152)</f>
        <v>0</v>
      </c>
      <c r="U152">
        <f>(DZ152+(T152+2*0.95*5.67E-8*(((DZ152+$B$9)+273)^4-(DZ152+273)^4)-44100*I152)/(1.84*29.3*Q152+8*0.95*5.67E-8*(DZ152+273)^3))</f>
        <v>0</v>
      </c>
      <c r="V152">
        <f>($C$9*EA152+$D$9*EB152+$E$9*U152)</f>
        <v>0</v>
      </c>
      <c r="W152">
        <f>0.61365*exp(17.502*V152/(240.97+V152))</f>
        <v>0</v>
      </c>
      <c r="X152">
        <f>(Y152/Z152*100)</f>
        <v>0</v>
      </c>
      <c r="Y152">
        <f>DS152*(DX152+DY152)/1000</f>
        <v>0</v>
      </c>
      <c r="Z152">
        <f>0.61365*exp(17.502*DZ152/(240.97+DZ152))</f>
        <v>0</v>
      </c>
      <c r="AA152">
        <f>(W152-DS152*(DX152+DY152)/1000)</f>
        <v>0</v>
      </c>
      <c r="AB152">
        <f>(-I152*44100)</f>
        <v>0</v>
      </c>
      <c r="AC152">
        <f>2*29.3*Q152*0.92*(DZ152-V152)</f>
        <v>0</v>
      </c>
      <c r="AD152">
        <f>2*0.95*5.67E-8*(((DZ152+$B$9)+273)^4-(V152+273)^4)</f>
        <v>0</v>
      </c>
      <c r="AE152">
        <f>T152+AD152+AB152+AC152</f>
        <v>0</v>
      </c>
      <c r="AF152">
        <f>DW152*AT152*(DR152-DQ152*(1000-AT152*DT152)/(1000-AT152*DS152))/(100*DK152)</f>
        <v>0</v>
      </c>
      <c r="AG152">
        <f>1000*DW152*AT152*(DS152-DT152)/(100*DK152*(1000-AT152*DS152))</f>
        <v>0</v>
      </c>
      <c r="AH152">
        <f>(AI152 - AJ152 - DX152*1E3/(8.314*(DZ152+273.15)) * AL152/DW152 * AK152) * DW152/(100*DK152) * (1000 - DT152)/1000</f>
        <v>0</v>
      </c>
      <c r="AI152">
        <v>813.6729057346073</v>
      </c>
      <c r="AJ152">
        <v>803.587012121212</v>
      </c>
      <c r="AK152">
        <v>-0.03479564696063663</v>
      </c>
      <c r="AL152">
        <v>65.77928381025153</v>
      </c>
      <c r="AM152">
        <f>(AO152 - AN152 + DX152*1E3/(8.314*(DZ152+273.15)) * AQ152/DW152 * AP152) * DW152/(100*DK152) * 1000/(1000 - AO152)</f>
        <v>0</v>
      </c>
      <c r="AN152">
        <v>16.82308313116327</v>
      </c>
      <c r="AO152">
        <v>17.44369636363636</v>
      </c>
      <c r="AP152">
        <v>-1.591888081982268E-06</v>
      </c>
      <c r="AQ152">
        <v>107.4678460831725</v>
      </c>
      <c r="AR152">
        <v>14</v>
      </c>
      <c r="AS152">
        <v>3</v>
      </c>
      <c r="AT152">
        <f>IF(AR152*$H$15&gt;=AV152,1.0,(AV152/(AV152-AR152*$H$15)))</f>
        <v>0</v>
      </c>
      <c r="AU152">
        <f>(AT152-1)*100</f>
        <v>0</v>
      </c>
      <c r="AV152">
        <f>MAX(0,($B$15+$C$15*EE152)/(1+$D$15*EE152)*DX152/(DZ152+273)*$E$15)</f>
        <v>0</v>
      </c>
      <c r="AW152" t="s">
        <v>437</v>
      </c>
      <c r="AX152" t="s">
        <v>437</v>
      </c>
      <c r="AY152">
        <v>0</v>
      </c>
      <c r="AZ152">
        <v>0</v>
      </c>
      <c r="BA152">
        <f>1-AY152/AZ152</f>
        <v>0</v>
      </c>
      <c r="BB152">
        <v>0</v>
      </c>
      <c r="BC152" t="s">
        <v>437</v>
      </c>
      <c r="BD152" t="s">
        <v>437</v>
      </c>
      <c r="BE152">
        <v>0</v>
      </c>
      <c r="BF152">
        <v>0</v>
      </c>
      <c r="BG152">
        <f>1-BE152/BF152</f>
        <v>0</v>
      </c>
      <c r="BH152">
        <v>0.5</v>
      </c>
      <c r="BI152">
        <f>DH152</f>
        <v>0</v>
      </c>
      <c r="BJ152">
        <f>K152</f>
        <v>0</v>
      </c>
      <c r="BK152">
        <f>BG152*BH152*BI152</f>
        <v>0</v>
      </c>
      <c r="BL152">
        <f>(BJ152-BB152)/BI152</f>
        <v>0</v>
      </c>
      <c r="BM152">
        <f>(AZ152-BF152)/BF152</f>
        <v>0</v>
      </c>
      <c r="BN152">
        <f>AY152/(BA152+AY152/BF152)</f>
        <v>0</v>
      </c>
      <c r="BO152" t="s">
        <v>437</v>
      </c>
      <c r="BP152">
        <v>0</v>
      </c>
      <c r="BQ152">
        <f>IF(BP152&lt;&gt;0, BP152, BN152)</f>
        <v>0</v>
      </c>
      <c r="BR152">
        <f>1-BQ152/BF152</f>
        <v>0</v>
      </c>
      <c r="BS152">
        <f>(BF152-BE152)/(BF152-BQ152)</f>
        <v>0</v>
      </c>
      <c r="BT152">
        <f>(AZ152-BF152)/(AZ152-BQ152)</f>
        <v>0</v>
      </c>
      <c r="BU152">
        <f>(BF152-BE152)/(BF152-AY152)</f>
        <v>0</v>
      </c>
      <c r="BV152">
        <f>(AZ152-BF152)/(AZ152-AY152)</f>
        <v>0</v>
      </c>
      <c r="BW152">
        <f>(BS152*BQ152/BE152)</f>
        <v>0</v>
      </c>
      <c r="BX152">
        <f>(1-BW152)</f>
        <v>0</v>
      </c>
      <c r="DG152">
        <f>$B$13*EF152+$C$13*EG152+$F$13*ER152*(1-EU152)</f>
        <v>0</v>
      </c>
      <c r="DH152">
        <f>DG152*DI152</f>
        <v>0</v>
      </c>
      <c r="DI152">
        <f>($B$13*$D$11+$C$13*$D$11+$F$13*((FE152+EW152)/MAX(FE152+EW152+FF152, 0.1)*$I$11+FF152/MAX(FE152+EW152+FF152, 0.1)*$J$11))/($B$13+$C$13+$F$13)</f>
        <v>0</v>
      </c>
      <c r="DJ152">
        <f>($B$13*$K$11+$C$13*$K$11+$F$13*((FE152+EW152)/MAX(FE152+EW152+FF152, 0.1)*$P$11+FF152/MAX(FE152+EW152+FF152, 0.1)*$Q$11))/($B$13+$C$13+$F$13)</f>
        <v>0</v>
      </c>
      <c r="DK152">
        <v>6</v>
      </c>
      <c r="DL152">
        <v>0.5</v>
      </c>
      <c r="DM152" t="s">
        <v>438</v>
      </c>
      <c r="DN152">
        <v>2</v>
      </c>
      <c r="DO152" t="b">
        <v>1</v>
      </c>
      <c r="DP152">
        <v>1765319447.099999</v>
      </c>
      <c r="DQ152">
        <v>789.8360322580646</v>
      </c>
      <c r="DR152">
        <v>799.9971290322582</v>
      </c>
      <c r="DS152">
        <v>17.43526129032258</v>
      </c>
      <c r="DT152">
        <v>16.82302258064517</v>
      </c>
      <c r="DU152">
        <v>788.9730322580646</v>
      </c>
      <c r="DV152">
        <v>17.36926129032258</v>
      </c>
      <c r="DW152">
        <v>500.0182258064517</v>
      </c>
      <c r="DX152">
        <v>89.73279354838709</v>
      </c>
      <c r="DY152">
        <v>0.1000438709677419</v>
      </c>
      <c r="DZ152">
        <v>24.77636129032258</v>
      </c>
      <c r="EA152">
        <v>25.00764838709678</v>
      </c>
      <c r="EB152">
        <v>999.9000000000003</v>
      </c>
      <c r="EC152">
        <v>0</v>
      </c>
      <c r="ED152">
        <v>0</v>
      </c>
      <c r="EE152">
        <v>9991.89387096774</v>
      </c>
      <c r="EF152">
        <v>0</v>
      </c>
      <c r="EG152">
        <v>9.89639</v>
      </c>
      <c r="EH152">
        <v>-10.33645483870968</v>
      </c>
      <c r="EI152">
        <v>803.6802580645164</v>
      </c>
      <c r="EJ152">
        <v>813.6858709677419</v>
      </c>
      <c r="EK152">
        <v>0.6211665161290323</v>
      </c>
      <c r="EL152">
        <v>799.9971290322582</v>
      </c>
      <c r="EM152">
        <v>16.82302258064517</v>
      </c>
      <c r="EN152">
        <v>1.565315161290322</v>
      </c>
      <c r="EO152">
        <v>1.509576451612903</v>
      </c>
      <c r="EP152">
        <v>13.62152580645161</v>
      </c>
      <c r="EQ152">
        <v>13.06549677419355</v>
      </c>
      <c r="ER152">
        <v>799.9861290322581</v>
      </c>
      <c r="ES152">
        <v>0.9499960000000001</v>
      </c>
      <c r="ET152">
        <v>0.05000375161290323</v>
      </c>
      <c r="EU152">
        <v>0</v>
      </c>
      <c r="EV152">
        <v>876.836193548387</v>
      </c>
      <c r="EW152">
        <v>5.000779999999999</v>
      </c>
      <c r="EX152">
        <v>6629.33129032258</v>
      </c>
      <c r="EY152">
        <v>6463.296129032259</v>
      </c>
      <c r="EZ152">
        <v>37.20748387096774</v>
      </c>
      <c r="FA152">
        <v>40.96948387096772</v>
      </c>
      <c r="FB152">
        <v>39.1146129032258</v>
      </c>
      <c r="FC152">
        <v>41.26783870967741</v>
      </c>
      <c r="FD152">
        <v>39.60054838709677</v>
      </c>
      <c r="FE152">
        <v>755.2319354838711</v>
      </c>
      <c r="FF152">
        <v>39.75</v>
      </c>
      <c r="FG152">
        <v>0</v>
      </c>
      <c r="FH152">
        <v>1765319454.5</v>
      </c>
      <c r="FI152">
        <v>0</v>
      </c>
      <c r="FJ152">
        <v>876.8256153846152</v>
      </c>
      <c r="FK152">
        <v>-2.503794859414791</v>
      </c>
      <c r="FL152">
        <v>-7.423589659602043</v>
      </c>
      <c r="FM152">
        <v>6629.239230769231</v>
      </c>
      <c r="FN152">
        <v>15</v>
      </c>
      <c r="FO152">
        <v>1765319473.6</v>
      </c>
      <c r="FP152" t="s">
        <v>853</v>
      </c>
      <c r="FQ152">
        <v>1765319473.6</v>
      </c>
      <c r="FR152">
        <v>1765319473.1</v>
      </c>
      <c r="FS152">
        <v>135</v>
      </c>
      <c r="FT152">
        <v>0.158</v>
      </c>
      <c r="FU152">
        <v>0.003</v>
      </c>
      <c r="FV152">
        <v>0.863</v>
      </c>
      <c r="FW152">
        <v>0.066</v>
      </c>
      <c r="FX152">
        <v>800</v>
      </c>
      <c r="FY152">
        <v>17</v>
      </c>
      <c r="FZ152">
        <v>0.29</v>
      </c>
      <c r="GA152">
        <v>0.12</v>
      </c>
      <c r="GB152">
        <v>-10.3480625</v>
      </c>
      <c r="GC152">
        <v>0.1627260787992771</v>
      </c>
      <c r="GD152">
        <v>0.05759898300968497</v>
      </c>
      <c r="GE152">
        <v>1</v>
      </c>
      <c r="GF152">
        <v>876.9952058823528</v>
      </c>
      <c r="GG152">
        <v>-3.429747890469715</v>
      </c>
      <c r="GH152">
        <v>0.3890218336086345</v>
      </c>
      <c r="GI152">
        <v>0</v>
      </c>
      <c r="GJ152">
        <v>0.6211416749999999</v>
      </c>
      <c r="GK152">
        <v>-0.003768956848029309</v>
      </c>
      <c r="GL152">
        <v>0.001016250027982772</v>
      </c>
      <c r="GM152">
        <v>1</v>
      </c>
      <c r="GN152">
        <v>2</v>
      </c>
      <c r="GO152">
        <v>3</v>
      </c>
      <c r="GP152" t="s">
        <v>453</v>
      </c>
      <c r="GQ152">
        <v>3.10825</v>
      </c>
      <c r="GR152">
        <v>2.79171</v>
      </c>
      <c r="GS152">
        <v>0.136969</v>
      </c>
      <c r="GT152">
        <v>0.138304</v>
      </c>
      <c r="GU152">
        <v>0.08605500000000001</v>
      </c>
      <c r="GV152">
        <v>0.08460479999999999</v>
      </c>
      <c r="GW152">
        <v>22653.9</v>
      </c>
      <c r="GX152">
        <v>20532</v>
      </c>
      <c r="GY152">
        <v>26805.4</v>
      </c>
      <c r="GZ152">
        <v>24032.4</v>
      </c>
      <c r="HA152">
        <v>39160.1</v>
      </c>
      <c r="HB152">
        <v>32472.5</v>
      </c>
      <c r="HC152">
        <v>46785.6</v>
      </c>
      <c r="HD152">
        <v>38003.4</v>
      </c>
      <c r="HE152">
        <v>1.86575</v>
      </c>
      <c r="HF152">
        <v>1.8743</v>
      </c>
      <c r="HG152">
        <v>0.07268040000000001</v>
      </c>
      <c r="HH152">
        <v>0</v>
      </c>
      <c r="HI152">
        <v>23.8134</v>
      </c>
      <c r="HJ152">
        <v>999.9</v>
      </c>
      <c r="HK152">
        <v>42.6</v>
      </c>
      <c r="HL152">
        <v>30.2</v>
      </c>
      <c r="HM152">
        <v>20.4596</v>
      </c>
      <c r="HN152">
        <v>61.585</v>
      </c>
      <c r="HO152">
        <v>27.2436</v>
      </c>
      <c r="HP152">
        <v>1</v>
      </c>
      <c r="HQ152">
        <v>-0.00778709</v>
      </c>
      <c r="HR152">
        <v>0.863271</v>
      </c>
      <c r="HS152">
        <v>20.2938</v>
      </c>
      <c r="HT152">
        <v>5.21969</v>
      </c>
      <c r="HU152">
        <v>11.9784</v>
      </c>
      <c r="HV152">
        <v>4.96565</v>
      </c>
      <c r="HW152">
        <v>3.27598</v>
      </c>
      <c r="HX152">
        <v>9999</v>
      </c>
      <c r="HY152">
        <v>9999</v>
      </c>
      <c r="HZ152">
        <v>9999</v>
      </c>
      <c r="IA152">
        <v>999.9</v>
      </c>
      <c r="IB152">
        <v>1.86386</v>
      </c>
      <c r="IC152">
        <v>1.86005</v>
      </c>
      <c r="ID152">
        <v>1.85835</v>
      </c>
      <c r="IE152">
        <v>1.85962</v>
      </c>
      <c r="IF152">
        <v>1.85982</v>
      </c>
      <c r="IG152">
        <v>1.85835</v>
      </c>
      <c r="IH152">
        <v>1.8574</v>
      </c>
      <c r="II152">
        <v>1.85236</v>
      </c>
      <c r="IJ152">
        <v>0</v>
      </c>
      <c r="IK152">
        <v>0</v>
      </c>
      <c r="IL152">
        <v>0</v>
      </c>
      <c r="IM152">
        <v>0</v>
      </c>
      <c r="IN152" t="s">
        <v>441</v>
      </c>
      <c r="IO152" t="s">
        <v>442</v>
      </c>
      <c r="IP152" t="s">
        <v>443</v>
      </c>
      <c r="IQ152" t="s">
        <v>443</v>
      </c>
      <c r="IR152" t="s">
        <v>443</v>
      </c>
      <c r="IS152" t="s">
        <v>443</v>
      </c>
      <c r="IT152">
        <v>0</v>
      </c>
      <c r="IU152">
        <v>100</v>
      </c>
      <c r="IV152">
        <v>100</v>
      </c>
      <c r="IW152">
        <v>0.863</v>
      </c>
      <c r="IX152">
        <v>0.066</v>
      </c>
      <c r="IY152">
        <v>-0.1691024185337174</v>
      </c>
      <c r="IZ152">
        <v>0.0001583678016168383</v>
      </c>
      <c r="JA152">
        <v>1.526473431467286E-06</v>
      </c>
      <c r="JB152">
        <v>-4.446382740029455E-10</v>
      </c>
      <c r="JC152">
        <v>-0.0428956346360479</v>
      </c>
      <c r="JD152">
        <v>-0.009941991807247691</v>
      </c>
      <c r="JE152">
        <v>0.001256427533001032</v>
      </c>
      <c r="JF152">
        <v>-1.689728105039484E-05</v>
      </c>
      <c r="JG152">
        <v>2</v>
      </c>
      <c r="JH152">
        <v>1984</v>
      </c>
      <c r="JI152">
        <v>0</v>
      </c>
      <c r="JJ152">
        <v>25</v>
      </c>
      <c r="JK152">
        <v>1.5</v>
      </c>
      <c r="JL152">
        <v>1.6</v>
      </c>
      <c r="JM152">
        <v>1.91284</v>
      </c>
      <c r="JN152">
        <v>2.62939</v>
      </c>
      <c r="JO152">
        <v>1.49658</v>
      </c>
      <c r="JP152">
        <v>2.34741</v>
      </c>
      <c r="JQ152">
        <v>1.54907</v>
      </c>
      <c r="JR152">
        <v>2.46094</v>
      </c>
      <c r="JS152">
        <v>34.9904</v>
      </c>
      <c r="JT152">
        <v>24.14</v>
      </c>
      <c r="JU152">
        <v>18</v>
      </c>
      <c r="JV152">
        <v>462.694</v>
      </c>
      <c r="JW152">
        <v>494.822</v>
      </c>
      <c r="JX152">
        <v>23.2668</v>
      </c>
      <c r="JY152">
        <v>27.0731</v>
      </c>
      <c r="JZ152">
        <v>30.0004</v>
      </c>
      <c r="KA152">
        <v>27.2763</v>
      </c>
      <c r="KB152">
        <v>27.267</v>
      </c>
      <c r="KC152">
        <v>38.3905</v>
      </c>
      <c r="KD152">
        <v>19.4789</v>
      </c>
      <c r="KE152">
        <v>57.845</v>
      </c>
      <c r="KF152">
        <v>23.2611</v>
      </c>
      <c r="KG152">
        <v>800</v>
      </c>
      <c r="KH152">
        <v>16.8148</v>
      </c>
      <c r="KI152">
        <v>102.311</v>
      </c>
      <c r="KJ152">
        <v>91.6671</v>
      </c>
    </row>
    <row r="153" spans="1:296">
      <c r="A153">
        <v>135</v>
      </c>
      <c r="B153">
        <v>1765319564.6</v>
      </c>
      <c r="C153">
        <v>22131.59999990463</v>
      </c>
      <c r="D153" t="s">
        <v>854</v>
      </c>
      <c r="E153" t="s">
        <v>855</v>
      </c>
      <c r="F153">
        <v>5</v>
      </c>
      <c r="G153" t="s">
        <v>825</v>
      </c>
      <c r="H153">
        <v>1765319556.599999</v>
      </c>
      <c r="I153">
        <f>(J153)/1000</f>
        <v>0</v>
      </c>
      <c r="J153">
        <f>IF(DO153, AM153, AG153)</f>
        <v>0</v>
      </c>
      <c r="K153">
        <f>IF(DO153, AH153, AF153)</f>
        <v>0</v>
      </c>
      <c r="L153">
        <f>DQ153 - IF(AT153&gt;1, K153*DK153*100.0/(AV153), 0)</f>
        <v>0</v>
      </c>
      <c r="M153">
        <f>((S153-I153/2)*L153-K153)/(S153+I153/2)</f>
        <v>0</v>
      </c>
      <c r="N153">
        <f>M153*(DX153+DY153)/1000.0</f>
        <v>0</v>
      </c>
      <c r="O153">
        <f>(DQ153 - IF(AT153&gt;1, K153*DK153*100.0/(AV153), 0))*(DX153+DY153)/1000.0</f>
        <v>0</v>
      </c>
      <c r="P153">
        <f>2.0/((1/R153-1/Q153)+SIGN(R153)*SQRT((1/R153-1/Q153)*(1/R153-1/Q153) + 4*DL153/((DL153+1)*(DL153+1))*(2*1/R153*1/Q153-1/Q153*1/Q153)))</f>
        <v>0</v>
      </c>
      <c r="Q153">
        <f>IF(LEFT(DM153,1)&lt;&gt;"0",IF(LEFT(DM153,1)="1",3.0,DN153),$D$5+$E$5*(EE153*DX153/($K$5*1000))+$F$5*(EE153*DX153/($K$5*1000))*MAX(MIN(DK153,$J$5),$I$5)*MAX(MIN(DK153,$J$5),$I$5)+$G$5*MAX(MIN(DK153,$J$5),$I$5)*(EE153*DX153/($K$5*1000))+$H$5*(EE153*DX153/($K$5*1000))*(EE153*DX153/($K$5*1000)))</f>
        <v>0</v>
      </c>
      <c r="R153">
        <f>I153*(1000-(1000*0.61365*exp(17.502*V153/(240.97+V153))/(DX153+DY153)+DS153)/2)/(1000*0.61365*exp(17.502*V153/(240.97+V153))/(DX153+DY153)-DS153)</f>
        <v>0</v>
      </c>
      <c r="S153">
        <f>1/((DL153+1)/(P153/1.6)+1/(Q153/1.37)) + DL153/((DL153+1)/(P153/1.6) + DL153/(Q153/1.37))</f>
        <v>0</v>
      </c>
      <c r="T153">
        <f>(DG153*DJ153)</f>
        <v>0</v>
      </c>
      <c r="U153">
        <f>(DZ153+(T153+2*0.95*5.67E-8*(((DZ153+$B$9)+273)^4-(DZ153+273)^4)-44100*I153)/(1.84*29.3*Q153+8*0.95*5.67E-8*(DZ153+273)^3))</f>
        <v>0</v>
      </c>
      <c r="V153">
        <f>($C$9*EA153+$D$9*EB153+$E$9*U153)</f>
        <v>0</v>
      </c>
      <c r="W153">
        <f>0.61365*exp(17.502*V153/(240.97+V153))</f>
        <v>0</v>
      </c>
      <c r="X153">
        <f>(Y153/Z153*100)</f>
        <v>0</v>
      </c>
      <c r="Y153">
        <f>DS153*(DX153+DY153)/1000</f>
        <v>0</v>
      </c>
      <c r="Z153">
        <f>0.61365*exp(17.502*DZ153/(240.97+DZ153))</f>
        <v>0</v>
      </c>
      <c r="AA153">
        <f>(W153-DS153*(DX153+DY153)/1000)</f>
        <v>0</v>
      </c>
      <c r="AB153">
        <f>(-I153*44100)</f>
        <v>0</v>
      </c>
      <c r="AC153">
        <f>2*29.3*Q153*0.92*(DZ153-V153)</f>
        <v>0</v>
      </c>
      <c r="AD153">
        <f>2*0.95*5.67E-8*(((DZ153+$B$9)+273)^4-(V153+273)^4)</f>
        <v>0</v>
      </c>
      <c r="AE153">
        <f>T153+AD153+AB153+AC153</f>
        <v>0</v>
      </c>
      <c r="AF153">
        <f>DW153*AT153*(DR153-DQ153*(1000-AT153*DT153)/(1000-AT153*DS153))/(100*DK153)</f>
        <v>0</v>
      </c>
      <c r="AG153">
        <f>1000*DW153*AT153*(DS153-DT153)/(100*DK153*(1000-AT153*DS153))</f>
        <v>0</v>
      </c>
      <c r="AH153">
        <f>(AI153 - AJ153 - DX153*1E3/(8.314*(DZ153+273.15)) * AL153/DW153 * AK153) * DW153/(100*DK153) * (1000 - DT153)/1000</f>
        <v>0</v>
      </c>
      <c r="AI153">
        <v>1017.264236558322</v>
      </c>
      <c r="AJ153">
        <v>1005.292606060606</v>
      </c>
      <c r="AK153">
        <v>0.003457414477167229</v>
      </c>
      <c r="AL153">
        <v>65.72254040217895</v>
      </c>
      <c r="AM153">
        <f>(AO153 - AN153 + DX153*1E3/(8.314*(DZ153+273.15)) * AQ153/DW153 * AP153) * DW153/(100*DK153) * 1000/(1000 - AO153)</f>
        <v>0</v>
      </c>
      <c r="AN153">
        <v>16.8597418730652</v>
      </c>
      <c r="AO153">
        <v>17.49098545454544</v>
      </c>
      <c r="AP153">
        <v>-1.174622899201648E-05</v>
      </c>
      <c r="AQ153">
        <v>106.8526538712213</v>
      </c>
      <c r="AR153">
        <v>14</v>
      </c>
      <c r="AS153">
        <v>3</v>
      </c>
      <c r="AT153">
        <f>IF(AR153*$H$15&gt;=AV153,1.0,(AV153/(AV153-AR153*$H$15)))</f>
        <v>0</v>
      </c>
      <c r="AU153">
        <f>(AT153-1)*100</f>
        <v>0</v>
      </c>
      <c r="AV153">
        <f>MAX(0,($B$15+$C$15*EE153)/(1+$D$15*EE153)*DX153/(DZ153+273)*$E$15)</f>
        <v>0</v>
      </c>
      <c r="AW153" t="s">
        <v>437</v>
      </c>
      <c r="AX153" t="s">
        <v>437</v>
      </c>
      <c r="AY153">
        <v>0</v>
      </c>
      <c r="AZ153">
        <v>0</v>
      </c>
      <c r="BA153">
        <f>1-AY153/AZ153</f>
        <v>0</v>
      </c>
      <c r="BB153">
        <v>0</v>
      </c>
      <c r="BC153" t="s">
        <v>437</v>
      </c>
      <c r="BD153" t="s">
        <v>437</v>
      </c>
      <c r="BE153">
        <v>0</v>
      </c>
      <c r="BF153">
        <v>0</v>
      </c>
      <c r="BG153">
        <f>1-BE153/BF153</f>
        <v>0</v>
      </c>
      <c r="BH153">
        <v>0.5</v>
      </c>
      <c r="BI153">
        <f>DH153</f>
        <v>0</v>
      </c>
      <c r="BJ153">
        <f>K153</f>
        <v>0</v>
      </c>
      <c r="BK153">
        <f>BG153*BH153*BI153</f>
        <v>0</v>
      </c>
      <c r="BL153">
        <f>(BJ153-BB153)/BI153</f>
        <v>0</v>
      </c>
      <c r="BM153">
        <f>(AZ153-BF153)/BF153</f>
        <v>0</v>
      </c>
      <c r="BN153">
        <f>AY153/(BA153+AY153/BF153)</f>
        <v>0</v>
      </c>
      <c r="BO153" t="s">
        <v>437</v>
      </c>
      <c r="BP153">
        <v>0</v>
      </c>
      <c r="BQ153">
        <f>IF(BP153&lt;&gt;0, BP153, BN153)</f>
        <v>0</v>
      </c>
      <c r="BR153">
        <f>1-BQ153/BF153</f>
        <v>0</v>
      </c>
      <c r="BS153">
        <f>(BF153-BE153)/(BF153-BQ153)</f>
        <v>0</v>
      </c>
      <c r="BT153">
        <f>(AZ153-BF153)/(AZ153-BQ153)</f>
        <v>0</v>
      </c>
      <c r="BU153">
        <f>(BF153-BE153)/(BF153-AY153)</f>
        <v>0</v>
      </c>
      <c r="BV153">
        <f>(AZ153-BF153)/(AZ153-AY153)</f>
        <v>0</v>
      </c>
      <c r="BW153">
        <f>(BS153*BQ153/BE153)</f>
        <v>0</v>
      </c>
      <c r="BX153">
        <f>(1-BW153)</f>
        <v>0</v>
      </c>
      <c r="DG153">
        <f>$B$13*EF153+$C$13*EG153+$F$13*ER153*(1-EU153)</f>
        <v>0</v>
      </c>
      <c r="DH153">
        <f>DG153*DI153</f>
        <v>0</v>
      </c>
      <c r="DI153">
        <f>($B$13*$D$11+$C$13*$D$11+$F$13*((FE153+EW153)/MAX(FE153+EW153+FF153, 0.1)*$I$11+FF153/MAX(FE153+EW153+FF153, 0.1)*$J$11))/($B$13+$C$13+$F$13)</f>
        <v>0</v>
      </c>
      <c r="DJ153">
        <f>($B$13*$K$11+$C$13*$K$11+$F$13*((FE153+EW153)/MAX(FE153+EW153+FF153, 0.1)*$P$11+FF153/MAX(FE153+EW153+FF153, 0.1)*$Q$11))/($B$13+$C$13+$F$13)</f>
        <v>0</v>
      </c>
      <c r="DK153">
        <v>6</v>
      </c>
      <c r="DL153">
        <v>0.5</v>
      </c>
      <c r="DM153" t="s">
        <v>438</v>
      </c>
      <c r="DN153">
        <v>2</v>
      </c>
      <c r="DO153" t="b">
        <v>1</v>
      </c>
      <c r="DP153">
        <v>1765319556.599999</v>
      </c>
      <c r="DQ153">
        <v>987.3836129032256</v>
      </c>
      <c r="DR153">
        <v>1000.031032258065</v>
      </c>
      <c r="DS153">
        <v>17.4783064516129</v>
      </c>
      <c r="DT153">
        <v>16.85809032258065</v>
      </c>
      <c r="DU153">
        <v>986.4586129032257</v>
      </c>
      <c r="DV153">
        <v>17.4113064516129</v>
      </c>
      <c r="DW153">
        <v>499.9962580645161</v>
      </c>
      <c r="DX153">
        <v>89.73269677419357</v>
      </c>
      <c r="DY153">
        <v>0.09998553548387097</v>
      </c>
      <c r="DZ153">
        <v>24.79960967741935</v>
      </c>
      <c r="EA153">
        <v>25.00418387096774</v>
      </c>
      <c r="EB153">
        <v>999.9000000000003</v>
      </c>
      <c r="EC153">
        <v>0</v>
      </c>
      <c r="ED153">
        <v>0</v>
      </c>
      <c r="EE153">
        <v>9997.623548387097</v>
      </c>
      <c r="EF153">
        <v>0</v>
      </c>
      <c r="EG153">
        <v>9.89639</v>
      </c>
      <c r="EH153">
        <v>-12.36922580645161</v>
      </c>
      <c r="EI153">
        <v>1005.242580645161</v>
      </c>
      <c r="EJ153">
        <v>1017.178387096774</v>
      </c>
      <c r="EK153">
        <v>0.6314920967741935</v>
      </c>
      <c r="EL153">
        <v>1000.031032258065</v>
      </c>
      <c r="EM153">
        <v>16.85809032258065</v>
      </c>
      <c r="EN153">
        <v>1.569387096774193</v>
      </c>
      <c r="EO153">
        <v>1.512721290322581</v>
      </c>
      <c r="EP153">
        <v>13.66146774193548</v>
      </c>
      <c r="EQ153">
        <v>13.09737096774194</v>
      </c>
      <c r="ER153">
        <v>800.0065483870966</v>
      </c>
      <c r="ES153">
        <v>0.9499968709677418</v>
      </c>
      <c r="ET153">
        <v>0.05000341612903227</v>
      </c>
      <c r="EU153">
        <v>0</v>
      </c>
      <c r="EV153">
        <v>889.0764516129032</v>
      </c>
      <c r="EW153">
        <v>5.000779999999999</v>
      </c>
      <c r="EX153">
        <v>6715.664516129031</v>
      </c>
      <c r="EY153">
        <v>6463.46258064516</v>
      </c>
      <c r="EZ153">
        <v>37.05012903225806</v>
      </c>
      <c r="FA153">
        <v>39.70741935483871</v>
      </c>
      <c r="FB153">
        <v>38.52996774193547</v>
      </c>
      <c r="FC153">
        <v>39.7014193548387</v>
      </c>
      <c r="FD153">
        <v>38.69535483870967</v>
      </c>
      <c r="FE153">
        <v>755.2532258064515</v>
      </c>
      <c r="FF153">
        <v>39.75</v>
      </c>
      <c r="FG153">
        <v>0</v>
      </c>
      <c r="FH153">
        <v>1765319564.3</v>
      </c>
      <c r="FI153">
        <v>0</v>
      </c>
      <c r="FJ153">
        <v>889.05524</v>
      </c>
      <c r="FK153">
        <v>-0.9850000108480945</v>
      </c>
      <c r="FL153">
        <v>-22.65461534255616</v>
      </c>
      <c r="FM153">
        <v>6715.4052</v>
      </c>
      <c r="FN153">
        <v>15</v>
      </c>
      <c r="FO153">
        <v>1765319589.6</v>
      </c>
      <c r="FP153" t="s">
        <v>856</v>
      </c>
      <c r="FQ153">
        <v>1765319589.6</v>
      </c>
      <c r="FR153">
        <v>1765319582.6</v>
      </c>
      <c r="FS153">
        <v>136</v>
      </c>
      <c r="FT153">
        <v>-0.302</v>
      </c>
      <c r="FU153">
        <v>0</v>
      </c>
      <c r="FV153">
        <v>0.925</v>
      </c>
      <c r="FW153">
        <v>0.067</v>
      </c>
      <c r="FX153">
        <v>1000</v>
      </c>
      <c r="FY153">
        <v>17</v>
      </c>
      <c r="FZ153">
        <v>0.34</v>
      </c>
      <c r="GA153">
        <v>0.18</v>
      </c>
      <c r="GB153">
        <v>-12.3643875</v>
      </c>
      <c r="GC153">
        <v>-0.3194217636022165</v>
      </c>
      <c r="GD153">
        <v>0.06193170911374868</v>
      </c>
      <c r="GE153">
        <v>1</v>
      </c>
      <c r="GF153">
        <v>889.2245294117647</v>
      </c>
      <c r="GG153">
        <v>-2.259312454984147</v>
      </c>
      <c r="GH153">
        <v>0.2976384734869677</v>
      </c>
      <c r="GI153">
        <v>0</v>
      </c>
      <c r="GJ153">
        <v>0.631247825</v>
      </c>
      <c r="GK153">
        <v>0.008551508442774589</v>
      </c>
      <c r="GL153">
        <v>0.001015687621454065</v>
      </c>
      <c r="GM153">
        <v>1</v>
      </c>
      <c r="GN153">
        <v>2</v>
      </c>
      <c r="GO153">
        <v>3</v>
      </c>
      <c r="GP153" t="s">
        <v>453</v>
      </c>
      <c r="GQ153">
        <v>3.10817</v>
      </c>
      <c r="GR153">
        <v>2.79172</v>
      </c>
      <c r="GS153">
        <v>0.158483</v>
      </c>
      <c r="GT153">
        <v>0.159937</v>
      </c>
      <c r="GU153">
        <v>0.086206</v>
      </c>
      <c r="GV153">
        <v>0.08472970000000001</v>
      </c>
      <c r="GW153">
        <v>22087.8</v>
      </c>
      <c r="GX153">
        <v>20015.6</v>
      </c>
      <c r="GY153">
        <v>26803.5</v>
      </c>
      <c r="GZ153">
        <v>24031.1</v>
      </c>
      <c r="HA153">
        <v>39153.5</v>
      </c>
      <c r="HB153">
        <v>32469.2</v>
      </c>
      <c r="HC153">
        <v>46782.1</v>
      </c>
      <c r="HD153">
        <v>38002.1</v>
      </c>
      <c r="HE153">
        <v>1.8654</v>
      </c>
      <c r="HF153">
        <v>1.8744</v>
      </c>
      <c r="HG153">
        <v>0.0723712</v>
      </c>
      <c r="HH153">
        <v>0</v>
      </c>
      <c r="HI153">
        <v>23.8254</v>
      </c>
      <c r="HJ153">
        <v>999.9</v>
      </c>
      <c r="HK153">
        <v>42.6</v>
      </c>
      <c r="HL153">
        <v>30.2</v>
      </c>
      <c r="HM153">
        <v>20.461</v>
      </c>
      <c r="HN153">
        <v>61.395</v>
      </c>
      <c r="HO153">
        <v>27.2196</v>
      </c>
      <c r="HP153">
        <v>1</v>
      </c>
      <c r="HQ153">
        <v>-0.00419207</v>
      </c>
      <c r="HR153">
        <v>0.897797</v>
      </c>
      <c r="HS153">
        <v>20.2916</v>
      </c>
      <c r="HT153">
        <v>5.22193</v>
      </c>
      <c r="HU153">
        <v>11.9776</v>
      </c>
      <c r="HV153">
        <v>4.96555</v>
      </c>
      <c r="HW153">
        <v>3.27598</v>
      </c>
      <c r="HX153">
        <v>9999</v>
      </c>
      <c r="HY153">
        <v>9999</v>
      </c>
      <c r="HZ153">
        <v>9999</v>
      </c>
      <c r="IA153">
        <v>999.9</v>
      </c>
      <c r="IB153">
        <v>1.86386</v>
      </c>
      <c r="IC153">
        <v>1.86005</v>
      </c>
      <c r="ID153">
        <v>1.85835</v>
      </c>
      <c r="IE153">
        <v>1.85967</v>
      </c>
      <c r="IF153">
        <v>1.85984</v>
      </c>
      <c r="IG153">
        <v>1.8583</v>
      </c>
      <c r="IH153">
        <v>1.8574</v>
      </c>
      <c r="II153">
        <v>1.8524</v>
      </c>
      <c r="IJ153">
        <v>0</v>
      </c>
      <c r="IK153">
        <v>0</v>
      </c>
      <c r="IL153">
        <v>0</v>
      </c>
      <c r="IM153">
        <v>0</v>
      </c>
      <c r="IN153" t="s">
        <v>441</v>
      </c>
      <c r="IO153" t="s">
        <v>442</v>
      </c>
      <c r="IP153" t="s">
        <v>443</v>
      </c>
      <c r="IQ153" t="s">
        <v>443</v>
      </c>
      <c r="IR153" t="s">
        <v>443</v>
      </c>
      <c r="IS153" t="s">
        <v>443</v>
      </c>
      <c r="IT153">
        <v>0</v>
      </c>
      <c r="IU153">
        <v>100</v>
      </c>
      <c r="IV153">
        <v>100</v>
      </c>
      <c r="IW153">
        <v>0.925</v>
      </c>
      <c r="IX153">
        <v>0.067</v>
      </c>
      <c r="IY153">
        <v>-0.01163409897524725</v>
      </c>
      <c r="IZ153">
        <v>0.0001583678016168383</v>
      </c>
      <c r="JA153">
        <v>1.526473431467286E-06</v>
      </c>
      <c r="JB153">
        <v>-4.446382740029455E-10</v>
      </c>
      <c r="JC153">
        <v>-0.04032244728187143</v>
      </c>
      <c r="JD153">
        <v>-0.009941991807247691</v>
      </c>
      <c r="JE153">
        <v>0.001256427533001032</v>
      </c>
      <c r="JF153">
        <v>-1.689728105039484E-05</v>
      </c>
      <c r="JG153">
        <v>2</v>
      </c>
      <c r="JH153">
        <v>1984</v>
      </c>
      <c r="JI153">
        <v>0</v>
      </c>
      <c r="JJ153">
        <v>25</v>
      </c>
      <c r="JK153">
        <v>1.5</v>
      </c>
      <c r="JL153">
        <v>1.5</v>
      </c>
      <c r="JM153">
        <v>2.29126</v>
      </c>
      <c r="JN153">
        <v>2.62085</v>
      </c>
      <c r="JO153">
        <v>1.49658</v>
      </c>
      <c r="JP153">
        <v>2.34863</v>
      </c>
      <c r="JQ153">
        <v>1.54907</v>
      </c>
      <c r="JR153">
        <v>2.46094</v>
      </c>
      <c r="JS153">
        <v>34.9904</v>
      </c>
      <c r="JT153">
        <v>24.1313</v>
      </c>
      <c r="JU153">
        <v>18</v>
      </c>
      <c r="JV153">
        <v>462.824</v>
      </c>
      <c r="JW153">
        <v>495.272</v>
      </c>
      <c r="JX153">
        <v>23.2653</v>
      </c>
      <c r="JY153">
        <v>27.1123</v>
      </c>
      <c r="JZ153">
        <v>30.0004</v>
      </c>
      <c r="KA153">
        <v>27.3204</v>
      </c>
      <c r="KB153">
        <v>27.3114</v>
      </c>
      <c r="KC153">
        <v>45.9691</v>
      </c>
      <c r="KD153">
        <v>19.4189</v>
      </c>
      <c r="KE153">
        <v>57.845</v>
      </c>
      <c r="KF153">
        <v>23.254</v>
      </c>
      <c r="KG153">
        <v>1000</v>
      </c>
      <c r="KH153">
        <v>16.8391</v>
      </c>
      <c r="KI153">
        <v>102.303</v>
      </c>
      <c r="KJ153">
        <v>91.6634</v>
      </c>
    </row>
    <row r="154" spans="1:296">
      <c r="A154">
        <v>136</v>
      </c>
      <c r="B154">
        <v>1765319678.1</v>
      </c>
      <c r="C154">
        <v>22245.09999990463</v>
      </c>
      <c r="D154" t="s">
        <v>857</v>
      </c>
      <c r="E154" t="s">
        <v>858</v>
      </c>
      <c r="F154">
        <v>5</v>
      </c>
      <c r="G154" t="s">
        <v>825</v>
      </c>
      <c r="H154">
        <v>1765319670.349999</v>
      </c>
      <c r="I154">
        <f>(J154)/1000</f>
        <v>0</v>
      </c>
      <c r="J154">
        <f>IF(DO154, AM154, AG154)</f>
        <v>0</v>
      </c>
      <c r="K154">
        <f>IF(DO154, AH154, AF154)</f>
        <v>0</v>
      </c>
      <c r="L154">
        <f>DQ154 - IF(AT154&gt;1, K154*DK154*100.0/(AV154), 0)</f>
        <v>0</v>
      </c>
      <c r="M154">
        <f>((S154-I154/2)*L154-K154)/(S154+I154/2)</f>
        <v>0</v>
      </c>
      <c r="N154">
        <f>M154*(DX154+DY154)/1000.0</f>
        <v>0</v>
      </c>
      <c r="O154">
        <f>(DQ154 - IF(AT154&gt;1, K154*DK154*100.0/(AV154), 0))*(DX154+DY154)/1000.0</f>
        <v>0</v>
      </c>
      <c r="P154">
        <f>2.0/((1/R154-1/Q154)+SIGN(R154)*SQRT((1/R154-1/Q154)*(1/R154-1/Q154) + 4*DL154/((DL154+1)*(DL154+1))*(2*1/R154*1/Q154-1/Q154*1/Q154)))</f>
        <v>0</v>
      </c>
      <c r="Q154">
        <f>IF(LEFT(DM154,1)&lt;&gt;"0",IF(LEFT(DM154,1)="1",3.0,DN154),$D$5+$E$5*(EE154*DX154/($K$5*1000))+$F$5*(EE154*DX154/($K$5*1000))*MAX(MIN(DK154,$J$5),$I$5)*MAX(MIN(DK154,$J$5),$I$5)+$G$5*MAX(MIN(DK154,$J$5),$I$5)*(EE154*DX154/($K$5*1000))+$H$5*(EE154*DX154/($K$5*1000))*(EE154*DX154/($K$5*1000)))</f>
        <v>0</v>
      </c>
      <c r="R154">
        <f>I154*(1000-(1000*0.61365*exp(17.502*V154/(240.97+V154))/(DX154+DY154)+DS154)/2)/(1000*0.61365*exp(17.502*V154/(240.97+V154))/(DX154+DY154)-DS154)</f>
        <v>0</v>
      </c>
      <c r="S154">
        <f>1/((DL154+1)/(P154/1.6)+1/(Q154/1.37)) + DL154/((DL154+1)/(P154/1.6) + DL154/(Q154/1.37))</f>
        <v>0</v>
      </c>
      <c r="T154">
        <f>(DG154*DJ154)</f>
        <v>0</v>
      </c>
      <c r="U154">
        <f>(DZ154+(T154+2*0.95*5.67E-8*(((DZ154+$B$9)+273)^4-(DZ154+273)^4)-44100*I154)/(1.84*29.3*Q154+8*0.95*5.67E-8*(DZ154+273)^3))</f>
        <v>0</v>
      </c>
      <c r="V154">
        <f>($C$9*EA154+$D$9*EB154+$E$9*U154)</f>
        <v>0</v>
      </c>
      <c r="W154">
        <f>0.61365*exp(17.502*V154/(240.97+V154))</f>
        <v>0</v>
      </c>
      <c r="X154">
        <f>(Y154/Z154*100)</f>
        <v>0</v>
      </c>
      <c r="Y154">
        <f>DS154*(DX154+DY154)/1000</f>
        <v>0</v>
      </c>
      <c r="Z154">
        <f>0.61365*exp(17.502*DZ154/(240.97+DZ154))</f>
        <v>0</v>
      </c>
      <c r="AA154">
        <f>(W154-DS154*(DX154+DY154)/1000)</f>
        <v>0</v>
      </c>
      <c r="AB154">
        <f>(-I154*44100)</f>
        <v>0</v>
      </c>
      <c r="AC154">
        <f>2*29.3*Q154*0.92*(DZ154-V154)</f>
        <v>0</v>
      </c>
      <c r="AD154">
        <f>2*0.95*5.67E-8*(((DZ154+$B$9)+273)^4-(V154+273)^4)</f>
        <v>0</v>
      </c>
      <c r="AE154">
        <f>T154+AD154+AB154+AC154</f>
        <v>0</v>
      </c>
      <c r="AF154">
        <f>DW154*AT154*(DR154-DQ154*(1000-AT154*DT154)/(1000-AT154*DS154))/(100*DK154)</f>
        <v>0</v>
      </c>
      <c r="AG154">
        <f>1000*DW154*AT154*(DS154-DT154)/(100*DK154*(1000-AT154*DS154))</f>
        <v>0</v>
      </c>
      <c r="AH154">
        <f>(AI154 - AJ154 - DX154*1E3/(8.314*(DZ154+273.15)) * AL154/DW154 * AK154) * DW154/(100*DK154) * (1000 - DT154)/1000</f>
        <v>0</v>
      </c>
      <c r="AI154">
        <v>1220.67054539705</v>
      </c>
      <c r="AJ154">
        <v>1206.293757575757</v>
      </c>
      <c r="AK154">
        <v>0.02604869209136423</v>
      </c>
      <c r="AL154">
        <v>65.79224558492275</v>
      </c>
      <c r="AM154">
        <f>(AO154 - AN154 + DX154*1E3/(8.314*(DZ154+273.15)) * AQ154/DW154 * AP154) * DW154/(100*DK154) * 1000/(1000 - AO154)</f>
        <v>0</v>
      </c>
      <c r="AN154">
        <v>16.84952212665402</v>
      </c>
      <c r="AO154">
        <v>17.48975575757576</v>
      </c>
      <c r="AP154">
        <v>1.036907612306965E-05</v>
      </c>
      <c r="AQ154">
        <v>107.6323156621233</v>
      </c>
      <c r="AR154">
        <v>14</v>
      </c>
      <c r="AS154">
        <v>3</v>
      </c>
      <c r="AT154">
        <f>IF(AR154*$H$15&gt;=AV154,1.0,(AV154/(AV154-AR154*$H$15)))</f>
        <v>0</v>
      </c>
      <c r="AU154">
        <f>(AT154-1)*100</f>
        <v>0</v>
      </c>
      <c r="AV154">
        <f>MAX(0,($B$15+$C$15*EE154)/(1+$D$15*EE154)*DX154/(DZ154+273)*$E$15)</f>
        <v>0</v>
      </c>
      <c r="AW154" t="s">
        <v>437</v>
      </c>
      <c r="AX154" t="s">
        <v>437</v>
      </c>
      <c r="AY154">
        <v>0</v>
      </c>
      <c r="AZ154">
        <v>0</v>
      </c>
      <c r="BA154">
        <f>1-AY154/AZ154</f>
        <v>0</v>
      </c>
      <c r="BB154">
        <v>0</v>
      </c>
      <c r="BC154" t="s">
        <v>437</v>
      </c>
      <c r="BD154" t="s">
        <v>437</v>
      </c>
      <c r="BE154">
        <v>0</v>
      </c>
      <c r="BF154">
        <v>0</v>
      </c>
      <c r="BG154">
        <f>1-BE154/BF154</f>
        <v>0</v>
      </c>
      <c r="BH154">
        <v>0.5</v>
      </c>
      <c r="BI154">
        <f>DH154</f>
        <v>0</v>
      </c>
      <c r="BJ154">
        <f>K154</f>
        <v>0</v>
      </c>
      <c r="BK154">
        <f>BG154*BH154*BI154</f>
        <v>0</v>
      </c>
      <c r="BL154">
        <f>(BJ154-BB154)/BI154</f>
        <v>0</v>
      </c>
      <c r="BM154">
        <f>(AZ154-BF154)/BF154</f>
        <v>0</v>
      </c>
      <c r="BN154">
        <f>AY154/(BA154+AY154/BF154)</f>
        <v>0</v>
      </c>
      <c r="BO154" t="s">
        <v>437</v>
      </c>
      <c r="BP154">
        <v>0</v>
      </c>
      <c r="BQ154">
        <f>IF(BP154&lt;&gt;0, BP154, BN154)</f>
        <v>0</v>
      </c>
      <c r="BR154">
        <f>1-BQ154/BF154</f>
        <v>0</v>
      </c>
      <c r="BS154">
        <f>(BF154-BE154)/(BF154-BQ154)</f>
        <v>0</v>
      </c>
      <c r="BT154">
        <f>(AZ154-BF154)/(AZ154-BQ154)</f>
        <v>0</v>
      </c>
      <c r="BU154">
        <f>(BF154-BE154)/(BF154-AY154)</f>
        <v>0</v>
      </c>
      <c r="BV154">
        <f>(AZ154-BF154)/(AZ154-AY154)</f>
        <v>0</v>
      </c>
      <c r="BW154">
        <f>(BS154*BQ154/BE154)</f>
        <v>0</v>
      </c>
      <c r="BX154">
        <f>(1-BW154)</f>
        <v>0</v>
      </c>
      <c r="DG154">
        <f>$B$13*EF154+$C$13*EG154+$F$13*ER154*(1-EU154)</f>
        <v>0</v>
      </c>
      <c r="DH154">
        <f>DG154*DI154</f>
        <v>0</v>
      </c>
      <c r="DI154">
        <f>($B$13*$D$11+$C$13*$D$11+$F$13*((FE154+EW154)/MAX(FE154+EW154+FF154, 0.1)*$I$11+FF154/MAX(FE154+EW154+FF154, 0.1)*$J$11))/($B$13+$C$13+$F$13)</f>
        <v>0</v>
      </c>
      <c r="DJ154">
        <f>($B$13*$K$11+$C$13*$K$11+$F$13*((FE154+EW154)/MAX(FE154+EW154+FF154, 0.1)*$P$11+FF154/MAX(FE154+EW154+FF154, 0.1)*$Q$11))/($B$13+$C$13+$F$13)</f>
        <v>0</v>
      </c>
      <c r="DK154">
        <v>6</v>
      </c>
      <c r="DL154">
        <v>0.5</v>
      </c>
      <c r="DM154" t="s">
        <v>438</v>
      </c>
      <c r="DN154">
        <v>2</v>
      </c>
      <c r="DO154" t="b">
        <v>1</v>
      </c>
      <c r="DP154">
        <v>1765319670.349999</v>
      </c>
      <c r="DQ154">
        <v>1185.123666666667</v>
      </c>
      <c r="DR154">
        <v>1200.005333333333</v>
      </c>
      <c r="DS154">
        <v>17.47962</v>
      </c>
      <c r="DT154">
        <v>16.84874666666667</v>
      </c>
      <c r="DU154">
        <v>1183.863666666667</v>
      </c>
      <c r="DV154">
        <v>17.41062</v>
      </c>
      <c r="DW154">
        <v>500.0083333333333</v>
      </c>
      <c r="DX154">
        <v>89.73411666666667</v>
      </c>
      <c r="DY154">
        <v>0.1000123766666667</v>
      </c>
      <c r="DZ154">
        <v>24.77732333333334</v>
      </c>
      <c r="EA154">
        <v>24.9937</v>
      </c>
      <c r="EB154">
        <v>999.9000000000002</v>
      </c>
      <c r="EC154">
        <v>0</v>
      </c>
      <c r="ED154">
        <v>0</v>
      </c>
      <c r="EE154">
        <v>9995.252333333334</v>
      </c>
      <c r="EF154">
        <v>0</v>
      </c>
      <c r="EG154">
        <v>9.893002333333333</v>
      </c>
      <c r="EH154">
        <v>-14.86599</v>
      </c>
      <c r="EI154">
        <v>1206.235666666667</v>
      </c>
      <c r="EJ154">
        <v>1220.570333333333</v>
      </c>
      <c r="EK154">
        <v>0.6404277666666668</v>
      </c>
      <c r="EL154">
        <v>1200.005333333333</v>
      </c>
      <c r="EM154">
        <v>16.84874666666667</v>
      </c>
      <c r="EN154">
        <v>1.569376333333333</v>
      </c>
      <c r="EO154">
        <v>1.511907333333333</v>
      </c>
      <c r="EP154">
        <v>13.66134666666666</v>
      </c>
      <c r="EQ154">
        <v>13.08911666666667</v>
      </c>
      <c r="ER154">
        <v>800.0041666666669</v>
      </c>
      <c r="ES154">
        <v>0.9499914666666665</v>
      </c>
      <c r="ET154">
        <v>0.05000888666666668</v>
      </c>
      <c r="EU154">
        <v>0</v>
      </c>
      <c r="EV154">
        <v>902.5513</v>
      </c>
      <c r="EW154">
        <v>5.00078</v>
      </c>
      <c r="EX154">
        <v>6797.309999999999</v>
      </c>
      <c r="EY154">
        <v>6463.432666666666</v>
      </c>
      <c r="EZ154">
        <v>36.16026666666667</v>
      </c>
      <c r="FA154">
        <v>38.56843333333333</v>
      </c>
      <c r="FB154">
        <v>37.61213333333333</v>
      </c>
      <c r="FC154">
        <v>38.14559999999999</v>
      </c>
      <c r="FD154">
        <v>37.71846666666666</v>
      </c>
      <c r="FE154">
        <v>755.2453333333334</v>
      </c>
      <c r="FF154">
        <v>39.76</v>
      </c>
      <c r="FG154">
        <v>0</v>
      </c>
      <c r="FH154">
        <v>1765319677.7</v>
      </c>
      <c r="FI154">
        <v>0</v>
      </c>
      <c r="FJ154">
        <v>902.5325384615385</v>
      </c>
      <c r="FK154">
        <v>-0.01217094988837378</v>
      </c>
      <c r="FL154">
        <v>-14.12102562695481</v>
      </c>
      <c r="FM154">
        <v>6797.249230769231</v>
      </c>
      <c r="FN154">
        <v>15</v>
      </c>
      <c r="FO154">
        <v>1765319698.1</v>
      </c>
      <c r="FP154" t="s">
        <v>859</v>
      </c>
      <c r="FQ154">
        <v>1765319698.1</v>
      </c>
      <c r="FR154">
        <v>1765319697.1</v>
      </c>
      <c r="FS154">
        <v>137</v>
      </c>
      <c r="FT154">
        <v>-0.046</v>
      </c>
      <c r="FU154">
        <v>0.002</v>
      </c>
      <c r="FV154">
        <v>1.26</v>
      </c>
      <c r="FW154">
        <v>0.06900000000000001</v>
      </c>
      <c r="FX154">
        <v>1200</v>
      </c>
      <c r="FY154">
        <v>17</v>
      </c>
      <c r="FZ154">
        <v>0.18</v>
      </c>
      <c r="GA154">
        <v>0.12</v>
      </c>
      <c r="GB154">
        <v>-14.861525</v>
      </c>
      <c r="GC154">
        <v>-0.2872998123827282</v>
      </c>
      <c r="GD154">
        <v>0.06962885088093874</v>
      </c>
      <c r="GE154">
        <v>1</v>
      </c>
      <c r="GF154">
        <v>902.6303529411766</v>
      </c>
      <c r="GG154">
        <v>-0.8334606607769655</v>
      </c>
      <c r="GH154">
        <v>0.2382193603967171</v>
      </c>
      <c r="GI154">
        <v>1</v>
      </c>
      <c r="GJ154">
        <v>0.6406375499999999</v>
      </c>
      <c r="GK154">
        <v>-0.005066836772983638</v>
      </c>
      <c r="GL154">
        <v>0.001074646871069745</v>
      </c>
      <c r="GM154">
        <v>1</v>
      </c>
      <c r="GN154">
        <v>3</v>
      </c>
      <c r="GO154">
        <v>3</v>
      </c>
      <c r="GP154" t="s">
        <v>440</v>
      </c>
      <c r="GQ154">
        <v>3.1081</v>
      </c>
      <c r="GR154">
        <v>2.79161</v>
      </c>
      <c r="GS154">
        <v>0.177756</v>
      </c>
      <c r="GT154">
        <v>0.179343</v>
      </c>
      <c r="GU154">
        <v>0.08619010000000001</v>
      </c>
      <c r="GV154">
        <v>0.08468000000000001</v>
      </c>
      <c r="GW154">
        <v>21579.9</v>
      </c>
      <c r="GX154">
        <v>19551.6</v>
      </c>
      <c r="GY154">
        <v>26800.8</v>
      </c>
      <c r="GZ154">
        <v>24029</v>
      </c>
      <c r="HA154">
        <v>39152.9</v>
      </c>
      <c r="HB154">
        <v>32470.6</v>
      </c>
      <c r="HC154">
        <v>46777.7</v>
      </c>
      <c r="HD154">
        <v>37999.3</v>
      </c>
      <c r="HE154">
        <v>1.86532</v>
      </c>
      <c r="HF154">
        <v>1.87398</v>
      </c>
      <c r="HG154">
        <v>0.070326</v>
      </c>
      <c r="HH154">
        <v>0</v>
      </c>
      <c r="HI154">
        <v>23.8414</v>
      </c>
      <c r="HJ154">
        <v>999.9</v>
      </c>
      <c r="HK154">
        <v>42.6</v>
      </c>
      <c r="HL154">
        <v>30.2</v>
      </c>
      <c r="HM154">
        <v>20.4592</v>
      </c>
      <c r="HN154">
        <v>61.305</v>
      </c>
      <c r="HO154">
        <v>27.4359</v>
      </c>
      <c r="HP154">
        <v>1</v>
      </c>
      <c r="HQ154">
        <v>-0.000340447</v>
      </c>
      <c r="HR154">
        <v>0.789311</v>
      </c>
      <c r="HS154">
        <v>20.2924</v>
      </c>
      <c r="HT154">
        <v>5.22178</v>
      </c>
      <c r="HU154">
        <v>11.9782</v>
      </c>
      <c r="HV154">
        <v>4.9655</v>
      </c>
      <c r="HW154">
        <v>3.27593</v>
      </c>
      <c r="HX154">
        <v>9999</v>
      </c>
      <c r="HY154">
        <v>9999</v>
      </c>
      <c r="HZ154">
        <v>9999</v>
      </c>
      <c r="IA154">
        <v>999.9</v>
      </c>
      <c r="IB154">
        <v>1.86387</v>
      </c>
      <c r="IC154">
        <v>1.86005</v>
      </c>
      <c r="ID154">
        <v>1.85836</v>
      </c>
      <c r="IE154">
        <v>1.85963</v>
      </c>
      <c r="IF154">
        <v>1.85987</v>
      </c>
      <c r="IG154">
        <v>1.85835</v>
      </c>
      <c r="IH154">
        <v>1.85741</v>
      </c>
      <c r="II154">
        <v>1.85235</v>
      </c>
      <c r="IJ154">
        <v>0</v>
      </c>
      <c r="IK154">
        <v>0</v>
      </c>
      <c r="IL154">
        <v>0</v>
      </c>
      <c r="IM154">
        <v>0</v>
      </c>
      <c r="IN154" t="s">
        <v>441</v>
      </c>
      <c r="IO154" t="s">
        <v>442</v>
      </c>
      <c r="IP154" t="s">
        <v>443</v>
      </c>
      <c r="IQ154" t="s">
        <v>443</v>
      </c>
      <c r="IR154" t="s">
        <v>443</v>
      </c>
      <c r="IS154" t="s">
        <v>443</v>
      </c>
      <c r="IT154">
        <v>0</v>
      </c>
      <c r="IU154">
        <v>100</v>
      </c>
      <c r="IV154">
        <v>100</v>
      </c>
      <c r="IW154">
        <v>1.26</v>
      </c>
      <c r="IX154">
        <v>0.06900000000000001</v>
      </c>
      <c r="IY154">
        <v>-0.3131424797585023</v>
      </c>
      <c r="IZ154">
        <v>0.0001583678016168383</v>
      </c>
      <c r="JA154">
        <v>1.526473431467286E-06</v>
      </c>
      <c r="JB154">
        <v>-4.446382740029455E-10</v>
      </c>
      <c r="JC154">
        <v>-0.0400293351440241</v>
      </c>
      <c r="JD154">
        <v>-0.009941991807247691</v>
      </c>
      <c r="JE154">
        <v>0.001256427533001032</v>
      </c>
      <c r="JF154">
        <v>-1.689728105039484E-05</v>
      </c>
      <c r="JG154">
        <v>2</v>
      </c>
      <c r="JH154">
        <v>1984</v>
      </c>
      <c r="JI154">
        <v>0</v>
      </c>
      <c r="JJ154">
        <v>25</v>
      </c>
      <c r="JK154">
        <v>1.5</v>
      </c>
      <c r="JL154">
        <v>1.6</v>
      </c>
      <c r="JM154">
        <v>2.65259</v>
      </c>
      <c r="JN154">
        <v>2.62451</v>
      </c>
      <c r="JO154">
        <v>1.49658</v>
      </c>
      <c r="JP154">
        <v>2.34741</v>
      </c>
      <c r="JQ154">
        <v>1.54907</v>
      </c>
      <c r="JR154">
        <v>2.33765</v>
      </c>
      <c r="JS154">
        <v>34.9904</v>
      </c>
      <c r="JT154">
        <v>24.1313</v>
      </c>
      <c r="JU154">
        <v>18</v>
      </c>
      <c r="JV154">
        <v>463.096</v>
      </c>
      <c r="JW154">
        <v>495.363</v>
      </c>
      <c r="JX154">
        <v>23.2609</v>
      </c>
      <c r="JY154">
        <v>27.15</v>
      </c>
      <c r="JZ154">
        <v>30.0002</v>
      </c>
      <c r="KA154">
        <v>27.3628</v>
      </c>
      <c r="KB154">
        <v>27.3542</v>
      </c>
      <c r="KC154">
        <v>53.2164</v>
      </c>
      <c r="KD154">
        <v>19.4938</v>
      </c>
      <c r="KE154">
        <v>57.845</v>
      </c>
      <c r="KF154">
        <v>23.2615</v>
      </c>
      <c r="KG154">
        <v>1200</v>
      </c>
      <c r="KH154">
        <v>16.8587</v>
      </c>
      <c r="KI154">
        <v>102.293</v>
      </c>
      <c r="KJ154">
        <v>91.6561</v>
      </c>
    </row>
    <row r="155" spans="1:296">
      <c r="A155">
        <v>137</v>
      </c>
      <c r="B155">
        <v>1765319789.1</v>
      </c>
      <c r="C155">
        <v>22356.09999990463</v>
      </c>
      <c r="D155" t="s">
        <v>860</v>
      </c>
      <c r="E155" t="s">
        <v>861</v>
      </c>
      <c r="F155">
        <v>5</v>
      </c>
      <c r="G155" t="s">
        <v>825</v>
      </c>
      <c r="H155">
        <v>1765319781.099999</v>
      </c>
      <c r="I155">
        <f>(J155)/1000</f>
        <v>0</v>
      </c>
      <c r="J155">
        <f>IF(DO155, AM155, AG155)</f>
        <v>0</v>
      </c>
      <c r="K155">
        <f>IF(DO155, AH155, AF155)</f>
        <v>0</v>
      </c>
      <c r="L155">
        <f>DQ155 - IF(AT155&gt;1, K155*DK155*100.0/(AV155), 0)</f>
        <v>0</v>
      </c>
      <c r="M155">
        <f>((S155-I155/2)*L155-K155)/(S155+I155/2)</f>
        <v>0</v>
      </c>
      <c r="N155">
        <f>M155*(DX155+DY155)/1000.0</f>
        <v>0</v>
      </c>
      <c r="O155">
        <f>(DQ155 - IF(AT155&gt;1, K155*DK155*100.0/(AV155), 0))*(DX155+DY155)/1000.0</f>
        <v>0</v>
      </c>
      <c r="P155">
        <f>2.0/((1/R155-1/Q155)+SIGN(R155)*SQRT((1/R155-1/Q155)*(1/R155-1/Q155) + 4*DL155/((DL155+1)*(DL155+1))*(2*1/R155*1/Q155-1/Q155*1/Q155)))</f>
        <v>0</v>
      </c>
      <c r="Q155">
        <f>IF(LEFT(DM155,1)&lt;&gt;"0",IF(LEFT(DM155,1)="1",3.0,DN155),$D$5+$E$5*(EE155*DX155/($K$5*1000))+$F$5*(EE155*DX155/($K$5*1000))*MAX(MIN(DK155,$J$5),$I$5)*MAX(MIN(DK155,$J$5),$I$5)+$G$5*MAX(MIN(DK155,$J$5),$I$5)*(EE155*DX155/($K$5*1000))+$H$5*(EE155*DX155/($K$5*1000))*(EE155*DX155/($K$5*1000)))</f>
        <v>0</v>
      </c>
      <c r="R155">
        <f>I155*(1000-(1000*0.61365*exp(17.502*V155/(240.97+V155))/(DX155+DY155)+DS155)/2)/(1000*0.61365*exp(17.502*V155/(240.97+V155))/(DX155+DY155)-DS155)</f>
        <v>0</v>
      </c>
      <c r="S155">
        <f>1/((DL155+1)/(P155/1.6)+1/(Q155/1.37)) + DL155/((DL155+1)/(P155/1.6) + DL155/(Q155/1.37))</f>
        <v>0</v>
      </c>
      <c r="T155">
        <f>(DG155*DJ155)</f>
        <v>0</v>
      </c>
      <c r="U155">
        <f>(DZ155+(T155+2*0.95*5.67E-8*(((DZ155+$B$9)+273)^4-(DZ155+273)^4)-44100*I155)/(1.84*29.3*Q155+8*0.95*5.67E-8*(DZ155+273)^3))</f>
        <v>0</v>
      </c>
      <c r="V155">
        <f>($C$9*EA155+$D$9*EB155+$E$9*U155)</f>
        <v>0</v>
      </c>
      <c r="W155">
        <f>0.61365*exp(17.502*V155/(240.97+V155))</f>
        <v>0</v>
      </c>
      <c r="X155">
        <f>(Y155/Z155*100)</f>
        <v>0</v>
      </c>
      <c r="Y155">
        <f>DS155*(DX155+DY155)/1000</f>
        <v>0</v>
      </c>
      <c r="Z155">
        <f>0.61365*exp(17.502*DZ155/(240.97+DZ155))</f>
        <v>0</v>
      </c>
      <c r="AA155">
        <f>(W155-DS155*(DX155+DY155)/1000)</f>
        <v>0</v>
      </c>
      <c r="AB155">
        <f>(-I155*44100)</f>
        <v>0</v>
      </c>
      <c r="AC155">
        <f>2*29.3*Q155*0.92*(DZ155-V155)</f>
        <v>0</v>
      </c>
      <c r="AD155">
        <f>2*0.95*5.67E-8*(((DZ155+$B$9)+273)^4-(V155+273)^4)</f>
        <v>0</v>
      </c>
      <c r="AE155">
        <f>T155+AD155+AB155+AC155</f>
        <v>0</v>
      </c>
      <c r="AF155">
        <f>DW155*AT155*(DR155-DQ155*(1000-AT155*DT155)/(1000-AT155*DS155))/(100*DK155)</f>
        <v>0</v>
      </c>
      <c r="AG155">
        <f>1000*DW155*AT155*(DS155-DT155)/(100*DK155*(1000-AT155*DS155))</f>
        <v>0</v>
      </c>
      <c r="AH155">
        <f>(AI155 - AJ155 - DX155*1E3/(8.314*(DZ155+273.15)) * AL155/DW155 * AK155) * DW155/(100*DK155) * (1000 - DT155)/1000</f>
        <v>0</v>
      </c>
      <c r="AI155">
        <v>1525.603279807725</v>
      </c>
      <c r="AJ155">
        <v>1508.635333333333</v>
      </c>
      <c r="AK155">
        <v>0.01099278288516467</v>
      </c>
      <c r="AL155">
        <v>65.60233967131475</v>
      </c>
      <c r="AM155">
        <f>(AO155 - AN155 + DX155*1E3/(8.314*(DZ155+273.15)) * AQ155/DW155 * AP155) * DW155/(100*DK155) * 1000/(1000 - AO155)</f>
        <v>0</v>
      </c>
      <c r="AN155">
        <v>16.78840484848485</v>
      </c>
      <c r="AO155">
        <v>17.44850424242423</v>
      </c>
      <c r="AP155">
        <v>-1.420204445638505E-06</v>
      </c>
      <c r="AQ155">
        <v>105.8107262160286</v>
      </c>
      <c r="AR155">
        <v>13</v>
      </c>
      <c r="AS155">
        <v>3</v>
      </c>
      <c r="AT155">
        <f>IF(AR155*$H$15&gt;=AV155,1.0,(AV155/(AV155-AR155*$H$15)))</f>
        <v>0</v>
      </c>
      <c r="AU155">
        <f>(AT155-1)*100</f>
        <v>0</v>
      </c>
      <c r="AV155">
        <f>MAX(0,($B$15+$C$15*EE155)/(1+$D$15*EE155)*DX155/(DZ155+273)*$E$15)</f>
        <v>0</v>
      </c>
      <c r="AW155" t="s">
        <v>437</v>
      </c>
      <c r="AX155" t="s">
        <v>437</v>
      </c>
      <c r="AY155">
        <v>0</v>
      </c>
      <c r="AZ155">
        <v>0</v>
      </c>
      <c r="BA155">
        <f>1-AY155/AZ155</f>
        <v>0</v>
      </c>
      <c r="BB155">
        <v>0</v>
      </c>
      <c r="BC155" t="s">
        <v>437</v>
      </c>
      <c r="BD155" t="s">
        <v>437</v>
      </c>
      <c r="BE155">
        <v>0</v>
      </c>
      <c r="BF155">
        <v>0</v>
      </c>
      <c r="BG155">
        <f>1-BE155/BF155</f>
        <v>0</v>
      </c>
      <c r="BH155">
        <v>0.5</v>
      </c>
      <c r="BI155">
        <f>DH155</f>
        <v>0</v>
      </c>
      <c r="BJ155">
        <f>K155</f>
        <v>0</v>
      </c>
      <c r="BK155">
        <f>BG155*BH155*BI155</f>
        <v>0</v>
      </c>
      <c r="BL155">
        <f>(BJ155-BB155)/BI155</f>
        <v>0</v>
      </c>
      <c r="BM155">
        <f>(AZ155-BF155)/BF155</f>
        <v>0</v>
      </c>
      <c r="BN155">
        <f>AY155/(BA155+AY155/BF155)</f>
        <v>0</v>
      </c>
      <c r="BO155" t="s">
        <v>437</v>
      </c>
      <c r="BP155">
        <v>0</v>
      </c>
      <c r="BQ155">
        <f>IF(BP155&lt;&gt;0, BP155, BN155)</f>
        <v>0</v>
      </c>
      <c r="BR155">
        <f>1-BQ155/BF155</f>
        <v>0</v>
      </c>
      <c r="BS155">
        <f>(BF155-BE155)/(BF155-BQ155)</f>
        <v>0</v>
      </c>
      <c r="BT155">
        <f>(AZ155-BF155)/(AZ155-BQ155)</f>
        <v>0</v>
      </c>
      <c r="BU155">
        <f>(BF155-BE155)/(BF155-AY155)</f>
        <v>0</v>
      </c>
      <c r="BV155">
        <f>(AZ155-BF155)/(AZ155-AY155)</f>
        <v>0</v>
      </c>
      <c r="BW155">
        <f>(BS155*BQ155/BE155)</f>
        <v>0</v>
      </c>
      <c r="BX155">
        <f>(1-BW155)</f>
        <v>0</v>
      </c>
      <c r="DG155">
        <f>$B$13*EF155+$C$13*EG155+$F$13*ER155*(1-EU155)</f>
        <v>0</v>
      </c>
      <c r="DH155">
        <f>DG155*DI155</f>
        <v>0</v>
      </c>
      <c r="DI155">
        <f>($B$13*$D$11+$C$13*$D$11+$F$13*((FE155+EW155)/MAX(FE155+EW155+FF155, 0.1)*$I$11+FF155/MAX(FE155+EW155+FF155, 0.1)*$J$11))/($B$13+$C$13+$F$13)</f>
        <v>0</v>
      </c>
      <c r="DJ155">
        <f>($B$13*$K$11+$C$13*$K$11+$F$13*((FE155+EW155)/MAX(FE155+EW155+FF155, 0.1)*$P$11+FF155/MAX(FE155+EW155+FF155, 0.1)*$Q$11))/($B$13+$C$13+$F$13)</f>
        <v>0</v>
      </c>
      <c r="DK155">
        <v>6</v>
      </c>
      <c r="DL155">
        <v>0.5</v>
      </c>
      <c r="DM155" t="s">
        <v>438</v>
      </c>
      <c r="DN155">
        <v>2</v>
      </c>
      <c r="DO155" t="b">
        <v>1</v>
      </c>
      <c r="DP155">
        <v>1765319781.099999</v>
      </c>
      <c r="DQ155">
        <v>1482.566129032258</v>
      </c>
      <c r="DR155">
        <v>1499.971935483871</v>
      </c>
      <c r="DS155">
        <v>17.43503548387097</v>
      </c>
      <c r="DT155">
        <v>16.78890322580645</v>
      </c>
      <c r="DU155">
        <v>1480.536129032258</v>
      </c>
      <c r="DV155">
        <v>17.36803548387097</v>
      </c>
      <c r="DW155">
        <v>500.0325806451614</v>
      </c>
      <c r="DX155">
        <v>89.72958387096776</v>
      </c>
      <c r="DY155">
        <v>0.1000283161290323</v>
      </c>
      <c r="DZ155">
        <v>24.76553225806451</v>
      </c>
      <c r="EA155">
        <v>24.99343548387097</v>
      </c>
      <c r="EB155">
        <v>999.9000000000003</v>
      </c>
      <c r="EC155">
        <v>0</v>
      </c>
      <c r="ED155">
        <v>0</v>
      </c>
      <c r="EE155">
        <v>9998.161290322581</v>
      </c>
      <c r="EF155">
        <v>0</v>
      </c>
      <c r="EG155">
        <v>9.89639</v>
      </c>
      <c r="EH155">
        <v>-17.65557741935484</v>
      </c>
      <c r="EI155">
        <v>1508.638064516129</v>
      </c>
      <c r="EJ155">
        <v>1525.585161290323</v>
      </c>
      <c r="EK155">
        <v>0.658567129032258</v>
      </c>
      <c r="EL155">
        <v>1499.971935483871</v>
      </c>
      <c r="EM155">
        <v>16.78890322580645</v>
      </c>
      <c r="EN155">
        <v>1.565554516129032</v>
      </c>
      <c r="EO155">
        <v>1.506461290322581</v>
      </c>
      <c r="EP155">
        <v>13.62387096774193</v>
      </c>
      <c r="EQ155">
        <v>13.03389677419355</v>
      </c>
      <c r="ER155">
        <v>799.9870322580646</v>
      </c>
      <c r="ES155">
        <v>0.9499896129032256</v>
      </c>
      <c r="ET155">
        <v>0.05001078387096775</v>
      </c>
      <c r="EU155">
        <v>0</v>
      </c>
      <c r="EV155">
        <v>915.8151612903226</v>
      </c>
      <c r="EW155">
        <v>5.000779999999999</v>
      </c>
      <c r="EX155">
        <v>6884.24935483871</v>
      </c>
      <c r="EY155">
        <v>6463.288709677418</v>
      </c>
      <c r="EZ155">
        <v>35.58848387096774</v>
      </c>
      <c r="FA155">
        <v>38.01603225806451</v>
      </c>
      <c r="FB155">
        <v>37.08648387096773</v>
      </c>
      <c r="FC155">
        <v>37.59251612903225</v>
      </c>
      <c r="FD155">
        <v>37.25180645161289</v>
      </c>
      <c r="FE155">
        <v>755.2277419354838</v>
      </c>
      <c r="FF155">
        <v>39.75903225806452</v>
      </c>
      <c r="FG155">
        <v>0</v>
      </c>
      <c r="FH155">
        <v>1765319788.7</v>
      </c>
      <c r="FI155">
        <v>0</v>
      </c>
      <c r="FJ155">
        <v>915.8016000000002</v>
      </c>
      <c r="FK155">
        <v>-2.664461538120539</v>
      </c>
      <c r="FL155">
        <v>-28.00307694979877</v>
      </c>
      <c r="FM155">
        <v>6883.9288</v>
      </c>
      <c r="FN155">
        <v>15</v>
      </c>
      <c r="FO155">
        <v>1765319818.6</v>
      </c>
      <c r="FP155" t="s">
        <v>862</v>
      </c>
      <c r="FQ155">
        <v>1765319818.6</v>
      </c>
      <c r="FR155">
        <v>1765319807.1</v>
      </c>
      <c r="FS155">
        <v>138</v>
      </c>
      <c r="FT155">
        <v>0.222</v>
      </c>
      <c r="FU155">
        <v>-0.001</v>
      </c>
      <c r="FV155">
        <v>2.03</v>
      </c>
      <c r="FW155">
        <v>0.067</v>
      </c>
      <c r="FX155">
        <v>1500</v>
      </c>
      <c r="FY155">
        <v>17</v>
      </c>
      <c r="FZ155">
        <v>0.25</v>
      </c>
      <c r="GA155">
        <v>0.12</v>
      </c>
      <c r="GB155">
        <v>-17.65032926829268</v>
      </c>
      <c r="GC155">
        <v>0.09061881533101127</v>
      </c>
      <c r="GD155">
        <v>0.08541608417651761</v>
      </c>
      <c r="GE155">
        <v>1</v>
      </c>
      <c r="GF155">
        <v>915.986294117647</v>
      </c>
      <c r="GG155">
        <v>-2.494881587334176</v>
      </c>
      <c r="GH155">
        <v>0.3218271850298176</v>
      </c>
      <c r="GI155">
        <v>0</v>
      </c>
      <c r="GJ155">
        <v>0.6583858536585365</v>
      </c>
      <c r="GK155">
        <v>0.003764696864113336</v>
      </c>
      <c r="GL155">
        <v>0.000931730924231634</v>
      </c>
      <c r="GM155">
        <v>1</v>
      </c>
      <c r="GN155">
        <v>2</v>
      </c>
      <c r="GO155">
        <v>3</v>
      </c>
      <c r="GP155" t="s">
        <v>453</v>
      </c>
      <c r="GQ155">
        <v>3.10805</v>
      </c>
      <c r="GR155">
        <v>2.79162</v>
      </c>
      <c r="GS155">
        <v>0.20352</v>
      </c>
      <c r="GT155">
        <v>0.205239</v>
      </c>
      <c r="GU155">
        <v>0.0860233</v>
      </c>
      <c r="GV155">
        <v>0.08444459999999999</v>
      </c>
      <c r="GW155">
        <v>20902.3</v>
      </c>
      <c r="GX155">
        <v>18934.4</v>
      </c>
      <c r="GY155">
        <v>26798.4</v>
      </c>
      <c r="GZ155">
        <v>24028.1</v>
      </c>
      <c r="HA155">
        <v>39160.7</v>
      </c>
      <c r="HB155">
        <v>32481.1</v>
      </c>
      <c r="HC155">
        <v>46774.4</v>
      </c>
      <c r="HD155">
        <v>37998.6</v>
      </c>
      <c r="HE155">
        <v>1.8653</v>
      </c>
      <c r="HF155">
        <v>1.87435</v>
      </c>
      <c r="HG155">
        <v>0.06978959999999999</v>
      </c>
      <c r="HH155">
        <v>0</v>
      </c>
      <c r="HI155">
        <v>23.8554</v>
      </c>
      <c r="HJ155">
        <v>999.9</v>
      </c>
      <c r="HK155">
        <v>42.6</v>
      </c>
      <c r="HL155">
        <v>30.2</v>
      </c>
      <c r="HM155">
        <v>20.4615</v>
      </c>
      <c r="HN155">
        <v>61.425</v>
      </c>
      <c r="HO155">
        <v>27.4519</v>
      </c>
      <c r="HP155">
        <v>1</v>
      </c>
      <c r="HQ155">
        <v>0.00229167</v>
      </c>
      <c r="HR155">
        <v>0.723407</v>
      </c>
      <c r="HS155">
        <v>20.2944</v>
      </c>
      <c r="HT155">
        <v>5.22253</v>
      </c>
      <c r="HU155">
        <v>11.9773</v>
      </c>
      <c r="HV155">
        <v>4.96545</v>
      </c>
      <c r="HW155">
        <v>3.276</v>
      </c>
      <c r="HX155">
        <v>9999</v>
      </c>
      <c r="HY155">
        <v>9999</v>
      </c>
      <c r="HZ155">
        <v>9999</v>
      </c>
      <c r="IA155">
        <v>999.9</v>
      </c>
      <c r="IB155">
        <v>1.86388</v>
      </c>
      <c r="IC155">
        <v>1.86005</v>
      </c>
      <c r="ID155">
        <v>1.85837</v>
      </c>
      <c r="IE155">
        <v>1.85971</v>
      </c>
      <c r="IF155">
        <v>1.85979</v>
      </c>
      <c r="IG155">
        <v>1.85834</v>
      </c>
      <c r="IH155">
        <v>1.85741</v>
      </c>
      <c r="II155">
        <v>1.85238</v>
      </c>
      <c r="IJ155">
        <v>0</v>
      </c>
      <c r="IK155">
        <v>0</v>
      </c>
      <c r="IL155">
        <v>0</v>
      </c>
      <c r="IM155">
        <v>0</v>
      </c>
      <c r="IN155" t="s">
        <v>441</v>
      </c>
      <c r="IO155" t="s">
        <v>442</v>
      </c>
      <c r="IP155" t="s">
        <v>443</v>
      </c>
      <c r="IQ155" t="s">
        <v>443</v>
      </c>
      <c r="IR155" t="s">
        <v>443</v>
      </c>
      <c r="IS155" t="s">
        <v>443</v>
      </c>
      <c r="IT155">
        <v>0</v>
      </c>
      <c r="IU155">
        <v>100</v>
      </c>
      <c r="IV155">
        <v>100</v>
      </c>
      <c r="IW155">
        <v>2.03</v>
      </c>
      <c r="IX155">
        <v>0.067</v>
      </c>
      <c r="IY155">
        <v>-0.3581323354126876</v>
      </c>
      <c r="IZ155">
        <v>0.0001583678016168383</v>
      </c>
      <c r="JA155">
        <v>1.526473431467286E-06</v>
      </c>
      <c r="JB155">
        <v>-4.446382740029455E-10</v>
      </c>
      <c r="JC155">
        <v>-0.0383653148559325</v>
      </c>
      <c r="JD155">
        <v>-0.009941991807247691</v>
      </c>
      <c r="JE155">
        <v>0.001256427533001032</v>
      </c>
      <c r="JF155">
        <v>-1.689728105039484E-05</v>
      </c>
      <c r="JG155">
        <v>2</v>
      </c>
      <c r="JH155">
        <v>1984</v>
      </c>
      <c r="JI155">
        <v>0</v>
      </c>
      <c r="JJ155">
        <v>25</v>
      </c>
      <c r="JK155">
        <v>1.5</v>
      </c>
      <c r="JL155">
        <v>1.5</v>
      </c>
      <c r="JM155">
        <v>3.1665</v>
      </c>
      <c r="JN155">
        <v>2.61597</v>
      </c>
      <c r="JO155">
        <v>1.49658</v>
      </c>
      <c r="JP155">
        <v>2.34863</v>
      </c>
      <c r="JQ155">
        <v>1.54907</v>
      </c>
      <c r="JR155">
        <v>2.36938</v>
      </c>
      <c r="JS155">
        <v>35.0134</v>
      </c>
      <c r="JT155">
        <v>24.14</v>
      </c>
      <c r="JU155">
        <v>18</v>
      </c>
      <c r="JV155">
        <v>463.362</v>
      </c>
      <c r="JW155">
        <v>495.938</v>
      </c>
      <c r="JX155">
        <v>23.3406</v>
      </c>
      <c r="JY155">
        <v>27.1836</v>
      </c>
      <c r="JZ155">
        <v>30.0003</v>
      </c>
      <c r="KA155">
        <v>27.4006</v>
      </c>
      <c r="KB155">
        <v>27.3922</v>
      </c>
      <c r="KC155">
        <v>63.5348</v>
      </c>
      <c r="KD155">
        <v>19.9129</v>
      </c>
      <c r="KE155">
        <v>57.845</v>
      </c>
      <c r="KF155">
        <v>23.3424</v>
      </c>
      <c r="KG155">
        <v>1500</v>
      </c>
      <c r="KH155">
        <v>16.8154</v>
      </c>
      <c r="KI155">
        <v>102.286</v>
      </c>
      <c r="KJ155">
        <v>91.6538</v>
      </c>
    </row>
    <row r="156" spans="1:296">
      <c r="A156">
        <v>138</v>
      </c>
      <c r="B156">
        <v>1765319909.6</v>
      </c>
      <c r="C156">
        <v>22476.59999990463</v>
      </c>
      <c r="D156" t="s">
        <v>863</v>
      </c>
      <c r="E156" t="s">
        <v>864</v>
      </c>
      <c r="F156">
        <v>5</v>
      </c>
      <c r="G156" t="s">
        <v>825</v>
      </c>
      <c r="H156">
        <v>1765319901.599999</v>
      </c>
      <c r="I156">
        <f>(J156)/1000</f>
        <v>0</v>
      </c>
      <c r="J156">
        <f>IF(DO156, AM156, AG156)</f>
        <v>0</v>
      </c>
      <c r="K156">
        <f>IF(DO156, AH156, AF156)</f>
        <v>0</v>
      </c>
      <c r="L156">
        <f>DQ156 - IF(AT156&gt;1, K156*DK156*100.0/(AV156), 0)</f>
        <v>0</v>
      </c>
      <c r="M156">
        <f>((S156-I156/2)*L156-K156)/(S156+I156/2)</f>
        <v>0</v>
      </c>
      <c r="N156">
        <f>M156*(DX156+DY156)/1000.0</f>
        <v>0</v>
      </c>
      <c r="O156">
        <f>(DQ156 - IF(AT156&gt;1, K156*DK156*100.0/(AV156), 0))*(DX156+DY156)/1000.0</f>
        <v>0</v>
      </c>
      <c r="P156">
        <f>2.0/((1/R156-1/Q156)+SIGN(R156)*SQRT((1/R156-1/Q156)*(1/R156-1/Q156) + 4*DL156/((DL156+1)*(DL156+1))*(2*1/R156*1/Q156-1/Q156*1/Q156)))</f>
        <v>0</v>
      </c>
      <c r="Q156">
        <f>IF(LEFT(DM156,1)&lt;&gt;"0",IF(LEFT(DM156,1)="1",3.0,DN156),$D$5+$E$5*(EE156*DX156/($K$5*1000))+$F$5*(EE156*DX156/($K$5*1000))*MAX(MIN(DK156,$J$5),$I$5)*MAX(MIN(DK156,$J$5),$I$5)+$G$5*MAX(MIN(DK156,$J$5),$I$5)*(EE156*DX156/($K$5*1000))+$H$5*(EE156*DX156/($K$5*1000))*(EE156*DX156/($K$5*1000)))</f>
        <v>0</v>
      </c>
      <c r="R156">
        <f>I156*(1000-(1000*0.61365*exp(17.502*V156/(240.97+V156))/(DX156+DY156)+DS156)/2)/(1000*0.61365*exp(17.502*V156/(240.97+V156))/(DX156+DY156)-DS156)</f>
        <v>0</v>
      </c>
      <c r="S156">
        <f>1/((DL156+1)/(P156/1.6)+1/(Q156/1.37)) + DL156/((DL156+1)/(P156/1.6) + DL156/(Q156/1.37))</f>
        <v>0</v>
      </c>
      <c r="T156">
        <f>(DG156*DJ156)</f>
        <v>0</v>
      </c>
      <c r="U156">
        <f>(DZ156+(T156+2*0.95*5.67E-8*(((DZ156+$B$9)+273)^4-(DZ156+273)^4)-44100*I156)/(1.84*29.3*Q156+8*0.95*5.67E-8*(DZ156+273)^3))</f>
        <v>0</v>
      </c>
      <c r="V156">
        <f>($C$9*EA156+$D$9*EB156+$E$9*U156)</f>
        <v>0</v>
      </c>
      <c r="W156">
        <f>0.61365*exp(17.502*V156/(240.97+V156))</f>
        <v>0</v>
      </c>
      <c r="X156">
        <f>(Y156/Z156*100)</f>
        <v>0</v>
      </c>
      <c r="Y156">
        <f>DS156*(DX156+DY156)/1000</f>
        <v>0</v>
      </c>
      <c r="Z156">
        <f>0.61365*exp(17.502*DZ156/(240.97+DZ156))</f>
        <v>0</v>
      </c>
      <c r="AA156">
        <f>(W156-DS156*(DX156+DY156)/1000)</f>
        <v>0</v>
      </c>
      <c r="AB156">
        <f>(-I156*44100)</f>
        <v>0</v>
      </c>
      <c r="AC156">
        <f>2*29.3*Q156*0.92*(DZ156-V156)</f>
        <v>0</v>
      </c>
      <c r="AD156">
        <f>2*0.95*5.67E-8*(((DZ156+$B$9)+273)^4-(V156+273)^4)</f>
        <v>0</v>
      </c>
      <c r="AE156">
        <f>T156+AD156+AB156+AC156</f>
        <v>0</v>
      </c>
      <c r="AF156">
        <f>DW156*AT156*(DR156-DQ156*(1000-AT156*DT156)/(1000-AT156*DS156))/(100*DK156)</f>
        <v>0</v>
      </c>
      <c r="AG156">
        <f>1000*DW156*AT156*(DS156-DT156)/(100*DK156*(1000-AT156*DS156))</f>
        <v>0</v>
      </c>
      <c r="AH156">
        <f>(AI156 - AJ156 - DX156*1E3/(8.314*(DZ156+273.15)) * AL156/DW156 * AK156) * DW156/(100*DK156) * (1000 - DT156)/1000</f>
        <v>0</v>
      </c>
      <c r="AI156">
        <v>406.8232871095672</v>
      </c>
      <c r="AJ156">
        <v>402.4322424242424</v>
      </c>
      <c r="AK156">
        <v>0.0002973841547466053</v>
      </c>
      <c r="AL156">
        <v>65.78665665421867</v>
      </c>
      <c r="AM156">
        <f>(AO156 - AN156 + DX156*1E3/(8.314*(DZ156+273.15)) * AQ156/DW156 * AP156) * DW156/(100*DK156) * 1000/(1000 - AO156)</f>
        <v>0</v>
      </c>
      <c r="AN156">
        <v>16.78801159789843</v>
      </c>
      <c r="AO156">
        <v>17.44643272727273</v>
      </c>
      <c r="AP156">
        <v>3.354535701650047E-05</v>
      </c>
      <c r="AQ156">
        <v>107.5624656635482</v>
      </c>
      <c r="AR156">
        <v>14</v>
      </c>
      <c r="AS156">
        <v>3</v>
      </c>
      <c r="AT156">
        <f>IF(AR156*$H$15&gt;=AV156,1.0,(AV156/(AV156-AR156*$H$15)))</f>
        <v>0</v>
      </c>
      <c r="AU156">
        <f>(AT156-1)*100</f>
        <v>0</v>
      </c>
      <c r="AV156">
        <f>MAX(0,($B$15+$C$15*EE156)/(1+$D$15*EE156)*DX156/(DZ156+273)*$E$15)</f>
        <v>0</v>
      </c>
      <c r="AW156" t="s">
        <v>437</v>
      </c>
      <c r="AX156" t="s">
        <v>437</v>
      </c>
      <c r="AY156">
        <v>0</v>
      </c>
      <c r="AZ156">
        <v>0</v>
      </c>
      <c r="BA156">
        <f>1-AY156/AZ156</f>
        <v>0</v>
      </c>
      <c r="BB156">
        <v>0</v>
      </c>
      <c r="BC156" t="s">
        <v>437</v>
      </c>
      <c r="BD156" t="s">
        <v>437</v>
      </c>
      <c r="BE156">
        <v>0</v>
      </c>
      <c r="BF156">
        <v>0</v>
      </c>
      <c r="BG156">
        <f>1-BE156/BF156</f>
        <v>0</v>
      </c>
      <c r="BH156">
        <v>0.5</v>
      </c>
      <c r="BI156">
        <f>DH156</f>
        <v>0</v>
      </c>
      <c r="BJ156">
        <f>K156</f>
        <v>0</v>
      </c>
      <c r="BK156">
        <f>BG156*BH156*BI156</f>
        <v>0</v>
      </c>
      <c r="BL156">
        <f>(BJ156-BB156)/BI156</f>
        <v>0</v>
      </c>
      <c r="BM156">
        <f>(AZ156-BF156)/BF156</f>
        <v>0</v>
      </c>
      <c r="BN156">
        <f>AY156/(BA156+AY156/BF156)</f>
        <v>0</v>
      </c>
      <c r="BO156" t="s">
        <v>437</v>
      </c>
      <c r="BP156">
        <v>0</v>
      </c>
      <c r="BQ156">
        <f>IF(BP156&lt;&gt;0, BP156, BN156)</f>
        <v>0</v>
      </c>
      <c r="BR156">
        <f>1-BQ156/BF156</f>
        <v>0</v>
      </c>
      <c r="BS156">
        <f>(BF156-BE156)/(BF156-BQ156)</f>
        <v>0</v>
      </c>
      <c r="BT156">
        <f>(AZ156-BF156)/(AZ156-BQ156)</f>
        <v>0</v>
      </c>
      <c r="BU156">
        <f>(BF156-BE156)/(BF156-AY156)</f>
        <v>0</v>
      </c>
      <c r="BV156">
        <f>(AZ156-BF156)/(AZ156-AY156)</f>
        <v>0</v>
      </c>
      <c r="BW156">
        <f>(BS156*BQ156/BE156)</f>
        <v>0</v>
      </c>
      <c r="BX156">
        <f>(1-BW156)</f>
        <v>0</v>
      </c>
      <c r="DG156">
        <f>$B$13*EF156+$C$13*EG156+$F$13*ER156*(1-EU156)</f>
        <v>0</v>
      </c>
      <c r="DH156">
        <f>DG156*DI156</f>
        <v>0</v>
      </c>
      <c r="DI156">
        <f>($B$13*$D$11+$C$13*$D$11+$F$13*((FE156+EW156)/MAX(FE156+EW156+FF156, 0.1)*$I$11+FF156/MAX(FE156+EW156+FF156, 0.1)*$J$11))/($B$13+$C$13+$F$13)</f>
        <v>0</v>
      </c>
      <c r="DJ156">
        <f>($B$13*$K$11+$C$13*$K$11+$F$13*((FE156+EW156)/MAX(FE156+EW156+FF156, 0.1)*$P$11+FF156/MAX(FE156+EW156+FF156, 0.1)*$Q$11))/($B$13+$C$13+$F$13)</f>
        <v>0</v>
      </c>
      <c r="DK156">
        <v>6</v>
      </c>
      <c r="DL156">
        <v>0.5</v>
      </c>
      <c r="DM156" t="s">
        <v>438</v>
      </c>
      <c r="DN156">
        <v>2</v>
      </c>
      <c r="DO156" t="b">
        <v>1</v>
      </c>
      <c r="DP156">
        <v>1765319901.599999</v>
      </c>
      <c r="DQ156">
        <v>395.2049677419355</v>
      </c>
      <c r="DR156">
        <v>399.9787096774194</v>
      </c>
      <c r="DS156">
        <v>17.4294870967742</v>
      </c>
      <c r="DT156">
        <v>16.78783870967742</v>
      </c>
      <c r="DU156">
        <v>395.2919677419355</v>
      </c>
      <c r="DV156">
        <v>17.3654870967742</v>
      </c>
      <c r="DW156">
        <v>500.0019677419355</v>
      </c>
      <c r="DX156">
        <v>89.73014193548389</v>
      </c>
      <c r="DY156">
        <v>0.09997789032258063</v>
      </c>
      <c r="DZ156">
        <v>24.75907096774194</v>
      </c>
      <c r="EA156">
        <v>24.99361612903226</v>
      </c>
      <c r="EB156">
        <v>999.9000000000003</v>
      </c>
      <c r="EC156">
        <v>0</v>
      </c>
      <c r="ED156">
        <v>0</v>
      </c>
      <c r="EE156">
        <v>10003.12483870968</v>
      </c>
      <c r="EF156">
        <v>0</v>
      </c>
      <c r="EG156">
        <v>9.89639</v>
      </c>
      <c r="EH156">
        <v>-4.550647096774193</v>
      </c>
      <c r="EI156">
        <v>402.4485806451613</v>
      </c>
      <c r="EJ156">
        <v>406.8081290322581</v>
      </c>
      <c r="EK156">
        <v>0.6565080967741935</v>
      </c>
      <c r="EL156">
        <v>399.9787096774194</v>
      </c>
      <c r="EM156">
        <v>16.78783870967742</v>
      </c>
      <c r="EN156">
        <v>1.565284193548387</v>
      </c>
      <c r="EO156">
        <v>1.506375161290322</v>
      </c>
      <c r="EP156">
        <v>13.62122580645161</v>
      </c>
      <c r="EQ156">
        <v>13.03302580645162</v>
      </c>
      <c r="ER156">
        <v>800.0048064516128</v>
      </c>
      <c r="ES156">
        <v>0.9499971290322582</v>
      </c>
      <c r="ET156">
        <v>0.05000263548387096</v>
      </c>
      <c r="EU156">
        <v>0</v>
      </c>
      <c r="EV156">
        <v>844.7541612903226</v>
      </c>
      <c r="EW156">
        <v>5.000779999999999</v>
      </c>
      <c r="EX156">
        <v>6387.887741935484</v>
      </c>
      <c r="EY156">
        <v>6463.450645161292</v>
      </c>
      <c r="EZ156">
        <v>37.00970967741934</v>
      </c>
      <c r="FA156">
        <v>40.60058064516127</v>
      </c>
      <c r="FB156">
        <v>39.49161290322579</v>
      </c>
      <c r="FC156">
        <v>40.79409677419353</v>
      </c>
      <c r="FD156">
        <v>39.30429032258065</v>
      </c>
      <c r="FE156">
        <v>755.2506451612902</v>
      </c>
      <c r="FF156">
        <v>39.75</v>
      </c>
      <c r="FG156">
        <v>0</v>
      </c>
      <c r="FH156">
        <v>1765319909.3</v>
      </c>
      <c r="FI156">
        <v>0</v>
      </c>
      <c r="FJ156">
        <v>844.7469230769232</v>
      </c>
      <c r="FK156">
        <v>-2.37723077020218</v>
      </c>
      <c r="FL156">
        <v>-5.320341860266569</v>
      </c>
      <c r="FM156">
        <v>6387.777692307693</v>
      </c>
      <c r="FN156">
        <v>15</v>
      </c>
      <c r="FO156">
        <v>1765319931.1</v>
      </c>
      <c r="FP156" t="s">
        <v>865</v>
      </c>
      <c r="FQ156">
        <v>1765319931.1</v>
      </c>
      <c r="FR156">
        <v>1765319926.6</v>
      </c>
      <c r="FS156">
        <v>139</v>
      </c>
      <c r="FT156">
        <v>-0.228</v>
      </c>
      <c r="FU156">
        <v>-0.004</v>
      </c>
      <c r="FV156">
        <v>-0.08699999999999999</v>
      </c>
      <c r="FW156">
        <v>0.064</v>
      </c>
      <c r="FX156">
        <v>400</v>
      </c>
      <c r="FY156">
        <v>17</v>
      </c>
      <c r="FZ156">
        <v>0.23</v>
      </c>
      <c r="GA156">
        <v>0.08</v>
      </c>
      <c r="GB156">
        <v>-4.527227317073171</v>
      </c>
      <c r="GC156">
        <v>-0.5654314285714189</v>
      </c>
      <c r="GD156">
        <v>0.06366569321700588</v>
      </c>
      <c r="GE156">
        <v>0</v>
      </c>
      <c r="GF156">
        <v>844.9015294117647</v>
      </c>
      <c r="GG156">
        <v>-2.77405653319756</v>
      </c>
      <c r="GH156">
        <v>0.3413095227376743</v>
      </c>
      <c r="GI156">
        <v>0</v>
      </c>
      <c r="GJ156">
        <v>0.6561660243902439</v>
      </c>
      <c r="GK156">
        <v>0.004993087108014821</v>
      </c>
      <c r="GL156">
        <v>0.001164298123916866</v>
      </c>
      <c r="GM156">
        <v>1</v>
      </c>
      <c r="GN156">
        <v>1</v>
      </c>
      <c r="GO156">
        <v>3</v>
      </c>
      <c r="GP156" t="s">
        <v>469</v>
      </c>
      <c r="GQ156">
        <v>3.10822</v>
      </c>
      <c r="GR156">
        <v>2.79165</v>
      </c>
      <c r="GS156">
        <v>0.0836445</v>
      </c>
      <c r="GT156">
        <v>0.08443920000000001</v>
      </c>
      <c r="GU156">
        <v>0.0860129</v>
      </c>
      <c r="GV156">
        <v>0.084438</v>
      </c>
      <c r="GW156">
        <v>24045.4</v>
      </c>
      <c r="GX156">
        <v>21810.7</v>
      </c>
      <c r="GY156">
        <v>26797.1</v>
      </c>
      <c r="GZ156">
        <v>24028</v>
      </c>
      <c r="HA156">
        <v>39144.6</v>
      </c>
      <c r="HB156">
        <v>32468.6</v>
      </c>
      <c r="HC156">
        <v>46772.4</v>
      </c>
      <c r="HD156">
        <v>37998.2</v>
      </c>
      <c r="HE156">
        <v>1.86435</v>
      </c>
      <c r="HF156">
        <v>1.87085</v>
      </c>
      <c r="HG156">
        <v>0.06914140000000001</v>
      </c>
      <c r="HH156">
        <v>0</v>
      </c>
      <c r="HI156">
        <v>23.8595</v>
      </c>
      <c r="HJ156">
        <v>999.9</v>
      </c>
      <c r="HK156">
        <v>42.6</v>
      </c>
      <c r="HL156">
        <v>30.3</v>
      </c>
      <c r="HM156">
        <v>20.5798</v>
      </c>
      <c r="HN156">
        <v>61.365</v>
      </c>
      <c r="HO156">
        <v>27.3157</v>
      </c>
      <c r="HP156">
        <v>1</v>
      </c>
      <c r="HQ156">
        <v>0.00430386</v>
      </c>
      <c r="HR156">
        <v>0.683173</v>
      </c>
      <c r="HS156">
        <v>20.2947</v>
      </c>
      <c r="HT156">
        <v>5.22238</v>
      </c>
      <c r="HU156">
        <v>11.9793</v>
      </c>
      <c r="HV156">
        <v>4.96575</v>
      </c>
      <c r="HW156">
        <v>3.276</v>
      </c>
      <c r="HX156">
        <v>9999</v>
      </c>
      <c r="HY156">
        <v>9999</v>
      </c>
      <c r="HZ156">
        <v>9999</v>
      </c>
      <c r="IA156">
        <v>999.9</v>
      </c>
      <c r="IB156">
        <v>1.86386</v>
      </c>
      <c r="IC156">
        <v>1.86005</v>
      </c>
      <c r="ID156">
        <v>1.85835</v>
      </c>
      <c r="IE156">
        <v>1.8597</v>
      </c>
      <c r="IF156">
        <v>1.85981</v>
      </c>
      <c r="IG156">
        <v>1.85835</v>
      </c>
      <c r="IH156">
        <v>1.85739</v>
      </c>
      <c r="II156">
        <v>1.8524</v>
      </c>
      <c r="IJ156">
        <v>0</v>
      </c>
      <c r="IK156">
        <v>0</v>
      </c>
      <c r="IL156">
        <v>0</v>
      </c>
      <c r="IM156">
        <v>0</v>
      </c>
      <c r="IN156" t="s">
        <v>441</v>
      </c>
      <c r="IO156" t="s">
        <v>442</v>
      </c>
      <c r="IP156" t="s">
        <v>443</v>
      </c>
      <c r="IQ156" t="s">
        <v>443</v>
      </c>
      <c r="IR156" t="s">
        <v>443</v>
      </c>
      <c r="IS156" t="s">
        <v>443</v>
      </c>
      <c r="IT156">
        <v>0</v>
      </c>
      <c r="IU156">
        <v>100</v>
      </c>
      <c r="IV156">
        <v>100</v>
      </c>
      <c r="IW156">
        <v>-0.08699999999999999</v>
      </c>
      <c r="IX156">
        <v>0.064</v>
      </c>
      <c r="IY156">
        <v>-0.1374943206918594</v>
      </c>
      <c r="IZ156">
        <v>0.0001583678016168383</v>
      </c>
      <c r="JA156">
        <v>1.526473431467286E-06</v>
      </c>
      <c r="JB156">
        <v>-4.446382740029455E-10</v>
      </c>
      <c r="JC156">
        <v>-0.03888592951799183</v>
      </c>
      <c r="JD156">
        <v>-0.009941991807247691</v>
      </c>
      <c r="JE156">
        <v>0.001256427533001032</v>
      </c>
      <c r="JF156">
        <v>-1.689728105039484E-05</v>
      </c>
      <c r="JG156">
        <v>2</v>
      </c>
      <c r="JH156">
        <v>1984</v>
      </c>
      <c r="JI156">
        <v>0</v>
      </c>
      <c r="JJ156">
        <v>25</v>
      </c>
      <c r="JK156">
        <v>1.5</v>
      </c>
      <c r="JL156">
        <v>1.7</v>
      </c>
      <c r="JM156">
        <v>1.09131</v>
      </c>
      <c r="JN156">
        <v>2.60376</v>
      </c>
      <c r="JO156">
        <v>1.49658</v>
      </c>
      <c r="JP156">
        <v>2.34863</v>
      </c>
      <c r="JQ156">
        <v>1.54907</v>
      </c>
      <c r="JR156">
        <v>2.46704</v>
      </c>
      <c r="JS156">
        <v>35.0134</v>
      </c>
      <c r="JT156">
        <v>24.14</v>
      </c>
      <c r="JU156">
        <v>18</v>
      </c>
      <c r="JV156">
        <v>463.122</v>
      </c>
      <c r="JW156">
        <v>494</v>
      </c>
      <c r="JX156">
        <v>23.2268</v>
      </c>
      <c r="JY156">
        <v>27.2205</v>
      </c>
      <c r="JZ156">
        <v>29.9999</v>
      </c>
      <c r="KA156">
        <v>27.44</v>
      </c>
      <c r="KB156">
        <v>27.4335</v>
      </c>
      <c r="KC156">
        <v>21.9567</v>
      </c>
      <c r="KD156">
        <v>19.5577</v>
      </c>
      <c r="KE156">
        <v>57.845</v>
      </c>
      <c r="KF156">
        <v>23.2294</v>
      </c>
      <c r="KG156">
        <v>400</v>
      </c>
      <c r="KH156">
        <v>16.8058</v>
      </c>
      <c r="KI156">
        <v>102.281</v>
      </c>
      <c r="KJ156">
        <v>91.6532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2025-12-09T22:40:01Z</dcterms:created>
  <dcterms:modified xsi:type="dcterms:W3CDTF">2025-12-09T22:40:01Z</dcterms:modified>
</cp:coreProperties>
</file>