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<sst xmlns="http://schemas.openxmlformats.org/spreadsheetml/2006/main" count="3382" uniqueCount="761">
  <si>
    <t>File opened</t>
  </si>
  <si>
    <t>2025-12-09 09:55:39</t>
  </si>
  <si>
    <t>Console s/n</t>
  </si>
  <si>
    <t>68C-901352</t>
  </si>
  <si>
    <t>Console ver</t>
  </si>
  <si>
    <t>Bluestem v.2.1.11</t>
  </si>
  <si>
    <t>Scripts ver</t>
  </si>
  <si>
    <t>2023.02  2.1.11, Jun 2023</t>
  </si>
  <si>
    <t>Head s/n</t>
  </si>
  <si>
    <t>68H-581348</t>
  </si>
  <si>
    <t>Head ver</t>
  </si>
  <si>
    <t>1.4.23</t>
  </si>
  <si>
    <t>Head cal</t>
  </si>
  <si>
    <t>{"h2obspan2a": "0.064441", "co2aspan2": "-0.0361282", "h2obspanconc1": "11.69", "co2bspanconc1": "394.6", "tazero": "0.243513", "h2obspan2": "0", "co2bspan2b": "0.0918352", "co2bspanconc2": "301.4", "co2aspan2a": "0.301852", "h2oaspan2b": "0.0643918", "co2aspan2b": "0.298816", "ssb_ref": "33484.6", "h2oaspan2a": "0.0644972", "oxygen": "21", "co2bspan2a": "0.0920224", "h2obspanconc2": "0", "h2oaspanconc2": "0", "co2aspan1": "1.00085", "chamberpressurezero": "2.57718", "flowbzero": "0.21929", "co2aspanconc2": "301.4", "co2bspan2": "-0.0345572", "h2oaspan2": "0", "ssa_ref": "34683.2", "co2bzero": "0.968552", "co2bspan1": "1.0003", "h2obzero": "1.07561", "h2obspan2b": "0.0640621", "tbzero": "0.197208", "co2azero": "0.889706", "h2obspan1": "0.99412", "flowazero": "0.20627", "h2oaspan1": "0.998365", "flowmeterzero": "2.48435", "h2oazero": "1.05632", "h2oaspanconc1": "11.69", "co2aspanconc1": "2473"}</t>
  </si>
  <si>
    <t>Factory cal date</t>
  </si>
  <si>
    <t>01 Sep 2023</t>
  </si>
  <si>
    <t>CO2 rangematch</t>
  </si>
  <si>
    <t>Tue Dec  9 09:29</t>
  </si>
  <si>
    <t>H2O rangematch</t>
  </si>
  <si>
    <t>Fri Nov  7 11:06</t>
  </si>
  <si>
    <t>Chamber type</t>
  </si>
  <si>
    <t>6800-01A</t>
  </si>
  <si>
    <t>Chamber s/n</t>
  </si>
  <si>
    <t>MPF-651288</t>
  </si>
  <si>
    <t>Chamber rev</t>
  </si>
  <si>
    <t>0</t>
  </si>
  <si>
    <t>Chamber cal</t>
  </si>
  <si>
    <t>Fluorometer</t>
  </si>
  <si>
    <t>Flr. Version</t>
  </si>
  <si>
    <t>09:55:39</t>
  </si>
  <si>
    <t>Stability Definition:	ΔH2O (Meas2): Slp&lt;0.1 Per=20	ΔCO2 (Meas2): Slp&lt;0.5 Per=20	F (FlrLS): Per=20</t>
  </si>
  <si>
    <t>SysConst</t>
  </si>
  <si>
    <t>AvgTime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</si>
  <si>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</si>
  <si>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</si>
  <si>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</si>
  <si>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</si>
  <si>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</si>
  <si>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</si>
  <si>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</si>
  <si>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</si>
  <si>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</si>
  <si>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</si>
  <si>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</si>
  <si>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</si>
  <si>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</si>
  <si>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</si>
  <si>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</si>
  <si>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</si>
  <si>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</si>
  <si>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</si>
  <si>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</si>
  <si>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</si>
  <si>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</si>
  <si>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</si>
  <si>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</si>
  <si>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</si>
  <si>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</si>
  <si>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</si>
  <si>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</si>
  <si>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</si>
  <si>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</si>
  <si>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</si>
  <si>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</si>
  <si>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</si>
  <si>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</si>
  <si>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</si>
  <si>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</si>
  <si>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</si>
  <si>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</si>
  <si>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</si>
  <si>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</si>
  <si>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</si>
  <si>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</si>
  <si>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</si>
  <si>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</si>
  <si>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</si>
  <si>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</si>
  <si>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</si>
  <si>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</si>
  <si>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</si>
  <si>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</si>
  <si>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5.24948 221.841 395.648 696.387 907.754 1113.83 1303.77 1424.14</t>
  </si>
  <si>
    <t>Fs_true</t>
  </si>
  <si>
    <t>-0.777355 220.225 379.762 619.976 799.766 1007.57 1201.18 1401.28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</si>
  <si>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</si>
  <si>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</si>
  <si>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</si>
  <si>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</si>
  <si>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</si>
  <si>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</si>
  <si>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</si>
  <si>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</si>
  <si>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</si>
  <si>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</si>
  <si>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</si>
  <si>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</si>
  <si>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</si>
  <si>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</si>
  <si>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</si>
  <si>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</si>
  <si>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</si>
  <si>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</si>
  <si>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</si>
  <si>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</si>
  <si>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</si>
  <si>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</si>
  <si>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</si>
  <si>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</si>
  <si>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</si>
  <si>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</si>
  <si>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</si>
  <si>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</si>
  <si>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</si>
  <si>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</si>
  <si>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</si>
  <si>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</si>
  <si>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</si>
  <si>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</si>
  <si>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</si>
  <si>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</si>
  <si>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</si>
  <si>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</si>
  <si>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</si>
  <si>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</si>
  <si>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</si>
  <si>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</si>
  <si>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</si>
  <si>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</si>
  <si>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</si>
  <si>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</si>
  <si>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</si>
  <si>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</si>
  <si>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</si>
  <si>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</si>
  <si>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</si>
  <si>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</si>
  <si>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</si>
  <si>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</si>
  <si>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</si>
  <si>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</si>
  <si>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</si>
  <si>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</si>
  <si>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</si>
  <si>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</si>
  <si>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</si>
  <si>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</si>
  <si>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</si>
  <si>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</si>
  <si>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</si>
  <si>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</si>
  <si>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</si>
  <si>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</si>
  <si>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</si>
  <si>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</si>
  <si>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</si>
  <si>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</si>
  <si>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</si>
  <si>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</si>
  <si>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</si>
  <si>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</si>
  <si>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</si>
  <si>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</si>
  <si>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</si>
  <si>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</si>
  <si>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</si>
  <si>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</si>
  <si>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</si>
  <si>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</si>
  <si>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</si>
  <si>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</si>
  <si>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</si>
  <si>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</si>
  <si>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</si>
  <si>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</si>
  <si>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</si>
  <si>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</si>
  <si>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</si>
  <si>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</si>
  <si>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</si>
  <si>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</si>
  <si>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</si>
  <si>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</si>
  <si>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</si>
  <si>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</si>
  <si>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</si>
  <si>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</si>
  <si>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</si>
  <si>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</si>
  <si>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</si>
  <si>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</si>
  <si>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</si>
  <si>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</si>
  <si>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</si>
  <si>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</si>
  <si>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</si>
  <si>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</si>
  <si>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</si>
  <si>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</si>
  <si>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</si>
  <si>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</si>
  <si>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</si>
  <si>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</si>
  <si>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</si>
  <si>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</si>
  <si>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</si>
  <si>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</si>
  <si>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</si>
  <si>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</si>
  <si>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</si>
  <si>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</si>
  <si>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</si>
  <si>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</si>
  <si>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</si>
  <si>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</si>
  <si>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</si>
  <si>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</si>
  <si>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</si>
  <si>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</si>
  <si>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</si>
  <si>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</si>
  <si>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</si>
  <si>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</si>
  <si>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</si>
  <si>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</si>
  <si>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</si>
  <si>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</si>
  <si>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</si>
  <si>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</si>
  <si>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</si>
  <si>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</si>
  <si>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</si>
  <si>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</si>
  <si>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</si>
  <si>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</si>
  <si>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</si>
  <si>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</si>
  <si>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</si>
  <si>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</si>
  <si>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</si>
  <si>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</si>
  <si>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</si>
  <si>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</si>
  <si>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</si>
  <si>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</si>
  <si>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</si>
  <si>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</si>
  <si>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</si>
  <si>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</si>
  <si>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</si>
  <si>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</si>
  <si>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</si>
  <si>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</si>
  <si>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</si>
  <si>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</si>
  <si>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</si>
  <si>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</si>
  <si>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</si>
  <si>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</si>
  <si>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</si>
  <si>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</si>
  <si>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</si>
  <si>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</si>
  <si>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</si>
  <si>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</si>
  <si>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</si>
  <si>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</si>
  <si>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</si>
  <si>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</si>
  <si>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</si>
  <si>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</si>
  <si>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</si>
  <si>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</si>
  <si>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</si>
  <si>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</si>
  <si>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</si>
  <si>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</si>
  <si>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</si>
  <si>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</si>
  <si>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</si>
  <si>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</si>
  <si>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</si>
  <si>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</si>
  <si>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</si>
  <si>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</si>
  <si>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</si>
  <si>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</si>
  <si>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</si>
  <si>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</si>
  <si>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</si>
  <si>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</si>
  <si>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</si>
  <si>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</si>
  <si>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</si>
  <si>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</si>
  <si>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</si>
  <si>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</si>
  <si>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</si>
  <si>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</si>
  <si>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</si>
  <si>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</si>
  <si>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</si>
  <si>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</si>
  <si>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</si>
  <si>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</si>
  <si>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</si>
  <si>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</si>
  <si>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</si>
  <si>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</si>
  <si>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</si>
  <si>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</si>
  <si>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</si>
  <si>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</si>
  <si>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</si>
  <si>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</si>
  <si>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</si>
  <si>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</si>
  <si>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</si>
  <si>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</si>
  <si>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</si>
  <si>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</si>
  <si>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</si>
  <si>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</si>
  <si>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</si>
  <si>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</si>
  <si>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</si>
  <si>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</si>
  <si>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</si>
  <si>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</si>
  <si>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</si>
  <si>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</si>
  <si>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</si>
  <si>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</si>
  <si>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</si>
  <si>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CO2_hrs</t>
  </si>
  <si>
    <t>AccH2O_des</t>
  </si>
  <si>
    <t>AccCO2_soda</t>
  </si>
  <si>
    <t>AccH2O_hum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</si>
  <si>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</si>
  <si>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</si>
  <si>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</si>
  <si>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</si>
  <si>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</si>
  <si>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</si>
  <si>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</si>
  <si>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</si>
  <si>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</si>
  <si>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</si>
  <si>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</si>
  <si>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</si>
  <si>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</si>
  <si>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</si>
  <si>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</si>
  <si>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</si>
  <si>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</si>
  <si>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</si>
  <si>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</si>
  <si>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</si>
  <si>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</si>
  <si>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</si>
  <si>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</si>
  <si>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</si>
  <si>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</si>
  <si>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</si>
  <si>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</si>
  <si>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</si>
  <si>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</si>
  <si>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</si>
  <si>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</si>
  <si>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</si>
  <si>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</si>
  <si>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</si>
  <si>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</si>
  <si>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</si>
  <si>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</si>
  <si>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</si>
  <si>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</si>
  <si>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</si>
  <si>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</si>
  <si>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</si>
  <si>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</si>
  <si>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</si>
  <si>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</si>
  <si>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</si>
  <si>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</si>
  <si>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</si>
  <si>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</si>
  <si>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</si>
  <si>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</si>
  <si>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</si>
  <si>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</si>
  <si>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</si>
  <si>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</si>
  <si>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</si>
  <si>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</si>
  <si>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</si>
  <si>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</si>
  <si>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</si>
  <si>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</si>
  <si>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</si>
  <si>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</si>
  <si>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</si>
  <si>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</si>
  <si>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</si>
  <si>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</si>
  <si>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</si>
  <si>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</si>
  <si>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</si>
  <si>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</si>
  <si>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</si>
  <si>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</si>
  <si>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</si>
  <si>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</si>
  <si>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</si>
  <si>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</si>
  <si>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</si>
  <si>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</si>
  <si>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</si>
  <si>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</si>
  <si>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</si>
  <si>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</si>
  <si>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</si>
  <si>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</si>
  <si>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</si>
  <si>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</si>
  <si>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</si>
  <si>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</si>
  <si>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</si>
  <si>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</si>
  <si>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</si>
  <si>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hrs</t>
  </si>
  <si>
    <t>mg</t>
  </si>
  <si>
    <t>min</t>
  </si>
  <si>
    <t>20251209 10:32:29</t>
  </si>
  <si>
    <t>10:32:29</t>
  </si>
  <si>
    <t>5877</t>
  </si>
  <si>
    <t>gibson</t>
  </si>
  <si>
    <t>-</t>
  </si>
  <si>
    <t>0: Broadleaf</t>
  </si>
  <si>
    <t>10:32:47</t>
  </si>
  <si>
    <t>2/2</t>
  </si>
  <si>
    <t>11111111</t>
  </si>
  <si>
    <t>oooooooo</t>
  </si>
  <si>
    <t>off</t>
  </si>
  <si>
    <t>20251209 10:34:04</t>
  </si>
  <si>
    <t>10:34:04</t>
  </si>
  <si>
    <t>10:34:29</t>
  </si>
  <si>
    <t>20251209 10:35:38</t>
  </si>
  <si>
    <t>10:35:38</t>
  </si>
  <si>
    <t>10:35:57</t>
  </si>
  <si>
    <t>20251209 10:37:10</t>
  </si>
  <si>
    <t>10:37:10</t>
  </si>
  <si>
    <t>10:37:42</t>
  </si>
  <si>
    <t>20251209 10:38:51</t>
  </si>
  <si>
    <t>10:38:51</t>
  </si>
  <si>
    <t>10:39:13</t>
  </si>
  <si>
    <t>20251209 10:40:36</t>
  </si>
  <si>
    <t>10:40:36</t>
  </si>
  <si>
    <t>10:41:01</t>
  </si>
  <si>
    <t>20251209 10:42:03</t>
  </si>
  <si>
    <t>10:42:03</t>
  </si>
  <si>
    <t>10:42:26</t>
  </si>
  <si>
    <t>20251209 10:43:48</t>
  </si>
  <si>
    <t>10:43:48</t>
  </si>
  <si>
    <t>10:44:12</t>
  </si>
  <si>
    <t>20251209 10:45:31</t>
  </si>
  <si>
    <t>10:45:31</t>
  </si>
  <si>
    <t>10:46:03</t>
  </si>
  <si>
    <t>20251209 10:47:25</t>
  </si>
  <si>
    <t>10:47:25</t>
  </si>
  <si>
    <t>10:47:53</t>
  </si>
  <si>
    <t>20251209 10:49:10</t>
  </si>
  <si>
    <t>10:49:10</t>
  </si>
  <si>
    <t>10:49:41</t>
  </si>
  <si>
    <t>20251209 10:51:00</t>
  </si>
  <si>
    <t>10:51:00</t>
  </si>
  <si>
    <t>10:51:25</t>
  </si>
  <si>
    <t>20251209 10:52:54</t>
  </si>
  <si>
    <t>10:52:54</t>
  </si>
  <si>
    <t>10:53:12</t>
  </si>
  <si>
    <t>20251209 11:14:00</t>
  </si>
  <si>
    <t>11:14:00</t>
  </si>
  <si>
    <t>5865</t>
  </si>
  <si>
    <t>11:14:19</t>
  </si>
  <si>
    <t>20251209 11:15:35</t>
  </si>
  <si>
    <t>11:15:35</t>
  </si>
  <si>
    <t>11:16:02</t>
  </si>
  <si>
    <t>20251209 11:17:17</t>
  </si>
  <si>
    <t>11:17:17</t>
  </si>
  <si>
    <t>11:17:45</t>
  </si>
  <si>
    <t>20251209 11:18:56</t>
  </si>
  <si>
    <t>11:18:56</t>
  </si>
  <si>
    <t>11:19:21</t>
  </si>
  <si>
    <t>20251209 11:20:28</t>
  </si>
  <si>
    <t>11:20:28</t>
  </si>
  <si>
    <t>11:20:54</t>
  </si>
  <si>
    <t>20251209 11:22:15</t>
  </si>
  <si>
    <t>11:22:15</t>
  </si>
  <si>
    <t>11:22:37</t>
  </si>
  <si>
    <t>20251209 11:23:39</t>
  </si>
  <si>
    <t>11:23:39</t>
  </si>
  <si>
    <t>11:24:05</t>
  </si>
  <si>
    <t>20251209 11:25:18</t>
  </si>
  <si>
    <t>11:25:18</t>
  </si>
  <si>
    <t>11:25:37</t>
  </si>
  <si>
    <t>20251209 11:26:52</t>
  </si>
  <si>
    <t>11:26:52</t>
  </si>
  <si>
    <t>11:27:12</t>
  </si>
  <si>
    <t>20251209 11:28:27</t>
  </si>
  <si>
    <t>11:28:27</t>
  </si>
  <si>
    <t>11:28:47</t>
  </si>
  <si>
    <t>20251209 11:30:00</t>
  </si>
  <si>
    <t>11:30:00</t>
  </si>
  <si>
    <t>11:30:24</t>
  </si>
  <si>
    <t>20251209 11:31:46</t>
  </si>
  <si>
    <t>11:31:46</t>
  </si>
  <si>
    <t>11:32:27</t>
  </si>
  <si>
    <t>20251209 11:33:59</t>
  </si>
  <si>
    <t>11:33:59</t>
  </si>
  <si>
    <t>11:34:26</t>
  </si>
  <si>
    <t>1/2</t>
  </si>
  <si>
    <t>20251209 11:51:48</t>
  </si>
  <si>
    <t>11:51:48</t>
  </si>
  <si>
    <t>1851</t>
  </si>
  <si>
    <t>11:52:18</t>
  </si>
  <si>
    <t>20251209 11:53:31</t>
  </si>
  <si>
    <t>11:53:31</t>
  </si>
  <si>
    <t>11:54:00</t>
  </si>
  <si>
    <t>20251209 11:55:11</t>
  </si>
  <si>
    <t>11:55:11</t>
  </si>
  <si>
    <t>11:55:32</t>
  </si>
  <si>
    <t>20251209 11:56:45</t>
  </si>
  <si>
    <t>11:56:45</t>
  </si>
  <si>
    <t>11:57:09</t>
  </si>
  <si>
    <t>20251209 11:58:18</t>
  </si>
  <si>
    <t>11:58:18</t>
  </si>
  <si>
    <t>11:58:39</t>
  </si>
  <si>
    <t>20251209 11:59:58</t>
  </si>
  <si>
    <t>11:59:58</t>
  </si>
  <si>
    <t>12:00:18</t>
  </si>
  <si>
    <t>20251209 12:01:20</t>
  </si>
  <si>
    <t>12:01:20</t>
  </si>
  <si>
    <t>12:01:49</t>
  </si>
  <si>
    <t>20251209 12:03:04</t>
  </si>
  <si>
    <t>12:03:04</t>
  </si>
  <si>
    <t>12:03:32</t>
  </si>
  <si>
    <t>20251209 12:04:47</t>
  </si>
  <si>
    <t>12:04:47</t>
  </si>
  <si>
    <t>12:05:14</t>
  </si>
  <si>
    <t>20251209 12:06:25</t>
  </si>
  <si>
    <t>12:06:25</t>
  </si>
  <si>
    <t>12:07:06</t>
  </si>
  <si>
    <t>20251209 12:08:21</t>
  </si>
  <si>
    <t>12:08:21</t>
  </si>
  <si>
    <t>12:08:56</t>
  </si>
  <si>
    <t>20251209 12:10:20</t>
  </si>
  <si>
    <t>12:10:20</t>
  </si>
  <si>
    <t>12:11:01</t>
  </si>
  <si>
    <t>20251209 12:12:32</t>
  </si>
  <si>
    <t>12:12:32</t>
  </si>
  <si>
    <t>12:13:01</t>
  </si>
  <si>
    <t>20251209 12:23:12</t>
  </si>
  <si>
    <t>12:23:12</t>
  </si>
  <si>
    <t>12:23:50</t>
  </si>
  <si>
    <t>20251209 12:25:00</t>
  </si>
  <si>
    <t>12:25:00</t>
  </si>
  <si>
    <t>12:25:18</t>
  </si>
  <si>
    <t>20251209 12:26:29</t>
  </si>
  <si>
    <t>12:26:29</t>
  </si>
  <si>
    <t>12:26:51</t>
  </si>
  <si>
    <t>20251209 12:28:09</t>
  </si>
  <si>
    <t>12:28:09</t>
  </si>
  <si>
    <t>1851_2</t>
  </si>
  <si>
    <t>12:28:39</t>
  </si>
  <si>
    <t>20251209 12:29:49</t>
  </si>
  <si>
    <t>12:29:49</t>
  </si>
  <si>
    <t>12:30:14</t>
  </si>
  <si>
    <t>20251209 12:31:33</t>
  </si>
  <si>
    <t>12:31:33</t>
  </si>
  <si>
    <t>12:31:57</t>
  </si>
  <si>
    <t>20251209 12:32:59</t>
  </si>
  <si>
    <t>12:32:59</t>
  </si>
  <si>
    <t>12:33:19</t>
  </si>
  <si>
    <t>20251209 12:34:39</t>
  </si>
  <si>
    <t>12:34:39</t>
  </si>
  <si>
    <t>12:35:09</t>
  </si>
  <si>
    <t>20251209 12:36:24</t>
  </si>
  <si>
    <t>12:36:24</t>
  </si>
  <si>
    <t>12:36:47</t>
  </si>
  <si>
    <t>20251209 12:38:01</t>
  </si>
  <si>
    <t>12:38:01</t>
  </si>
  <si>
    <t>12:38:21</t>
  </si>
  <si>
    <t>20251209 12:39:38</t>
  </si>
  <si>
    <t>12:39:38</t>
  </si>
  <si>
    <t>12:39:58</t>
  </si>
  <si>
    <t>20251209 12:41:13</t>
  </si>
  <si>
    <t>12:41:13</t>
  </si>
  <si>
    <t>12:41:34</t>
  </si>
  <si>
    <t>20251209 12:43:01</t>
  </si>
  <si>
    <t>12:43:01</t>
  </si>
  <si>
    <t>12:43:27</t>
  </si>
  <si>
    <t>20251209 13:13:44</t>
  </si>
  <si>
    <t>13:13:44</t>
  </si>
  <si>
    <t>43</t>
  </si>
  <si>
    <t>13:14:03</t>
  </si>
  <si>
    <t>20251209 13:15:14</t>
  </si>
  <si>
    <t>13:15:14</t>
  </si>
  <si>
    <t>13:15:39</t>
  </si>
  <si>
    <t>20251209 13:16:54</t>
  </si>
  <si>
    <t>13:16:54</t>
  </si>
  <si>
    <t>13:17:14</t>
  </si>
  <si>
    <t>20251209 13:18:33</t>
  </si>
  <si>
    <t>13:18:33</t>
  </si>
  <si>
    <t>13:18:53</t>
  </si>
  <si>
    <t>20251209 13:19:59</t>
  </si>
  <si>
    <t>13:19:59</t>
  </si>
  <si>
    <t>13:20:37</t>
  </si>
  <si>
    <t>20251209 13:21:58</t>
  </si>
  <si>
    <t>13:21:58</t>
  </si>
  <si>
    <t>13:22:23</t>
  </si>
  <si>
    <t>20251209 13:23:25</t>
  </si>
  <si>
    <t>13:23:25</t>
  </si>
  <si>
    <t>13:23:48</t>
  </si>
  <si>
    <t>20251209 13:25:01</t>
  </si>
  <si>
    <t>13:25:01</t>
  </si>
  <si>
    <t>13:25:42</t>
  </si>
  <si>
    <t>20251209 13:27:03</t>
  </si>
  <si>
    <t>13:27:03</t>
  </si>
  <si>
    <t>13:27:34</t>
  </si>
  <si>
    <t>20251209 13:28:51</t>
  </si>
  <si>
    <t>13:28:51</t>
  </si>
  <si>
    <t>13:29:16</t>
  </si>
  <si>
    <t>20251209 13:30:27</t>
  </si>
  <si>
    <t>13:30:27</t>
  </si>
  <si>
    <t>13:30:57</t>
  </si>
  <si>
    <t>20251209 13:32:12</t>
  </si>
  <si>
    <t>13:32:12</t>
  </si>
  <si>
    <t>13:32:53</t>
  </si>
  <si>
    <t>20251209 13:34:24</t>
  </si>
  <si>
    <t>13:34:24</t>
  </si>
  <si>
    <t>13:34:48</t>
  </si>
  <si>
    <t>20251209 13:54:23</t>
  </si>
  <si>
    <t>13:54:23</t>
  </si>
  <si>
    <t>4760</t>
  </si>
  <si>
    <t>13:54:46</t>
  </si>
  <si>
    <t>20251209 13:56:06</t>
  </si>
  <si>
    <t>13:56:06</t>
  </si>
  <si>
    <t>13:56:29</t>
  </si>
  <si>
    <t>20251209 13:57:42</t>
  </si>
  <si>
    <t>13:57:42</t>
  </si>
  <si>
    <t>13:58:05</t>
  </si>
  <si>
    <t>20251209 13:59:24</t>
  </si>
  <si>
    <t>13:59:24</t>
  </si>
  <si>
    <t>13:59:44</t>
  </si>
  <si>
    <t>20251209 14:00:57</t>
  </si>
  <si>
    <t>14:00:57</t>
  </si>
  <si>
    <t>14:01:18</t>
  </si>
  <si>
    <t>20251209 14:02:41</t>
  </si>
  <si>
    <t>14:02:41</t>
  </si>
  <si>
    <t>14:03:05</t>
  </si>
  <si>
    <t>20251209 14:04:07</t>
  </si>
  <si>
    <t>14:04:07</t>
  </si>
  <si>
    <t>14:04:30</t>
  </si>
  <si>
    <t>20251209 14:05:41</t>
  </si>
  <si>
    <t>14:05:41</t>
  </si>
  <si>
    <t>14:06:06</t>
  </si>
  <si>
    <t>20251209 14:07:17</t>
  </si>
  <si>
    <t>14:07:17</t>
  </si>
  <si>
    <t>14:07:37</t>
  </si>
  <si>
    <t>20251209 14:08:53</t>
  </si>
  <si>
    <t>14:08:53</t>
  </si>
  <si>
    <t>14:09:20</t>
  </si>
  <si>
    <t>20251209 14:10:31</t>
  </si>
  <si>
    <t>14:10:31</t>
  </si>
  <si>
    <t>14:10:54</t>
  </si>
  <si>
    <t>20251209 14:12:21</t>
  </si>
  <si>
    <t>14:12:21</t>
  </si>
  <si>
    <t>14:13:02</t>
  </si>
  <si>
    <t>20251209 14:14:32</t>
  </si>
  <si>
    <t>14:14:32</t>
  </si>
  <si>
    <t>14:14:55</t>
  </si>
  <si>
    <t>20251209 14:26:24</t>
  </si>
  <si>
    <t>14:26:24</t>
  </si>
  <si>
    <t>6879</t>
  </si>
  <si>
    <t>14:26:42</t>
  </si>
  <si>
    <t>20251209 14:27:55</t>
  </si>
  <si>
    <t>14:27:55</t>
  </si>
  <si>
    <t>14:28:18</t>
  </si>
  <si>
    <t>20251209 14:29:30</t>
  </si>
  <si>
    <t>14:29:30</t>
  </si>
  <si>
    <t>14:29:51</t>
  </si>
  <si>
    <t>20251209 14:31:02</t>
  </si>
  <si>
    <t>14:31:02</t>
  </si>
  <si>
    <t>14:31:22</t>
  </si>
  <si>
    <t>20251209 14:32:31</t>
  </si>
  <si>
    <t>14:32:31</t>
  </si>
  <si>
    <t>14:33:06</t>
  </si>
  <si>
    <t>20251209 14:34:30</t>
  </si>
  <si>
    <t>14:34:30</t>
  </si>
  <si>
    <t>14:34:48</t>
  </si>
  <si>
    <t>20251209 14:35:51</t>
  </si>
  <si>
    <t>14:35:51</t>
  </si>
  <si>
    <t>14:36:09</t>
  </si>
  <si>
    <t>20251209 14:37:24</t>
  </si>
  <si>
    <t>14:37:24</t>
  </si>
  <si>
    <t>14:37:42</t>
  </si>
  <si>
    <t>20251209 14:38:57</t>
  </si>
  <si>
    <t>14:38:57</t>
  </si>
  <si>
    <t>14:39:26</t>
  </si>
  <si>
    <t>20251209 14:40:38</t>
  </si>
  <si>
    <t>14:40:38</t>
  </si>
  <si>
    <t>14:41:09</t>
  </si>
  <si>
    <t>20251209 14:42:24</t>
  </si>
  <si>
    <t>14:42:24</t>
  </si>
  <si>
    <t>14:43:05</t>
  </si>
  <si>
    <t>20251209 14:44:23</t>
  </si>
  <si>
    <t>14:44:23</t>
  </si>
  <si>
    <t>14:44:50</t>
  </si>
  <si>
    <t>20251209 14:46:22</t>
  </si>
  <si>
    <t>14:46:22</t>
  </si>
  <si>
    <t>14:46:45</t>
  </si>
  <si>
    <t>20251209 14:59:49</t>
  </si>
  <si>
    <t>14:59:49</t>
  </si>
  <si>
    <t>3305</t>
  </si>
  <si>
    <t>15:00:25</t>
  </si>
  <si>
    <t>20251209 15:01:40</t>
  </si>
  <si>
    <t>15:01:40</t>
  </si>
  <si>
    <t>15:02:15</t>
  </si>
  <si>
    <t>20251209 15:03:28</t>
  </si>
  <si>
    <t>15:03:28</t>
  </si>
  <si>
    <t>15:03:53</t>
  </si>
  <si>
    <t>20251209 15:05:07</t>
  </si>
  <si>
    <t>15:05:07</t>
  </si>
  <si>
    <t>15:05:31</t>
  </si>
  <si>
    <t>20251209 15:06:40</t>
  </si>
  <si>
    <t>15:06:40</t>
  </si>
  <si>
    <t>15:07:06</t>
  </si>
  <si>
    <t>20251209 15:08:23</t>
  </si>
  <si>
    <t>15:08:23</t>
  </si>
  <si>
    <t>15:08:43</t>
  </si>
  <si>
    <t>20251209 15:09:45</t>
  </si>
  <si>
    <t>15:09:45</t>
  </si>
  <si>
    <t>15:10:10</t>
  </si>
  <si>
    <t>20251209 15:11:26</t>
  </si>
  <si>
    <t>15:11:26</t>
  </si>
  <si>
    <t>15:11:55</t>
  </si>
  <si>
    <t>20251209 15:13:07</t>
  </si>
  <si>
    <t>15:13:07</t>
  </si>
  <si>
    <t>15:13:34</t>
  </si>
  <si>
    <t>20251209 15:14:48</t>
  </si>
  <si>
    <t>15:14:48</t>
  </si>
  <si>
    <t>15:15:17</t>
  </si>
  <si>
    <t>20251209 15:16:28</t>
  </si>
  <si>
    <t>15:16:28</t>
  </si>
  <si>
    <t>15:17:09</t>
  </si>
  <si>
    <t>20251209 15:18:24</t>
  </si>
  <si>
    <t>15:18:24</t>
  </si>
  <si>
    <t>15:18:49</t>
  </si>
  <si>
    <t>20251209 15:20:12</t>
  </si>
  <si>
    <t>15:20:12</t>
  </si>
  <si>
    <t>15:20:44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</si>
</sst>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K120"/>
  <sheetViews>
    <sheetView tabSelected="1" workbookViewId="0"/>
  </sheetViews>
  <sheetFormatPr defaultRowHeight="15"/>
  <sheetData>
    <row r="2" spans="1:297">
      <c r="A2" t="s">
        <v>31</v>
      </c>
      <c r="B2" t="s">
        <v>32</v>
      </c>
      <c r="C2" t="s">
        <v>33</v>
      </c>
    </row>
    <row r="3" spans="1:297">
      <c r="B3">
        <v>4</v>
      </c>
      <c r="C3">
        <v>21</v>
      </c>
    </row>
    <row r="4" spans="1:297">
      <c r="A4" t="s">
        <v>34</v>
      </c>
      <c r="B4" t="s">
        <v>35</v>
      </c>
      <c r="C4" t="s">
        <v>36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</row>
    <row r="5" spans="1:297">
      <c r="B5" t="s">
        <v>21</v>
      </c>
      <c r="C5" t="s">
        <v>37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</v>
      </c>
    </row>
    <row r="6" spans="1:297">
      <c r="A6" t="s">
        <v>46</v>
      </c>
      <c r="B6" t="s">
        <v>47</v>
      </c>
      <c r="C6" t="s">
        <v>48</v>
      </c>
      <c r="D6" t="s">
        <v>49</v>
      </c>
      <c r="E6" t="s">
        <v>50</v>
      </c>
    </row>
    <row r="7" spans="1:297">
      <c r="B7">
        <v>0</v>
      </c>
      <c r="C7">
        <v>0</v>
      </c>
      <c r="D7">
        <v>0</v>
      </c>
      <c r="E7">
        <v>1</v>
      </c>
    </row>
    <row r="8" spans="1:297">
      <c r="A8" t="s">
        <v>51</v>
      </c>
      <c r="B8" t="s">
        <v>52</v>
      </c>
      <c r="C8" t="s">
        <v>54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</row>
    <row r="9" spans="1:297">
      <c r="B9" t="s">
        <v>53</v>
      </c>
      <c r="C9" t="s">
        <v>55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0.1911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97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</row>
    <row r="11" spans="1:297">
      <c r="B11">
        <v>0</v>
      </c>
      <c r="C11">
        <v>0</v>
      </c>
      <c r="D11">
        <v>0</v>
      </c>
      <c r="E11">
        <v>0</v>
      </c>
      <c r="F11">
        <v>1</v>
      </c>
    </row>
    <row r="12" spans="1:297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83</v>
      </c>
      <c r="H12" t="s">
        <v>85</v>
      </c>
    </row>
    <row r="13" spans="1:297">
      <c r="B13">
        <v>-6276</v>
      </c>
      <c r="C13">
        <v>6.6</v>
      </c>
      <c r="D13">
        <v>1.709e-05</v>
      </c>
      <c r="E13">
        <v>3.11</v>
      </c>
      <c r="F13" t="s">
        <v>82</v>
      </c>
      <c r="G13" t="s">
        <v>84</v>
      </c>
      <c r="H13">
        <v>0</v>
      </c>
    </row>
    <row r="14" spans="1:297">
      <c r="A14" t="s">
        <v>86</v>
      </c>
      <c r="B14" t="s">
        <v>86</v>
      </c>
      <c r="C14" t="s">
        <v>86</v>
      </c>
      <c r="D14" t="s">
        <v>86</v>
      </c>
      <c r="E14" t="s">
        <v>86</v>
      </c>
      <c r="F14" t="s">
        <v>86</v>
      </c>
      <c r="G14" t="s">
        <v>87</v>
      </c>
      <c r="H14" t="s">
        <v>87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88</v>
      </c>
      <c r="AF14" t="s">
        <v>88</v>
      </c>
      <c r="AG14" t="s">
        <v>88</v>
      </c>
      <c r="AH14" t="s">
        <v>88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91</v>
      </c>
      <c r="AY14" t="s">
        <v>91</v>
      </c>
      <c r="AZ14" t="s">
        <v>91</v>
      </c>
      <c r="BA14" t="s">
        <v>91</v>
      </c>
      <c r="BB14" t="s">
        <v>91</v>
      </c>
      <c r="BC14" t="s">
        <v>91</v>
      </c>
      <c r="BD14" t="s">
        <v>91</v>
      </c>
      <c r="BE14" t="s">
        <v>91</v>
      </c>
      <c r="BF14" t="s">
        <v>91</v>
      </c>
      <c r="BG14" t="s">
        <v>91</v>
      </c>
      <c r="BH14" t="s">
        <v>91</v>
      </c>
      <c r="BI14" t="s">
        <v>91</v>
      </c>
      <c r="BJ14" t="s">
        <v>91</v>
      </c>
      <c r="BK14" t="s">
        <v>91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92</v>
      </c>
      <c r="CA14" t="s">
        <v>92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92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94</v>
      </c>
      <c r="DI14" t="s">
        <v>94</v>
      </c>
      <c r="DJ14" t="s">
        <v>94</v>
      </c>
      <c r="DK14" t="s">
        <v>94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96</v>
      </c>
      <c r="DR14" t="s">
        <v>96</v>
      </c>
      <c r="DS14" t="s">
        <v>96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97</v>
      </c>
      <c r="EJ14" t="s">
        <v>97</v>
      </c>
      <c r="EK14" t="s">
        <v>97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97</v>
      </c>
      <c r="ER14" t="s">
        <v>97</v>
      </c>
      <c r="ES14" t="s">
        <v>98</v>
      </c>
      <c r="ET14" t="s">
        <v>98</v>
      </c>
      <c r="EU14" t="s">
        <v>98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99</v>
      </c>
      <c r="FL14" t="s">
        <v>99</v>
      </c>
      <c r="FM14" t="s">
        <v>99</v>
      </c>
      <c r="FN14" t="s">
        <v>99</v>
      </c>
      <c r="FO14" t="s">
        <v>99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101</v>
      </c>
      <c r="GD14" t="s">
        <v>101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102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  <c r="HI14" t="s">
        <v>102</v>
      </c>
      <c r="HJ14" t="s">
        <v>103</v>
      </c>
      <c r="HK14" t="s">
        <v>103</v>
      </c>
      <c r="HL14" t="s">
        <v>103</v>
      </c>
      <c r="HM14" t="s">
        <v>103</v>
      </c>
      <c r="HN14" t="s">
        <v>103</v>
      </c>
      <c r="HO14" t="s">
        <v>103</v>
      </c>
      <c r="HP14" t="s">
        <v>103</v>
      </c>
      <c r="HQ14" t="s">
        <v>103</v>
      </c>
      <c r="HR14" t="s">
        <v>103</v>
      </c>
      <c r="HS14" t="s">
        <v>103</v>
      </c>
      <c r="HT14" t="s">
        <v>103</v>
      </c>
      <c r="HU14" t="s">
        <v>103</v>
      </c>
      <c r="HV14" t="s">
        <v>103</v>
      </c>
      <c r="HW14" t="s">
        <v>103</v>
      </c>
      <c r="HX14" t="s">
        <v>103</v>
      </c>
      <c r="HY14" t="s">
        <v>103</v>
      </c>
      <c r="HZ14" t="s">
        <v>103</v>
      </c>
      <c r="IA14" t="s">
        <v>103</v>
      </c>
      <c r="IB14" t="s">
        <v>103</v>
      </c>
      <c r="IC14" t="s">
        <v>104</v>
      </c>
      <c r="ID14" t="s">
        <v>104</v>
      </c>
      <c r="IE14" t="s">
        <v>104</v>
      </c>
      <c r="IF14" t="s">
        <v>104</v>
      </c>
      <c r="IG14" t="s">
        <v>104</v>
      </c>
      <c r="IH14" t="s">
        <v>104</v>
      </c>
      <c r="II14" t="s">
        <v>104</v>
      </c>
      <c r="IJ14" t="s">
        <v>104</v>
      </c>
      <c r="IK14" t="s">
        <v>104</v>
      </c>
      <c r="IL14" t="s">
        <v>104</v>
      </c>
      <c r="IM14" t="s">
        <v>104</v>
      </c>
      <c r="IN14" t="s">
        <v>104</v>
      </c>
      <c r="IO14" t="s">
        <v>104</v>
      </c>
      <c r="IP14" t="s">
        <v>104</v>
      </c>
      <c r="IQ14" t="s">
        <v>104</v>
      </c>
      <c r="IR14" t="s">
        <v>104</v>
      </c>
      <c r="IS14" t="s">
        <v>104</v>
      </c>
      <c r="IT14" t="s">
        <v>104</v>
      </c>
      <c r="IU14" t="s">
        <v>104</v>
      </c>
      <c r="IV14" t="s">
        <v>105</v>
      </c>
      <c r="IW14" t="s">
        <v>105</v>
      </c>
      <c r="IX14" t="s">
        <v>105</v>
      </c>
      <c r="IY14" t="s">
        <v>105</v>
      </c>
      <c r="IZ14" t="s">
        <v>105</v>
      </c>
      <c r="JA14" t="s">
        <v>105</v>
      </c>
      <c r="JB14" t="s">
        <v>105</v>
      </c>
      <c r="JC14" t="s">
        <v>105</v>
      </c>
      <c r="JD14" t="s">
        <v>105</v>
      </c>
      <c r="JE14" t="s">
        <v>105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106</v>
      </c>
      <c r="JO14" t="s">
        <v>106</v>
      </c>
      <c r="JP14" t="s">
        <v>106</v>
      </c>
      <c r="JQ14" t="s">
        <v>106</v>
      </c>
      <c r="JR14" t="s">
        <v>106</v>
      </c>
      <c r="JS14" t="s">
        <v>106</v>
      </c>
      <c r="JT14" t="s">
        <v>106</v>
      </c>
      <c r="JU14" t="s">
        <v>106</v>
      </c>
      <c r="JV14" t="s">
        <v>107</v>
      </c>
      <c r="JW14" t="s">
        <v>107</v>
      </c>
      <c r="JX14" t="s">
        <v>107</v>
      </c>
      <c r="JY14" t="s">
        <v>107</v>
      </c>
      <c r="JZ14" t="s">
        <v>107</v>
      </c>
      <c r="KA14" t="s">
        <v>107</v>
      </c>
      <c r="KB14" t="s">
        <v>107</v>
      </c>
      <c r="KC14" t="s">
        <v>107</v>
      </c>
      <c r="KD14" t="s">
        <v>107</v>
      </c>
      <c r="KE14" t="s">
        <v>107</v>
      </c>
      <c r="KF14" t="s">
        <v>107</v>
      </c>
      <c r="KG14" t="s">
        <v>107</v>
      </c>
      <c r="KH14" t="s">
        <v>107</v>
      </c>
      <c r="KI14" t="s">
        <v>107</v>
      </c>
      <c r="KJ14" t="s">
        <v>107</v>
      </c>
      <c r="KK14" t="s">
        <v>107</v>
      </c>
    </row>
    <row r="15" spans="1:297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138</v>
      </c>
      <c r="AF15" t="s">
        <v>139</v>
      </c>
      <c r="AG15" t="s">
        <v>140</v>
      </c>
      <c r="AH15" t="s">
        <v>141</v>
      </c>
      <c r="AI15" t="s">
        <v>142</v>
      </c>
      <c r="AJ15" t="s">
        <v>143</v>
      </c>
      <c r="AK15" t="s">
        <v>144</v>
      </c>
      <c r="AL15" t="s">
        <v>145</v>
      </c>
      <c r="AM15" t="s">
        <v>146</v>
      </c>
      <c r="AN15" t="s">
        <v>147</v>
      </c>
      <c r="AO15" t="s">
        <v>148</v>
      </c>
      <c r="AP15" t="s">
        <v>149</v>
      </c>
      <c r="AQ15" t="s">
        <v>150</v>
      </c>
      <c r="AR15" t="s">
        <v>151</v>
      </c>
      <c r="AS15" t="s">
        <v>90</v>
      </c>
      <c r="AT15" t="s">
        <v>152</v>
      </c>
      <c r="AU15" t="s">
        <v>153</v>
      </c>
      <c r="AV15" t="s">
        <v>154</v>
      </c>
      <c r="AW15" t="s">
        <v>155</v>
      </c>
      <c r="AX15" t="s">
        <v>156</v>
      </c>
      <c r="AY15" t="s">
        <v>157</v>
      </c>
      <c r="AZ15" t="s">
        <v>158</v>
      </c>
      <c r="BA15" t="s">
        <v>159</v>
      </c>
      <c r="BB15" t="s">
        <v>160</v>
      </c>
      <c r="BC15" t="s">
        <v>161</v>
      </c>
      <c r="BD15" t="s">
        <v>162</v>
      </c>
      <c r="BE15" t="s">
        <v>163</v>
      </c>
      <c r="BF15" t="s">
        <v>164</v>
      </c>
      <c r="BG15" t="s">
        <v>165</v>
      </c>
      <c r="BH15" t="s">
        <v>166</v>
      </c>
      <c r="BI15" t="s">
        <v>167</v>
      </c>
      <c r="BJ15" t="s">
        <v>168</v>
      </c>
      <c r="BK15" t="s">
        <v>169</v>
      </c>
      <c r="BL15" t="s">
        <v>170</v>
      </c>
      <c r="BM15" t="s">
        <v>171</v>
      </c>
      <c r="BN15" t="s">
        <v>172</v>
      </c>
      <c r="BO15" t="s">
        <v>173</v>
      </c>
      <c r="BP15" t="s">
        <v>174</v>
      </c>
      <c r="BQ15" t="s">
        <v>175</v>
      </c>
      <c r="BR15" t="s">
        <v>176</v>
      </c>
      <c r="BS15" t="s">
        <v>177</v>
      </c>
      <c r="BT15" t="s">
        <v>178</v>
      </c>
      <c r="BU15" t="s">
        <v>179</v>
      </c>
      <c r="BV15" t="s">
        <v>180</v>
      </c>
      <c r="BW15" t="s">
        <v>181</v>
      </c>
      <c r="BX15" t="s">
        <v>182</v>
      </c>
      <c r="BY15" t="s">
        <v>183</v>
      </c>
      <c r="BZ15" t="s">
        <v>184</v>
      </c>
      <c r="CA15" t="s">
        <v>185</v>
      </c>
      <c r="CB15" t="s">
        <v>186</v>
      </c>
      <c r="CC15" t="s">
        <v>187</v>
      </c>
      <c r="CD15" t="s">
        <v>188</v>
      </c>
      <c r="CE15" t="s">
        <v>189</v>
      </c>
      <c r="CF15" t="s">
        <v>190</v>
      </c>
      <c r="CG15" t="s">
        <v>191</v>
      </c>
      <c r="CH15" t="s">
        <v>192</v>
      </c>
      <c r="CI15" t="s">
        <v>193</v>
      </c>
      <c r="CJ15" t="s">
        <v>194</v>
      </c>
      <c r="CK15" t="s">
        <v>195</v>
      </c>
      <c r="CL15" t="s">
        <v>196</v>
      </c>
      <c r="CM15" t="s">
        <v>197</v>
      </c>
      <c r="CN15" t="s">
        <v>198</v>
      </c>
      <c r="CO15" t="s">
        <v>199</v>
      </c>
      <c r="CP15" t="s">
        <v>200</v>
      </c>
      <c r="CQ15" t="s">
        <v>201</v>
      </c>
      <c r="CR15" t="s">
        <v>202</v>
      </c>
      <c r="CS15" t="s">
        <v>203</v>
      </c>
      <c r="CT15" t="s">
        <v>204</v>
      </c>
      <c r="CU15" t="s">
        <v>184</v>
      </c>
      <c r="CV15" t="s">
        <v>205</v>
      </c>
      <c r="CW15" t="s">
        <v>206</v>
      </c>
      <c r="CX15" t="s">
        <v>207</v>
      </c>
      <c r="CY15" t="s">
        <v>158</v>
      </c>
      <c r="CZ15" t="s">
        <v>208</v>
      </c>
      <c r="DA15" t="s">
        <v>209</v>
      </c>
      <c r="DB15" t="s">
        <v>210</v>
      </c>
      <c r="DC15" t="s">
        <v>211</v>
      </c>
      <c r="DD15" t="s">
        <v>212</v>
      </c>
      <c r="DE15" t="s">
        <v>213</v>
      </c>
      <c r="DF15" t="s">
        <v>214</v>
      </c>
      <c r="DG15" t="s">
        <v>215</v>
      </c>
      <c r="DH15" t="s">
        <v>216</v>
      </c>
      <c r="DI15" t="s">
        <v>217</v>
      </c>
      <c r="DJ15" t="s">
        <v>218</v>
      </c>
      <c r="DK15" t="s">
        <v>219</v>
      </c>
      <c r="DL15" t="s">
        <v>220</v>
      </c>
      <c r="DM15" t="s">
        <v>221</v>
      </c>
      <c r="DN15" t="s">
        <v>222</v>
      </c>
      <c r="DO15" t="s">
        <v>223</v>
      </c>
      <c r="DP15" t="s">
        <v>224</v>
      </c>
      <c r="DQ15" t="s">
        <v>116</v>
      </c>
      <c r="DR15" t="s">
        <v>225</v>
      </c>
      <c r="DS15" t="s">
        <v>226</v>
      </c>
      <c r="DT15" t="s">
        <v>227</v>
      </c>
      <c r="DU15" t="s">
        <v>228</v>
      </c>
      <c r="DV15" t="s">
        <v>229</v>
      </c>
      <c r="DW15" t="s">
        <v>230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260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109</v>
      </c>
      <c r="FQ15" t="s">
        <v>112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  <c r="GD15" t="s">
        <v>287</v>
      </c>
      <c r="GE15" t="s">
        <v>288</v>
      </c>
      <c r="GF15" t="s">
        <v>289</v>
      </c>
      <c r="GG15" t="s">
        <v>290</v>
      </c>
      <c r="GH15" t="s">
        <v>291</v>
      </c>
      <c r="GI15" t="s">
        <v>292</v>
      </c>
      <c r="GJ15" t="s">
        <v>293</v>
      </c>
      <c r="GK15" t="s">
        <v>294</v>
      </c>
      <c r="GL15" t="s">
        <v>295</v>
      </c>
      <c r="GM15" t="s">
        <v>296</v>
      </c>
      <c r="GN15" t="s">
        <v>297</v>
      </c>
      <c r="GO15" t="s">
        <v>298</v>
      </c>
      <c r="GP15" t="s">
        <v>299</v>
      </c>
      <c r="GQ15" t="s">
        <v>300</v>
      </c>
      <c r="GR15" t="s">
        <v>301</v>
      </c>
      <c r="GS15" t="s">
        <v>302</v>
      </c>
      <c r="GT15" t="s">
        <v>303</v>
      </c>
      <c r="GU15" t="s">
        <v>304</v>
      </c>
      <c r="GV15" t="s">
        <v>305</v>
      </c>
      <c r="GW15" t="s">
        <v>306</v>
      </c>
      <c r="GX15" t="s">
        <v>307</v>
      </c>
      <c r="GY15" t="s">
        <v>308</v>
      </c>
      <c r="GZ15" t="s">
        <v>309</v>
      </c>
      <c r="HA15" t="s">
        <v>310</v>
      </c>
      <c r="HB15" t="s">
        <v>311</v>
      </c>
      <c r="HC15" t="s">
        <v>312</v>
      </c>
      <c r="HD15" t="s">
        <v>313</v>
      </c>
      <c r="HE15" t="s">
        <v>314</v>
      </c>
      <c r="HF15" t="s">
        <v>315</v>
      </c>
      <c r="HG15" t="s">
        <v>316</v>
      </c>
      <c r="HH15" t="s">
        <v>317</v>
      </c>
      <c r="HI15" t="s">
        <v>318</v>
      </c>
      <c r="HJ15" t="s">
        <v>319</v>
      </c>
      <c r="HK15" t="s">
        <v>320</v>
      </c>
      <c r="HL15" t="s">
        <v>321</v>
      </c>
      <c r="HM15" t="s">
        <v>322</v>
      </c>
      <c r="HN15" t="s">
        <v>323</v>
      </c>
      <c r="HO15" t="s">
        <v>324</v>
      </c>
      <c r="HP15" t="s">
        <v>325</v>
      </c>
      <c r="HQ15" t="s">
        <v>326</v>
      </c>
      <c r="HR15" t="s">
        <v>327</v>
      </c>
      <c r="HS15" t="s">
        <v>328</v>
      </c>
      <c r="HT15" t="s">
        <v>329</v>
      </c>
      <c r="HU15" t="s">
        <v>330</v>
      </c>
      <c r="HV15" t="s">
        <v>331</v>
      </c>
      <c r="HW15" t="s">
        <v>332</v>
      </c>
      <c r="HX15" t="s">
        <v>333</v>
      </c>
      <c r="HY15" t="s">
        <v>334</v>
      </c>
      <c r="HZ15" t="s">
        <v>335</v>
      </c>
      <c r="IA15" t="s">
        <v>336</v>
      </c>
      <c r="IB15" t="s">
        <v>337</v>
      </c>
      <c r="IC15" t="s">
        <v>338</v>
      </c>
      <c r="ID15" t="s">
        <v>339</v>
      </c>
      <c r="IE15" t="s">
        <v>340</v>
      </c>
      <c r="IF15" t="s">
        <v>341</v>
      </c>
      <c r="IG15" t="s">
        <v>342</v>
      </c>
      <c r="IH15" t="s">
        <v>343</v>
      </c>
      <c r="II15" t="s">
        <v>344</v>
      </c>
      <c r="IJ15" t="s">
        <v>345</v>
      </c>
      <c r="IK15" t="s">
        <v>346</v>
      </c>
      <c r="IL15" t="s">
        <v>347</v>
      </c>
      <c r="IM15" t="s">
        <v>348</v>
      </c>
      <c r="IN15" t="s">
        <v>349</v>
      </c>
      <c r="IO15" t="s">
        <v>350</v>
      </c>
      <c r="IP15" t="s">
        <v>351</v>
      </c>
      <c r="IQ15" t="s">
        <v>352</v>
      </c>
      <c r="IR15" t="s">
        <v>353</v>
      </c>
      <c r="IS15" t="s">
        <v>354</v>
      </c>
      <c r="IT15" t="s">
        <v>355</v>
      </c>
      <c r="IU15" t="s">
        <v>356</v>
      </c>
      <c r="IV15" t="s">
        <v>357</v>
      </c>
      <c r="IW15" t="s">
        <v>358</v>
      </c>
      <c r="IX15" t="s">
        <v>359</v>
      </c>
      <c r="IY15" t="s">
        <v>360</v>
      </c>
      <c r="IZ15" t="s">
        <v>361</v>
      </c>
      <c r="JA15" t="s">
        <v>362</v>
      </c>
      <c r="JB15" t="s">
        <v>363</v>
      </c>
      <c r="JC15" t="s">
        <v>364</v>
      </c>
      <c r="JD15" t="s">
        <v>365</v>
      </c>
      <c r="JE15" t="s">
        <v>366</v>
      </c>
      <c r="JF15" t="s">
        <v>367</v>
      </c>
      <c r="JG15" t="s">
        <v>368</v>
      </c>
      <c r="JH15" t="s">
        <v>369</v>
      </c>
      <c r="JI15" t="s">
        <v>370</v>
      </c>
      <c r="JJ15" t="s">
        <v>371</v>
      </c>
      <c r="JK15" t="s">
        <v>372</v>
      </c>
      <c r="JL15" t="s">
        <v>373</v>
      </c>
      <c r="JM15" t="s">
        <v>374</v>
      </c>
      <c r="JN15" t="s">
        <v>375</v>
      </c>
      <c r="JO15" t="s">
        <v>376</v>
      </c>
      <c r="JP15" t="s">
        <v>377</v>
      </c>
      <c r="JQ15" t="s">
        <v>378</v>
      </c>
      <c r="JR15" t="s">
        <v>379</v>
      </c>
      <c r="JS15" t="s">
        <v>380</v>
      </c>
      <c r="JT15" t="s">
        <v>381</v>
      </c>
      <c r="JU15" t="s">
        <v>382</v>
      </c>
      <c r="JV15" t="s">
        <v>383</v>
      </c>
      <c r="JW15" t="s">
        <v>384</v>
      </c>
      <c r="JX15" t="s">
        <v>385</v>
      </c>
      <c r="JY15" t="s">
        <v>386</v>
      </c>
      <c r="JZ15" t="s">
        <v>387</v>
      </c>
      <c r="KA15" t="s">
        <v>388</v>
      </c>
      <c r="KB15" t="s">
        <v>389</v>
      </c>
      <c r="KC15" t="s">
        <v>390</v>
      </c>
      <c r="KD15" t="s">
        <v>391</v>
      </c>
      <c r="KE15" t="s">
        <v>392</v>
      </c>
      <c r="KF15" t="s">
        <v>393</v>
      </c>
      <c r="KG15" t="s">
        <v>394</v>
      </c>
      <c r="KH15" t="s">
        <v>395</v>
      </c>
      <c r="KI15" t="s">
        <v>396</v>
      </c>
      <c r="KJ15" t="s">
        <v>397</v>
      </c>
      <c r="KK15" t="s">
        <v>398</v>
      </c>
    </row>
    <row r="16" spans="1:297">
      <c r="B16" t="s">
        <v>399</v>
      </c>
      <c r="C16" t="s">
        <v>399</v>
      </c>
      <c r="F16" t="s">
        <v>399</v>
      </c>
      <c r="I16" t="s">
        <v>399</v>
      </c>
      <c r="J16" t="s">
        <v>400</v>
      </c>
      <c r="K16" t="s">
        <v>401</v>
      </c>
      <c r="L16" t="s">
        <v>402</v>
      </c>
      <c r="M16" t="s">
        <v>403</v>
      </c>
      <c r="N16" t="s">
        <v>403</v>
      </c>
      <c r="O16" t="s">
        <v>232</v>
      </c>
      <c r="P16" t="s">
        <v>232</v>
      </c>
      <c r="Q16" t="s">
        <v>400</v>
      </c>
      <c r="R16" t="s">
        <v>400</v>
      </c>
      <c r="S16" t="s">
        <v>400</v>
      </c>
      <c r="T16" t="s">
        <v>400</v>
      </c>
      <c r="U16" t="s">
        <v>404</v>
      </c>
      <c r="V16" t="s">
        <v>405</v>
      </c>
      <c r="W16" t="s">
        <v>405</v>
      </c>
      <c r="X16" t="s">
        <v>406</v>
      </c>
      <c r="Y16" t="s">
        <v>407</v>
      </c>
      <c r="Z16" t="s">
        <v>406</v>
      </c>
      <c r="AA16" t="s">
        <v>406</v>
      </c>
      <c r="AB16" t="s">
        <v>406</v>
      </c>
      <c r="AC16" t="s">
        <v>404</v>
      </c>
      <c r="AD16" t="s">
        <v>404</v>
      </c>
      <c r="AE16" t="s">
        <v>404</v>
      </c>
      <c r="AF16" t="s">
        <v>404</v>
      </c>
      <c r="AG16" t="s">
        <v>402</v>
      </c>
      <c r="AH16" t="s">
        <v>401</v>
      </c>
      <c r="AI16" t="s">
        <v>402</v>
      </c>
      <c r="AJ16" t="s">
        <v>403</v>
      </c>
      <c r="AK16" t="s">
        <v>403</v>
      </c>
      <c r="AL16" t="s">
        <v>408</v>
      </c>
      <c r="AM16" t="s">
        <v>409</v>
      </c>
      <c r="AN16" t="s">
        <v>401</v>
      </c>
      <c r="AO16" t="s">
        <v>410</v>
      </c>
      <c r="AP16" t="s">
        <v>410</v>
      </c>
      <c r="AQ16" t="s">
        <v>411</v>
      </c>
      <c r="AR16" t="s">
        <v>409</v>
      </c>
      <c r="AS16" t="s">
        <v>412</v>
      </c>
      <c r="AT16" t="s">
        <v>407</v>
      </c>
      <c r="AV16" t="s">
        <v>407</v>
      </c>
      <c r="AW16" t="s">
        <v>412</v>
      </c>
      <c r="BC16" t="s">
        <v>402</v>
      </c>
      <c r="BJ16" t="s">
        <v>402</v>
      </c>
      <c r="BK16" t="s">
        <v>402</v>
      </c>
      <c r="BL16" t="s">
        <v>402</v>
      </c>
      <c r="BM16" t="s">
        <v>413</v>
      </c>
      <c r="CA16" t="s">
        <v>414</v>
      </c>
      <c r="CC16" t="s">
        <v>414</v>
      </c>
      <c r="CD16" t="s">
        <v>402</v>
      </c>
      <c r="CG16" t="s">
        <v>414</v>
      </c>
      <c r="CH16" t="s">
        <v>407</v>
      </c>
      <c r="CK16" t="s">
        <v>415</v>
      </c>
      <c r="CL16" t="s">
        <v>415</v>
      </c>
      <c r="CN16" t="s">
        <v>416</v>
      </c>
      <c r="CO16" t="s">
        <v>414</v>
      </c>
      <c r="CQ16" t="s">
        <v>414</v>
      </c>
      <c r="CR16" t="s">
        <v>402</v>
      </c>
      <c r="CV16" t="s">
        <v>414</v>
      </c>
      <c r="CX16" t="s">
        <v>417</v>
      </c>
      <c r="DA16" t="s">
        <v>414</v>
      </c>
      <c r="DB16" t="s">
        <v>414</v>
      </c>
      <c r="DD16" t="s">
        <v>414</v>
      </c>
      <c r="DF16" t="s">
        <v>414</v>
      </c>
      <c r="DH16" t="s">
        <v>402</v>
      </c>
      <c r="DI16" t="s">
        <v>402</v>
      </c>
      <c r="DK16" t="s">
        <v>418</v>
      </c>
      <c r="DL16" t="s">
        <v>419</v>
      </c>
      <c r="DO16" t="s">
        <v>400</v>
      </c>
      <c r="DQ16" t="s">
        <v>399</v>
      </c>
      <c r="DR16" t="s">
        <v>403</v>
      </c>
      <c r="DS16" t="s">
        <v>403</v>
      </c>
      <c r="DT16" t="s">
        <v>410</v>
      </c>
      <c r="DU16" t="s">
        <v>410</v>
      </c>
      <c r="DV16" t="s">
        <v>403</v>
      </c>
      <c r="DW16" t="s">
        <v>410</v>
      </c>
      <c r="DX16" t="s">
        <v>412</v>
      </c>
      <c r="DY16" t="s">
        <v>406</v>
      </c>
      <c r="DZ16" t="s">
        <v>406</v>
      </c>
      <c r="EA16" t="s">
        <v>405</v>
      </c>
      <c r="EB16" t="s">
        <v>405</v>
      </c>
      <c r="EC16" t="s">
        <v>405</v>
      </c>
      <c r="ED16" t="s">
        <v>405</v>
      </c>
      <c r="EE16" t="s">
        <v>405</v>
      </c>
      <c r="EF16" t="s">
        <v>420</v>
      </c>
      <c r="EG16" t="s">
        <v>402</v>
      </c>
      <c r="EH16" t="s">
        <v>402</v>
      </c>
      <c r="EI16" t="s">
        <v>403</v>
      </c>
      <c r="EJ16" t="s">
        <v>403</v>
      </c>
      <c r="EK16" t="s">
        <v>403</v>
      </c>
      <c r="EL16" t="s">
        <v>410</v>
      </c>
      <c r="EM16" t="s">
        <v>403</v>
      </c>
      <c r="EN16" t="s">
        <v>410</v>
      </c>
      <c r="EO16" t="s">
        <v>406</v>
      </c>
      <c r="EP16" t="s">
        <v>406</v>
      </c>
      <c r="EQ16" t="s">
        <v>405</v>
      </c>
      <c r="ER16" t="s">
        <v>405</v>
      </c>
      <c r="ES16" t="s">
        <v>402</v>
      </c>
      <c r="EX16" t="s">
        <v>402</v>
      </c>
      <c r="FA16" t="s">
        <v>405</v>
      </c>
      <c r="FB16" t="s">
        <v>405</v>
      </c>
      <c r="FC16" t="s">
        <v>405</v>
      </c>
      <c r="FD16" t="s">
        <v>405</v>
      </c>
      <c r="FE16" t="s">
        <v>405</v>
      </c>
      <c r="FF16" t="s">
        <v>402</v>
      </c>
      <c r="FG16" t="s">
        <v>402</v>
      </c>
      <c r="FH16" t="s">
        <v>402</v>
      </c>
      <c r="FI16" t="s">
        <v>399</v>
      </c>
      <c r="FL16" t="s">
        <v>421</v>
      </c>
      <c r="FM16" t="s">
        <v>421</v>
      </c>
      <c r="FO16" t="s">
        <v>399</v>
      </c>
      <c r="FP16" t="s">
        <v>422</v>
      </c>
      <c r="FR16" t="s">
        <v>399</v>
      </c>
      <c r="FS16" t="s">
        <v>399</v>
      </c>
      <c r="FU16" t="s">
        <v>423</v>
      </c>
      <c r="FV16" t="s">
        <v>424</v>
      </c>
      <c r="FW16" t="s">
        <v>423</v>
      </c>
      <c r="FX16" t="s">
        <v>424</v>
      </c>
      <c r="FY16" t="s">
        <v>423</v>
      </c>
      <c r="FZ16" t="s">
        <v>424</v>
      </c>
      <c r="GA16" t="s">
        <v>407</v>
      </c>
      <c r="GB16" t="s">
        <v>407</v>
      </c>
      <c r="GC16" t="s">
        <v>403</v>
      </c>
      <c r="GD16" t="s">
        <v>425</v>
      </c>
      <c r="GE16" t="s">
        <v>403</v>
      </c>
      <c r="GH16" t="s">
        <v>426</v>
      </c>
      <c r="GK16" t="s">
        <v>410</v>
      </c>
      <c r="GL16" t="s">
        <v>427</v>
      </c>
      <c r="GM16" t="s">
        <v>410</v>
      </c>
      <c r="GR16" t="s">
        <v>428</v>
      </c>
      <c r="GS16" t="s">
        <v>428</v>
      </c>
      <c r="HF16" t="s">
        <v>428</v>
      </c>
      <c r="HG16" t="s">
        <v>428</v>
      </c>
      <c r="HH16" t="s">
        <v>429</v>
      </c>
      <c r="HI16" t="s">
        <v>429</v>
      </c>
      <c r="HJ16" t="s">
        <v>405</v>
      </c>
      <c r="HK16" t="s">
        <v>405</v>
      </c>
      <c r="HL16" t="s">
        <v>407</v>
      </c>
      <c r="HM16" t="s">
        <v>405</v>
      </c>
      <c r="HN16" t="s">
        <v>410</v>
      </c>
      <c r="HO16" t="s">
        <v>407</v>
      </c>
      <c r="HP16" t="s">
        <v>407</v>
      </c>
      <c r="HR16" t="s">
        <v>428</v>
      </c>
      <c r="HS16" t="s">
        <v>428</v>
      </c>
      <c r="HT16" t="s">
        <v>428</v>
      </c>
      <c r="HU16" t="s">
        <v>428</v>
      </c>
      <c r="HV16" t="s">
        <v>428</v>
      </c>
      <c r="HW16" t="s">
        <v>428</v>
      </c>
      <c r="HX16" t="s">
        <v>428</v>
      </c>
      <c r="HY16" t="s">
        <v>430</v>
      </c>
      <c r="HZ16" t="s">
        <v>431</v>
      </c>
      <c r="IA16" t="s">
        <v>431</v>
      </c>
      <c r="IB16" t="s">
        <v>431</v>
      </c>
      <c r="IC16" t="s">
        <v>428</v>
      </c>
      <c r="ID16" t="s">
        <v>428</v>
      </c>
      <c r="IE16" t="s">
        <v>428</v>
      </c>
      <c r="IF16" t="s">
        <v>428</v>
      </c>
      <c r="IG16" t="s">
        <v>428</v>
      </c>
      <c r="IH16" t="s">
        <v>428</v>
      </c>
      <c r="II16" t="s">
        <v>428</v>
      </c>
      <c r="IJ16" t="s">
        <v>428</v>
      </c>
      <c r="IK16" t="s">
        <v>428</v>
      </c>
      <c r="IL16" t="s">
        <v>428</v>
      </c>
      <c r="IM16" t="s">
        <v>428</v>
      </c>
      <c r="IN16" t="s">
        <v>428</v>
      </c>
      <c r="IU16" t="s">
        <v>428</v>
      </c>
      <c r="IV16" t="s">
        <v>407</v>
      </c>
      <c r="IW16" t="s">
        <v>407</v>
      </c>
      <c r="IX16" t="s">
        <v>423</v>
      </c>
      <c r="IY16" t="s">
        <v>424</v>
      </c>
      <c r="IZ16" t="s">
        <v>423</v>
      </c>
      <c r="JD16" t="s">
        <v>424</v>
      </c>
      <c r="JH16" t="s">
        <v>403</v>
      </c>
      <c r="JI16" t="s">
        <v>403</v>
      </c>
      <c r="JJ16" t="s">
        <v>410</v>
      </c>
      <c r="JK16" t="s">
        <v>410</v>
      </c>
      <c r="JL16" t="s">
        <v>432</v>
      </c>
      <c r="JM16" t="s">
        <v>432</v>
      </c>
      <c r="JN16" t="s">
        <v>428</v>
      </c>
      <c r="JO16" t="s">
        <v>428</v>
      </c>
      <c r="JP16" t="s">
        <v>428</v>
      </c>
      <c r="JQ16" t="s">
        <v>428</v>
      </c>
      <c r="JR16" t="s">
        <v>428</v>
      </c>
      <c r="JS16" t="s">
        <v>428</v>
      </c>
      <c r="JT16" t="s">
        <v>405</v>
      </c>
      <c r="JU16" t="s">
        <v>428</v>
      </c>
      <c r="JW16" t="s">
        <v>412</v>
      </c>
      <c r="JX16" t="s">
        <v>412</v>
      </c>
      <c r="JY16" t="s">
        <v>405</v>
      </c>
      <c r="JZ16" t="s">
        <v>405</v>
      </c>
      <c r="KA16" t="s">
        <v>405</v>
      </c>
      <c r="KB16" t="s">
        <v>405</v>
      </c>
      <c r="KC16" t="s">
        <v>405</v>
      </c>
      <c r="KD16" t="s">
        <v>407</v>
      </c>
      <c r="KE16" t="s">
        <v>407</v>
      </c>
      <c r="KF16" t="s">
        <v>407</v>
      </c>
      <c r="KG16" t="s">
        <v>405</v>
      </c>
      <c r="KH16" t="s">
        <v>403</v>
      </c>
      <c r="KI16" t="s">
        <v>410</v>
      </c>
      <c r="KJ16" t="s">
        <v>407</v>
      </c>
      <c r="KK16" t="s">
        <v>407</v>
      </c>
    </row>
    <row r="17" spans="1:297">
      <c r="A17">
        <v>1</v>
      </c>
      <c r="B17">
        <v>1765297949</v>
      </c>
      <c r="C17">
        <v>0</v>
      </c>
      <c r="D17" t="s">
        <v>433</v>
      </c>
      <c r="E17" t="s">
        <v>434</v>
      </c>
      <c r="F17">
        <v>5</v>
      </c>
      <c r="G17" t="s">
        <v>435</v>
      </c>
      <c r="H17" t="s">
        <v>436</v>
      </c>
      <c r="I17">
        <v>1765297940.5</v>
      </c>
      <c r="J17">
        <f>(K17)/1000</f>
        <v>0</v>
      </c>
      <c r="K17">
        <f>IF(DP17, AN17, AH17)</f>
        <v>0</v>
      </c>
      <c r="L17">
        <f>IF(DP17, AI17, AG17)</f>
        <v>0</v>
      </c>
      <c r="M17">
        <f>DR17 - IF(AU17&gt;1, L17*DL17*100.0/(AW17), 0)</f>
        <v>0</v>
      </c>
      <c r="N17">
        <f>((T17-J17/2)*M17-L17)/(T17+J17/2)</f>
        <v>0</v>
      </c>
      <c r="O17">
        <f>N17*(DY17+DZ17)/1000.0</f>
        <v>0</v>
      </c>
      <c r="P17">
        <f>(DR17 - IF(AU17&gt;1, L17*DL17*100.0/(AW17), 0))*(DY17+DZ17)/1000.0</f>
        <v>0</v>
      </c>
      <c r="Q17">
        <f>2.0/((1/S17-1/R17)+SIGN(S17)*SQRT((1/S17-1/R17)*(1/S17-1/R17) + 4*DM17/((DM17+1)*(DM17+1))*(2*1/S17*1/R17-1/R17*1/R17)))</f>
        <v>0</v>
      </c>
      <c r="R17">
        <f>IF(LEFT(DN17,1)&lt;&gt;"0",IF(LEFT(DN17,1)="1",3.0,DO17),$D$5+$E$5*(EF17*DY17/($K$5*1000))+$F$5*(EF17*DY17/($K$5*1000))*MAX(MIN(DL17,$J$5),$I$5)*MAX(MIN(DL17,$J$5),$I$5)+$G$5*MAX(MIN(DL17,$J$5),$I$5)*(EF17*DY17/($K$5*1000))+$H$5*(EF17*DY17/($K$5*1000))*(EF17*DY17/($K$5*1000)))</f>
        <v>0</v>
      </c>
      <c r="S17">
        <f>J17*(1000-(1000*0.61365*exp(17.502*W17/(240.97+W17))/(DY17+DZ17)+DT17)/2)/(1000*0.61365*exp(17.502*W17/(240.97+W17))/(DY17+DZ17)-DT17)</f>
        <v>0</v>
      </c>
      <c r="T17">
        <f>1/((DM17+1)/(Q17/1.6)+1/(R17/1.37)) + DM17/((DM17+1)/(Q17/1.6) + DM17/(R17/1.37))</f>
        <v>0</v>
      </c>
      <c r="U17">
        <f>(DH17*DK17)</f>
        <v>0</v>
      </c>
      <c r="V17">
        <f>(EA17+(U17+2*0.95*5.67E-8*(((EA17+$B$7)+273)^4-(EA17+273)^4)-44100*J17)/(1.84*29.3*R17+8*0.95*5.67E-8*(EA17+273)^3))</f>
        <v>0</v>
      </c>
      <c r="W17">
        <f>($C$7*EB17+$D$7*EC17+$E$7*V17)</f>
        <v>0</v>
      </c>
      <c r="X17">
        <f>0.61365*exp(17.502*W17/(240.97+W17))</f>
        <v>0</v>
      </c>
      <c r="Y17">
        <f>(Z17/AA17*100)</f>
        <v>0</v>
      </c>
      <c r="Z17">
        <f>DT17*(DY17+DZ17)/1000</f>
        <v>0</v>
      </c>
      <c r="AA17">
        <f>0.61365*exp(17.502*EA17/(240.97+EA17))</f>
        <v>0</v>
      </c>
      <c r="AB17">
        <f>(X17-DT17*(DY17+DZ17)/1000)</f>
        <v>0</v>
      </c>
      <c r="AC17">
        <f>(-J17*44100)</f>
        <v>0</v>
      </c>
      <c r="AD17">
        <f>2*29.3*R17*0.92*(EA17-W17)</f>
        <v>0</v>
      </c>
      <c r="AE17">
        <f>2*0.95*5.67E-8*(((EA17+$B$7)+273)^4-(W17+273)^4)</f>
        <v>0</v>
      </c>
      <c r="AF17">
        <f>U17+AE17+AC17+AD17</f>
        <v>0</v>
      </c>
      <c r="AG17">
        <f>DX17*AU17*(DS17-DR17*(1000-AU17*DU17)/(1000-AU17*DT17))/(100*DL17)</f>
        <v>0</v>
      </c>
      <c r="AH17">
        <f>1000*DX17*AU17*(DT17-DU17)/(100*DL17*(1000-AU17*DT17))</f>
        <v>0</v>
      </c>
      <c r="AI17">
        <f>(AJ17 - AK17 - DY17*1E3/(8.314*(EA17+273.15)) * AM17/DX17 * AL17) * DX17/(100*DL17) * (1000 - DU17)/1000</f>
        <v>0</v>
      </c>
      <c r="AJ17">
        <v>407.261190164455</v>
      </c>
      <c r="AK17">
        <v>406.996175757576</v>
      </c>
      <c r="AL17">
        <v>0.000958131575518707</v>
      </c>
      <c r="AM17">
        <v>62.8794909311104</v>
      </c>
      <c r="AN17">
        <f>(AP17 - AO17 + DY17*1E3/(8.314*(EA17+273.15)) * AR17/DX17 * AQ17) * DX17/(100*DL17) * 1000/(1000 - AP17)</f>
        <v>0</v>
      </c>
      <c r="AO17">
        <v>17.7280810486075</v>
      </c>
      <c r="AP17">
        <v>17.9694193939394</v>
      </c>
      <c r="AQ17">
        <v>-4.61150385213726e-06</v>
      </c>
      <c r="AR17">
        <v>111.421772889745</v>
      </c>
      <c r="AS17">
        <v>5</v>
      </c>
      <c r="AT17">
        <v>1</v>
      </c>
      <c r="AU17">
        <f>IF(AS17*$H$13&gt;=AW17,1.0,(AW17/(AW17-AS17*$H$13)))</f>
        <v>0</v>
      </c>
      <c r="AV17">
        <f>(AU17-1)*100</f>
        <v>0</v>
      </c>
      <c r="AW17">
        <f>MAX(0,($B$13+$C$13*EF17)/(1+$D$13*EF17)*DY17/(EA17+273)*$E$13)</f>
        <v>0</v>
      </c>
      <c r="AX17" t="s">
        <v>437</v>
      </c>
      <c r="AY17" t="s">
        <v>437</v>
      </c>
      <c r="AZ17">
        <v>0</v>
      </c>
      <c r="BA17">
        <v>0</v>
      </c>
      <c r="BB17">
        <f>1-AZ17/BA17</f>
        <v>0</v>
      </c>
      <c r="BC17">
        <v>0</v>
      </c>
      <c r="BD17" t="s">
        <v>437</v>
      </c>
      <c r="BE17" t="s">
        <v>437</v>
      </c>
      <c r="BF17">
        <v>0</v>
      </c>
      <c r="BG17">
        <v>0</v>
      </c>
      <c r="BH17">
        <f>1-BF17/BG17</f>
        <v>0</v>
      </c>
      <c r="BI17">
        <v>0.5</v>
      </c>
      <c r="BJ17">
        <f>DI17</f>
        <v>0</v>
      </c>
      <c r="BK17">
        <f>L17</f>
        <v>0</v>
      </c>
      <c r="BL17">
        <f>BH17*BI17*BJ17</f>
        <v>0</v>
      </c>
      <c r="BM17">
        <f>(BK17-BC17)/BJ17</f>
        <v>0</v>
      </c>
      <c r="BN17">
        <f>(BA17-BG17)/BG17</f>
        <v>0</v>
      </c>
      <c r="BO17">
        <f>AZ17/(BB17+AZ17/BG17)</f>
        <v>0</v>
      </c>
      <c r="BP17" t="s">
        <v>437</v>
      </c>
      <c r="BQ17">
        <v>0</v>
      </c>
      <c r="BR17">
        <f>IF(BQ17&lt;&gt;0, BQ17, BO17)</f>
        <v>0</v>
      </c>
      <c r="BS17">
        <f>1-BR17/BG17</f>
        <v>0</v>
      </c>
      <c r="BT17">
        <f>(BG17-BF17)/(BG17-BR17)</f>
        <v>0</v>
      </c>
      <c r="BU17">
        <f>(BA17-BG17)/(BA17-BR17)</f>
        <v>0</v>
      </c>
      <c r="BV17">
        <f>(BG17-BF17)/(BG17-AZ17)</f>
        <v>0</v>
      </c>
      <c r="BW17">
        <f>(BA17-BG17)/(BA17-AZ17)</f>
        <v>0</v>
      </c>
      <c r="BX17">
        <f>(BT17*BR17/BF17)</f>
        <v>0</v>
      </c>
      <c r="BY17">
        <f>(1-BX17)</f>
        <v>0</v>
      </c>
      <c r="DH17">
        <f>$B$11*EG17+$C$11*EH17+$F$11*ES17*(1-EV17)</f>
        <v>0</v>
      </c>
      <c r="DI17">
        <f>DH17*DJ17</f>
        <v>0</v>
      </c>
      <c r="DJ17">
        <f>($B$11*$D$9+$C$11*$D$9+$F$11*((FF17+EX17)/MAX(FF17+EX17+FG17, 0.1)*$I$9+FG17/MAX(FF17+EX17+FG17, 0.1)*$J$9))/($B$11+$C$11+$F$11)</f>
        <v>0</v>
      </c>
      <c r="DK17">
        <f>($B$11*$K$9+$C$11*$K$9+$F$11*((FF17+EX17)/MAX(FF17+EX17+FG17, 0.1)*$P$9+FG17/MAX(FF17+EX17+FG17, 0.1)*$Q$9))/($B$11+$C$11+$F$11)</f>
        <v>0</v>
      </c>
      <c r="DL17">
        <v>6</v>
      </c>
      <c r="DM17">
        <v>0.5</v>
      </c>
      <c r="DN17" t="s">
        <v>438</v>
      </c>
      <c r="DO17">
        <v>2</v>
      </c>
      <c r="DP17" t="b">
        <v>1</v>
      </c>
      <c r="DQ17">
        <v>1765297940.5</v>
      </c>
      <c r="DR17">
        <v>399.9375625</v>
      </c>
      <c r="DS17">
        <v>400.0151875</v>
      </c>
      <c r="DT17">
        <v>17.78015625</v>
      </c>
      <c r="DU17">
        <v>17.72875</v>
      </c>
      <c r="DV17">
        <v>392.4865625</v>
      </c>
      <c r="DW17">
        <v>17.71615625</v>
      </c>
      <c r="DX17">
        <v>499.99575</v>
      </c>
      <c r="DY17">
        <v>90.122425</v>
      </c>
      <c r="DZ17">
        <v>0.1000263875</v>
      </c>
      <c r="EA17">
        <v>25.36896875</v>
      </c>
      <c r="EB17">
        <v>24.976925</v>
      </c>
      <c r="EC17">
        <v>999.9</v>
      </c>
      <c r="ED17">
        <v>0</v>
      </c>
      <c r="EE17">
        <v>0</v>
      </c>
      <c r="EF17">
        <v>9999.45625</v>
      </c>
      <c r="EG17">
        <v>0</v>
      </c>
      <c r="EH17">
        <v>12.9815875</v>
      </c>
      <c r="EI17">
        <v>-0.338848125</v>
      </c>
      <c r="EJ17">
        <v>406.98975</v>
      </c>
      <c r="EK17">
        <v>407.2349375</v>
      </c>
      <c r="EL17">
        <v>0.240702875</v>
      </c>
      <c r="EM17">
        <v>400.0151875</v>
      </c>
      <c r="EN17">
        <v>17.72875</v>
      </c>
      <c r="EO17">
        <v>1.619449375</v>
      </c>
      <c r="EP17">
        <v>1.597758125</v>
      </c>
      <c r="EQ17">
        <v>14.145125</v>
      </c>
      <c r="ER17">
        <v>13.93718125</v>
      </c>
      <c r="ES17">
        <v>800.01425</v>
      </c>
      <c r="ET17">
        <v>0.950011</v>
      </c>
      <c r="EU17">
        <v>0.049989</v>
      </c>
      <c r="EV17">
        <v>0</v>
      </c>
      <c r="EW17">
        <v>961.7298125</v>
      </c>
      <c r="EX17">
        <v>5.00016</v>
      </c>
      <c r="EY17">
        <v>7408.485625</v>
      </c>
      <c r="EZ17">
        <v>7194.831875</v>
      </c>
      <c r="FA17">
        <v>40.0659375</v>
      </c>
      <c r="FB17">
        <v>42.812</v>
      </c>
      <c r="FC17">
        <v>41.625</v>
      </c>
      <c r="FD17">
        <v>42.753875</v>
      </c>
      <c r="FE17">
        <v>42.7185</v>
      </c>
      <c r="FF17">
        <v>755.2725</v>
      </c>
      <c r="FG17">
        <v>39.74</v>
      </c>
      <c r="FH17">
        <v>0</v>
      </c>
      <c r="FI17">
        <v>1765297948.9</v>
      </c>
      <c r="FJ17">
        <v>0</v>
      </c>
      <c r="FK17">
        <v>961.737192307692</v>
      </c>
      <c r="FL17">
        <v>-0.331794871282015</v>
      </c>
      <c r="FM17">
        <v>0.530256409534933</v>
      </c>
      <c r="FN17">
        <v>7408.51653846154</v>
      </c>
      <c r="FO17">
        <v>15</v>
      </c>
      <c r="FP17">
        <v>1765297967</v>
      </c>
      <c r="FQ17" t="s">
        <v>439</v>
      </c>
      <c r="FR17">
        <v>1765297967</v>
      </c>
      <c r="FS17">
        <v>1765297967</v>
      </c>
      <c r="FT17">
        <v>1</v>
      </c>
      <c r="FU17">
        <v>0.262</v>
      </c>
      <c r="FV17">
        <v>-0.189</v>
      </c>
      <c r="FW17">
        <v>7.451</v>
      </c>
      <c r="FX17">
        <v>0.064</v>
      </c>
      <c r="FY17">
        <v>400</v>
      </c>
      <c r="FZ17">
        <v>18</v>
      </c>
      <c r="GA17">
        <v>0.56</v>
      </c>
      <c r="GB17">
        <v>0.23</v>
      </c>
      <c r="GC17">
        <v>-0.309850809523809</v>
      </c>
      <c r="GD17">
        <v>-0.422203168831169</v>
      </c>
      <c r="GE17">
        <v>0.0659003677254131</v>
      </c>
      <c r="GF17">
        <v>1</v>
      </c>
      <c r="GG17">
        <v>961.711</v>
      </c>
      <c r="GH17">
        <v>-0.110374330578376</v>
      </c>
      <c r="GI17">
        <v>0.191984374364166</v>
      </c>
      <c r="GJ17">
        <v>-1</v>
      </c>
      <c r="GK17">
        <v>0.240115523809524</v>
      </c>
      <c r="GL17">
        <v>0.0134957922077923</v>
      </c>
      <c r="GM17">
        <v>0.0016331788639993</v>
      </c>
      <c r="GN17">
        <v>1</v>
      </c>
      <c r="GO17">
        <v>2</v>
      </c>
      <c r="GP17">
        <v>2</v>
      </c>
      <c r="GQ17" t="s">
        <v>440</v>
      </c>
      <c r="GR17">
        <v>3.12474</v>
      </c>
      <c r="GS17">
        <v>2.72555</v>
      </c>
      <c r="GT17">
        <v>0.0852032</v>
      </c>
      <c r="GU17">
        <v>0.0864216</v>
      </c>
      <c r="GV17">
        <v>0.0823485</v>
      </c>
      <c r="GW17">
        <v>0.0820604</v>
      </c>
      <c r="GX17">
        <v>24247.7</v>
      </c>
      <c r="GY17">
        <v>22285.4</v>
      </c>
      <c r="GZ17">
        <v>23698.9</v>
      </c>
      <c r="HA17">
        <v>23746.6</v>
      </c>
      <c r="HB17">
        <v>37034.8</v>
      </c>
      <c r="HC17">
        <v>36037</v>
      </c>
      <c r="HD17">
        <v>42688.4</v>
      </c>
      <c r="HE17">
        <v>42293.1</v>
      </c>
      <c r="HF17">
        <v>1.90917</v>
      </c>
      <c r="HG17">
        <v>1.8388</v>
      </c>
      <c r="HH17">
        <v>0.0943989</v>
      </c>
      <c r="HI17">
        <v>0</v>
      </c>
      <c r="HJ17">
        <v>23.4294</v>
      </c>
      <c r="HK17">
        <v>999.9</v>
      </c>
      <c r="HL17">
        <v>50.714</v>
      </c>
      <c r="HM17">
        <v>28.48</v>
      </c>
      <c r="HN17">
        <v>21.9606</v>
      </c>
      <c r="HO17">
        <v>54.6912</v>
      </c>
      <c r="HP17">
        <v>46.6707</v>
      </c>
      <c r="HQ17">
        <v>1</v>
      </c>
      <c r="HR17">
        <v>-0.0489202</v>
      </c>
      <c r="HS17">
        <v>0.987296</v>
      </c>
      <c r="HT17">
        <v>20.23</v>
      </c>
      <c r="HU17">
        <v>5.23466</v>
      </c>
      <c r="HV17">
        <v>11.992</v>
      </c>
      <c r="HW17">
        <v>4.9562</v>
      </c>
      <c r="HX17">
        <v>3.304</v>
      </c>
      <c r="HY17">
        <v>999.9</v>
      </c>
      <c r="HZ17">
        <v>9999</v>
      </c>
      <c r="IA17">
        <v>9999</v>
      </c>
      <c r="IB17">
        <v>9999</v>
      </c>
      <c r="IC17">
        <v>1.86905</v>
      </c>
      <c r="ID17">
        <v>1.86478</v>
      </c>
      <c r="IE17">
        <v>1.87241</v>
      </c>
      <c r="IF17">
        <v>1.86332</v>
      </c>
      <c r="IG17">
        <v>1.86266</v>
      </c>
      <c r="IH17">
        <v>1.86909</v>
      </c>
      <c r="II17">
        <v>1.85928</v>
      </c>
      <c r="IJ17">
        <v>1.86562</v>
      </c>
      <c r="IK17">
        <v>5</v>
      </c>
      <c r="IL17">
        <v>0</v>
      </c>
      <c r="IM17">
        <v>0</v>
      </c>
      <c r="IN17">
        <v>0</v>
      </c>
      <c r="IO17" t="s">
        <v>441</v>
      </c>
      <c r="IP17" t="s">
        <v>442</v>
      </c>
      <c r="IQ17" t="s">
        <v>443</v>
      </c>
      <c r="IR17" t="s">
        <v>443</v>
      </c>
      <c r="IS17" t="s">
        <v>443</v>
      </c>
      <c r="IT17" t="s">
        <v>443</v>
      </c>
      <c r="IU17">
        <v>0</v>
      </c>
      <c r="IV17">
        <v>100</v>
      </c>
      <c r="IW17">
        <v>100</v>
      </c>
      <c r="IX17">
        <v>7.451</v>
      </c>
      <c r="IY17">
        <v>0.064</v>
      </c>
      <c r="IZ17">
        <v>5.17820968438624</v>
      </c>
      <c r="JA17">
        <v>0.0062698613543794</v>
      </c>
      <c r="JB17">
        <v>-3.23243345529816e-06</v>
      </c>
      <c r="JC17">
        <v>8.00506428382295e-10</v>
      </c>
      <c r="JD17">
        <v>0.0941681615019411</v>
      </c>
      <c r="JE17">
        <v>-0.0018464610107002</v>
      </c>
      <c r="JF17">
        <v>0.000796540623429801</v>
      </c>
      <c r="JG17">
        <v>-1.04619914107352e-05</v>
      </c>
      <c r="JH17">
        <v>-0</v>
      </c>
      <c r="JI17">
        <v>2101</v>
      </c>
      <c r="JJ17">
        <v>1</v>
      </c>
      <c r="JK17">
        <v>23</v>
      </c>
      <c r="JL17">
        <v>29421632.5</v>
      </c>
      <c r="JM17">
        <v>29421632.5</v>
      </c>
      <c r="JN17">
        <v>1.00952</v>
      </c>
      <c r="JO17">
        <v>2.35718</v>
      </c>
      <c r="JP17">
        <v>1.49902</v>
      </c>
      <c r="JQ17">
        <v>2.33765</v>
      </c>
      <c r="JR17">
        <v>1.54419</v>
      </c>
      <c r="JS17">
        <v>2.30469</v>
      </c>
      <c r="JT17">
        <v>36.1754</v>
      </c>
      <c r="JU17">
        <v>24.14</v>
      </c>
      <c r="JV17">
        <v>18</v>
      </c>
      <c r="JW17">
        <v>539.949</v>
      </c>
      <c r="JX17">
        <v>437.78</v>
      </c>
      <c r="JY17">
        <v>22.1783</v>
      </c>
      <c r="JZ17">
        <v>26.8441</v>
      </c>
      <c r="KA17">
        <v>29.9998</v>
      </c>
      <c r="KB17">
        <v>26.9015</v>
      </c>
      <c r="KC17">
        <v>26.9311</v>
      </c>
      <c r="KD17">
        <v>20.2427</v>
      </c>
      <c r="KE17">
        <v>32.537</v>
      </c>
      <c r="KF17">
        <v>91.4031</v>
      </c>
      <c r="KG17">
        <v>22.1892</v>
      </c>
      <c r="KH17">
        <v>400</v>
      </c>
      <c r="KI17">
        <v>17.754</v>
      </c>
      <c r="KJ17">
        <v>95.7053</v>
      </c>
      <c r="KK17">
        <v>98.6122</v>
      </c>
    </row>
    <row r="18" spans="1:297">
      <c r="A18">
        <v>2</v>
      </c>
      <c r="B18">
        <v>1765298044</v>
      </c>
      <c r="C18">
        <v>95</v>
      </c>
      <c r="D18" t="s">
        <v>444</v>
      </c>
      <c r="E18" t="s">
        <v>445</v>
      </c>
      <c r="F18">
        <v>5</v>
      </c>
      <c r="G18" t="s">
        <v>435</v>
      </c>
      <c r="H18" t="s">
        <v>436</v>
      </c>
      <c r="I18">
        <v>1765298035.5</v>
      </c>
      <c r="J18">
        <f>(K18)/1000</f>
        <v>0</v>
      </c>
      <c r="K18">
        <f>IF(DP18, AN18, AH18)</f>
        <v>0</v>
      </c>
      <c r="L18">
        <f>IF(DP18, AI18, AG18)</f>
        <v>0</v>
      </c>
      <c r="M18">
        <f>DR18 - IF(AU18&gt;1, L18*DL18*100.0/(AW18), 0)</f>
        <v>0</v>
      </c>
      <c r="N18">
        <f>((T18-J18/2)*M18-L18)/(T18+J18/2)</f>
        <v>0</v>
      </c>
      <c r="O18">
        <f>N18*(DY18+DZ18)/1000.0</f>
        <v>0</v>
      </c>
      <c r="P18">
        <f>(DR18 - IF(AU18&gt;1, L18*DL18*100.0/(AW18), 0))*(DY18+DZ18)/1000.0</f>
        <v>0</v>
      </c>
      <c r="Q18">
        <f>2.0/((1/S18-1/R18)+SIGN(S18)*SQRT((1/S18-1/R18)*(1/S18-1/R18) + 4*DM18/((DM18+1)*(DM18+1))*(2*1/S18*1/R18-1/R18*1/R18)))</f>
        <v>0</v>
      </c>
      <c r="R18">
        <f>IF(LEFT(DN18,1)&lt;&gt;"0",IF(LEFT(DN18,1)="1",3.0,DO18),$D$5+$E$5*(EF18*DY18/($K$5*1000))+$F$5*(EF18*DY18/($K$5*1000))*MAX(MIN(DL18,$J$5),$I$5)*MAX(MIN(DL18,$J$5),$I$5)+$G$5*MAX(MIN(DL18,$J$5),$I$5)*(EF18*DY18/($K$5*1000))+$H$5*(EF18*DY18/($K$5*1000))*(EF18*DY18/($K$5*1000)))</f>
        <v>0</v>
      </c>
      <c r="S18">
        <f>J18*(1000-(1000*0.61365*exp(17.502*W18/(240.97+W18))/(DY18+DZ18)+DT18)/2)/(1000*0.61365*exp(17.502*W18/(240.97+W18))/(DY18+DZ18)-DT18)</f>
        <v>0</v>
      </c>
      <c r="T18">
        <f>1/((DM18+1)/(Q18/1.6)+1/(R18/1.37)) + DM18/((DM18+1)/(Q18/1.6) + DM18/(R18/1.37))</f>
        <v>0</v>
      </c>
      <c r="U18">
        <f>(DH18*DK18)</f>
        <v>0</v>
      </c>
      <c r="V18">
        <f>(EA18+(U18+2*0.95*5.67E-8*(((EA18+$B$7)+273)^4-(EA18+273)^4)-44100*J18)/(1.84*29.3*R18+8*0.95*5.67E-8*(EA18+273)^3))</f>
        <v>0</v>
      </c>
      <c r="W18">
        <f>($C$7*EB18+$D$7*EC18+$E$7*V18)</f>
        <v>0</v>
      </c>
      <c r="X18">
        <f>0.61365*exp(17.502*W18/(240.97+W18))</f>
        <v>0</v>
      </c>
      <c r="Y18">
        <f>(Z18/AA18*100)</f>
        <v>0</v>
      </c>
      <c r="Z18">
        <f>DT18*(DY18+DZ18)/1000</f>
        <v>0</v>
      </c>
      <c r="AA18">
        <f>0.61365*exp(17.502*EA18/(240.97+EA18))</f>
        <v>0</v>
      </c>
      <c r="AB18">
        <f>(X18-DT18*(DY18+DZ18)/1000)</f>
        <v>0</v>
      </c>
      <c r="AC18">
        <f>(-J18*44100)</f>
        <v>0</v>
      </c>
      <c r="AD18">
        <f>2*29.3*R18*0.92*(EA18-W18)</f>
        <v>0</v>
      </c>
      <c r="AE18">
        <f>2*0.95*5.67E-8*(((EA18+$B$7)+273)^4-(W18+273)^4)</f>
        <v>0</v>
      </c>
      <c r="AF18">
        <f>U18+AE18+AC18+AD18</f>
        <v>0</v>
      </c>
      <c r="AG18">
        <f>DX18*AU18*(DS18-DR18*(1000-AU18*DU18)/(1000-AU18*DT18))/(100*DL18)</f>
        <v>0</v>
      </c>
      <c r="AH18">
        <f>1000*DX18*AU18*(DT18-DU18)/(100*DL18*(1000-AU18*DT18))</f>
        <v>0</v>
      </c>
      <c r="AI18">
        <f>(AJ18 - AK18 - DY18*1E3/(8.314*(EA18+273.15)) * AM18/DX18 * AL18) * DX18/(100*DL18) * (1000 - DU18)/1000</f>
        <v>0</v>
      </c>
      <c r="AJ18">
        <v>305.490168791734</v>
      </c>
      <c r="AK18">
        <v>306.030527272727</v>
      </c>
      <c r="AL18">
        <v>0.00905277267058886</v>
      </c>
      <c r="AM18">
        <v>63.3725825343222</v>
      </c>
      <c r="AN18">
        <f>(AP18 - AO18 + DY18*1E3/(8.314*(EA18+273.15)) * AR18/DX18 * AQ18) * DX18/(100*DL18) * 1000/(1000 - AP18)</f>
        <v>0</v>
      </c>
      <c r="AO18">
        <v>17.9498167195026</v>
      </c>
      <c r="AP18">
        <v>17.9877642424242</v>
      </c>
      <c r="AQ18">
        <v>1.91524768636784e-05</v>
      </c>
      <c r="AR18">
        <v>107.676822651452</v>
      </c>
      <c r="AS18">
        <v>5</v>
      </c>
      <c r="AT18">
        <v>1</v>
      </c>
      <c r="AU18">
        <f>IF(AS18*$H$13&gt;=AW18,1.0,(AW18/(AW18-AS18*$H$13)))</f>
        <v>0</v>
      </c>
      <c r="AV18">
        <f>(AU18-1)*100</f>
        <v>0</v>
      </c>
      <c r="AW18">
        <f>MAX(0,($B$13+$C$13*EF18)/(1+$D$13*EF18)*DY18/(EA18+273)*$E$13)</f>
        <v>0</v>
      </c>
      <c r="AX18" t="s">
        <v>437</v>
      </c>
      <c r="AY18" t="s">
        <v>437</v>
      </c>
      <c r="AZ18">
        <v>0</v>
      </c>
      <c r="BA18">
        <v>0</v>
      </c>
      <c r="BB18">
        <f>1-AZ18/BA18</f>
        <v>0</v>
      </c>
      <c r="BC18">
        <v>0</v>
      </c>
      <c r="BD18" t="s">
        <v>437</v>
      </c>
      <c r="BE18" t="s">
        <v>437</v>
      </c>
      <c r="BF18">
        <v>0</v>
      </c>
      <c r="BG18">
        <v>0</v>
      </c>
      <c r="BH18">
        <f>1-BF18/BG18</f>
        <v>0</v>
      </c>
      <c r="BI18">
        <v>0.5</v>
      </c>
      <c r="BJ18">
        <f>DI18</f>
        <v>0</v>
      </c>
      <c r="BK18">
        <f>L18</f>
        <v>0</v>
      </c>
      <c r="BL18">
        <f>BH18*BI18*BJ18</f>
        <v>0</v>
      </c>
      <c r="BM18">
        <f>(BK18-BC18)/BJ18</f>
        <v>0</v>
      </c>
      <c r="BN18">
        <f>(BA18-BG18)/BG18</f>
        <v>0</v>
      </c>
      <c r="BO18">
        <f>AZ18/(BB18+AZ18/BG18)</f>
        <v>0</v>
      </c>
      <c r="BP18" t="s">
        <v>437</v>
      </c>
      <c r="BQ18">
        <v>0</v>
      </c>
      <c r="BR18">
        <f>IF(BQ18&lt;&gt;0, BQ18, BO18)</f>
        <v>0</v>
      </c>
      <c r="BS18">
        <f>1-BR18/BG18</f>
        <v>0</v>
      </c>
      <c r="BT18">
        <f>(BG18-BF18)/(BG18-BR18)</f>
        <v>0</v>
      </c>
      <c r="BU18">
        <f>(BA18-BG18)/(BA18-BR18)</f>
        <v>0</v>
      </c>
      <c r="BV18">
        <f>(BG18-BF18)/(BG18-AZ18)</f>
        <v>0</v>
      </c>
      <c r="BW18">
        <f>(BA18-BG18)/(BA18-AZ18)</f>
        <v>0</v>
      </c>
      <c r="BX18">
        <f>(BT18*BR18/BF18)</f>
        <v>0</v>
      </c>
      <c r="BY18">
        <f>(1-BX18)</f>
        <v>0</v>
      </c>
      <c r="DH18">
        <f>$B$11*EG18+$C$11*EH18+$F$11*ES18*(1-EV18)</f>
        <v>0</v>
      </c>
      <c r="DI18">
        <f>DH18*DJ18</f>
        <v>0</v>
      </c>
      <c r="DJ18">
        <f>($B$11*$D$9+$C$11*$D$9+$F$11*((FF18+EX18)/MAX(FF18+EX18+FG18, 0.1)*$I$9+FG18/MAX(FF18+EX18+FG18, 0.1)*$J$9))/($B$11+$C$11+$F$11)</f>
        <v>0</v>
      </c>
      <c r="DK18">
        <f>($B$11*$K$9+$C$11*$K$9+$F$11*((FF18+EX18)/MAX(FF18+EX18+FG18, 0.1)*$P$9+FG18/MAX(FF18+EX18+FG18, 0.1)*$Q$9))/($B$11+$C$11+$F$11)</f>
        <v>0</v>
      </c>
      <c r="DL18">
        <v>6</v>
      </c>
      <c r="DM18">
        <v>0.5</v>
      </c>
      <c r="DN18" t="s">
        <v>438</v>
      </c>
      <c r="DO18">
        <v>2</v>
      </c>
      <c r="DP18" t="b">
        <v>1</v>
      </c>
      <c r="DQ18">
        <v>1765298035.5</v>
      </c>
      <c r="DR18">
        <v>300.0541875</v>
      </c>
      <c r="DS18">
        <v>299.9983125</v>
      </c>
      <c r="DT18">
        <v>17.9901875</v>
      </c>
      <c r="DU18">
        <v>17.957225</v>
      </c>
      <c r="DV18">
        <v>293.4821875</v>
      </c>
      <c r="DW18">
        <v>17.9201875</v>
      </c>
      <c r="DX18">
        <v>499.999625</v>
      </c>
      <c r="DY18">
        <v>90.11571875</v>
      </c>
      <c r="DZ18">
        <v>0.09995015625</v>
      </c>
      <c r="EA18">
        <v>25.37593125</v>
      </c>
      <c r="EB18">
        <v>24.9830625</v>
      </c>
      <c r="EC18">
        <v>999.9</v>
      </c>
      <c r="ED18">
        <v>0</v>
      </c>
      <c r="EE18">
        <v>0</v>
      </c>
      <c r="EF18">
        <v>10006.055</v>
      </c>
      <c r="EG18">
        <v>0</v>
      </c>
      <c r="EH18">
        <v>13.0202</v>
      </c>
      <c r="EI18">
        <v>0.505647625</v>
      </c>
      <c r="EJ18">
        <v>306.008375</v>
      </c>
      <c r="EK18">
        <v>305.48375</v>
      </c>
      <c r="EL18">
        <v>0.03098975625</v>
      </c>
      <c r="EM18">
        <v>299.9983125</v>
      </c>
      <c r="EN18">
        <v>17.957225</v>
      </c>
      <c r="EO18">
        <v>1.62102125</v>
      </c>
      <c r="EP18">
        <v>1.618229375</v>
      </c>
      <c r="EQ18">
        <v>14.1600875</v>
      </c>
      <c r="ER18">
        <v>14.13346875</v>
      </c>
      <c r="ES18">
        <v>800.0173125</v>
      </c>
      <c r="ET18">
        <v>0.9500098125</v>
      </c>
      <c r="EU18">
        <v>0.0499901375</v>
      </c>
      <c r="EV18">
        <v>0</v>
      </c>
      <c r="EW18">
        <v>962.2229375</v>
      </c>
      <c r="EX18">
        <v>5.00016</v>
      </c>
      <c r="EY18">
        <v>7409.998125</v>
      </c>
      <c r="EZ18">
        <v>7194.856875</v>
      </c>
      <c r="FA18">
        <v>40</v>
      </c>
      <c r="FB18">
        <v>42.75</v>
      </c>
      <c r="FC18">
        <v>41.53875</v>
      </c>
      <c r="FD18">
        <v>42.625</v>
      </c>
      <c r="FE18">
        <v>42.625</v>
      </c>
      <c r="FF18">
        <v>755.27375</v>
      </c>
      <c r="FG18">
        <v>39.74</v>
      </c>
      <c r="FH18">
        <v>0</v>
      </c>
      <c r="FI18">
        <v>1765298044.3</v>
      </c>
      <c r="FJ18">
        <v>0</v>
      </c>
      <c r="FK18">
        <v>962.21428</v>
      </c>
      <c r="FL18">
        <v>-0.914307702049287</v>
      </c>
      <c r="FM18">
        <v>2.37461538889033</v>
      </c>
      <c r="FN18">
        <v>7409.894</v>
      </c>
      <c r="FO18">
        <v>15</v>
      </c>
      <c r="FP18">
        <v>1765298069</v>
      </c>
      <c r="FQ18" t="s">
        <v>446</v>
      </c>
      <c r="FR18">
        <v>1765298069</v>
      </c>
      <c r="FS18">
        <v>1765298064</v>
      </c>
      <c r="FT18">
        <v>2</v>
      </c>
      <c r="FU18">
        <v>-0.449</v>
      </c>
      <c r="FV18">
        <v>0.003</v>
      </c>
      <c r="FW18">
        <v>6.572</v>
      </c>
      <c r="FX18">
        <v>0.07</v>
      </c>
      <c r="FY18">
        <v>300</v>
      </c>
      <c r="FZ18">
        <v>18</v>
      </c>
      <c r="GA18">
        <v>0.59</v>
      </c>
      <c r="GB18">
        <v>0.2</v>
      </c>
      <c r="GC18">
        <v>0.5203796</v>
      </c>
      <c r="GD18">
        <v>-0.375630586466166</v>
      </c>
      <c r="GE18">
        <v>0.0539704747768629</v>
      </c>
      <c r="GF18">
        <v>1</v>
      </c>
      <c r="GG18">
        <v>962.199558823529</v>
      </c>
      <c r="GH18">
        <v>-0.247685257719766</v>
      </c>
      <c r="GI18">
        <v>0.216085521084005</v>
      </c>
      <c r="GJ18">
        <v>-1</v>
      </c>
      <c r="GK18">
        <v>0.029337015</v>
      </c>
      <c r="GL18">
        <v>0.0409161338345865</v>
      </c>
      <c r="GM18">
        <v>0.0042296893085988</v>
      </c>
      <c r="GN18">
        <v>1</v>
      </c>
      <c r="GO18">
        <v>2</v>
      </c>
      <c r="GP18">
        <v>2</v>
      </c>
      <c r="GQ18" t="s">
        <v>440</v>
      </c>
      <c r="GR18">
        <v>3.12472</v>
      </c>
      <c r="GS18">
        <v>2.72574</v>
      </c>
      <c r="GT18">
        <v>0.0675616</v>
      </c>
      <c r="GU18">
        <v>0.0687871</v>
      </c>
      <c r="GV18">
        <v>0.0830486</v>
      </c>
      <c r="GW18">
        <v>0.0828141</v>
      </c>
      <c r="GX18">
        <v>24719.3</v>
      </c>
      <c r="GY18">
        <v>22720.2</v>
      </c>
      <c r="GZ18">
        <v>23702.4</v>
      </c>
      <c r="HA18">
        <v>23751.1</v>
      </c>
      <c r="HB18">
        <v>37009</v>
      </c>
      <c r="HC18">
        <v>36012.9</v>
      </c>
      <c r="HD18">
        <v>42693.2</v>
      </c>
      <c r="HE18">
        <v>42301</v>
      </c>
      <c r="HF18">
        <v>1.90985</v>
      </c>
      <c r="HG18">
        <v>1.83955</v>
      </c>
      <c r="HH18">
        <v>0.0983849</v>
      </c>
      <c r="HI18">
        <v>0</v>
      </c>
      <c r="HJ18">
        <v>23.3695</v>
      </c>
      <c r="HK18">
        <v>999.9</v>
      </c>
      <c r="HL18">
        <v>50.519</v>
      </c>
      <c r="HM18">
        <v>28.54</v>
      </c>
      <c r="HN18">
        <v>21.9516</v>
      </c>
      <c r="HO18">
        <v>54.4912</v>
      </c>
      <c r="HP18">
        <v>46.7949</v>
      </c>
      <c r="HQ18">
        <v>1</v>
      </c>
      <c r="HR18">
        <v>-0.0568979</v>
      </c>
      <c r="HS18">
        <v>0.950632</v>
      </c>
      <c r="HT18">
        <v>20.2302</v>
      </c>
      <c r="HU18">
        <v>5.23406</v>
      </c>
      <c r="HV18">
        <v>11.992</v>
      </c>
      <c r="HW18">
        <v>4.9558</v>
      </c>
      <c r="HX18">
        <v>3.304</v>
      </c>
      <c r="HY18">
        <v>999.9</v>
      </c>
      <c r="HZ18">
        <v>9999</v>
      </c>
      <c r="IA18">
        <v>9999</v>
      </c>
      <c r="IB18">
        <v>9999</v>
      </c>
      <c r="IC18">
        <v>1.86905</v>
      </c>
      <c r="ID18">
        <v>1.86477</v>
      </c>
      <c r="IE18">
        <v>1.87241</v>
      </c>
      <c r="IF18">
        <v>1.86331</v>
      </c>
      <c r="IG18">
        <v>1.86265</v>
      </c>
      <c r="IH18">
        <v>1.86907</v>
      </c>
      <c r="II18">
        <v>1.85928</v>
      </c>
      <c r="IJ18">
        <v>1.86568</v>
      </c>
      <c r="IK18">
        <v>5</v>
      </c>
      <c r="IL18">
        <v>0</v>
      </c>
      <c r="IM18">
        <v>0</v>
      </c>
      <c r="IN18">
        <v>0</v>
      </c>
      <c r="IO18" t="s">
        <v>441</v>
      </c>
      <c r="IP18" t="s">
        <v>442</v>
      </c>
      <c r="IQ18" t="s">
        <v>443</v>
      </c>
      <c r="IR18" t="s">
        <v>443</v>
      </c>
      <c r="IS18" t="s">
        <v>443</v>
      </c>
      <c r="IT18" t="s">
        <v>443</v>
      </c>
      <c r="IU18">
        <v>0</v>
      </c>
      <c r="IV18">
        <v>100</v>
      </c>
      <c r="IW18">
        <v>100</v>
      </c>
      <c r="IX18">
        <v>6.572</v>
      </c>
      <c r="IY18">
        <v>0.07</v>
      </c>
      <c r="IZ18">
        <v>5.43976947793181</v>
      </c>
      <c r="JA18">
        <v>0.0062698613543794</v>
      </c>
      <c r="JB18">
        <v>-3.23243345529816e-06</v>
      </c>
      <c r="JC18">
        <v>8.00506428382295e-10</v>
      </c>
      <c r="JD18">
        <v>-0.0944833054159902</v>
      </c>
      <c r="JE18">
        <v>-0.0018464610107002</v>
      </c>
      <c r="JF18">
        <v>0.000796540623429801</v>
      </c>
      <c r="JG18">
        <v>-1.04619914107352e-05</v>
      </c>
      <c r="JH18">
        <v>-0</v>
      </c>
      <c r="JI18">
        <v>2101</v>
      </c>
      <c r="JJ18">
        <v>1</v>
      </c>
      <c r="JK18">
        <v>23</v>
      </c>
      <c r="JL18">
        <v>1.3</v>
      </c>
      <c r="JM18">
        <v>1.3</v>
      </c>
      <c r="JN18">
        <v>0.806885</v>
      </c>
      <c r="JO18">
        <v>2.3584</v>
      </c>
      <c r="JP18">
        <v>1.4978</v>
      </c>
      <c r="JQ18">
        <v>2.33765</v>
      </c>
      <c r="JR18">
        <v>1.54419</v>
      </c>
      <c r="JS18">
        <v>2.3877</v>
      </c>
      <c r="JT18">
        <v>36.2694</v>
      </c>
      <c r="JU18">
        <v>24.1488</v>
      </c>
      <c r="JV18">
        <v>18</v>
      </c>
      <c r="JW18">
        <v>539.661</v>
      </c>
      <c r="JX18">
        <v>437.592</v>
      </c>
      <c r="JY18">
        <v>22.1715</v>
      </c>
      <c r="JZ18">
        <v>26.7511</v>
      </c>
      <c r="KA18">
        <v>29.9997</v>
      </c>
      <c r="KB18">
        <v>26.8178</v>
      </c>
      <c r="KC18">
        <v>26.8491</v>
      </c>
      <c r="KD18">
        <v>16.1937</v>
      </c>
      <c r="KE18">
        <v>31.0243</v>
      </c>
      <c r="KF18">
        <v>91.032</v>
      </c>
      <c r="KG18">
        <v>22.1821</v>
      </c>
      <c r="KH18">
        <v>300</v>
      </c>
      <c r="KI18">
        <v>17.9992</v>
      </c>
      <c r="KJ18">
        <v>95.7172</v>
      </c>
      <c r="KK18">
        <v>98.6306</v>
      </c>
    </row>
    <row r="19" spans="1:297">
      <c r="A19">
        <v>3</v>
      </c>
      <c r="B19">
        <v>1765298138</v>
      </c>
      <c r="C19">
        <v>189</v>
      </c>
      <c r="D19" t="s">
        <v>447</v>
      </c>
      <c r="E19" t="s">
        <v>448</v>
      </c>
      <c r="F19">
        <v>5</v>
      </c>
      <c r="G19" t="s">
        <v>435</v>
      </c>
      <c r="H19" t="s">
        <v>436</v>
      </c>
      <c r="I19">
        <v>1765298129.5</v>
      </c>
      <c r="J19">
        <f>(K19)/1000</f>
        <v>0</v>
      </c>
      <c r="K19">
        <f>IF(DP19, AN19, AH19)</f>
        <v>0</v>
      </c>
      <c r="L19">
        <f>IF(DP19, AI19, AG19)</f>
        <v>0</v>
      </c>
      <c r="M19">
        <f>DR19 - IF(AU19&gt;1, L19*DL19*100.0/(AW19), 0)</f>
        <v>0</v>
      </c>
      <c r="N19">
        <f>((T19-J19/2)*M19-L19)/(T19+J19/2)</f>
        <v>0</v>
      </c>
      <c r="O19">
        <f>N19*(DY19+DZ19)/1000.0</f>
        <v>0</v>
      </c>
      <c r="P19">
        <f>(DR19 - IF(AU19&gt;1, L19*DL19*100.0/(AW19), 0))*(DY19+DZ19)/1000.0</f>
        <v>0</v>
      </c>
      <c r="Q19">
        <f>2.0/((1/S19-1/R19)+SIGN(S19)*SQRT((1/S19-1/R19)*(1/S19-1/R19) + 4*DM19/((DM19+1)*(DM19+1))*(2*1/S19*1/R19-1/R19*1/R19)))</f>
        <v>0</v>
      </c>
      <c r="R19">
        <f>IF(LEFT(DN19,1)&lt;&gt;"0",IF(LEFT(DN19,1)="1",3.0,DO19),$D$5+$E$5*(EF19*DY19/($K$5*1000))+$F$5*(EF19*DY19/($K$5*1000))*MAX(MIN(DL19,$J$5),$I$5)*MAX(MIN(DL19,$J$5),$I$5)+$G$5*MAX(MIN(DL19,$J$5),$I$5)*(EF19*DY19/($K$5*1000))+$H$5*(EF19*DY19/($K$5*1000))*(EF19*DY19/($K$5*1000)))</f>
        <v>0</v>
      </c>
      <c r="S19">
        <f>J19*(1000-(1000*0.61365*exp(17.502*W19/(240.97+W19))/(DY19+DZ19)+DT19)/2)/(1000*0.61365*exp(17.502*W19/(240.97+W19))/(DY19+DZ19)-DT19)</f>
        <v>0</v>
      </c>
      <c r="T19">
        <f>1/((DM19+1)/(Q19/1.6)+1/(R19/1.37)) + DM19/((DM19+1)/(Q19/1.6) + DM19/(R19/1.37))</f>
        <v>0</v>
      </c>
      <c r="U19">
        <f>(DH19*DK19)</f>
        <v>0</v>
      </c>
      <c r="V19">
        <f>(EA19+(U19+2*0.95*5.67E-8*(((EA19+$B$7)+273)^4-(EA19+273)^4)-44100*J19)/(1.84*29.3*R19+8*0.95*5.67E-8*(EA19+273)^3))</f>
        <v>0</v>
      </c>
      <c r="W19">
        <f>($C$7*EB19+$D$7*EC19+$E$7*V19)</f>
        <v>0</v>
      </c>
      <c r="X19">
        <f>0.61365*exp(17.502*W19/(240.97+W19))</f>
        <v>0</v>
      </c>
      <c r="Y19">
        <f>(Z19/AA19*100)</f>
        <v>0</v>
      </c>
      <c r="Z19">
        <f>DT19*(DY19+DZ19)/1000</f>
        <v>0</v>
      </c>
      <c r="AA19">
        <f>0.61365*exp(17.502*EA19/(240.97+EA19))</f>
        <v>0</v>
      </c>
      <c r="AB19">
        <f>(X19-DT19*(DY19+DZ19)/1000)</f>
        <v>0</v>
      </c>
      <c r="AC19">
        <f>(-J19*44100)</f>
        <v>0</v>
      </c>
      <c r="AD19">
        <f>2*29.3*R19*0.92*(EA19-W19)</f>
        <v>0</v>
      </c>
      <c r="AE19">
        <f>2*0.95*5.67E-8*(((EA19+$B$7)+273)^4-(W19+273)^4)</f>
        <v>0</v>
      </c>
      <c r="AF19">
        <f>U19+AE19+AC19+AD19</f>
        <v>0</v>
      </c>
      <c r="AG19">
        <f>DX19*AU19*(DS19-DR19*(1000-AU19*DU19)/(1000-AU19*DT19))/(100*DL19)</f>
        <v>0</v>
      </c>
      <c r="AH19">
        <f>1000*DX19*AU19*(DT19-DU19)/(100*DL19*(1000-AU19*DT19))</f>
        <v>0</v>
      </c>
      <c r="AI19">
        <f>(AJ19 - AK19 - DY19*1E3/(8.314*(EA19+273.15)) * AM19/DX19 * AL19) * DX19/(100*DL19) * (1000 - DU19)/1000</f>
        <v>0</v>
      </c>
      <c r="AJ19">
        <v>203.616597686985</v>
      </c>
      <c r="AK19">
        <v>203.947442424242</v>
      </c>
      <c r="AL19">
        <v>-0.00391484989315858</v>
      </c>
      <c r="AM19">
        <v>63.3046383373653</v>
      </c>
      <c r="AN19">
        <f>(AP19 - AO19 + DY19*1E3/(8.314*(EA19+273.15)) * AR19/DX19 * AQ19) * DX19/(100*DL19) * 1000/(1000 - AP19)</f>
        <v>0</v>
      </c>
      <c r="AO19">
        <v>17.9497182149312</v>
      </c>
      <c r="AP19">
        <v>18.0071084848485</v>
      </c>
      <c r="AQ19">
        <v>-3.70381466753629e-06</v>
      </c>
      <c r="AR19">
        <v>108.340794102092</v>
      </c>
      <c r="AS19">
        <v>5</v>
      </c>
      <c r="AT19">
        <v>1</v>
      </c>
      <c r="AU19">
        <f>IF(AS19*$H$13&gt;=AW19,1.0,(AW19/(AW19-AS19*$H$13)))</f>
        <v>0</v>
      </c>
      <c r="AV19">
        <f>(AU19-1)*100</f>
        <v>0</v>
      </c>
      <c r="AW19">
        <f>MAX(0,($B$13+$C$13*EF19)/(1+$D$13*EF19)*DY19/(EA19+273)*$E$13)</f>
        <v>0</v>
      </c>
      <c r="AX19" t="s">
        <v>437</v>
      </c>
      <c r="AY19" t="s">
        <v>437</v>
      </c>
      <c r="AZ19">
        <v>0</v>
      </c>
      <c r="BA19">
        <v>0</v>
      </c>
      <c r="BB19">
        <f>1-AZ19/BA19</f>
        <v>0</v>
      </c>
      <c r="BC19">
        <v>0</v>
      </c>
      <c r="BD19" t="s">
        <v>437</v>
      </c>
      <c r="BE19" t="s">
        <v>437</v>
      </c>
      <c r="BF19">
        <v>0</v>
      </c>
      <c r="BG19">
        <v>0</v>
      </c>
      <c r="BH19">
        <f>1-BF19/BG19</f>
        <v>0</v>
      </c>
      <c r="BI19">
        <v>0.5</v>
      </c>
      <c r="BJ19">
        <f>DI19</f>
        <v>0</v>
      </c>
      <c r="BK19">
        <f>L19</f>
        <v>0</v>
      </c>
      <c r="BL19">
        <f>BH19*BI19*BJ19</f>
        <v>0</v>
      </c>
      <c r="BM19">
        <f>(BK19-BC19)/BJ19</f>
        <v>0</v>
      </c>
      <c r="BN19">
        <f>(BA19-BG19)/BG19</f>
        <v>0</v>
      </c>
      <c r="BO19">
        <f>AZ19/(BB19+AZ19/BG19)</f>
        <v>0</v>
      </c>
      <c r="BP19" t="s">
        <v>437</v>
      </c>
      <c r="BQ19">
        <v>0</v>
      </c>
      <c r="BR19">
        <f>IF(BQ19&lt;&gt;0, BQ19, BO19)</f>
        <v>0</v>
      </c>
      <c r="BS19">
        <f>1-BR19/BG19</f>
        <v>0</v>
      </c>
      <c r="BT19">
        <f>(BG19-BF19)/(BG19-BR19)</f>
        <v>0</v>
      </c>
      <c r="BU19">
        <f>(BA19-BG19)/(BA19-BR19)</f>
        <v>0</v>
      </c>
      <c r="BV19">
        <f>(BG19-BF19)/(BG19-AZ19)</f>
        <v>0</v>
      </c>
      <c r="BW19">
        <f>(BA19-BG19)/(BA19-AZ19)</f>
        <v>0</v>
      </c>
      <c r="BX19">
        <f>(BT19*BR19/BF19)</f>
        <v>0</v>
      </c>
      <c r="BY19">
        <f>(1-BX19)</f>
        <v>0</v>
      </c>
      <c r="DH19">
        <f>$B$11*EG19+$C$11*EH19+$F$11*ES19*(1-EV19)</f>
        <v>0</v>
      </c>
      <c r="DI19">
        <f>DH19*DJ19</f>
        <v>0</v>
      </c>
      <c r="DJ19">
        <f>($B$11*$D$9+$C$11*$D$9+$F$11*((FF19+EX19)/MAX(FF19+EX19+FG19, 0.1)*$I$9+FG19/MAX(FF19+EX19+FG19, 0.1)*$J$9))/($B$11+$C$11+$F$11)</f>
        <v>0</v>
      </c>
      <c r="DK19">
        <f>($B$11*$K$9+$C$11*$K$9+$F$11*((FF19+EX19)/MAX(FF19+EX19+FG19, 0.1)*$P$9+FG19/MAX(FF19+EX19+FG19, 0.1)*$Q$9))/($B$11+$C$11+$F$11)</f>
        <v>0</v>
      </c>
      <c r="DL19">
        <v>6</v>
      </c>
      <c r="DM19">
        <v>0.5</v>
      </c>
      <c r="DN19" t="s">
        <v>438</v>
      </c>
      <c r="DO19">
        <v>2</v>
      </c>
      <c r="DP19" t="b">
        <v>1</v>
      </c>
      <c r="DQ19">
        <v>1765298129.5</v>
      </c>
      <c r="DR19">
        <v>200.20525</v>
      </c>
      <c r="DS19">
        <v>199.982625</v>
      </c>
      <c r="DT19">
        <v>18.0054375</v>
      </c>
      <c r="DU19">
        <v>17.9518375</v>
      </c>
      <c r="DV19">
        <v>194.24825</v>
      </c>
      <c r="DW19">
        <v>17.9374375</v>
      </c>
      <c r="DX19">
        <v>500.0025625</v>
      </c>
      <c r="DY19">
        <v>90.109375</v>
      </c>
      <c r="DZ19">
        <v>0.0999927875</v>
      </c>
      <c r="EA19">
        <v>25.3932625</v>
      </c>
      <c r="EB19">
        <v>24.97395625</v>
      </c>
      <c r="EC19">
        <v>999.9</v>
      </c>
      <c r="ED19">
        <v>0</v>
      </c>
      <c r="EE19">
        <v>0</v>
      </c>
      <c r="EF19">
        <v>9997.418125</v>
      </c>
      <c r="EG19">
        <v>0</v>
      </c>
      <c r="EH19">
        <v>12.99463125</v>
      </c>
      <c r="EI19">
        <v>0.3578491875</v>
      </c>
      <c r="EJ19">
        <v>204.014625</v>
      </c>
      <c r="EK19">
        <v>203.638375</v>
      </c>
      <c r="EL19">
        <v>0.05696105</v>
      </c>
      <c r="EM19">
        <v>199.982625</v>
      </c>
      <c r="EN19">
        <v>17.9518375</v>
      </c>
      <c r="EO19">
        <v>1.62276125</v>
      </c>
      <c r="EP19">
        <v>1.61762875</v>
      </c>
      <c r="EQ19">
        <v>14.17665</v>
      </c>
      <c r="ER19">
        <v>14.1277625</v>
      </c>
      <c r="ES19">
        <v>800.0083125</v>
      </c>
      <c r="ET19">
        <v>0.9500076875</v>
      </c>
      <c r="EU19">
        <v>0.04999231875</v>
      </c>
      <c r="EV19">
        <v>0</v>
      </c>
      <c r="EW19">
        <v>962.6735</v>
      </c>
      <c r="EX19">
        <v>5.00016</v>
      </c>
      <c r="EY19">
        <v>7410.999375</v>
      </c>
      <c r="EZ19">
        <v>7194.77</v>
      </c>
      <c r="FA19">
        <v>39.91375</v>
      </c>
      <c r="FB19">
        <v>42.687</v>
      </c>
      <c r="FC19">
        <v>41.437</v>
      </c>
      <c r="FD19">
        <v>42.562</v>
      </c>
      <c r="FE19">
        <v>42.562</v>
      </c>
      <c r="FF19">
        <v>755.26375</v>
      </c>
      <c r="FG19">
        <v>39.74</v>
      </c>
      <c r="FH19">
        <v>0</v>
      </c>
      <c r="FI19">
        <v>1765298137.9</v>
      </c>
      <c r="FJ19">
        <v>0</v>
      </c>
      <c r="FK19">
        <v>962.66844</v>
      </c>
      <c r="FL19">
        <v>-0.51492308479777</v>
      </c>
      <c r="FM19">
        <v>-4.19615384658298</v>
      </c>
      <c r="FN19">
        <v>7410.8552</v>
      </c>
      <c r="FO19">
        <v>15</v>
      </c>
      <c r="FP19">
        <v>1765298157</v>
      </c>
      <c r="FQ19" t="s">
        <v>449</v>
      </c>
      <c r="FR19">
        <v>1765298157</v>
      </c>
      <c r="FS19">
        <v>1765298154</v>
      </c>
      <c r="FT19">
        <v>3</v>
      </c>
      <c r="FU19">
        <v>-0.135</v>
      </c>
      <c r="FV19">
        <v>-0.002</v>
      </c>
      <c r="FW19">
        <v>5.957</v>
      </c>
      <c r="FX19">
        <v>0.068</v>
      </c>
      <c r="FY19">
        <v>200</v>
      </c>
      <c r="FZ19">
        <v>18</v>
      </c>
      <c r="GA19">
        <v>0.49</v>
      </c>
      <c r="GB19">
        <v>0.24</v>
      </c>
      <c r="GC19">
        <v>0.3795563</v>
      </c>
      <c r="GD19">
        <v>-0.272197082706767</v>
      </c>
      <c r="GE19">
        <v>0.038570604275925</v>
      </c>
      <c r="GF19">
        <v>1</v>
      </c>
      <c r="GG19">
        <v>962.668558823529</v>
      </c>
      <c r="GH19">
        <v>0.325699001922905</v>
      </c>
      <c r="GI19">
        <v>0.177802962851061</v>
      </c>
      <c r="GJ19">
        <v>-1</v>
      </c>
      <c r="GK19">
        <v>0.0567151</v>
      </c>
      <c r="GL19">
        <v>0.00418272180451125</v>
      </c>
      <c r="GM19">
        <v>0.000885848426086539</v>
      </c>
      <c r="GN19">
        <v>1</v>
      </c>
      <c r="GO19">
        <v>2</v>
      </c>
      <c r="GP19">
        <v>2</v>
      </c>
      <c r="GQ19" t="s">
        <v>440</v>
      </c>
      <c r="GR19">
        <v>3.12476</v>
      </c>
      <c r="GS19">
        <v>2.72589</v>
      </c>
      <c r="GT19">
        <v>0.0474088</v>
      </c>
      <c r="GU19">
        <v>0.0487119</v>
      </c>
      <c r="GV19">
        <v>0.0831167</v>
      </c>
      <c r="GW19">
        <v>0.0828251</v>
      </c>
      <c r="GX19">
        <v>25258.5</v>
      </c>
      <c r="GY19">
        <v>23216.9</v>
      </c>
      <c r="GZ19">
        <v>23706.7</v>
      </c>
      <c r="HA19">
        <v>23757.8</v>
      </c>
      <c r="HB19">
        <v>37010.8</v>
      </c>
      <c r="HC19">
        <v>36020.2</v>
      </c>
      <c r="HD19">
        <v>42700.4</v>
      </c>
      <c r="HE19">
        <v>42311.8</v>
      </c>
      <c r="HF19">
        <v>1.9108</v>
      </c>
      <c r="HG19">
        <v>1.84025</v>
      </c>
      <c r="HH19">
        <v>0.107735</v>
      </c>
      <c r="HI19">
        <v>0</v>
      </c>
      <c r="HJ19">
        <v>23.2253</v>
      </c>
      <c r="HK19">
        <v>999.9</v>
      </c>
      <c r="HL19">
        <v>50.275</v>
      </c>
      <c r="HM19">
        <v>28.58</v>
      </c>
      <c r="HN19">
        <v>21.9022</v>
      </c>
      <c r="HO19">
        <v>54.3012</v>
      </c>
      <c r="HP19">
        <v>46.5745</v>
      </c>
      <c r="HQ19">
        <v>1</v>
      </c>
      <c r="HR19">
        <v>-0.0667988</v>
      </c>
      <c r="HS19">
        <v>0.652522</v>
      </c>
      <c r="HT19">
        <v>20.2318</v>
      </c>
      <c r="HU19">
        <v>5.23496</v>
      </c>
      <c r="HV19">
        <v>11.992</v>
      </c>
      <c r="HW19">
        <v>4.9561</v>
      </c>
      <c r="HX19">
        <v>3.304</v>
      </c>
      <c r="HY19">
        <v>999.9</v>
      </c>
      <c r="HZ19">
        <v>9999</v>
      </c>
      <c r="IA19">
        <v>9999</v>
      </c>
      <c r="IB19">
        <v>9999</v>
      </c>
      <c r="IC19">
        <v>1.86905</v>
      </c>
      <c r="ID19">
        <v>1.86478</v>
      </c>
      <c r="IE19">
        <v>1.87241</v>
      </c>
      <c r="IF19">
        <v>1.86336</v>
      </c>
      <c r="IG19">
        <v>1.86268</v>
      </c>
      <c r="IH19">
        <v>1.86906</v>
      </c>
      <c r="II19">
        <v>1.85929</v>
      </c>
      <c r="IJ19">
        <v>1.86568</v>
      </c>
      <c r="IK19">
        <v>5</v>
      </c>
      <c r="IL19">
        <v>0</v>
      </c>
      <c r="IM19">
        <v>0</v>
      </c>
      <c r="IN19">
        <v>0</v>
      </c>
      <c r="IO19" t="s">
        <v>441</v>
      </c>
      <c r="IP19" t="s">
        <v>442</v>
      </c>
      <c r="IQ19" t="s">
        <v>443</v>
      </c>
      <c r="IR19" t="s">
        <v>443</v>
      </c>
      <c r="IS19" t="s">
        <v>443</v>
      </c>
      <c r="IT19" t="s">
        <v>443</v>
      </c>
      <c r="IU19">
        <v>0</v>
      </c>
      <c r="IV19">
        <v>100</v>
      </c>
      <c r="IW19">
        <v>100</v>
      </c>
      <c r="IX19">
        <v>5.957</v>
      </c>
      <c r="IY19">
        <v>0.068</v>
      </c>
      <c r="IZ19">
        <v>4.99039614022144</v>
      </c>
      <c r="JA19">
        <v>0.0062698613543794</v>
      </c>
      <c r="JB19">
        <v>-3.23243345529816e-06</v>
      </c>
      <c r="JC19">
        <v>8.00506428382295e-10</v>
      </c>
      <c r="JD19">
        <v>-0.091419949744879</v>
      </c>
      <c r="JE19">
        <v>-0.0018464610107002</v>
      </c>
      <c r="JF19">
        <v>0.000796540623429801</v>
      </c>
      <c r="JG19">
        <v>-1.04619914107352e-05</v>
      </c>
      <c r="JH19">
        <v>-0</v>
      </c>
      <c r="JI19">
        <v>2101</v>
      </c>
      <c r="JJ19">
        <v>1</v>
      </c>
      <c r="JK19">
        <v>23</v>
      </c>
      <c r="JL19">
        <v>1.1</v>
      </c>
      <c r="JM19">
        <v>1.2</v>
      </c>
      <c r="JN19">
        <v>0.595703</v>
      </c>
      <c r="JO19">
        <v>2.37427</v>
      </c>
      <c r="JP19">
        <v>1.49902</v>
      </c>
      <c r="JQ19">
        <v>2.33765</v>
      </c>
      <c r="JR19">
        <v>1.54419</v>
      </c>
      <c r="JS19">
        <v>2.35229</v>
      </c>
      <c r="JT19">
        <v>36.34</v>
      </c>
      <c r="JU19">
        <v>24.1488</v>
      </c>
      <c r="JV19">
        <v>18</v>
      </c>
      <c r="JW19">
        <v>539.478</v>
      </c>
      <c r="JX19">
        <v>437.304</v>
      </c>
      <c r="JY19">
        <v>22.5677</v>
      </c>
      <c r="JZ19">
        <v>26.6484</v>
      </c>
      <c r="KA19">
        <v>29.9995</v>
      </c>
      <c r="KB19">
        <v>26.7259</v>
      </c>
      <c r="KC19">
        <v>26.7582</v>
      </c>
      <c r="KD19">
        <v>11.963</v>
      </c>
      <c r="KE19">
        <v>30.7206</v>
      </c>
      <c r="KF19">
        <v>91.032</v>
      </c>
      <c r="KG19">
        <v>22.5777</v>
      </c>
      <c r="KH19">
        <v>200</v>
      </c>
      <c r="KI19">
        <v>18.0085</v>
      </c>
      <c r="KJ19">
        <v>95.7339</v>
      </c>
      <c r="KK19">
        <v>98.6567</v>
      </c>
    </row>
    <row r="20" spans="1:297">
      <c r="A20">
        <v>4</v>
      </c>
      <c r="B20">
        <v>1765298230</v>
      </c>
      <c r="C20">
        <v>281</v>
      </c>
      <c r="D20" t="s">
        <v>450</v>
      </c>
      <c r="E20" t="s">
        <v>451</v>
      </c>
      <c r="F20">
        <v>5</v>
      </c>
      <c r="G20" t="s">
        <v>435</v>
      </c>
      <c r="H20" t="s">
        <v>436</v>
      </c>
      <c r="I20">
        <v>1765298221.5</v>
      </c>
      <c r="J20">
        <f>(K20)/1000</f>
        <v>0</v>
      </c>
      <c r="K20">
        <f>IF(DP20, AN20, AH20)</f>
        <v>0</v>
      </c>
      <c r="L20">
        <f>IF(DP20, AI20, AG20)</f>
        <v>0</v>
      </c>
      <c r="M20">
        <f>DR20 - IF(AU20&gt;1, L20*DL20*100.0/(AW20), 0)</f>
        <v>0</v>
      </c>
      <c r="N20">
        <f>((T20-J20/2)*M20-L20)/(T20+J20/2)</f>
        <v>0</v>
      </c>
      <c r="O20">
        <f>N20*(DY20+DZ20)/1000.0</f>
        <v>0</v>
      </c>
      <c r="P20">
        <f>(DR20 - IF(AU20&gt;1, L20*DL20*100.0/(AW20), 0))*(DY20+DZ20)/1000.0</f>
        <v>0</v>
      </c>
      <c r="Q20">
        <f>2.0/((1/S20-1/R20)+SIGN(S20)*SQRT((1/S20-1/R20)*(1/S20-1/R20) + 4*DM20/((DM20+1)*(DM20+1))*(2*1/S20*1/R20-1/R20*1/R20)))</f>
        <v>0</v>
      </c>
      <c r="R20">
        <f>IF(LEFT(DN20,1)&lt;&gt;"0",IF(LEFT(DN20,1)="1",3.0,DO20),$D$5+$E$5*(EF20*DY20/($K$5*1000))+$F$5*(EF20*DY20/($K$5*1000))*MAX(MIN(DL20,$J$5),$I$5)*MAX(MIN(DL20,$J$5),$I$5)+$G$5*MAX(MIN(DL20,$J$5),$I$5)*(EF20*DY20/($K$5*1000))+$H$5*(EF20*DY20/($K$5*1000))*(EF20*DY20/($K$5*1000)))</f>
        <v>0</v>
      </c>
      <c r="S20">
        <f>J20*(1000-(1000*0.61365*exp(17.502*W20/(240.97+W20))/(DY20+DZ20)+DT20)/2)/(1000*0.61365*exp(17.502*W20/(240.97+W20))/(DY20+DZ20)-DT20)</f>
        <v>0</v>
      </c>
      <c r="T20">
        <f>1/((DM20+1)/(Q20/1.6)+1/(R20/1.37)) + DM20/((DM20+1)/(Q20/1.6) + DM20/(R20/1.37))</f>
        <v>0</v>
      </c>
      <c r="U20">
        <f>(DH20*DK20)</f>
        <v>0</v>
      </c>
      <c r="V20">
        <f>(EA20+(U20+2*0.95*5.67E-8*(((EA20+$B$7)+273)^4-(EA20+273)^4)-44100*J20)/(1.84*29.3*R20+8*0.95*5.67E-8*(EA20+273)^3))</f>
        <v>0</v>
      </c>
      <c r="W20">
        <f>($C$7*EB20+$D$7*EC20+$E$7*V20)</f>
        <v>0</v>
      </c>
      <c r="X20">
        <f>0.61365*exp(17.502*W20/(240.97+W20))</f>
        <v>0</v>
      </c>
      <c r="Y20">
        <f>(Z20/AA20*100)</f>
        <v>0</v>
      </c>
      <c r="Z20">
        <f>DT20*(DY20+DZ20)/1000</f>
        <v>0</v>
      </c>
      <c r="AA20">
        <f>0.61365*exp(17.502*EA20/(240.97+EA20))</f>
        <v>0</v>
      </c>
      <c r="AB20">
        <f>(X20-DT20*(DY20+DZ20)/1000)</f>
        <v>0</v>
      </c>
      <c r="AC20">
        <f>(-J20*44100)</f>
        <v>0</v>
      </c>
      <c r="AD20">
        <f>2*29.3*R20*0.92*(EA20-W20)</f>
        <v>0</v>
      </c>
      <c r="AE20">
        <f>2*0.95*5.67E-8*(((EA20+$B$7)+273)^4-(W20+273)^4)</f>
        <v>0</v>
      </c>
      <c r="AF20">
        <f>U20+AE20+AC20+AD20</f>
        <v>0</v>
      </c>
      <c r="AG20">
        <f>DX20*AU20*(DS20-DR20*(1000-AU20*DU20)/(1000-AU20*DT20))/(100*DL20)</f>
        <v>0</v>
      </c>
      <c r="AH20">
        <f>1000*DX20*AU20*(DT20-DU20)/(100*DL20*(1000-AU20*DT20))</f>
        <v>0</v>
      </c>
      <c r="AI20">
        <f>(AJ20 - AK20 - DY20*1E3/(8.314*(EA20+273.15)) * AM20/DX20 * AL20) * DX20/(100*DL20) * (1000 - DU20)/1000</f>
        <v>0</v>
      </c>
      <c r="AJ20">
        <v>101.833008074455</v>
      </c>
      <c r="AK20">
        <v>101.904618181818</v>
      </c>
      <c r="AL20">
        <v>0.000574897007444859</v>
      </c>
      <c r="AM20">
        <v>63.2854589550357</v>
      </c>
      <c r="AN20">
        <f>(AP20 - AO20 + DY20*1E3/(8.314*(EA20+273.15)) * AR20/DX20 * AQ20) * DX20/(100*DL20) * 1000/(1000 - AP20)</f>
        <v>0</v>
      </c>
      <c r="AO20">
        <v>18.0106652780008</v>
      </c>
      <c r="AP20">
        <v>18.0444545454545</v>
      </c>
      <c r="AQ20">
        <v>-1.1437275751074e-05</v>
      </c>
      <c r="AR20">
        <v>108.454821015937</v>
      </c>
      <c r="AS20">
        <v>5</v>
      </c>
      <c r="AT20">
        <v>1</v>
      </c>
      <c r="AU20">
        <f>IF(AS20*$H$13&gt;=AW20,1.0,(AW20/(AW20-AS20*$H$13)))</f>
        <v>0</v>
      </c>
      <c r="AV20">
        <f>(AU20-1)*100</f>
        <v>0</v>
      </c>
      <c r="AW20">
        <f>MAX(0,($B$13+$C$13*EF20)/(1+$D$13*EF20)*DY20/(EA20+273)*$E$13)</f>
        <v>0</v>
      </c>
      <c r="AX20" t="s">
        <v>437</v>
      </c>
      <c r="AY20" t="s">
        <v>437</v>
      </c>
      <c r="AZ20">
        <v>0</v>
      </c>
      <c r="BA20">
        <v>0</v>
      </c>
      <c r="BB20">
        <f>1-AZ20/BA20</f>
        <v>0</v>
      </c>
      <c r="BC20">
        <v>0</v>
      </c>
      <c r="BD20" t="s">
        <v>437</v>
      </c>
      <c r="BE20" t="s">
        <v>437</v>
      </c>
      <c r="BF20">
        <v>0</v>
      </c>
      <c r="BG20">
        <v>0</v>
      </c>
      <c r="BH20">
        <f>1-BF20/BG20</f>
        <v>0</v>
      </c>
      <c r="BI20">
        <v>0.5</v>
      </c>
      <c r="BJ20">
        <f>DI20</f>
        <v>0</v>
      </c>
      <c r="BK20">
        <f>L20</f>
        <v>0</v>
      </c>
      <c r="BL20">
        <f>BH20*BI20*BJ20</f>
        <v>0</v>
      </c>
      <c r="BM20">
        <f>(BK20-BC20)/BJ20</f>
        <v>0</v>
      </c>
      <c r="BN20">
        <f>(BA20-BG20)/BG20</f>
        <v>0</v>
      </c>
      <c r="BO20">
        <f>AZ20/(BB20+AZ20/BG20)</f>
        <v>0</v>
      </c>
      <c r="BP20" t="s">
        <v>437</v>
      </c>
      <c r="BQ20">
        <v>0</v>
      </c>
      <c r="BR20">
        <f>IF(BQ20&lt;&gt;0, BQ20, BO20)</f>
        <v>0</v>
      </c>
      <c r="BS20">
        <f>1-BR20/BG20</f>
        <v>0</v>
      </c>
      <c r="BT20">
        <f>(BG20-BF20)/(BG20-BR20)</f>
        <v>0</v>
      </c>
      <c r="BU20">
        <f>(BA20-BG20)/(BA20-BR20)</f>
        <v>0</v>
      </c>
      <c r="BV20">
        <f>(BG20-BF20)/(BG20-AZ20)</f>
        <v>0</v>
      </c>
      <c r="BW20">
        <f>(BA20-BG20)/(BA20-AZ20)</f>
        <v>0</v>
      </c>
      <c r="BX20">
        <f>(BT20*BR20/BF20)</f>
        <v>0</v>
      </c>
      <c r="BY20">
        <f>(1-BX20)</f>
        <v>0</v>
      </c>
      <c r="DH20">
        <f>$B$11*EG20+$C$11*EH20+$F$11*ES20*(1-EV20)</f>
        <v>0</v>
      </c>
      <c r="DI20">
        <f>DH20*DJ20</f>
        <v>0</v>
      </c>
      <c r="DJ20">
        <f>($B$11*$D$9+$C$11*$D$9+$F$11*((FF20+EX20)/MAX(FF20+EX20+FG20, 0.1)*$I$9+FG20/MAX(FF20+EX20+FG20, 0.1)*$J$9))/($B$11+$C$11+$F$11)</f>
        <v>0</v>
      </c>
      <c r="DK20">
        <f>($B$11*$K$9+$C$11*$K$9+$F$11*((FF20+EX20)/MAX(FF20+EX20+FG20, 0.1)*$P$9+FG20/MAX(FF20+EX20+FG20, 0.1)*$Q$9))/($B$11+$C$11+$F$11)</f>
        <v>0</v>
      </c>
      <c r="DL20">
        <v>6</v>
      </c>
      <c r="DM20">
        <v>0.5</v>
      </c>
      <c r="DN20" t="s">
        <v>438</v>
      </c>
      <c r="DO20">
        <v>2</v>
      </c>
      <c r="DP20" t="b">
        <v>1</v>
      </c>
      <c r="DQ20">
        <v>1765298221.5</v>
      </c>
      <c r="DR20">
        <v>100.2544375</v>
      </c>
      <c r="DS20">
        <v>99.99270625</v>
      </c>
      <c r="DT20">
        <v>18.051525</v>
      </c>
      <c r="DU20">
        <v>18.01356875</v>
      </c>
      <c r="DV20">
        <v>94.6634375</v>
      </c>
      <c r="DW20">
        <v>17.982525</v>
      </c>
      <c r="DX20">
        <v>500.007625</v>
      </c>
      <c r="DY20">
        <v>90.11134375</v>
      </c>
      <c r="DZ20">
        <v>0.09997655625</v>
      </c>
      <c r="EA20">
        <v>25.42080625</v>
      </c>
      <c r="EB20">
        <v>24.99406875</v>
      </c>
      <c r="EC20">
        <v>999.9</v>
      </c>
      <c r="ED20">
        <v>0</v>
      </c>
      <c r="EE20">
        <v>0</v>
      </c>
      <c r="EF20">
        <v>9999.14375</v>
      </c>
      <c r="EG20">
        <v>0</v>
      </c>
      <c r="EH20">
        <v>13.01915625</v>
      </c>
      <c r="EI20">
        <v>0.092012425</v>
      </c>
      <c r="EJ20">
        <v>101.9248125</v>
      </c>
      <c r="EK20">
        <v>101.826875</v>
      </c>
      <c r="EL20">
        <v>0.03921319375</v>
      </c>
      <c r="EM20">
        <v>99.99270625</v>
      </c>
      <c r="EN20">
        <v>18.01356875</v>
      </c>
      <c r="EO20">
        <v>1.6267625</v>
      </c>
      <c r="EP20">
        <v>1.6232275</v>
      </c>
      <c r="EQ20">
        <v>14.21466875</v>
      </c>
      <c r="ER20">
        <v>14.18109375</v>
      </c>
      <c r="ES20">
        <v>800.033125</v>
      </c>
      <c r="ET20">
        <v>0.9500075625</v>
      </c>
      <c r="EU20">
        <v>0.04999238125</v>
      </c>
      <c r="EV20">
        <v>0</v>
      </c>
      <c r="EW20">
        <v>963.0016875</v>
      </c>
      <c r="EX20">
        <v>5.00016</v>
      </c>
      <c r="EY20">
        <v>7411.811875</v>
      </c>
      <c r="EZ20">
        <v>7194.99375</v>
      </c>
      <c r="FA20">
        <v>39.812</v>
      </c>
      <c r="FB20">
        <v>42.625</v>
      </c>
      <c r="FC20">
        <v>41.367125</v>
      </c>
      <c r="FD20">
        <v>42.5</v>
      </c>
      <c r="FE20">
        <v>42.5</v>
      </c>
      <c r="FF20">
        <v>755.2875</v>
      </c>
      <c r="FG20">
        <v>39.75</v>
      </c>
      <c r="FH20">
        <v>0</v>
      </c>
      <c r="FI20">
        <v>1765298230.3</v>
      </c>
      <c r="FJ20">
        <v>0</v>
      </c>
      <c r="FK20">
        <v>962.97396</v>
      </c>
      <c r="FL20">
        <v>-0.501538462599398</v>
      </c>
      <c r="FM20">
        <v>-0.427692354419787</v>
      </c>
      <c r="FN20">
        <v>7411.768</v>
      </c>
      <c r="FO20">
        <v>15</v>
      </c>
      <c r="FP20">
        <v>1765298262</v>
      </c>
      <c r="FQ20" t="s">
        <v>452</v>
      </c>
      <c r="FR20">
        <v>1765298262</v>
      </c>
      <c r="FS20">
        <v>1765298251</v>
      </c>
      <c r="FT20">
        <v>4</v>
      </c>
      <c r="FU20">
        <v>0.172</v>
      </c>
      <c r="FV20">
        <v>-0</v>
      </c>
      <c r="FW20">
        <v>5.591</v>
      </c>
      <c r="FX20">
        <v>0.069</v>
      </c>
      <c r="FY20">
        <v>100</v>
      </c>
      <c r="FZ20">
        <v>18</v>
      </c>
      <c r="GA20">
        <v>0.23</v>
      </c>
      <c r="GB20">
        <v>0.16</v>
      </c>
      <c r="GC20">
        <v>0.116996805</v>
      </c>
      <c r="GD20">
        <v>-0.486271069172933</v>
      </c>
      <c r="GE20">
        <v>0.0518765751954914</v>
      </c>
      <c r="GF20">
        <v>1</v>
      </c>
      <c r="GG20">
        <v>962.955617647059</v>
      </c>
      <c r="GH20">
        <v>0.398517949717195</v>
      </c>
      <c r="GI20">
        <v>0.158330260699862</v>
      </c>
      <c r="GJ20">
        <v>-1</v>
      </c>
      <c r="GK20">
        <v>0.041625415</v>
      </c>
      <c r="GL20">
        <v>-0.0649221067669173</v>
      </c>
      <c r="GM20">
        <v>0.00686432890603845</v>
      </c>
      <c r="GN20">
        <v>1</v>
      </c>
      <c r="GO20">
        <v>2</v>
      </c>
      <c r="GP20">
        <v>2</v>
      </c>
      <c r="GQ20" t="s">
        <v>440</v>
      </c>
      <c r="GR20">
        <v>3.12484</v>
      </c>
      <c r="GS20">
        <v>2.72565</v>
      </c>
      <c r="GT20">
        <v>0.0242814</v>
      </c>
      <c r="GU20">
        <v>0.0256617</v>
      </c>
      <c r="GV20">
        <v>0.0832696</v>
      </c>
      <c r="GW20">
        <v>0.0830541</v>
      </c>
      <c r="GX20">
        <v>25877.7</v>
      </c>
      <c r="GY20">
        <v>23787.6</v>
      </c>
      <c r="GZ20">
        <v>23711.6</v>
      </c>
      <c r="HA20">
        <v>23765.4</v>
      </c>
      <c r="HB20">
        <v>37008.4</v>
      </c>
      <c r="HC20">
        <v>36020.2</v>
      </c>
      <c r="HD20">
        <v>42707</v>
      </c>
      <c r="HE20">
        <v>42324.4</v>
      </c>
      <c r="HF20">
        <v>1.9122</v>
      </c>
      <c r="HG20">
        <v>1.841</v>
      </c>
      <c r="HH20">
        <v>0.111312</v>
      </c>
      <c r="HI20">
        <v>0</v>
      </c>
      <c r="HJ20">
        <v>23.1504</v>
      </c>
      <c r="HK20">
        <v>999.9</v>
      </c>
      <c r="HL20">
        <v>50.104</v>
      </c>
      <c r="HM20">
        <v>28.631</v>
      </c>
      <c r="HN20">
        <v>21.8897</v>
      </c>
      <c r="HO20">
        <v>54.7312</v>
      </c>
      <c r="HP20">
        <v>46.5505</v>
      </c>
      <c r="HQ20">
        <v>1</v>
      </c>
      <c r="HR20">
        <v>-0.0764253</v>
      </c>
      <c r="HS20">
        <v>0.927108</v>
      </c>
      <c r="HT20">
        <v>20.2306</v>
      </c>
      <c r="HU20">
        <v>5.23511</v>
      </c>
      <c r="HV20">
        <v>11.992</v>
      </c>
      <c r="HW20">
        <v>4.957</v>
      </c>
      <c r="HX20">
        <v>3.304</v>
      </c>
      <c r="HY20">
        <v>999.9</v>
      </c>
      <c r="HZ20">
        <v>9999</v>
      </c>
      <c r="IA20">
        <v>9999</v>
      </c>
      <c r="IB20">
        <v>9999</v>
      </c>
      <c r="IC20">
        <v>1.86905</v>
      </c>
      <c r="ID20">
        <v>1.86478</v>
      </c>
      <c r="IE20">
        <v>1.8724</v>
      </c>
      <c r="IF20">
        <v>1.86336</v>
      </c>
      <c r="IG20">
        <v>1.86268</v>
      </c>
      <c r="IH20">
        <v>1.86911</v>
      </c>
      <c r="II20">
        <v>1.85929</v>
      </c>
      <c r="IJ20">
        <v>1.86565</v>
      </c>
      <c r="IK20">
        <v>5</v>
      </c>
      <c r="IL20">
        <v>0</v>
      </c>
      <c r="IM20">
        <v>0</v>
      </c>
      <c r="IN20">
        <v>0</v>
      </c>
      <c r="IO20" t="s">
        <v>441</v>
      </c>
      <c r="IP20" t="s">
        <v>442</v>
      </c>
      <c r="IQ20" t="s">
        <v>443</v>
      </c>
      <c r="IR20" t="s">
        <v>443</v>
      </c>
      <c r="IS20" t="s">
        <v>443</v>
      </c>
      <c r="IT20" t="s">
        <v>443</v>
      </c>
      <c r="IU20">
        <v>0</v>
      </c>
      <c r="IV20">
        <v>100</v>
      </c>
      <c r="IW20">
        <v>100</v>
      </c>
      <c r="IX20">
        <v>5.591</v>
      </c>
      <c r="IY20">
        <v>0.069</v>
      </c>
      <c r="IZ20">
        <v>4.85599220147381</v>
      </c>
      <c r="JA20">
        <v>0.0062698613543794</v>
      </c>
      <c r="JB20">
        <v>-3.23243345529816e-06</v>
      </c>
      <c r="JC20">
        <v>8.00506428382295e-10</v>
      </c>
      <c r="JD20">
        <v>-0.093287185515849</v>
      </c>
      <c r="JE20">
        <v>-0.0018464610107002</v>
      </c>
      <c r="JF20">
        <v>0.000796540623429801</v>
      </c>
      <c r="JG20">
        <v>-1.04619914107352e-05</v>
      </c>
      <c r="JH20">
        <v>-0</v>
      </c>
      <c r="JI20">
        <v>2101</v>
      </c>
      <c r="JJ20">
        <v>1</v>
      </c>
      <c r="JK20">
        <v>23</v>
      </c>
      <c r="JL20">
        <v>1.2</v>
      </c>
      <c r="JM20">
        <v>1.3</v>
      </c>
      <c r="JN20">
        <v>0.375977</v>
      </c>
      <c r="JO20">
        <v>2.39502</v>
      </c>
      <c r="JP20">
        <v>1.4978</v>
      </c>
      <c r="JQ20">
        <v>2.33765</v>
      </c>
      <c r="JR20">
        <v>1.54419</v>
      </c>
      <c r="JS20">
        <v>2.38159</v>
      </c>
      <c r="JT20">
        <v>36.4107</v>
      </c>
      <c r="JU20">
        <v>24.1575</v>
      </c>
      <c r="JV20">
        <v>18</v>
      </c>
      <c r="JW20">
        <v>539.487</v>
      </c>
      <c r="JX20">
        <v>436.959</v>
      </c>
      <c r="JY20">
        <v>22.3791</v>
      </c>
      <c r="JZ20">
        <v>26.5317</v>
      </c>
      <c r="KA20">
        <v>29.9992</v>
      </c>
      <c r="KB20">
        <v>26.6232</v>
      </c>
      <c r="KC20">
        <v>26.6563</v>
      </c>
      <c r="KD20">
        <v>7.56636</v>
      </c>
      <c r="KE20">
        <v>30.1109</v>
      </c>
      <c r="KF20">
        <v>91.032</v>
      </c>
      <c r="KG20">
        <v>22.4028</v>
      </c>
      <c r="KH20">
        <v>100</v>
      </c>
      <c r="KI20">
        <v>18.0421</v>
      </c>
      <c r="KJ20">
        <v>95.7505</v>
      </c>
      <c r="KK20">
        <v>98.6868</v>
      </c>
    </row>
    <row r="21" spans="1:297">
      <c r="A21">
        <v>5</v>
      </c>
      <c r="B21">
        <v>1765298331</v>
      </c>
      <c r="C21">
        <v>382</v>
      </c>
      <c r="D21" t="s">
        <v>453</v>
      </c>
      <c r="E21" t="s">
        <v>454</v>
      </c>
      <c r="F21">
        <v>5</v>
      </c>
      <c r="G21" t="s">
        <v>435</v>
      </c>
      <c r="H21" t="s">
        <v>436</v>
      </c>
      <c r="I21">
        <v>1765298322.5</v>
      </c>
      <c r="J21">
        <f>(K21)/1000</f>
        <v>0</v>
      </c>
      <c r="K21">
        <f>IF(DP21, AN21, AH21)</f>
        <v>0</v>
      </c>
      <c r="L21">
        <f>IF(DP21, AI21, AG21)</f>
        <v>0</v>
      </c>
      <c r="M21">
        <f>DR21 - IF(AU21&gt;1, L21*DL21*100.0/(AW21), 0)</f>
        <v>0</v>
      </c>
      <c r="N21">
        <f>((T21-J21/2)*M21-L21)/(T21+J21/2)</f>
        <v>0</v>
      </c>
      <c r="O21">
        <f>N21*(DY21+DZ21)/1000.0</f>
        <v>0</v>
      </c>
      <c r="P21">
        <f>(DR21 - IF(AU21&gt;1, L21*DL21*100.0/(AW21), 0))*(DY21+DZ21)/1000.0</f>
        <v>0</v>
      </c>
      <c r="Q21">
        <f>2.0/((1/S21-1/R21)+SIGN(S21)*SQRT((1/S21-1/R21)*(1/S21-1/R21) + 4*DM21/((DM21+1)*(DM21+1))*(2*1/S21*1/R21-1/R21*1/R21)))</f>
        <v>0</v>
      </c>
      <c r="R21">
        <f>IF(LEFT(DN21,1)&lt;&gt;"0",IF(LEFT(DN21,1)="1",3.0,DO21),$D$5+$E$5*(EF21*DY21/($K$5*1000))+$F$5*(EF21*DY21/($K$5*1000))*MAX(MIN(DL21,$J$5),$I$5)*MAX(MIN(DL21,$J$5),$I$5)+$G$5*MAX(MIN(DL21,$J$5),$I$5)*(EF21*DY21/($K$5*1000))+$H$5*(EF21*DY21/($K$5*1000))*(EF21*DY21/($K$5*1000)))</f>
        <v>0</v>
      </c>
      <c r="S21">
        <f>J21*(1000-(1000*0.61365*exp(17.502*W21/(240.97+W21))/(DY21+DZ21)+DT21)/2)/(1000*0.61365*exp(17.502*W21/(240.97+W21))/(DY21+DZ21)-DT21)</f>
        <v>0</v>
      </c>
      <c r="T21">
        <f>1/((DM21+1)/(Q21/1.6)+1/(R21/1.37)) + DM21/((DM21+1)/(Q21/1.6) + DM21/(R21/1.37))</f>
        <v>0</v>
      </c>
      <c r="U21">
        <f>(DH21*DK21)</f>
        <v>0</v>
      </c>
      <c r="V21">
        <f>(EA21+(U21+2*0.95*5.67E-8*(((EA21+$B$7)+273)^4-(EA21+273)^4)-44100*J21)/(1.84*29.3*R21+8*0.95*5.67E-8*(EA21+273)^3))</f>
        <v>0</v>
      </c>
      <c r="W21">
        <f>($C$7*EB21+$D$7*EC21+$E$7*V21)</f>
        <v>0</v>
      </c>
      <c r="X21">
        <f>0.61365*exp(17.502*W21/(240.97+W21))</f>
        <v>0</v>
      </c>
      <c r="Y21">
        <f>(Z21/AA21*100)</f>
        <v>0</v>
      </c>
      <c r="Z21">
        <f>DT21*(DY21+DZ21)/1000</f>
        <v>0</v>
      </c>
      <c r="AA21">
        <f>0.61365*exp(17.502*EA21/(240.97+EA21))</f>
        <v>0</v>
      </c>
      <c r="AB21">
        <f>(X21-DT21*(DY21+DZ21)/1000)</f>
        <v>0</v>
      </c>
      <c r="AC21">
        <f>(-J21*44100)</f>
        <v>0</v>
      </c>
      <c r="AD21">
        <f>2*29.3*R21*0.92*(EA21-W21)</f>
        <v>0</v>
      </c>
      <c r="AE21">
        <f>2*0.95*5.67E-8*(((EA21+$B$7)+273)^4-(W21+273)^4)</f>
        <v>0</v>
      </c>
      <c r="AF21">
        <f>U21+AE21+AC21+AD21</f>
        <v>0</v>
      </c>
      <c r="AG21">
        <f>DX21*AU21*(DS21-DR21*(1000-AU21*DU21)/(1000-AU21*DT21))/(100*DL21)</f>
        <v>0</v>
      </c>
      <c r="AH21">
        <f>1000*DX21*AU21*(DT21-DU21)/(100*DL21*(1000-AU21*DT21))</f>
        <v>0</v>
      </c>
      <c r="AI21">
        <f>(AJ21 - AK21 - DY21*1E3/(8.314*(EA21+273.15)) * AM21/DX21 * AL21) * DX21/(100*DL21) * (1000 - DU21)/1000</f>
        <v>0</v>
      </c>
      <c r="AJ21">
        <v>50.8960065960471</v>
      </c>
      <c r="AK21">
        <v>51.0393072727272</v>
      </c>
      <c r="AL21">
        <v>0.00312236114609651</v>
      </c>
      <c r="AM21">
        <v>63.2814287005189</v>
      </c>
      <c r="AN21">
        <f>(AP21 - AO21 + DY21*1E3/(8.314*(EA21+273.15)) * AR21/DX21 * AQ21) * DX21/(100*DL21) * 1000/(1000 - AP21)</f>
        <v>0</v>
      </c>
      <c r="AO21">
        <v>18.0017523743138</v>
      </c>
      <c r="AP21">
        <v>18.0562903030303</v>
      </c>
      <c r="AQ21">
        <v>2.49173002323794e-05</v>
      </c>
      <c r="AR21">
        <v>108.478943640963</v>
      </c>
      <c r="AS21">
        <v>6</v>
      </c>
      <c r="AT21">
        <v>1</v>
      </c>
      <c r="AU21">
        <f>IF(AS21*$H$13&gt;=AW21,1.0,(AW21/(AW21-AS21*$H$13)))</f>
        <v>0</v>
      </c>
      <c r="AV21">
        <f>(AU21-1)*100</f>
        <v>0</v>
      </c>
      <c r="AW21">
        <f>MAX(0,($B$13+$C$13*EF21)/(1+$D$13*EF21)*DY21/(EA21+273)*$E$13)</f>
        <v>0</v>
      </c>
      <c r="AX21" t="s">
        <v>437</v>
      </c>
      <c r="AY21" t="s">
        <v>437</v>
      </c>
      <c r="AZ21">
        <v>0</v>
      </c>
      <c r="BA21">
        <v>0</v>
      </c>
      <c r="BB21">
        <f>1-AZ21/BA21</f>
        <v>0</v>
      </c>
      <c r="BC21">
        <v>0</v>
      </c>
      <c r="BD21" t="s">
        <v>437</v>
      </c>
      <c r="BE21" t="s">
        <v>437</v>
      </c>
      <c r="BF21">
        <v>0</v>
      </c>
      <c r="BG21">
        <v>0</v>
      </c>
      <c r="BH21">
        <f>1-BF21/BG21</f>
        <v>0</v>
      </c>
      <c r="BI21">
        <v>0.5</v>
      </c>
      <c r="BJ21">
        <f>DI21</f>
        <v>0</v>
      </c>
      <c r="BK21">
        <f>L21</f>
        <v>0</v>
      </c>
      <c r="BL21">
        <f>BH21*BI21*BJ21</f>
        <v>0</v>
      </c>
      <c r="BM21">
        <f>(BK21-BC21)/BJ21</f>
        <v>0</v>
      </c>
      <c r="BN21">
        <f>(BA21-BG21)/BG21</f>
        <v>0</v>
      </c>
      <c r="BO21">
        <f>AZ21/(BB21+AZ21/BG21)</f>
        <v>0</v>
      </c>
      <c r="BP21" t="s">
        <v>437</v>
      </c>
      <c r="BQ21">
        <v>0</v>
      </c>
      <c r="BR21">
        <f>IF(BQ21&lt;&gt;0, BQ21, BO21)</f>
        <v>0</v>
      </c>
      <c r="BS21">
        <f>1-BR21/BG21</f>
        <v>0</v>
      </c>
      <c r="BT21">
        <f>(BG21-BF21)/(BG21-BR21)</f>
        <v>0</v>
      </c>
      <c r="BU21">
        <f>(BA21-BG21)/(BA21-BR21)</f>
        <v>0</v>
      </c>
      <c r="BV21">
        <f>(BG21-BF21)/(BG21-AZ21)</f>
        <v>0</v>
      </c>
      <c r="BW21">
        <f>(BA21-BG21)/(BA21-AZ21)</f>
        <v>0</v>
      </c>
      <c r="BX21">
        <f>(BT21*BR21/BF21)</f>
        <v>0</v>
      </c>
      <c r="BY21">
        <f>(1-BX21)</f>
        <v>0</v>
      </c>
      <c r="DH21">
        <f>$B$11*EG21+$C$11*EH21+$F$11*ES21*(1-EV21)</f>
        <v>0</v>
      </c>
      <c r="DI21">
        <f>DH21*DJ21</f>
        <v>0</v>
      </c>
      <c r="DJ21">
        <f>($B$11*$D$9+$C$11*$D$9+$F$11*((FF21+EX21)/MAX(FF21+EX21+FG21, 0.1)*$I$9+FG21/MAX(FF21+EX21+FG21, 0.1)*$J$9))/($B$11+$C$11+$F$11)</f>
        <v>0</v>
      </c>
      <c r="DK21">
        <f>($B$11*$K$9+$C$11*$K$9+$F$11*((FF21+EX21)/MAX(FF21+EX21+FG21, 0.1)*$P$9+FG21/MAX(FF21+EX21+FG21, 0.1)*$Q$9))/($B$11+$C$11+$F$11)</f>
        <v>0</v>
      </c>
      <c r="DL21">
        <v>6</v>
      </c>
      <c r="DM21">
        <v>0.5</v>
      </c>
      <c r="DN21" t="s">
        <v>438</v>
      </c>
      <c r="DO21">
        <v>2</v>
      </c>
      <c r="DP21" t="b">
        <v>1</v>
      </c>
      <c r="DQ21">
        <v>1765298322.5</v>
      </c>
      <c r="DR21">
        <v>50.30190625</v>
      </c>
      <c r="DS21">
        <v>49.994425</v>
      </c>
      <c r="DT21">
        <v>18.05210625</v>
      </c>
      <c r="DU21">
        <v>18.003625</v>
      </c>
      <c r="DV21">
        <v>44.77890625</v>
      </c>
      <c r="DW21">
        <v>17.98510625</v>
      </c>
      <c r="DX21">
        <v>500.015875</v>
      </c>
      <c r="DY21">
        <v>90.104375</v>
      </c>
      <c r="DZ21">
        <v>0.09998748125</v>
      </c>
      <c r="EA21">
        <v>25.42591875</v>
      </c>
      <c r="EB21">
        <v>25.00538125</v>
      </c>
      <c r="EC21">
        <v>999.9</v>
      </c>
      <c r="ED21">
        <v>0</v>
      </c>
      <c r="EE21">
        <v>0</v>
      </c>
      <c r="EF21">
        <v>9998.555625</v>
      </c>
      <c r="EG21">
        <v>0</v>
      </c>
      <c r="EH21">
        <v>13.00523125</v>
      </c>
      <c r="EI21">
        <v>0.0866174125</v>
      </c>
      <c r="EJ21">
        <v>51.00186875</v>
      </c>
      <c r="EK21">
        <v>50.91100625</v>
      </c>
      <c r="EL21">
        <v>0.05142343125</v>
      </c>
      <c r="EM21">
        <v>49.994425</v>
      </c>
      <c r="EN21">
        <v>18.003625</v>
      </c>
      <c r="EO21">
        <v>1.626839375</v>
      </c>
      <c r="EP21">
        <v>1.622205625</v>
      </c>
      <c r="EQ21">
        <v>14.215425</v>
      </c>
      <c r="ER21">
        <v>14.17136875</v>
      </c>
      <c r="ES21">
        <v>800.0186875</v>
      </c>
      <c r="ET21">
        <v>0.9500053125</v>
      </c>
      <c r="EU21">
        <v>0.04999459375</v>
      </c>
      <c r="EV21">
        <v>0</v>
      </c>
      <c r="EW21">
        <v>963.332625</v>
      </c>
      <c r="EX21">
        <v>5.00016</v>
      </c>
      <c r="EY21">
        <v>7412.380625</v>
      </c>
      <c r="EZ21">
        <v>7194.8575</v>
      </c>
      <c r="FA21">
        <v>39.75</v>
      </c>
      <c r="FB21">
        <v>42.562</v>
      </c>
      <c r="FC21">
        <v>41.2655</v>
      </c>
      <c r="FD21">
        <v>42.437</v>
      </c>
      <c r="FE21">
        <v>42.437</v>
      </c>
      <c r="FF21">
        <v>755.27125</v>
      </c>
      <c r="FG21">
        <v>39.75</v>
      </c>
      <c r="FH21">
        <v>0</v>
      </c>
      <c r="FI21">
        <v>1765298331.1</v>
      </c>
      <c r="FJ21">
        <v>0</v>
      </c>
      <c r="FK21">
        <v>963.36568</v>
      </c>
      <c r="FL21">
        <v>-0.118615383031311</v>
      </c>
      <c r="FM21">
        <v>-4.42538462995246</v>
      </c>
      <c r="FN21">
        <v>7412.0844</v>
      </c>
      <c r="FO21">
        <v>15</v>
      </c>
      <c r="FP21">
        <v>1765298353.1</v>
      </c>
      <c r="FQ21" t="s">
        <v>455</v>
      </c>
      <c r="FR21">
        <v>1765298353.1</v>
      </c>
      <c r="FS21">
        <v>1765298347.1</v>
      </c>
      <c r="FT21">
        <v>5</v>
      </c>
      <c r="FU21">
        <v>0.222</v>
      </c>
      <c r="FV21">
        <v>-0.002</v>
      </c>
      <c r="FW21">
        <v>5.523</v>
      </c>
      <c r="FX21">
        <v>0.067</v>
      </c>
      <c r="FY21">
        <v>50</v>
      </c>
      <c r="FZ21">
        <v>18</v>
      </c>
      <c r="GA21">
        <v>0.28</v>
      </c>
      <c r="GB21">
        <v>0.24</v>
      </c>
      <c r="GC21">
        <v>0.110589123809524</v>
      </c>
      <c r="GD21">
        <v>-0.35699032987013</v>
      </c>
      <c r="GE21">
        <v>0.048963751308444</v>
      </c>
      <c r="GF21">
        <v>1</v>
      </c>
      <c r="GG21">
        <v>963.345147058823</v>
      </c>
      <c r="GH21">
        <v>0.643223833133989</v>
      </c>
      <c r="GI21">
        <v>0.180164978700569</v>
      </c>
      <c r="GJ21">
        <v>-1</v>
      </c>
      <c r="GK21">
        <v>0.0504438333333333</v>
      </c>
      <c r="GL21">
        <v>0.0172820259740259</v>
      </c>
      <c r="GM21">
        <v>0.00201153974697265</v>
      </c>
      <c r="GN21">
        <v>1</v>
      </c>
      <c r="GO21">
        <v>2</v>
      </c>
      <c r="GP21">
        <v>2</v>
      </c>
      <c r="GQ21" t="s">
        <v>440</v>
      </c>
      <c r="GR21">
        <v>3.12491</v>
      </c>
      <c r="GS21">
        <v>2.72568</v>
      </c>
      <c r="GT21">
        <v>0.0116579</v>
      </c>
      <c r="GU21">
        <v>0.0130293</v>
      </c>
      <c r="GV21">
        <v>0.0833408</v>
      </c>
      <c r="GW21">
        <v>0.0830447</v>
      </c>
      <c r="GX21">
        <v>26218.9</v>
      </c>
      <c r="GY21">
        <v>24103.7</v>
      </c>
      <c r="GZ21">
        <v>23716.8</v>
      </c>
      <c r="HA21">
        <v>23772.4</v>
      </c>
      <c r="HB21">
        <v>37011.6</v>
      </c>
      <c r="HC21">
        <v>36029.6</v>
      </c>
      <c r="HD21">
        <v>42715.3</v>
      </c>
      <c r="HE21">
        <v>42336</v>
      </c>
      <c r="HF21">
        <v>1.91335</v>
      </c>
      <c r="HG21">
        <v>1.84207</v>
      </c>
      <c r="HH21">
        <v>0.113174</v>
      </c>
      <c r="HI21">
        <v>0</v>
      </c>
      <c r="HJ21">
        <v>23.142</v>
      </c>
      <c r="HK21">
        <v>999.9</v>
      </c>
      <c r="HL21">
        <v>49.908</v>
      </c>
      <c r="HM21">
        <v>28.671</v>
      </c>
      <c r="HN21">
        <v>21.8548</v>
      </c>
      <c r="HO21">
        <v>54.0512</v>
      </c>
      <c r="HP21">
        <v>46.6186</v>
      </c>
      <c r="HQ21">
        <v>1</v>
      </c>
      <c r="HR21">
        <v>-0.0874441</v>
      </c>
      <c r="HS21">
        <v>1.19678</v>
      </c>
      <c r="HT21">
        <v>20.2288</v>
      </c>
      <c r="HU21">
        <v>5.23526</v>
      </c>
      <c r="HV21">
        <v>11.992</v>
      </c>
      <c r="HW21">
        <v>4.956</v>
      </c>
      <c r="HX21">
        <v>3.304</v>
      </c>
      <c r="HY21">
        <v>999.9</v>
      </c>
      <c r="HZ21">
        <v>9999</v>
      </c>
      <c r="IA21">
        <v>9999</v>
      </c>
      <c r="IB21">
        <v>9999</v>
      </c>
      <c r="IC21">
        <v>1.86905</v>
      </c>
      <c r="ID21">
        <v>1.86478</v>
      </c>
      <c r="IE21">
        <v>1.87239</v>
      </c>
      <c r="IF21">
        <v>1.86336</v>
      </c>
      <c r="IG21">
        <v>1.86265</v>
      </c>
      <c r="IH21">
        <v>1.86908</v>
      </c>
      <c r="II21">
        <v>1.85928</v>
      </c>
      <c r="IJ21">
        <v>1.86565</v>
      </c>
      <c r="IK21">
        <v>5</v>
      </c>
      <c r="IL21">
        <v>0</v>
      </c>
      <c r="IM21">
        <v>0</v>
      </c>
      <c r="IN21">
        <v>0</v>
      </c>
      <c r="IO21" t="s">
        <v>441</v>
      </c>
      <c r="IP21" t="s">
        <v>442</v>
      </c>
      <c r="IQ21" t="s">
        <v>443</v>
      </c>
      <c r="IR21" t="s">
        <v>443</v>
      </c>
      <c r="IS21" t="s">
        <v>443</v>
      </c>
      <c r="IT21" t="s">
        <v>443</v>
      </c>
      <c r="IU21">
        <v>0</v>
      </c>
      <c r="IV21">
        <v>100</v>
      </c>
      <c r="IW21">
        <v>100</v>
      </c>
      <c r="IX21">
        <v>5.523</v>
      </c>
      <c r="IY21">
        <v>0.067</v>
      </c>
      <c r="IZ21">
        <v>5.0277812167079</v>
      </c>
      <c r="JA21">
        <v>0.0062698613543794</v>
      </c>
      <c r="JB21">
        <v>-3.23243345529816e-06</v>
      </c>
      <c r="JC21">
        <v>8.00506428382295e-10</v>
      </c>
      <c r="JD21">
        <v>-0.0936348741335999</v>
      </c>
      <c r="JE21">
        <v>-0.0018464610107002</v>
      </c>
      <c r="JF21">
        <v>0.000796540623429801</v>
      </c>
      <c r="JG21">
        <v>-1.04619914107352e-05</v>
      </c>
      <c r="JH21">
        <v>-0</v>
      </c>
      <c r="JI21">
        <v>2101</v>
      </c>
      <c r="JJ21">
        <v>1</v>
      </c>
      <c r="JK21">
        <v>23</v>
      </c>
      <c r="JL21">
        <v>1.1</v>
      </c>
      <c r="JM21">
        <v>1.3</v>
      </c>
      <c r="JN21">
        <v>0.266113</v>
      </c>
      <c r="JO21">
        <v>2.42798</v>
      </c>
      <c r="JP21">
        <v>1.49902</v>
      </c>
      <c r="JQ21">
        <v>2.33643</v>
      </c>
      <c r="JR21">
        <v>1.54419</v>
      </c>
      <c r="JS21">
        <v>2.32666</v>
      </c>
      <c r="JT21">
        <v>36.4814</v>
      </c>
      <c r="JU21">
        <v>24.1488</v>
      </c>
      <c r="JV21">
        <v>18</v>
      </c>
      <c r="JW21">
        <v>539.233</v>
      </c>
      <c r="JX21">
        <v>436.714</v>
      </c>
      <c r="JY21">
        <v>22.6046</v>
      </c>
      <c r="JZ21">
        <v>26.4031</v>
      </c>
      <c r="KA21">
        <v>29.9999</v>
      </c>
      <c r="KB21">
        <v>26.5088</v>
      </c>
      <c r="KC21">
        <v>26.5427</v>
      </c>
      <c r="KD21">
        <v>5.36289</v>
      </c>
      <c r="KE21">
        <v>29.8339</v>
      </c>
      <c r="KF21">
        <v>91.032</v>
      </c>
      <c r="KG21">
        <v>22.5271</v>
      </c>
      <c r="KH21">
        <v>50</v>
      </c>
      <c r="KI21">
        <v>18.0438</v>
      </c>
      <c r="KJ21">
        <v>95.77</v>
      </c>
      <c r="KK21">
        <v>98.7146</v>
      </c>
    </row>
    <row r="22" spans="1:297">
      <c r="A22">
        <v>6</v>
      </c>
      <c r="B22">
        <v>1765298436.1</v>
      </c>
      <c r="C22">
        <v>487.099999904633</v>
      </c>
      <c r="D22" t="s">
        <v>456</v>
      </c>
      <c r="E22" t="s">
        <v>457</v>
      </c>
      <c r="F22">
        <v>5</v>
      </c>
      <c r="G22" t="s">
        <v>435</v>
      </c>
      <c r="H22" t="s">
        <v>436</v>
      </c>
      <c r="I22">
        <v>1765298427.6</v>
      </c>
      <c r="J22">
        <f>(K22)/1000</f>
        <v>0</v>
      </c>
      <c r="K22">
        <f>IF(DP22, AN22, AH22)</f>
        <v>0</v>
      </c>
      <c r="L22">
        <f>IF(DP22, AI22, AG22)</f>
        <v>0</v>
      </c>
      <c r="M22">
        <f>DR22 - IF(AU22&gt;1, L22*DL22*100.0/(AW22), 0)</f>
        <v>0</v>
      </c>
      <c r="N22">
        <f>((T22-J22/2)*M22-L22)/(T22+J22/2)</f>
        <v>0</v>
      </c>
      <c r="O22">
        <f>N22*(DY22+DZ22)/1000.0</f>
        <v>0</v>
      </c>
      <c r="P22">
        <f>(DR22 - IF(AU22&gt;1, L22*DL22*100.0/(AW22), 0))*(DY22+DZ22)/1000.0</f>
        <v>0</v>
      </c>
      <c r="Q22">
        <f>2.0/((1/S22-1/R22)+SIGN(S22)*SQRT((1/S22-1/R22)*(1/S22-1/R22) + 4*DM22/((DM22+1)*(DM22+1))*(2*1/S22*1/R22-1/R22*1/R22)))</f>
        <v>0</v>
      </c>
      <c r="R22">
        <f>IF(LEFT(DN22,1)&lt;&gt;"0",IF(LEFT(DN22,1)="1",3.0,DO22),$D$5+$E$5*(EF22*DY22/($K$5*1000))+$F$5*(EF22*DY22/($K$5*1000))*MAX(MIN(DL22,$J$5),$I$5)*MAX(MIN(DL22,$J$5),$I$5)+$G$5*MAX(MIN(DL22,$J$5),$I$5)*(EF22*DY22/($K$5*1000))+$H$5*(EF22*DY22/($K$5*1000))*(EF22*DY22/($K$5*1000)))</f>
        <v>0</v>
      </c>
      <c r="S22">
        <f>J22*(1000-(1000*0.61365*exp(17.502*W22/(240.97+W22))/(DY22+DZ22)+DT22)/2)/(1000*0.61365*exp(17.502*W22/(240.97+W22))/(DY22+DZ22)-DT22)</f>
        <v>0</v>
      </c>
      <c r="T22">
        <f>1/((DM22+1)/(Q22/1.6)+1/(R22/1.37)) + DM22/((DM22+1)/(Q22/1.6) + DM22/(R22/1.37))</f>
        <v>0</v>
      </c>
      <c r="U22">
        <f>(DH22*DK22)</f>
        <v>0</v>
      </c>
      <c r="V22">
        <f>(EA22+(U22+2*0.95*5.67E-8*(((EA22+$B$7)+273)^4-(EA22+273)^4)-44100*J22)/(1.84*29.3*R22+8*0.95*5.67E-8*(EA22+273)^3))</f>
        <v>0</v>
      </c>
      <c r="W22">
        <f>($C$7*EB22+$D$7*EC22+$E$7*V22)</f>
        <v>0</v>
      </c>
      <c r="X22">
        <f>0.61365*exp(17.502*W22/(240.97+W22))</f>
        <v>0</v>
      </c>
      <c r="Y22">
        <f>(Z22/AA22*100)</f>
        <v>0</v>
      </c>
      <c r="Z22">
        <f>DT22*(DY22+DZ22)/1000</f>
        <v>0</v>
      </c>
      <c r="AA22">
        <f>0.61365*exp(17.502*EA22/(240.97+EA22))</f>
        <v>0</v>
      </c>
      <c r="AB22">
        <f>(X22-DT22*(DY22+DZ22)/1000)</f>
        <v>0</v>
      </c>
      <c r="AC22">
        <f>(-J22*44100)</f>
        <v>0</v>
      </c>
      <c r="AD22">
        <f>2*29.3*R22*0.92*(EA22-W22)</f>
        <v>0</v>
      </c>
      <c r="AE22">
        <f>2*0.95*5.67E-8*(((EA22+$B$7)+273)^4-(W22+273)^4)</f>
        <v>0</v>
      </c>
      <c r="AF22">
        <f>U22+AE22+AC22+AD22</f>
        <v>0</v>
      </c>
      <c r="AG22">
        <f>DX22*AU22*(DS22-DR22*(1000-AU22*DU22)/(1000-AU22*DT22))/(100*DL22)</f>
        <v>0</v>
      </c>
      <c r="AH22">
        <f>1000*DX22*AU22*(DT22-DU22)/(100*DL22*(1000-AU22*DT22))</f>
        <v>0</v>
      </c>
      <c r="AI22">
        <f>(AJ22 - AK22 - DY22*1E3/(8.314*(EA22+273.15)) * AM22/DX22 * AL22) * DX22/(100*DL22) * (1000 - DU22)/1000</f>
        <v>0</v>
      </c>
      <c r="AJ22">
        <v>407.332121244997</v>
      </c>
      <c r="AK22">
        <v>406.930266666667</v>
      </c>
      <c r="AL22">
        <v>-0.0100734552828395</v>
      </c>
      <c r="AM22">
        <v>63.2888831819445</v>
      </c>
      <c r="AN22">
        <f>(AP22 - AO22 + DY22*1E3/(8.314*(EA22+273.15)) * AR22/DX22 * AQ22) * DX22/(100*DL22) * 1000/(1000 - AP22)</f>
        <v>0</v>
      </c>
      <c r="AO22">
        <v>18.02909803934</v>
      </c>
      <c r="AP22">
        <v>18.0703909090909</v>
      </c>
      <c r="AQ22">
        <v>-4.44644726919679e-05</v>
      </c>
      <c r="AR22">
        <v>108.434230777835</v>
      </c>
      <c r="AS22">
        <v>6</v>
      </c>
      <c r="AT22">
        <v>1</v>
      </c>
      <c r="AU22">
        <f>IF(AS22*$H$13&gt;=AW22,1.0,(AW22/(AW22-AS22*$H$13)))</f>
        <v>0</v>
      </c>
      <c r="AV22">
        <f>(AU22-1)*100</f>
        <v>0</v>
      </c>
      <c r="AW22">
        <f>MAX(0,($B$13+$C$13*EF22)/(1+$D$13*EF22)*DY22/(EA22+273)*$E$13)</f>
        <v>0</v>
      </c>
      <c r="AX22" t="s">
        <v>437</v>
      </c>
      <c r="AY22" t="s">
        <v>437</v>
      </c>
      <c r="AZ22">
        <v>0</v>
      </c>
      <c r="BA22">
        <v>0</v>
      </c>
      <c r="BB22">
        <f>1-AZ22/BA22</f>
        <v>0</v>
      </c>
      <c r="BC22">
        <v>0</v>
      </c>
      <c r="BD22" t="s">
        <v>437</v>
      </c>
      <c r="BE22" t="s">
        <v>437</v>
      </c>
      <c r="BF22">
        <v>0</v>
      </c>
      <c r="BG22">
        <v>0</v>
      </c>
      <c r="BH22">
        <f>1-BF22/BG22</f>
        <v>0</v>
      </c>
      <c r="BI22">
        <v>0.5</v>
      </c>
      <c r="BJ22">
        <f>DI22</f>
        <v>0</v>
      </c>
      <c r="BK22">
        <f>L22</f>
        <v>0</v>
      </c>
      <c r="BL22">
        <f>BH22*BI22*BJ22</f>
        <v>0</v>
      </c>
      <c r="BM22">
        <f>(BK22-BC22)/BJ22</f>
        <v>0</v>
      </c>
      <c r="BN22">
        <f>(BA22-BG22)/BG22</f>
        <v>0</v>
      </c>
      <c r="BO22">
        <f>AZ22/(BB22+AZ22/BG22)</f>
        <v>0</v>
      </c>
      <c r="BP22" t="s">
        <v>437</v>
      </c>
      <c r="BQ22">
        <v>0</v>
      </c>
      <c r="BR22">
        <f>IF(BQ22&lt;&gt;0, BQ22, BO22)</f>
        <v>0</v>
      </c>
      <c r="BS22">
        <f>1-BR22/BG22</f>
        <v>0</v>
      </c>
      <c r="BT22">
        <f>(BG22-BF22)/(BG22-BR22)</f>
        <v>0</v>
      </c>
      <c r="BU22">
        <f>(BA22-BG22)/(BA22-BR22)</f>
        <v>0</v>
      </c>
      <c r="BV22">
        <f>(BG22-BF22)/(BG22-AZ22)</f>
        <v>0</v>
      </c>
      <c r="BW22">
        <f>(BA22-BG22)/(BA22-AZ22)</f>
        <v>0</v>
      </c>
      <c r="BX22">
        <f>(BT22*BR22/BF22)</f>
        <v>0</v>
      </c>
      <c r="BY22">
        <f>(1-BX22)</f>
        <v>0</v>
      </c>
      <c r="DH22">
        <f>$B$11*EG22+$C$11*EH22+$F$11*ES22*(1-EV22)</f>
        <v>0</v>
      </c>
      <c r="DI22">
        <f>DH22*DJ22</f>
        <v>0</v>
      </c>
      <c r="DJ22">
        <f>($B$11*$D$9+$C$11*$D$9+$F$11*((FF22+EX22)/MAX(FF22+EX22+FG22, 0.1)*$I$9+FG22/MAX(FF22+EX22+FG22, 0.1)*$J$9))/($B$11+$C$11+$F$11)</f>
        <v>0</v>
      </c>
      <c r="DK22">
        <f>($B$11*$K$9+$C$11*$K$9+$F$11*((FF22+EX22)/MAX(FF22+EX22+FG22, 0.1)*$P$9+FG22/MAX(FF22+EX22+FG22, 0.1)*$Q$9))/($B$11+$C$11+$F$11)</f>
        <v>0</v>
      </c>
      <c r="DL22">
        <v>6</v>
      </c>
      <c r="DM22">
        <v>0.5</v>
      </c>
      <c r="DN22" t="s">
        <v>438</v>
      </c>
      <c r="DO22">
        <v>2</v>
      </c>
      <c r="DP22" t="b">
        <v>1</v>
      </c>
      <c r="DQ22">
        <v>1765298427.6</v>
      </c>
      <c r="DR22">
        <v>399.75225</v>
      </c>
      <c r="DS22">
        <v>400.00925</v>
      </c>
      <c r="DT22">
        <v>18.07960625</v>
      </c>
      <c r="DU22">
        <v>18.02898125</v>
      </c>
      <c r="DV22">
        <v>392.34425</v>
      </c>
      <c r="DW22">
        <v>18.00660625</v>
      </c>
      <c r="DX22">
        <v>500.0210625</v>
      </c>
      <c r="DY22">
        <v>90.10099375</v>
      </c>
      <c r="DZ22">
        <v>0.0999634375</v>
      </c>
      <c r="EA22">
        <v>25.42275</v>
      </c>
      <c r="EB22">
        <v>24.99710625</v>
      </c>
      <c r="EC22">
        <v>999.9</v>
      </c>
      <c r="ED22">
        <v>0</v>
      </c>
      <c r="EE22">
        <v>0</v>
      </c>
      <c r="EF22">
        <v>9994.333125</v>
      </c>
      <c r="EG22">
        <v>0</v>
      </c>
      <c r="EH22">
        <v>12.96571875</v>
      </c>
      <c r="EI22">
        <v>-0.404226375</v>
      </c>
      <c r="EJ22">
        <v>406.9608125</v>
      </c>
      <c r="EK22">
        <v>407.3534375</v>
      </c>
      <c r="EL22">
        <v>0.0462922875</v>
      </c>
      <c r="EM22">
        <v>400.00925</v>
      </c>
      <c r="EN22">
        <v>18.02898125</v>
      </c>
      <c r="EO22">
        <v>1.628599375</v>
      </c>
      <c r="EP22">
        <v>1.62442875</v>
      </c>
      <c r="EQ22">
        <v>14.23210625</v>
      </c>
      <c r="ER22">
        <v>14.1925125</v>
      </c>
      <c r="ES22">
        <v>799.9988125</v>
      </c>
      <c r="ET22">
        <v>0.9500043125</v>
      </c>
      <c r="EU22">
        <v>0.04999565625</v>
      </c>
      <c r="EV22">
        <v>0</v>
      </c>
      <c r="EW22">
        <v>963.5645625</v>
      </c>
      <c r="EX22">
        <v>5.00016</v>
      </c>
      <c r="EY22">
        <v>7412.685</v>
      </c>
      <c r="EZ22">
        <v>7194.676875</v>
      </c>
      <c r="FA22">
        <v>39.742125</v>
      </c>
      <c r="FB22">
        <v>42.519375</v>
      </c>
      <c r="FC22">
        <v>41.210625</v>
      </c>
      <c r="FD22">
        <v>42.444875</v>
      </c>
      <c r="FE22">
        <v>42.375</v>
      </c>
      <c r="FF22">
        <v>755.251875</v>
      </c>
      <c r="FG22">
        <v>39.75</v>
      </c>
      <c r="FH22">
        <v>0</v>
      </c>
      <c r="FI22">
        <v>1765298436.1</v>
      </c>
      <c r="FJ22">
        <v>0</v>
      </c>
      <c r="FK22">
        <v>963.544769230769</v>
      </c>
      <c r="FL22">
        <v>0.733675206727373</v>
      </c>
      <c r="FM22">
        <v>4.93059829936114</v>
      </c>
      <c r="FN22">
        <v>7412.68230769231</v>
      </c>
      <c r="FO22">
        <v>15</v>
      </c>
      <c r="FP22">
        <v>1765298461.1</v>
      </c>
      <c r="FQ22" t="s">
        <v>458</v>
      </c>
      <c r="FR22">
        <v>1765298461.1</v>
      </c>
      <c r="FS22">
        <v>1765298454.1</v>
      </c>
      <c r="FT22">
        <v>6</v>
      </c>
      <c r="FU22">
        <v>0.146</v>
      </c>
      <c r="FV22">
        <v>0.005</v>
      </c>
      <c r="FW22">
        <v>7.408</v>
      </c>
      <c r="FX22">
        <v>0.073</v>
      </c>
      <c r="FY22">
        <v>400</v>
      </c>
      <c r="FZ22">
        <v>18</v>
      </c>
      <c r="GA22">
        <v>0.35</v>
      </c>
      <c r="GB22">
        <v>0.18</v>
      </c>
      <c r="GC22">
        <v>-0.42115280952381</v>
      </c>
      <c r="GD22">
        <v>0.392939844155844</v>
      </c>
      <c r="GE22">
        <v>0.0854930087381803</v>
      </c>
      <c r="GF22">
        <v>1</v>
      </c>
      <c r="GG22">
        <v>963.481029411765</v>
      </c>
      <c r="GH22">
        <v>1.00557677410666</v>
      </c>
      <c r="GI22">
        <v>0.225045679715194</v>
      </c>
      <c r="GJ22">
        <v>-1</v>
      </c>
      <c r="GK22">
        <v>0.0473389333333333</v>
      </c>
      <c r="GL22">
        <v>-0.0164276805194805</v>
      </c>
      <c r="GM22">
        <v>0.00186230818643689</v>
      </c>
      <c r="GN22">
        <v>1</v>
      </c>
      <c r="GO22">
        <v>2</v>
      </c>
      <c r="GP22">
        <v>2</v>
      </c>
      <c r="GQ22" t="s">
        <v>440</v>
      </c>
      <c r="GR22">
        <v>3.12482</v>
      </c>
      <c r="GS22">
        <v>2.72568</v>
      </c>
      <c r="GT22">
        <v>0.0852807</v>
      </c>
      <c r="GU22">
        <v>0.086514</v>
      </c>
      <c r="GV22">
        <v>0.0834107</v>
      </c>
      <c r="GW22">
        <v>0.0831549</v>
      </c>
      <c r="GX22">
        <v>24269.5</v>
      </c>
      <c r="GY22">
        <v>22314.1</v>
      </c>
      <c r="GZ22">
        <v>23720</v>
      </c>
      <c r="HA22">
        <v>23777.2</v>
      </c>
      <c r="HB22">
        <v>37018.3</v>
      </c>
      <c r="HC22">
        <v>36037.4</v>
      </c>
      <c r="HD22">
        <v>42719.1</v>
      </c>
      <c r="HE22">
        <v>42343.3</v>
      </c>
      <c r="HF22">
        <v>1.91437</v>
      </c>
      <c r="HG22">
        <v>1.84417</v>
      </c>
      <c r="HH22">
        <v>0.112318</v>
      </c>
      <c r="HI22">
        <v>0</v>
      </c>
      <c r="HJ22">
        <v>23.161</v>
      </c>
      <c r="HK22">
        <v>999.9</v>
      </c>
      <c r="HL22">
        <v>49.738</v>
      </c>
      <c r="HM22">
        <v>28.721</v>
      </c>
      <c r="HN22">
        <v>21.8438</v>
      </c>
      <c r="HO22">
        <v>54.5503</v>
      </c>
      <c r="HP22">
        <v>46.6827</v>
      </c>
      <c r="HQ22">
        <v>1</v>
      </c>
      <c r="HR22">
        <v>-0.0946214</v>
      </c>
      <c r="HS22">
        <v>0.70869</v>
      </c>
      <c r="HT22">
        <v>20.232</v>
      </c>
      <c r="HU22">
        <v>5.23496</v>
      </c>
      <c r="HV22">
        <v>11.992</v>
      </c>
      <c r="HW22">
        <v>4.95645</v>
      </c>
      <c r="HX22">
        <v>3.304</v>
      </c>
      <c r="HY22">
        <v>999.9</v>
      </c>
      <c r="HZ22">
        <v>9999</v>
      </c>
      <c r="IA22">
        <v>9999</v>
      </c>
      <c r="IB22">
        <v>9999</v>
      </c>
      <c r="IC22">
        <v>1.86905</v>
      </c>
      <c r="ID22">
        <v>1.86478</v>
      </c>
      <c r="IE22">
        <v>1.87236</v>
      </c>
      <c r="IF22">
        <v>1.86337</v>
      </c>
      <c r="IG22">
        <v>1.8627</v>
      </c>
      <c r="IH22">
        <v>1.86908</v>
      </c>
      <c r="II22">
        <v>1.85928</v>
      </c>
      <c r="IJ22">
        <v>1.86569</v>
      </c>
      <c r="IK22">
        <v>5</v>
      </c>
      <c r="IL22">
        <v>0</v>
      </c>
      <c r="IM22">
        <v>0</v>
      </c>
      <c r="IN22">
        <v>0</v>
      </c>
      <c r="IO22" t="s">
        <v>441</v>
      </c>
      <c r="IP22" t="s">
        <v>442</v>
      </c>
      <c r="IQ22" t="s">
        <v>443</v>
      </c>
      <c r="IR22" t="s">
        <v>443</v>
      </c>
      <c r="IS22" t="s">
        <v>443</v>
      </c>
      <c r="IT22" t="s">
        <v>443</v>
      </c>
      <c r="IU22">
        <v>0</v>
      </c>
      <c r="IV22">
        <v>100</v>
      </c>
      <c r="IW22">
        <v>100</v>
      </c>
      <c r="IX22">
        <v>7.408</v>
      </c>
      <c r="IY22">
        <v>0.073</v>
      </c>
      <c r="IZ22">
        <v>5.24994878266705</v>
      </c>
      <c r="JA22">
        <v>0.0062698613543794</v>
      </c>
      <c r="JB22">
        <v>-3.23243345529816e-06</v>
      </c>
      <c r="JC22">
        <v>8.00506428382295e-10</v>
      </c>
      <c r="JD22">
        <v>-0.095288628601586</v>
      </c>
      <c r="JE22">
        <v>-0.0018464610107002</v>
      </c>
      <c r="JF22">
        <v>0.000796540623429801</v>
      </c>
      <c r="JG22">
        <v>-1.04619914107352e-05</v>
      </c>
      <c r="JH22">
        <v>-0</v>
      </c>
      <c r="JI22">
        <v>2101</v>
      </c>
      <c r="JJ22">
        <v>1</v>
      </c>
      <c r="JK22">
        <v>23</v>
      </c>
      <c r="JL22">
        <v>1.4</v>
      </c>
      <c r="JM22">
        <v>1.5</v>
      </c>
      <c r="JN22">
        <v>1.00952</v>
      </c>
      <c r="JO22">
        <v>2.3645</v>
      </c>
      <c r="JP22">
        <v>1.4978</v>
      </c>
      <c r="JQ22">
        <v>2.33765</v>
      </c>
      <c r="JR22">
        <v>1.54419</v>
      </c>
      <c r="JS22">
        <v>2.37427</v>
      </c>
      <c r="JT22">
        <v>36.5287</v>
      </c>
      <c r="JU22">
        <v>24.1575</v>
      </c>
      <c r="JV22">
        <v>18</v>
      </c>
      <c r="JW22">
        <v>539.031</v>
      </c>
      <c r="JX22">
        <v>437.173</v>
      </c>
      <c r="JY22">
        <v>22.5992</v>
      </c>
      <c r="JZ22">
        <v>26.3042</v>
      </c>
      <c r="KA22">
        <v>29.9998</v>
      </c>
      <c r="KB22">
        <v>26.4099</v>
      </c>
      <c r="KC22">
        <v>26.4417</v>
      </c>
      <c r="KD22">
        <v>20.2559</v>
      </c>
      <c r="KE22">
        <v>29.8339</v>
      </c>
      <c r="KF22">
        <v>91.032</v>
      </c>
      <c r="KG22">
        <v>22.6067</v>
      </c>
      <c r="KH22">
        <v>400</v>
      </c>
      <c r="KI22">
        <v>18.0482</v>
      </c>
      <c r="KJ22">
        <v>95.7799</v>
      </c>
      <c r="KK22">
        <v>98.7327</v>
      </c>
    </row>
    <row r="23" spans="1:297">
      <c r="A23">
        <v>7</v>
      </c>
      <c r="B23">
        <v>1765298523.1</v>
      </c>
      <c r="C23">
        <v>574.099999904633</v>
      </c>
      <c r="D23" t="s">
        <v>459</v>
      </c>
      <c r="E23" t="s">
        <v>460</v>
      </c>
      <c r="F23">
        <v>5</v>
      </c>
      <c r="G23" t="s">
        <v>435</v>
      </c>
      <c r="H23" t="s">
        <v>436</v>
      </c>
      <c r="I23">
        <v>1765298515.1</v>
      </c>
      <c r="J23">
        <f>(K23)/1000</f>
        <v>0</v>
      </c>
      <c r="K23">
        <f>IF(DP23, AN23, AH23)</f>
        <v>0</v>
      </c>
      <c r="L23">
        <f>IF(DP23, AI23, AG23)</f>
        <v>0</v>
      </c>
      <c r="M23">
        <f>DR23 - IF(AU23&gt;1, L23*DL23*100.0/(AW23), 0)</f>
        <v>0</v>
      </c>
      <c r="N23">
        <f>((T23-J23/2)*M23-L23)/(T23+J23/2)</f>
        <v>0</v>
      </c>
      <c r="O23">
        <f>N23*(DY23+DZ23)/1000.0</f>
        <v>0</v>
      </c>
      <c r="P23">
        <f>(DR23 - IF(AU23&gt;1, L23*DL23*100.0/(AW23), 0))*(DY23+DZ23)/1000.0</f>
        <v>0</v>
      </c>
      <c r="Q23">
        <f>2.0/((1/S23-1/R23)+SIGN(S23)*SQRT((1/S23-1/R23)*(1/S23-1/R23) + 4*DM23/((DM23+1)*(DM23+1))*(2*1/S23*1/R23-1/R23*1/R23)))</f>
        <v>0</v>
      </c>
      <c r="R23">
        <f>IF(LEFT(DN23,1)&lt;&gt;"0",IF(LEFT(DN23,1)="1",3.0,DO23),$D$5+$E$5*(EF23*DY23/($K$5*1000))+$F$5*(EF23*DY23/($K$5*1000))*MAX(MIN(DL23,$J$5),$I$5)*MAX(MIN(DL23,$J$5),$I$5)+$G$5*MAX(MIN(DL23,$J$5),$I$5)*(EF23*DY23/($K$5*1000))+$H$5*(EF23*DY23/($K$5*1000))*(EF23*DY23/($K$5*1000)))</f>
        <v>0</v>
      </c>
      <c r="S23">
        <f>J23*(1000-(1000*0.61365*exp(17.502*W23/(240.97+W23))/(DY23+DZ23)+DT23)/2)/(1000*0.61365*exp(17.502*W23/(240.97+W23))/(DY23+DZ23)-DT23)</f>
        <v>0</v>
      </c>
      <c r="T23">
        <f>1/((DM23+1)/(Q23/1.6)+1/(R23/1.37)) + DM23/((DM23+1)/(Q23/1.6) + DM23/(R23/1.37))</f>
        <v>0</v>
      </c>
      <c r="U23">
        <f>(DH23*DK23)</f>
        <v>0</v>
      </c>
      <c r="V23">
        <f>(EA23+(U23+2*0.95*5.67E-8*(((EA23+$B$7)+273)^4-(EA23+273)^4)-44100*J23)/(1.84*29.3*R23+8*0.95*5.67E-8*(EA23+273)^3))</f>
        <v>0</v>
      </c>
      <c r="W23">
        <f>($C$7*EB23+$D$7*EC23+$E$7*V23)</f>
        <v>0</v>
      </c>
      <c r="X23">
        <f>0.61365*exp(17.502*W23/(240.97+W23))</f>
        <v>0</v>
      </c>
      <c r="Y23">
        <f>(Z23/AA23*100)</f>
        <v>0</v>
      </c>
      <c r="Z23">
        <f>DT23*(DY23+DZ23)/1000</f>
        <v>0</v>
      </c>
      <c r="AA23">
        <f>0.61365*exp(17.502*EA23/(240.97+EA23))</f>
        <v>0</v>
      </c>
      <c r="AB23">
        <f>(X23-DT23*(DY23+DZ23)/1000)</f>
        <v>0</v>
      </c>
      <c r="AC23">
        <f>(-J23*44100)</f>
        <v>0</v>
      </c>
      <c r="AD23">
        <f>2*29.3*R23*0.92*(EA23-W23)</f>
        <v>0</v>
      </c>
      <c r="AE23">
        <f>2*0.95*5.67E-8*(((EA23+$B$7)+273)^4-(W23+273)^4)</f>
        <v>0</v>
      </c>
      <c r="AF23">
        <f>U23+AE23+AC23+AD23</f>
        <v>0</v>
      </c>
      <c r="AG23">
        <f>DX23*AU23*(DS23-DR23*(1000-AU23*DU23)/(1000-AU23*DT23))/(100*DL23)</f>
        <v>0</v>
      </c>
      <c r="AH23">
        <f>1000*DX23*AU23*(DT23-DU23)/(100*DL23*(1000-AU23*DT23))</f>
        <v>0</v>
      </c>
      <c r="AI23">
        <f>(AJ23 - AK23 - DY23*1E3/(8.314*(EA23+273.15)) * AM23/DX23 * AL23) * DX23/(100*DL23) * (1000 - DU23)/1000</f>
        <v>0</v>
      </c>
      <c r="AJ23">
        <v>407.382460157447</v>
      </c>
      <c r="AK23">
        <v>407.259745454545</v>
      </c>
      <c r="AL23">
        <v>-0.0141523760002499</v>
      </c>
      <c r="AM23">
        <v>64.0328079420301</v>
      </c>
      <c r="AN23">
        <f>(AP23 - AO23 + DY23*1E3/(8.314*(EA23+273.15)) * AR23/DX23 * AQ23) * DX23/(100*DL23) * 1000/(1000 - AP23)</f>
        <v>0</v>
      </c>
      <c r="AO23">
        <v>18.0555318921866</v>
      </c>
      <c r="AP23">
        <v>18.1028466666667</v>
      </c>
      <c r="AQ23">
        <v>2.2499703753788e-05</v>
      </c>
      <c r="AR23">
        <v>104.362209164073</v>
      </c>
      <c r="AS23">
        <v>6</v>
      </c>
      <c r="AT23">
        <v>1</v>
      </c>
      <c r="AU23">
        <f>IF(AS23*$H$13&gt;=AW23,1.0,(AW23/(AW23-AS23*$H$13)))</f>
        <v>0</v>
      </c>
      <c r="AV23">
        <f>(AU23-1)*100</f>
        <v>0</v>
      </c>
      <c r="AW23">
        <f>MAX(0,($B$13+$C$13*EF23)/(1+$D$13*EF23)*DY23/(EA23+273)*$E$13)</f>
        <v>0</v>
      </c>
      <c r="AX23" t="s">
        <v>437</v>
      </c>
      <c r="AY23" t="s">
        <v>437</v>
      </c>
      <c r="AZ23">
        <v>0</v>
      </c>
      <c r="BA23">
        <v>0</v>
      </c>
      <c r="BB23">
        <f>1-AZ23/BA23</f>
        <v>0</v>
      </c>
      <c r="BC23">
        <v>0</v>
      </c>
      <c r="BD23" t="s">
        <v>437</v>
      </c>
      <c r="BE23" t="s">
        <v>437</v>
      </c>
      <c r="BF23">
        <v>0</v>
      </c>
      <c r="BG23">
        <v>0</v>
      </c>
      <c r="BH23">
        <f>1-BF23/BG23</f>
        <v>0</v>
      </c>
      <c r="BI23">
        <v>0.5</v>
      </c>
      <c r="BJ23">
        <f>DI23</f>
        <v>0</v>
      </c>
      <c r="BK23">
        <f>L23</f>
        <v>0</v>
      </c>
      <c r="BL23">
        <f>BH23*BI23*BJ23</f>
        <v>0</v>
      </c>
      <c r="BM23">
        <f>(BK23-BC23)/BJ23</f>
        <v>0</v>
      </c>
      <c r="BN23">
        <f>(BA23-BG23)/BG23</f>
        <v>0</v>
      </c>
      <c r="BO23">
        <f>AZ23/(BB23+AZ23/BG23)</f>
        <v>0</v>
      </c>
      <c r="BP23" t="s">
        <v>437</v>
      </c>
      <c r="BQ23">
        <v>0</v>
      </c>
      <c r="BR23">
        <f>IF(BQ23&lt;&gt;0, BQ23, BO23)</f>
        <v>0</v>
      </c>
      <c r="BS23">
        <f>1-BR23/BG23</f>
        <v>0</v>
      </c>
      <c r="BT23">
        <f>(BG23-BF23)/(BG23-BR23)</f>
        <v>0</v>
      </c>
      <c r="BU23">
        <f>(BA23-BG23)/(BA23-BR23)</f>
        <v>0</v>
      </c>
      <c r="BV23">
        <f>(BG23-BF23)/(BG23-AZ23)</f>
        <v>0</v>
      </c>
      <c r="BW23">
        <f>(BA23-BG23)/(BA23-AZ23)</f>
        <v>0</v>
      </c>
      <c r="BX23">
        <f>(BT23*BR23/BF23)</f>
        <v>0</v>
      </c>
      <c r="BY23">
        <f>(1-BX23)</f>
        <v>0</v>
      </c>
      <c r="DH23">
        <f>$B$11*EG23+$C$11*EH23+$F$11*ES23*(1-EV23)</f>
        <v>0</v>
      </c>
      <c r="DI23">
        <f>DH23*DJ23</f>
        <v>0</v>
      </c>
      <c r="DJ23">
        <f>($B$11*$D$9+$C$11*$D$9+$F$11*((FF23+EX23)/MAX(FF23+EX23+FG23, 0.1)*$I$9+FG23/MAX(FF23+EX23+FG23, 0.1)*$J$9))/($B$11+$C$11+$F$11)</f>
        <v>0</v>
      </c>
      <c r="DK23">
        <f>($B$11*$K$9+$C$11*$K$9+$F$11*((FF23+EX23)/MAX(FF23+EX23+FG23, 0.1)*$P$9+FG23/MAX(FF23+EX23+FG23, 0.1)*$Q$9))/($B$11+$C$11+$F$11)</f>
        <v>0</v>
      </c>
      <c r="DL23">
        <v>6</v>
      </c>
      <c r="DM23">
        <v>0.5</v>
      </c>
      <c r="DN23" t="s">
        <v>438</v>
      </c>
      <c r="DO23">
        <v>2</v>
      </c>
      <c r="DP23" t="b">
        <v>1</v>
      </c>
      <c r="DQ23">
        <v>1765298515.1</v>
      </c>
      <c r="DR23">
        <v>399.883466666667</v>
      </c>
      <c r="DS23">
        <v>400.0026</v>
      </c>
      <c r="DT23">
        <v>18.0981133333333</v>
      </c>
      <c r="DU23">
        <v>18.0542266666667</v>
      </c>
      <c r="DV23">
        <v>392.533466666667</v>
      </c>
      <c r="DW23">
        <v>18.0261133333333</v>
      </c>
      <c r="DX23">
        <v>500.030933333333</v>
      </c>
      <c r="DY23">
        <v>90.09292</v>
      </c>
      <c r="DZ23">
        <v>0.100027053333333</v>
      </c>
      <c r="EA23">
        <v>25.4260666666667</v>
      </c>
      <c r="EB23">
        <v>24.99736</v>
      </c>
      <c r="EC23">
        <v>999.9</v>
      </c>
      <c r="ED23">
        <v>0</v>
      </c>
      <c r="EE23">
        <v>0</v>
      </c>
      <c r="EF23">
        <v>9991.04066666667</v>
      </c>
      <c r="EG23">
        <v>0</v>
      </c>
      <c r="EH23">
        <v>13.0202</v>
      </c>
      <c r="EI23">
        <v>-0.0615214246666667</v>
      </c>
      <c r="EJ23">
        <v>407.313333333333</v>
      </c>
      <c r="EK23">
        <v>407.357133333333</v>
      </c>
      <c r="EL23">
        <v>0.0457317333333333</v>
      </c>
      <c r="EM23">
        <v>400.0026</v>
      </c>
      <c r="EN23">
        <v>18.0542266666667</v>
      </c>
      <c r="EO23">
        <v>1.630676</v>
      </c>
      <c r="EP23">
        <v>1.62655733333333</v>
      </c>
      <c r="EQ23">
        <v>14.2518</v>
      </c>
      <c r="ER23">
        <v>14.21272</v>
      </c>
      <c r="ES23">
        <v>800.017066666667</v>
      </c>
      <c r="ET23">
        <v>0.950004866666667</v>
      </c>
      <c r="EU23">
        <v>0.0499949933333333</v>
      </c>
      <c r="EV23">
        <v>0</v>
      </c>
      <c r="EW23">
        <v>963.908466666667</v>
      </c>
      <c r="EX23">
        <v>5.00016</v>
      </c>
      <c r="EY23">
        <v>7414.46266666667</v>
      </c>
      <c r="EZ23">
        <v>7194.84266666667</v>
      </c>
      <c r="FA23">
        <v>39.687</v>
      </c>
      <c r="FB23">
        <v>42.5</v>
      </c>
      <c r="FC23">
        <v>41.1828666666667</v>
      </c>
      <c r="FD23">
        <v>42.4664</v>
      </c>
      <c r="FE23">
        <v>42.375</v>
      </c>
      <c r="FF23">
        <v>755.270666666667</v>
      </c>
      <c r="FG23">
        <v>39.75</v>
      </c>
      <c r="FH23">
        <v>0</v>
      </c>
      <c r="FI23">
        <v>1765298523.1</v>
      </c>
      <c r="FJ23">
        <v>0</v>
      </c>
      <c r="FK23">
        <v>963.90456</v>
      </c>
      <c r="FL23">
        <v>-0.546461538140503</v>
      </c>
      <c r="FM23">
        <v>0.183076931533107</v>
      </c>
      <c r="FN23">
        <v>7414.314</v>
      </c>
      <c r="FO23">
        <v>15</v>
      </c>
      <c r="FP23">
        <v>1765298546.1</v>
      </c>
      <c r="FQ23" t="s">
        <v>461</v>
      </c>
      <c r="FR23">
        <v>1765298546.1</v>
      </c>
      <c r="FS23">
        <v>1765298543.1</v>
      </c>
      <c r="FT23">
        <v>7</v>
      </c>
      <c r="FU23">
        <v>-0.058</v>
      </c>
      <c r="FV23">
        <v>-0.001</v>
      </c>
      <c r="FW23">
        <v>7.35</v>
      </c>
      <c r="FX23">
        <v>0.072</v>
      </c>
      <c r="FY23">
        <v>400</v>
      </c>
      <c r="FZ23">
        <v>18</v>
      </c>
      <c r="GA23">
        <v>0.35</v>
      </c>
      <c r="GB23">
        <v>0.21</v>
      </c>
      <c r="GC23">
        <v>-0.058853889047619</v>
      </c>
      <c r="GD23">
        <v>-0.143250663896104</v>
      </c>
      <c r="GE23">
        <v>0.0309491659646838</v>
      </c>
      <c r="GF23">
        <v>1</v>
      </c>
      <c r="GG23">
        <v>963.913323529412</v>
      </c>
      <c r="GH23">
        <v>-0.151275780492469</v>
      </c>
      <c r="GI23">
        <v>0.179969232760722</v>
      </c>
      <c r="GJ23">
        <v>-1</v>
      </c>
      <c r="GK23">
        <v>0.0463391285714286</v>
      </c>
      <c r="GL23">
        <v>-0.00781415844155844</v>
      </c>
      <c r="GM23">
        <v>0.00143271644393002</v>
      </c>
      <c r="GN23">
        <v>1</v>
      </c>
      <c r="GO23">
        <v>2</v>
      </c>
      <c r="GP23">
        <v>2</v>
      </c>
      <c r="GQ23" t="s">
        <v>440</v>
      </c>
      <c r="GR23">
        <v>3.12482</v>
      </c>
      <c r="GS23">
        <v>2.72532</v>
      </c>
      <c r="GT23">
        <v>0.0852991</v>
      </c>
      <c r="GU23">
        <v>0.0865172</v>
      </c>
      <c r="GV23">
        <v>0.0835053</v>
      </c>
      <c r="GW23">
        <v>0.0832501</v>
      </c>
      <c r="GX23">
        <v>24270.2</v>
      </c>
      <c r="GY23">
        <v>22317.2</v>
      </c>
      <c r="GZ23">
        <v>23720.9</v>
      </c>
      <c r="HA23">
        <v>23780.2</v>
      </c>
      <c r="HB23">
        <v>37016</v>
      </c>
      <c r="HC23">
        <v>36038.1</v>
      </c>
      <c r="HD23">
        <v>42720.8</v>
      </c>
      <c r="HE23">
        <v>42348.5</v>
      </c>
      <c r="HF23">
        <v>1.91485</v>
      </c>
      <c r="HG23">
        <v>1.844</v>
      </c>
      <c r="HH23">
        <v>0.112019</v>
      </c>
      <c r="HI23">
        <v>0</v>
      </c>
      <c r="HJ23">
        <v>23.1639</v>
      </c>
      <c r="HK23">
        <v>999.9</v>
      </c>
      <c r="HL23">
        <v>49.664</v>
      </c>
      <c r="HM23">
        <v>28.762</v>
      </c>
      <c r="HN23">
        <v>21.8649</v>
      </c>
      <c r="HO23">
        <v>54.5502</v>
      </c>
      <c r="HP23">
        <v>46.7228</v>
      </c>
      <c r="HQ23">
        <v>1</v>
      </c>
      <c r="HR23">
        <v>-0.0994665</v>
      </c>
      <c r="HS23">
        <v>0.718489</v>
      </c>
      <c r="HT23">
        <v>20.2315</v>
      </c>
      <c r="HU23">
        <v>5.23361</v>
      </c>
      <c r="HV23">
        <v>11.992</v>
      </c>
      <c r="HW23">
        <v>4.95375</v>
      </c>
      <c r="HX23">
        <v>3.304</v>
      </c>
      <c r="HY23">
        <v>999.9</v>
      </c>
      <c r="HZ23">
        <v>9999</v>
      </c>
      <c r="IA23">
        <v>9999</v>
      </c>
      <c r="IB23">
        <v>9999</v>
      </c>
      <c r="IC23">
        <v>1.86905</v>
      </c>
      <c r="ID23">
        <v>1.86478</v>
      </c>
      <c r="IE23">
        <v>1.87239</v>
      </c>
      <c r="IF23">
        <v>1.86338</v>
      </c>
      <c r="IG23">
        <v>1.86265</v>
      </c>
      <c r="IH23">
        <v>1.8691</v>
      </c>
      <c r="II23">
        <v>1.85928</v>
      </c>
      <c r="IJ23">
        <v>1.86564</v>
      </c>
      <c r="IK23">
        <v>5</v>
      </c>
      <c r="IL23">
        <v>0</v>
      </c>
      <c r="IM23">
        <v>0</v>
      </c>
      <c r="IN23">
        <v>0</v>
      </c>
      <c r="IO23" t="s">
        <v>441</v>
      </c>
      <c r="IP23" t="s">
        <v>442</v>
      </c>
      <c r="IQ23" t="s">
        <v>443</v>
      </c>
      <c r="IR23" t="s">
        <v>443</v>
      </c>
      <c r="IS23" t="s">
        <v>443</v>
      </c>
      <c r="IT23" t="s">
        <v>443</v>
      </c>
      <c r="IU23">
        <v>0</v>
      </c>
      <c r="IV23">
        <v>100</v>
      </c>
      <c r="IW23">
        <v>100</v>
      </c>
      <c r="IX23">
        <v>7.35</v>
      </c>
      <c r="IY23">
        <v>0.072</v>
      </c>
      <c r="IZ23">
        <v>5.39606124940833</v>
      </c>
      <c r="JA23">
        <v>0.0062698613543794</v>
      </c>
      <c r="JB23">
        <v>-3.23243345529816e-06</v>
      </c>
      <c r="JC23">
        <v>8.00506428382295e-10</v>
      </c>
      <c r="JD23">
        <v>-0.090414213625674</v>
      </c>
      <c r="JE23">
        <v>-0.0018464610107002</v>
      </c>
      <c r="JF23">
        <v>0.000796540623429801</v>
      </c>
      <c r="JG23">
        <v>-1.04619914107352e-05</v>
      </c>
      <c r="JH23">
        <v>-0</v>
      </c>
      <c r="JI23">
        <v>2101</v>
      </c>
      <c r="JJ23">
        <v>1</v>
      </c>
      <c r="JK23">
        <v>23</v>
      </c>
      <c r="JL23">
        <v>1</v>
      </c>
      <c r="JM23">
        <v>1.1</v>
      </c>
      <c r="JN23">
        <v>1.00952</v>
      </c>
      <c r="JO23">
        <v>2.36938</v>
      </c>
      <c r="JP23">
        <v>1.4978</v>
      </c>
      <c r="JQ23">
        <v>2.33765</v>
      </c>
      <c r="JR23">
        <v>1.54419</v>
      </c>
      <c r="JS23">
        <v>2.35229</v>
      </c>
      <c r="JT23">
        <v>36.6233</v>
      </c>
      <c r="JU23">
        <v>24.1488</v>
      </c>
      <c r="JV23">
        <v>18</v>
      </c>
      <c r="JW23">
        <v>538.737</v>
      </c>
      <c r="JX23">
        <v>436.526</v>
      </c>
      <c r="JY23">
        <v>22.6207</v>
      </c>
      <c r="JZ23">
        <v>26.2448</v>
      </c>
      <c r="KA23">
        <v>29.9998</v>
      </c>
      <c r="KB23">
        <v>26.341</v>
      </c>
      <c r="KC23">
        <v>26.372</v>
      </c>
      <c r="KD23">
        <v>20.2549</v>
      </c>
      <c r="KE23">
        <v>29.8339</v>
      </c>
      <c r="KF23">
        <v>91.032</v>
      </c>
      <c r="KG23">
        <v>22.6162</v>
      </c>
      <c r="KH23">
        <v>400</v>
      </c>
      <c r="KI23">
        <v>18.0392</v>
      </c>
      <c r="KJ23">
        <v>95.7836</v>
      </c>
      <c r="KK23">
        <v>98.745</v>
      </c>
    </row>
    <row r="24" spans="1:297">
      <c r="A24">
        <v>8</v>
      </c>
      <c r="B24">
        <v>1765298628.1</v>
      </c>
      <c r="C24">
        <v>679.099999904633</v>
      </c>
      <c r="D24" t="s">
        <v>462</v>
      </c>
      <c r="E24" t="s">
        <v>463</v>
      </c>
      <c r="F24">
        <v>5</v>
      </c>
      <c r="G24" t="s">
        <v>435</v>
      </c>
      <c r="H24" t="s">
        <v>436</v>
      </c>
      <c r="I24">
        <v>1765298620.1</v>
      </c>
      <c r="J24">
        <f>(K24)/1000</f>
        <v>0</v>
      </c>
      <c r="K24">
        <f>IF(DP24, AN24, AH24)</f>
        <v>0</v>
      </c>
      <c r="L24">
        <f>IF(DP24, AI24, AG24)</f>
        <v>0</v>
      </c>
      <c r="M24">
        <f>DR24 - IF(AU24&gt;1, L24*DL24*100.0/(AW24), 0)</f>
        <v>0</v>
      </c>
      <c r="N24">
        <f>((T24-J24/2)*M24-L24)/(T24+J24/2)</f>
        <v>0</v>
      </c>
      <c r="O24">
        <f>N24*(DY24+DZ24)/1000.0</f>
        <v>0</v>
      </c>
      <c r="P24">
        <f>(DR24 - IF(AU24&gt;1, L24*DL24*100.0/(AW24), 0))*(DY24+DZ24)/1000.0</f>
        <v>0</v>
      </c>
      <c r="Q24">
        <f>2.0/((1/S24-1/R24)+SIGN(S24)*SQRT((1/S24-1/R24)*(1/S24-1/R24) + 4*DM24/((DM24+1)*(DM24+1))*(2*1/S24*1/R24-1/R24*1/R24)))</f>
        <v>0</v>
      </c>
      <c r="R24">
        <f>IF(LEFT(DN24,1)&lt;&gt;"0",IF(LEFT(DN24,1)="1",3.0,DO24),$D$5+$E$5*(EF24*DY24/($K$5*1000))+$F$5*(EF24*DY24/($K$5*1000))*MAX(MIN(DL24,$J$5),$I$5)*MAX(MIN(DL24,$J$5),$I$5)+$G$5*MAX(MIN(DL24,$J$5),$I$5)*(EF24*DY24/($K$5*1000))+$H$5*(EF24*DY24/($K$5*1000))*(EF24*DY24/($K$5*1000)))</f>
        <v>0</v>
      </c>
      <c r="S24">
        <f>J24*(1000-(1000*0.61365*exp(17.502*W24/(240.97+W24))/(DY24+DZ24)+DT24)/2)/(1000*0.61365*exp(17.502*W24/(240.97+W24))/(DY24+DZ24)-DT24)</f>
        <v>0</v>
      </c>
      <c r="T24">
        <f>1/((DM24+1)/(Q24/1.6)+1/(R24/1.37)) + DM24/((DM24+1)/(Q24/1.6) + DM24/(R24/1.37))</f>
        <v>0</v>
      </c>
      <c r="U24">
        <f>(DH24*DK24)</f>
        <v>0</v>
      </c>
      <c r="V24">
        <f>(EA24+(U24+2*0.95*5.67E-8*(((EA24+$B$7)+273)^4-(EA24+273)^4)-44100*J24)/(1.84*29.3*R24+8*0.95*5.67E-8*(EA24+273)^3))</f>
        <v>0</v>
      </c>
      <c r="W24">
        <f>($C$7*EB24+$D$7*EC24+$E$7*V24)</f>
        <v>0</v>
      </c>
      <c r="X24">
        <f>0.61365*exp(17.502*W24/(240.97+W24))</f>
        <v>0</v>
      </c>
      <c r="Y24">
        <f>(Z24/AA24*100)</f>
        <v>0</v>
      </c>
      <c r="Z24">
        <f>DT24*(DY24+DZ24)/1000</f>
        <v>0</v>
      </c>
      <c r="AA24">
        <f>0.61365*exp(17.502*EA24/(240.97+EA24))</f>
        <v>0</v>
      </c>
      <c r="AB24">
        <f>(X24-DT24*(DY24+DZ24)/1000)</f>
        <v>0</v>
      </c>
      <c r="AC24">
        <f>(-J24*44100)</f>
        <v>0</v>
      </c>
      <c r="AD24">
        <f>2*29.3*R24*0.92*(EA24-W24)</f>
        <v>0</v>
      </c>
      <c r="AE24">
        <f>2*0.95*5.67E-8*(((EA24+$B$7)+273)^4-(W24+273)^4)</f>
        <v>0</v>
      </c>
      <c r="AF24">
        <f>U24+AE24+AC24+AD24</f>
        <v>0</v>
      </c>
      <c r="AG24">
        <f>DX24*AU24*(DS24-DR24*(1000-AU24*DU24)/(1000-AU24*DT24))/(100*DL24)</f>
        <v>0</v>
      </c>
      <c r="AH24">
        <f>1000*DX24*AU24*(DT24-DU24)/(100*DL24*(1000-AU24*DT24))</f>
        <v>0</v>
      </c>
      <c r="AI24">
        <f>(AJ24 - AK24 - DY24*1E3/(8.314*(EA24+273.15)) * AM24/DX24 * AL24) * DX24/(100*DL24) * (1000 - DU24)/1000</f>
        <v>0</v>
      </c>
      <c r="AJ24">
        <v>611.055792985719</v>
      </c>
      <c r="AK24">
        <v>610.868357575758</v>
      </c>
      <c r="AL24">
        <v>0.0031440245049138</v>
      </c>
      <c r="AM24">
        <v>63.8652147630543</v>
      </c>
      <c r="AN24">
        <f>(AP24 - AO24 + DY24*1E3/(8.314*(EA24+273.15)) * AR24/DX24 * AQ24) * DX24/(100*DL24) * 1000/(1000 - AP24)</f>
        <v>0</v>
      </c>
      <c r="AO24">
        <v>18.0513023702616</v>
      </c>
      <c r="AP24">
        <v>18.0948066666667</v>
      </c>
      <c r="AQ24">
        <v>-3.84934345553899e-06</v>
      </c>
      <c r="AR24">
        <v>105.236274074333</v>
      </c>
      <c r="AS24">
        <v>6</v>
      </c>
      <c r="AT24">
        <v>1</v>
      </c>
      <c r="AU24">
        <f>IF(AS24*$H$13&gt;=AW24,1.0,(AW24/(AW24-AS24*$H$13)))</f>
        <v>0</v>
      </c>
      <c r="AV24">
        <f>(AU24-1)*100</f>
        <v>0</v>
      </c>
      <c r="AW24">
        <f>MAX(0,($B$13+$C$13*EF24)/(1+$D$13*EF24)*DY24/(EA24+273)*$E$13)</f>
        <v>0</v>
      </c>
      <c r="AX24" t="s">
        <v>437</v>
      </c>
      <c r="AY24" t="s">
        <v>437</v>
      </c>
      <c r="AZ24">
        <v>0</v>
      </c>
      <c r="BA24">
        <v>0</v>
      </c>
      <c r="BB24">
        <f>1-AZ24/BA24</f>
        <v>0</v>
      </c>
      <c r="BC24">
        <v>0</v>
      </c>
      <c r="BD24" t="s">
        <v>437</v>
      </c>
      <c r="BE24" t="s">
        <v>437</v>
      </c>
      <c r="BF24">
        <v>0</v>
      </c>
      <c r="BG24">
        <v>0</v>
      </c>
      <c r="BH24">
        <f>1-BF24/BG24</f>
        <v>0</v>
      </c>
      <c r="BI24">
        <v>0.5</v>
      </c>
      <c r="BJ24">
        <f>DI24</f>
        <v>0</v>
      </c>
      <c r="BK24">
        <f>L24</f>
        <v>0</v>
      </c>
      <c r="BL24">
        <f>BH24*BI24*BJ24</f>
        <v>0</v>
      </c>
      <c r="BM24">
        <f>(BK24-BC24)/BJ24</f>
        <v>0</v>
      </c>
      <c r="BN24">
        <f>(BA24-BG24)/BG24</f>
        <v>0</v>
      </c>
      <c r="BO24">
        <f>AZ24/(BB24+AZ24/BG24)</f>
        <v>0</v>
      </c>
      <c r="BP24" t="s">
        <v>437</v>
      </c>
      <c r="BQ24">
        <v>0</v>
      </c>
      <c r="BR24">
        <f>IF(BQ24&lt;&gt;0, BQ24, BO24)</f>
        <v>0</v>
      </c>
      <c r="BS24">
        <f>1-BR24/BG24</f>
        <v>0</v>
      </c>
      <c r="BT24">
        <f>(BG24-BF24)/(BG24-BR24)</f>
        <v>0</v>
      </c>
      <c r="BU24">
        <f>(BA24-BG24)/(BA24-BR24)</f>
        <v>0</v>
      </c>
      <c r="BV24">
        <f>(BG24-BF24)/(BG24-AZ24)</f>
        <v>0</v>
      </c>
      <c r="BW24">
        <f>(BA24-BG24)/(BA24-AZ24)</f>
        <v>0</v>
      </c>
      <c r="BX24">
        <f>(BT24*BR24/BF24)</f>
        <v>0</v>
      </c>
      <c r="BY24">
        <f>(1-BX24)</f>
        <v>0</v>
      </c>
      <c r="DH24">
        <f>$B$11*EG24+$C$11*EH24+$F$11*ES24*(1-EV24)</f>
        <v>0</v>
      </c>
      <c r="DI24">
        <f>DH24*DJ24</f>
        <v>0</v>
      </c>
      <c r="DJ24">
        <f>($B$11*$D$9+$C$11*$D$9+$F$11*((FF24+EX24)/MAX(FF24+EX24+FG24, 0.1)*$I$9+FG24/MAX(FF24+EX24+FG24, 0.1)*$J$9))/($B$11+$C$11+$F$11)</f>
        <v>0</v>
      </c>
      <c r="DK24">
        <f>($B$11*$K$9+$C$11*$K$9+$F$11*((FF24+EX24)/MAX(FF24+EX24+FG24, 0.1)*$P$9+FG24/MAX(FF24+EX24+FG24, 0.1)*$Q$9))/($B$11+$C$11+$F$11)</f>
        <v>0</v>
      </c>
      <c r="DL24">
        <v>6</v>
      </c>
      <c r="DM24">
        <v>0.5</v>
      </c>
      <c r="DN24" t="s">
        <v>438</v>
      </c>
      <c r="DO24">
        <v>2</v>
      </c>
      <c r="DP24" t="b">
        <v>1</v>
      </c>
      <c r="DQ24">
        <v>1765298620.1</v>
      </c>
      <c r="DR24">
        <v>599.6378</v>
      </c>
      <c r="DS24">
        <v>600.012733333333</v>
      </c>
      <c r="DT24">
        <v>18.0985933333333</v>
      </c>
      <c r="DU24">
        <v>18.0509266666667</v>
      </c>
      <c r="DV24">
        <v>591.6928</v>
      </c>
      <c r="DW24">
        <v>18.0235933333333</v>
      </c>
      <c r="DX24">
        <v>500.0122</v>
      </c>
      <c r="DY24">
        <v>90.09864</v>
      </c>
      <c r="DZ24">
        <v>0.0999732533333333</v>
      </c>
      <c r="EA24">
        <v>25.4246333333333</v>
      </c>
      <c r="EB24">
        <v>25.0066933333333</v>
      </c>
      <c r="EC24">
        <v>999.9</v>
      </c>
      <c r="ED24">
        <v>0</v>
      </c>
      <c r="EE24">
        <v>0</v>
      </c>
      <c r="EF24">
        <v>10002.59</v>
      </c>
      <c r="EG24">
        <v>0</v>
      </c>
      <c r="EH24">
        <v>13.0202</v>
      </c>
      <c r="EI24">
        <v>-0.2381592</v>
      </c>
      <c r="EJ24">
        <v>610.8284</v>
      </c>
      <c r="EK24">
        <v>611.042533333333</v>
      </c>
      <c r="EL24">
        <v>0.0454570933333333</v>
      </c>
      <c r="EM24">
        <v>600.012733333333</v>
      </c>
      <c r="EN24">
        <v>18.0509266666667</v>
      </c>
      <c r="EO24">
        <v>1.63045933333333</v>
      </c>
      <c r="EP24">
        <v>1.62636333333333</v>
      </c>
      <c r="EQ24">
        <v>14.2497266666667</v>
      </c>
      <c r="ER24">
        <v>14.2109066666667</v>
      </c>
      <c r="ES24">
        <v>799.961666666667</v>
      </c>
      <c r="ET24">
        <v>0.950001333333333</v>
      </c>
      <c r="EU24">
        <v>0.0499985333333333</v>
      </c>
      <c r="EV24">
        <v>0</v>
      </c>
      <c r="EW24">
        <v>963.936333333333</v>
      </c>
      <c r="EX24">
        <v>5.00016</v>
      </c>
      <c r="EY24">
        <v>7414.65933333333</v>
      </c>
      <c r="EZ24">
        <v>7194.33466666667</v>
      </c>
      <c r="FA24">
        <v>39.687</v>
      </c>
      <c r="FB24">
        <v>42.4412</v>
      </c>
      <c r="FC24">
        <v>41.1622</v>
      </c>
      <c r="FD24">
        <v>42.4622</v>
      </c>
      <c r="FE24">
        <v>42.375</v>
      </c>
      <c r="FF24">
        <v>755.214</v>
      </c>
      <c r="FG24">
        <v>39.75</v>
      </c>
      <c r="FH24">
        <v>0</v>
      </c>
      <c r="FI24">
        <v>1765298628.1</v>
      </c>
      <c r="FJ24">
        <v>0</v>
      </c>
      <c r="FK24">
        <v>963.9705</v>
      </c>
      <c r="FL24">
        <v>0.609811968354872</v>
      </c>
      <c r="FM24">
        <v>0.690256427752243</v>
      </c>
      <c r="FN24">
        <v>7414.98269230769</v>
      </c>
      <c r="FO24">
        <v>15</v>
      </c>
      <c r="FP24">
        <v>1765298652.1</v>
      </c>
      <c r="FQ24" t="s">
        <v>464</v>
      </c>
      <c r="FR24">
        <v>1765298652.1</v>
      </c>
      <c r="FS24">
        <v>1765298644.1</v>
      </c>
      <c r="FT24">
        <v>8</v>
      </c>
      <c r="FU24">
        <v>-0.138</v>
      </c>
      <c r="FV24">
        <v>0.003</v>
      </c>
      <c r="FW24">
        <v>7.945</v>
      </c>
      <c r="FX24">
        <v>0.075</v>
      </c>
      <c r="FY24">
        <v>600</v>
      </c>
      <c r="FZ24">
        <v>18</v>
      </c>
      <c r="GA24">
        <v>0.94</v>
      </c>
      <c r="GB24">
        <v>0.22</v>
      </c>
      <c r="GC24">
        <v>-0.269766666666667</v>
      </c>
      <c r="GD24">
        <v>0.467485636363636</v>
      </c>
      <c r="GE24">
        <v>0.0637233543256155</v>
      </c>
      <c r="GF24">
        <v>1</v>
      </c>
      <c r="GG24">
        <v>963.982735294118</v>
      </c>
      <c r="GH24">
        <v>0.430572960035036</v>
      </c>
      <c r="GI24">
        <v>0.218748890259183</v>
      </c>
      <c r="GJ24">
        <v>-1</v>
      </c>
      <c r="GK24">
        <v>0.0462855476190476</v>
      </c>
      <c r="GL24">
        <v>-0.0126393428571428</v>
      </c>
      <c r="GM24">
        <v>0.00152285239806879</v>
      </c>
      <c r="GN24">
        <v>1</v>
      </c>
      <c r="GO24">
        <v>2</v>
      </c>
      <c r="GP24">
        <v>2</v>
      </c>
      <c r="GQ24" t="s">
        <v>440</v>
      </c>
      <c r="GR24">
        <v>3.12482</v>
      </c>
      <c r="GS24">
        <v>2.72554</v>
      </c>
      <c r="GT24">
        <v>0.115664</v>
      </c>
      <c r="GU24">
        <v>0.116677</v>
      </c>
      <c r="GV24">
        <v>0.0834965</v>
      </c>
      <c r="GW24">
        <v>0.0832532</v>
      </c>
      <c r="GX24">
        <v>23465.2</v>
      </c>
      <c r="GY24">
        <v>21582.1</v>
      </c>
      <c r="GZ24">
        <v>23721.1</v>
      </c>
      <c r="HA24">
        <v>23781.7</v>
      </c>
      <c r="HB24">
        <v>37018.3</v>
      </c>
      <c r="HC24">
        <v>36043.5</v>
      </c>
      <c r="HD24">
        <v>42720.1</v>
      </c>
      <c r="HE24">
        <v>42352.1</v>
      </c>
      <c r="HF24">
        <v>1.91558</v>
      </c>
      <c r="HG24">
        <v>1.84477</v>
      </c>
      <c r="HH24">
        <v>0.109784</v>
      </c>
      <c r="HI24">
        <v>0</v>
      </c>
      <c r="HJ24">
        <v>23.206</v>
      </c>
      <c r="HK24">
        <v>999.9</v>
      </c>
      <c r="HL24">
        <v>49.518</v>
      </c>
      <c r="HM24">
        <v>28.832</v>
      </c>
      <c r="HN24">
        <v>21.8896</v>
      </c>
      <c r="HO24">
        <v>54.5502</v>
      </c>
      <c r="HP24">
        <v>46.6987</v>
      </c>
      <c r="HQ24">
        <v>1</v>
      </c>
      <c r="HR24">
        <v>-0.101814</v>
      </c>
      <c r="HS24">
        <v>0.848164</v>
      </c>
      <c r="HT24">
        <v>20.2311</v>
      </c>
      <c r="HU24">
        <v>5.23496</v>
      </c>
      <c r="HV24">
        <v>11.992</v>
      </c>
      <c r="HW24">
        <v>4.95655</v>
      </c>
      <c r="HX24">
        <v>3.304</v>
      </c>
      <c r="HY24">
        <v>999.9</v>
      </c>
      <c r="HZ24">
        <v>9999</v>
      </c>
      <c r="IA24">
        <v>9999</v>
      </c>
      <c r="IB24">
        <v>9999</v>
      </c>
      <c r="IC24">
        <v>1.86905</v>
      </c>
      <c r="ID24">
        <v>1.86478</v>
      </c>
      <c r="IE24">
        <v>1.87237</v>
      </c>
      <c r="IF24">
        <v>1.86336</v>
      </c>
      <c r="IG24">
        <v>1.86267</v>
      </c>
      <c r="IH24">
        <v>1.86909</v>
      </c>
      <c r="II24">
        <v>1.85928</v>
      </c>
      <c r="IJ24">
        <v>1.86567</v>
      </c>
      <c r="IK24">
        <v>5</v>
      </c>
      <c r="IL24">
        <v>0</v>
      </c>
      <c r="IM24">
        <v>0</v>
      </c>
      <c r="IN24">
        <v>0</v>
      </c>
      <c r="IO24" t="s">
        <v>441</v>
      </c>
      <c r="IP24" t="s">
        <v>442</v>
      </c>
      <c r="IQ24" t="s">
        <v>443</v>
      </c>
      <c r="IR24" t="s">
        <v>443</v>
      </c>
      <c r="IS24" t="s">
        <v>443</v>
      </c>
      <c r="IT24" t="s">
        <v>443</v>
      </c>
      <c r="IU24">
        <v>0</v>
      </c>
      <c r="IV24">
        <v>100</v>
      </c>
      <c r="IW24">
        <v>100</v>
      </c>
      <c r="IX24">
        <v>7.945</v>
      </c>
      <c r="IY24">
        <v>0.075</v>
      </c>
      <c r="IZ24">
        <v>5.33785369935401</v>
      </c>
      <c r="JA24">
        <v>0.0062698613543794</v>
      </c>
      <c r="JB24">
        <v>-3.23243345529816e-06</v>
      </c>
      <c r="JC24">
        <v>8.00506428382295e-10</v>
      </c>
      <c r="JD24">
        <v>-0.091439182438207</v>
      </c>
      <c r="JE24">
        <v>-0.0018464610107002</v>
      </c>
      <c r="JF24">
        <v>0.000796540623429801</v>
      </c>
      <c r="JG24">
        <v>-1.04619914107352e-05</v>
      </c>
      <c r="JH24">
        <v>-0</v>
      </c>
      <c r="JI24">
        <v>2101</v>
      </c>
      <c r="JJ24">
        <v>1</v>
      </c>
      <c r="JK24">
        <v>23</v>
      </c>
      <c r="JL24">
        <v>1.4</v>
      </c>
      <c r="JM24">
        <v>1.4</v>
      </c>
      <c r="JN24">
        <v>1.39282</v>
      </c>
      <c r="JO24">
        <v>2.35718</v>
      </c>
      <c r="JP24">
        <v>1.4978</v>
      </c>
      <c r="JQ24">
        <v>2.33765</v>
      </c>
      <c r="JR24">
        <v>1.54419</v>
      </c>
      <c r="JS24">
        <v>2.39746</v>
      </c>
      <c r="JT24">
        <v>36.6943</v>
      </c>
      <c r="JU24">
        <v>24.1488</v>
      </c>
      <c r="JV24">
        <v>18</v>
      </c>
      <c r="JW24">
        <v>538.622</v>
      </c>
      <c r="JX24">
        <v>436.451</v>
      </c>
      <c r="JY24">
        <v>22.4905</v>
      </c>
      <c r="JZ24">
        <v>26.1923</v>
      </c>
      <c r="KA24">
        <v>29.9999</v>
      </c>
      <c r="KB24">
        <v>26.2746</v>
      </c>
      <c r="KC24">
        <v>26.3036</v>
      </c>
      <c r="KD24">
        <v>27.9248</v>
      </c>
      <c r="KE24">
        <v>30.116</v>
      </c>
      <c r="KF24">
        <v>91.032</v>
      </c>
      <c r="KG24">
        <v>22.4872</v>
      </c>
      <c r="KH24">
        <v>600</v>
      </c>
      <c r="KI24">
        <v>17.9997</v>
      </c>
      <c r="KJ24">
        <v>95.7831</v>
      </c>
      <c r="KK24">
        <v>98.7526</v>
      </c>
    </row>
    <row r="25" spans="1:297">
      <c r="A25">
        <v>9</v>
      </c>
      <c r="B25">
        <v>1765298731.1</v>
      </c>
      <c r="C25">
        <v>782.099999904633</v>
      </c>
      <c r="D25" t="s">
        <v>465</v>
      </c>
      <c r="E25" t="s">
        <v>466</v>
      </c>
      <c r="F25">
        <v>5</v>
      </c>
      <c r="G25" t="s">
        <v>435</v>
      </c>
      <c r="H25" t="s">
        <v>436</v>
      </c>
      <c r="I25">
        <v>1765298722.6</v>
      </c>
      <c r="J25">
        <f>(K25)/1000</f>
        <v>0</v>
      </c>
      <c r="K25">
        <f>IF(DP25, AN25, AH25)</f>
        <v>0</v>
      </c>
      <c r="L25">
        <f>IF(DP25, AI25, AG25)</f>
        <v>0</v>
      </c>
      <c r="M25">
        <f>DR25 - IF(AU25&gt;1, L25*DL25*100.0/(AW25), 0)</f>
        <v>0</v>
      </c>
      <c r="N25">
        <f>((T25-J25/2)*M25-L25)/(T25+J25/2)</f>
        <v>0</v>
      </c>
      <c r="O25">
        <f>N25*(DY25+DZ25)/1000.0</f>
        <v>0</v>
      </c>
      <c r="P25">
        <f>(DR25 - IF(AU25&gt;1, L25*DL25*100.0/(AW25), 0))*(DY25+DZ25)/1000.0</f>
        <v>0</v>
      </c>
      <c r="Q25">
        <f>2.0/((1/S25-1/R25)+SIGN(S25)*SQRT((1/S25-1/R25)*(1/S25-1/R25) + 4*DM25/((DM25+1)*(DM25+1))*(2*1/S25*1/R25-1/R25*1/R25)))</f>
        <v>0</v>
      </c>
      <c r="R25">
        <f>IF(LEFT(DN25,1)&lt;&gt;"0",IF(LEFT(DN25,1)="1",3.0,DO25),$D$5+$E$5*(EF25*DY25/($K$5*1000))+$F$5*(EF25*DY25/($K$5*1000))*MAX(MIN(DL25,$J$5),$I$5)*MAX(MIN(DL25,$J$5),$I$5)+$G$5*MAX(MIN(DL25,$J$5),$I$5)*(EF25*DY25/($K$5*1000))+$H$5*(EF25*DY25/($K$5*1000))*(EF25*DY25/($K$5*1000)))</f>
        <v>0</v>
      </c>
      <c r="S25">
        <f>J25*(1000-(1000*0.61365*exp(17.502*W25/(240.97+W25))/(DY25+DZ25)+DT25)/2)/(1000*0.61365*exp(17.502*W25/(240.97+W25))/(DY25+DZ25)-DT25)</f>
        <v>0</v>
      </c>
      <c r="T25">
        <f>1/((DM25+1)/(Q25/1.6)+1/(R25/1.37)) + DM25/((DM25+1)/(Q25/1.6) + DM25/(R25/1.37))</f>
        <v>0</v>
      </c>
      <c r="U25">
        <f>(DH25*DK25)</f>
        <v>0</v>
      </c>
      <c r="V25">
        <f>(EA25+(U25+2*0.95*5.67E-8*(((EA25+$B$7)+273)^4-(EA25+273)^4)-44100*J25)/(1.84*29.3*R25+8*0.95*5.67E-8*(EA25+273)^3))</f>
        <v>0</v>
      </c>
      <c r="W25">
        <f>($C$7*EB25+$D$7*EC25+$E$7*V25)</f>
        <v>0</v>
      </c>
      <c r="X25">
        <f>0.61365*exp(17.502*W25/(240.97+W25))</f>
        <v>0</v>
      </c>
      <c r="Y25">
        <f>(Z25/AA25*100)</f>
        <v>0</v>
      </c>
      <c r="Z25">
        <f>DT25*(DY25+DZ25)/1000</f>
        <v>0</v>
      </c>
      <c r="AA25">
        <f>0.61365*exp(17.502*EA25/(240.97+EA25))</f>
        <v>0</v>
      </c>
      <c r="AB25">
        <f>(X25-DT25*(DY25+DZ25)/1000)</f>
        <v>0</v>
      </c>
      <c r="AC25">
        <f>(-J25*44100)</f>
        <v>0</v>
      </c>
      <c r="AD25">
        <f>2*29.3*R25*0.92*(EA25-W25)</f>
        <v>0</v>
      </c>
      <c r="AE25">
        <f>2*0.95*5.67E-8*(((EA25+$B$7)+273)^4-(W25+273)^4)</f>
        <v>0</v>
      </c>
      <c r="AF25">
        <f>U25+AE25+AC25+AD25</f>
        <v>0</v>
      </c>
      <c r="AG25">
        <f>DX25*AU25*(DS25-DR25*(1000-AU25*DU25)/(1000-AU25*DT25))/(100*DL25)</f>
        <v>0</v>
      </c>
      <c r="AH25">
        <f>1000*DX25*AU25*(DT25-DU25)/(100*DL25*(1000-AU25*DT25))</f>
        <v>0</v>
      </c>
      <c r="AI25">
        <f>(AJ25 - AK25 - DY25*1E3/(8.314*(EA25+273.15)) * AM25/DX25 * AL25) * DX25/(100*DL25) * (1000 - DU25)/1000</f>
        <v>0</v>
      </c>
      <c r="AJ25">
        <v>814.680979735008</v>
      </c>
      <c r="AK25">
        <v>814.248484848485</v>
      </c>
      <c r="AL25">
        <v>-0.000699123566862291</v>
      </c>
      <c r="AM25">
        <v>63.8705448158127</v>
      </c>
      <c r="AN25">
        <f>(AP25 - AO25 + DY25*1E3/(8.314*(EA25+273.15)) * AR25/DX25 * AQ25) * DX25/(100*DL25) * 1000/(1000 - AP25)</f>
        <v>0</v>
      </c>
      <c r="AO25">
        <v>18.0315159201308</v>
      </c>
      <c r="AP25">
        <v>18.0765327272727</v>
      </c>
      <c r="AQ25">
        <v>-1.26284017774363e-05</v>
      </c>
      <c r="AR25">
        <v>105.208217760885</v>
      </c>
      <c r="AS25">
        <v>6</v>
      </c>
      <c r="AT25">
        <v>1</v>
      </c>
      <c r="AU25">
        <f>IF(AS25*$H$13&gt;=AW25,1.0,(AW25/(AW25-AS25*$H$13)))</f>
        <v>0</v>
      </c>
      <c r="AV25">
        <f>(AU25-1)*100</f>
        <v>0</v>
      </c>
      <c r="AW25">
        <f>MAX(0,($B$13+$C$13*EF25)/(1+$D$13*EF25)*DY25/(EA25+273)*$E$13)</f>
        <v>0</v>
      </c>
      <c r="AX25" t="s">
        <v>437</v>
      </c>
      <c r="AY25" t="s">
        <v>437</v>
      </c>
      <c r="AZ25">
        <v>0</v>
      </c>
      <c r="BA25">
        <v>0</v>
      </c>
      <c r="BB25">
        <f>1-AZ25/BA25</f>
        <v>0</v>
      </c>
      <c r="BC25">
        <v>0</v>
      </c>
      <c r="BD25" t="s">
        <v>437</v>
      </c>
      <c r="BE25" t="s">
        <v>437</v>
      </c>
      <c r="BF25">
        <v>0</v>
      </c>
      <c r="BG25">
        <v>0</v>
      </c>
      <c r="BH25">
        <f>1-BF25/BG25</f>
        <v>0</v>
      </c>
      <c r="BI25">
        <v>0.5</v>
      </c>
      <c r="BJ25">
        <f>DI25</f>
        <v>0</v>
      </c>
      <c r="BK25">
        <f>L25</f>
        <v>0</v>
      </c>
      <c r="BL25">
        <f>BH25*BI25*BJ25</f>
        <v>0</v>
      </c>
      <c r="BM25">
        <f>(BK25-BC25)/BJ25</f>
        <v>0</v>
      </c>
      <c r="BN25">
        <f>(BA25-BG25)/BG25</f>
        <v>0</v>
      </c>
      <c r="BO25">
        <f>AZ25/(BB25+AZ25/BG25)</f>
        <v>0</v>
      </c>
      <c r="BP25" t="s">
        <v>437</v>
      </c>
      <c r="BQ25">
        <v>0</v>
      </c>
      <c r="BR25">
        <f>IF(BQ25&lt;&gt;0, BQ25, BO25)</f>
        <v>0</v>
      </c>
      <c r="BS25">
        <f>1-BR25/BG25</f>
        <v>0</v>
      </c>
      <c r="BT25">
        <f>(BG25-BF25)/(BG25-BR25)</f>
        <v>0</v>
      </c>
      <c r="BU25">
        <f>(BA25-BG25)/(BA25-BR25)</f>
        <v>0</v>
      </c>
      <c r="BV25">
        <f>(BG25-BF25)/(BG25-AZ25)</f>
        <v>0</v>
      </c>
      <c r="BW25">
        <f>(BA25-BG25)/(BA25-AZ25)</f>
        <v>0</v>
      </c>
      <c r="BX25">
        <f>(BT25*BR25/BF25)</f>
        <v>0</v>
      </c>
      <c r="BY25">
        <f>(1-BX25)</f>
        <v>0</v>
      </c>
      <c r="DH25">
        <f>$B$11*EG25+$C$11*EH25+$F$11*ES25*(1-EV25)</f>
        <v>0</v>
      </c>
      <c r="DI25">
        <f>DH25*DJ25</f>
        <v>0</v>
      </c>
      <c r="DJ25">
        <f>($B$11*$D$9+$C$11*$D$9+$F$11*((FF25+EX25)/MAX(FF25+EX25+FG25, 0.1)*$I$9+FG25/MAX(FF25+EX25+FG25, 0.1)*$J$9))/($B$11+$C$11+$F$11)</f>
        <v>0</v>
      </c>
      <c r="DK25">
        <f>($B$11*$K$9+$C$11*$K$9+$F$11*((FF25+EX25)/MAX(FF25+EX25+FG25, 0.1)*$P$9+FG25/MAX(FF25+EX25+FG25, 0.1)*$Q$9))/($B$11+$C$11+$F$11)</f>
        <v>0</v>
      </c>
      <c r="DL25">
        <v>6</v>
      </c>
      <c r="DM25">
        <v>0.5</v>
      </c>
      <c r="DN25" t="s">
        <v>438</v>
      </c>
      <c r="DO25">
        <v>2</v>
      </c>
      <c r="DP25" t="b">
        <v>1</v>
      </c>
      <c r="DQ25">
        <v>1765298722.6</v>
      </c>
      <c r="DR25">
        <v>799.373</v>
      </c>
      <c r="DS25">
        <v>800.00225</v>
      </c>
      <c r="DT25">
        <v>18.08395625</v>
      </c>
      <c r="DU25">
        <v>18.03219375</v>
      </c>
      <c r="DV25">
        <v>790.986</v>
      </c>
      <c r="DW25">
        <v>18.00295625</v>
      </c>
      <c r="DX25">
        <v>499.9806875</v>
      </c>
      <c r="DY25">
        <v>90.087075</v>
      </c>
      <c r="DZ25">
        <v>0.09996750625</v>
      </c>
      <c r="EA25">
        <v>25.4227125</v>
      </c>
      <c r="EB25">
        <v>25.00611875</v>
      </c>
      <c r="EC25">
        <v>999.9</v>
      </c>
      <c r="ED25">
        <v>0</v>
      </c>
      <c r="EE25">
        <v>0</v>
      </c>
      <c r="EF25">
        <v>10001.72375</v>
      </c>
      <c r="EG25">
        <v>0</v>
      </c>
      <c r="EH25">
        <v>13.0202</v>
      </c>
      <c r="EI25">
        <v>-0.4836578125</v>
      </c>
      <c r="EJ25">
        <v>814.238625</v>
      </c>
      <c r="EK25">
        <v>814.6928125</v>
      </c>
      <c r="EL25">
        <v>0.046234375</v>
      </c>
      <c r="EM25">
        <v>800.00225</v>
      </c>
      <c r="EN25">
        <v>18.03219375</v>
      </c>
      <c r="EO25">
        <v>1.62863</v>
      </c>
      <c r="EP25">
        <v>1.624465</v>
      </c>
      <c r="EQ25">
        <v>14.23240625</v>
      </c>
      <c r="ER25">
        <v>14.19285625</v>
      </c>
      <c r="ES25">
        <v>800.0108125</v>
      </c>
      <c r="ET25">
        <v>0.9500043125</v>
      </c>
      <c r="EU25">
        <v>0.0499956875</v>
      </c>
      <c r="EV25">
        <v>0</v>
      </c>
      <c r="EW25">
        <v>964.0990625</v>
      </c>
      <c r="EX25">
        <v>5.00016</v>
      </c>
      <c r="EY25">
        <v>7415.263125</v>
      </c>
      <c r="EZ25">
        <v>7194.78375</v>
      </c>
      <c r="FA25">
        <v>39.687</v>
      </c>
      <c r="FB25">
        <v>42.437</v>
      </c>
      <c r="FC25">
        <v>41.175375</v>
      </c>
      <c r="FD25">
        <v>42.444875</v>
      </c>
      <c r="FE25">
        <v>42.375</v>
      </c>
      <c r="FF25">
        <v>755.26375</v>
      </c>
      <c r="FG25">
        <v>39.75</v>
      </c>
      <c r="FH25">
        <v>0</v>
      </c>
      <c r="FI25">
        <v>1765298731.3</v>
      </c>
      <c r="FJ25">
        <v>0</v>
      </c>
      <c r="FK25">
        <v>964.049730769231</v>
      </c>
      <c r="FL25">
        <v>-0.0751111236654327</v>
      </c>
      <c r="FM25">
        <v>-0.296410297412399</v>
      </c>
      <c r="FN25">
        <v>7415.13961538461</v>
      </c>
      <c r="FO25">
        <v>15</v>
      </c>
      <c r="FP25">
        <v>1765298763.1</v>
      </c>
      <c r="FQ25" t="s">
        <v>467</v>
      </c>
      <c r="FR25">
        <v>1765298763.1</v>
      </c>
      <c r="FS25">
        <v>1765298748.1</v>
      </c>
      <c r="FT25">
        <v>9</v>
      </c>
      <c r="FU25">
        <v>-0.147</v>
      </c>
      <c r="FV25">
        <v>0.007</v>
      </c>
      <c r="FW25">
        <v>8.387</v>
      </c>
      <c r="FX25">
        <v>0.081</v>
      </c>
      <c r="FY25">
        <v>800</v>
      </c>
      <c r="FZ25">
        <v>18</v>
      </c>
      <c r="GA25">
        <v>0.51</v>
      </c>
      <c r="GB25">
        <v>0.25</v>
      </c>
      <c r="GC25">
        <v>-0.49888</v>
      </c>
      <c r="GD25">
        <v>0.438861473684211</v>
      </c>
      <c r="GE25">
        <v>0.0628593058568101</v>
      </c>
      <c r="GF25">
        <v>1</v>
      </c>
      <c r="GG25">
        <v>964.039235294118</v>
      </c>
      <c r="GH25">
        <v>0.310893808430237</v>
      </c>
      <c r="GI25">
        <v>0.16593656811167</v>
      </c>
      <c r="GJ25">
        <v>-1</v>
      </c>
      <c r="GK25">
        <v>0.046591855</v>
      </c>
      <c r="GL25">
        <v>-0.00744678045112783</v>
      </c>
      <c r="GM25">
        <v>0.00116373393629085</v>
      </c>
      <c r="GN25">
        <v>1</v>
      </c>
      <c r="GO25">
        <v>2</v>
      </c>
      <c r="GP25">
        <v>2</v>
      </c>
      <c r="GQ25" t="s">
        <v>440</v>
      </c>
      <c r="GR25">
        <v>3.12498</v>
      </c>
      <c r="GS25">
        <v>2.72555</v>
      </c>
      <c r="GT25">
        <v>0.14133</v>
      </c>
      <c r="GU25">
        <v>0.142188</v>
      </c>
      <c r="GV25">
        <v>0.0834306</v>
      </c>
      <c r="GW25">
        <v>0.0831829</v>
      </c>
      <c r="GX25">
        <v>22783.5</v>
      </c>
      <c r="GY25">
        <v>20960.2</v>
      </c>
      <c r="GZ25">
        <v>23720</v>
      </c>
      <c r="HA25">
        <v>23782.8</v>
      </c>
      <c r="HB25">
        <v>37021.2</v>
      </c>
      <c r="HC25">
        <v>36050</v>
      </c>
      <c r="HD25">
        <v>42717.8</v>
      </c>
      <c r="HE25">
        <v>42354.2</v>
      </c>
      <c r="HF25">
        <v>1.91602</v>
      </c>
      <c r="HG25">
        <v>1.8447</v>
      </c>
      <c r="HH25">
        <v>0.108048</v>
      </c>
      <c r="HI25">
        <v>0</v>
      </c>
      <c r="HJ25">
        <v>23.2302</v>
      </c>
      <c r="HK25">
        <v>999.9</v>
      </c>
      <c r="HL25">
        <v>49.371</v>
      </c>
      <c r="HM25">
        <v>28.883</v>
      </c>
      <c r="HN25">
        <v>21.8893</v>
      </c>
      <c r="HO25">
        <v>54.8702</v>
      </c>
      <c r="HP25">
        <v>46.851</v>
      </c>
      <c r="HQ25">
        <v>1</v>
      </c>
      <c r="HR25">
        <v>-0.102978</v>
      </c>
      <c r="HS25">
        <v>0.838619</v>
      </c>
      <c r="HT25">
        <v>20.231</v>
      </c>
      <c r="HU25">
        <v>5.23511</v>
      </c>
      <c r="HV25">
        <v>11.992</v>
      </c>
      <c r="HW25">
        <v>4.95645</v>
      </c>
      <c r="HX25">
        <v>3.304</v>
      </c>
      <c r="HY25">
        <v>999.9</v>
      </c>
      <c r="HZ25">
        <v>9999</v>
      </c>
      <c r="IA25">
        <v>9999</v>
      </c>
      <c r="IB25">
        <v>9999</v>
      </c>
      <c r="IC25">
        <v>1.86905</v>
      </c>
      <c r="ID25">
        <v>1.86478</v>
      </c>
      <c r="IE25">
        <v>1.87237</v>
      </c>
      <c r="IF25">
        <v>1.86331</v>
      </c>
      <c r="IG25">
        <v>1.86265</v>
      </c>
      <c r="IH25">
        <v>1.86907</v>
      </c>
      <c r="II25">
        <v>1.85928</v>
      </c>
      <c r="IJ25">
        <v>1.86567</v>
      </c>
      <c r="IK25">
        <v>5</v>
      </c>
      <c r="IL25">
        <v>0</v>
      </c>
      <c r="IM25">
        <v>0</v>
      </c>
      <c r="IN25">
        <v>0</v>
      </c>
      <c r="IO25" t="s">
        <v>441</v>
      </c>
      <c r="IP25" t="s">
        <v>442</v>
      </c>
      <c r="IQ25" t="s">
        <v>443</v>
      </c>
      <c r="IR25" t="s">
        <v>443</v>
      </c>
      <c r="IS25" t="s">
        <v>443</v>
      </c>
      <c r="IT25" t="s">
        <v>443</v>
      </c>
      <c r="IU25">
        <v>0</v>
      </c>
      <c r="IV25">
        <v>100</v>
      </c>
      <c r="IW25">
        <v>100</v>
      </c>
      <c r="IX25">
        <v>8.387</v>
      </c>
      <c r="IY25">
        <v>0.081</v>
      </c>
      <c r="IZ25">
        <v>5.19945363555437</v>
      </c>
      <c r="JA25">
        <v>0.0062698613543794</v>
      </c>
      <c r="JB25">
        <v>-3.23243345529816e-06</v>
      </c>
      <c r="JC25">
        <v>8.00506428382295e-10</v>
      </c>
      <c r="JD25">
        <v>-0.0884141630858035</v>
      </c>
      <c r="JE25">
        <v>-0.0018464610107002</v>
      </c>
      <c r="JF25">
        <v>0.000796540623429801</v>
      </c>
      <c r="JG25">
        <v>-1.04619914107352e-05</v>
      </c>
      <c r="JH25">
        <v>-0</v>
      </c>
      <c r="JI25">
        <v>2101</v>
      </c>
      <c r="JJ25">
        <v>1</v>
      </c>
      <c r="JK25">
        <v>23</v>
      </c>
      <c r="JL25">
        <v>1.3</v>
      </c>
      <c r="JM25">
        <v>1.4</v>
      </c>
      <c r="JN25">
        <v>1.75537</v>
      </c>
      <c r="JO25">
        <v>2.34497</v>
      </c>
      <c r="JP25">
        <v>1.4978</v>
      </c>
      <c r="JQ25">
        <v>2.33643</v>
      </c>
      <c r="JR25">
        <v>1.54419</v>
      </c>
      <c r="JS25">
        <v>2.36206</v>
      </c>
      <c r="JT25">
        <v>36.7417</v>
      </c>
      <c r="JU25">
        <v>24.1575</v>
      </c>
      <c r="JV25">
        <v>18</v>
      </c>
      <c r="JW25">
        <v>538.542</v>
      </c>
      <c r="JX25">
        <v>436.06</v>
      </c>
      <c r="JY25">
        <v>22.5136</v>
      </c>
      <c r="JZ25">
        <v>26.1669</v>
      </c>
      <c r="KA25">
        <v>30.0003</v>
      </c>
      <c r="KB25">
        <v>26.2323</v>
      </c>
      <c r="KC25">
        <v>26.2592</v>
      </c>
      <c r="KD25">
        <v>35.1606</v>
      </c>
      <c r="KE25">
        <v>30.3984</v>
      </c>
      <c r="KF25">
        <v>91.032</v>
      </c>
      <c r="KG25">
        <v>22.511</v>
      </c>
      <c r="KH25">
        <v>800</v>
      </c>
      <c r="KI25">
        <v>17.9932</v>
      </c>
      <c r="KJ25">
        <v>95.7781</v>
      </c>
      <c r="KK25">
        <v>98.7573</v>
      </c>
    </row>
    <row r="26" spans="1:297">
      <c r="A26">
        <v>10</v>
      </c>
      <c r="B26">
        <v>1765298845.1</v>
      </c>
      <c r="C26">
        <v>896.099999904633</v>
      </c>
      <c r="D26" t="s">
        <v>468</v>
      </c>
      <c r="E26" t="s">
        <v>469</v>
      </c>
      <c r="F26">
        <v>5</v>
      </c>
      <c r="G26" t="s">
        <v>435</v>
      </c>
      <c r="H26" t="s">
        <v>436</v>
      </c>
      <c r="I26">
        <v>1765298837.1</v>
      </c>
      <c r="J26">
        <f>(K26)/1000</f>
        <v>0</v>
      </c>
      <c r="K26">
        <f>IF(DP26, AN26, AH26)</f>
        <v>0</v>
      </c>
      <c r="L26">
        <f>IF(DP26, AI26, AG26)</f>
        <v>0</v>
      </c>
      <c r="M26">
        <f>DR26 - IF(AU26&gt;1, L26*DL26*100.0/(AW26), 0)</f>
        <v>0</v>
      </c>
      <c r="N26">
        <f>((T26-J26/2)*M26-L26)/(T26+J26/2)</f>
        <v>0</v>
      </c>
      <c r="O26">
        <f>N26*(DY26+DZ26)/1000.0</f>
        <v>0</v>
      </c>
      <c r="P26">
        <f>(DR26 - IF(AU26&gt;1, L26*DL26*100.0/(AW26), 0))*(DY26+DZ26)/1000.0</f>
        <v>0</v>
      </c>
      <c r="Q26">
        <f>2.0/((1/S26-1/R26)+SIGN(S26)*SQRT((1/S26-1/R26)*(1/S26-1/R26) + 4*DM26/((DM26+1)*(DM26+1))*(2*1/S26*1/R26-1/R26*1/R26)))</f>
        <v>0</v>
      </c>
      <c r="R26">
        <f>IF(LEFT(DN26,1)&lt;&gt;"0",IF(LEFT(DN26,1)="1",3.0,DO26),$D$5+$E$5*(EF26*DY26/($K$5*1000))+$F$5*(EF26*DY26/($K$5*1000))*MAX(MIN(DL26,$J$5),$I$5)*MAX(MIN(DL26,$J$5),$I$5)+$G$5*MAX(MIN(DL26,$J$5),$I$5)*(EF26*DY26/($K$5*1000))+$H$5*(EF26*DY26/($K$5*1000))*(EF26*DY26/($K$5*1000)))</f>
        <v>0</v>
      </c>
      <c r="S26">
        <f>J26*(1000-(1000*0.61365*exp(17.502*W26/(240.97+W26))/(DY26+DZ26)+DT26)/2)/(1000*0.61365*exp(17.502*W26/(240.97+W26))/(DY26+DZ26)-DT26)</f>
        <v>0</v>
      </c>
      <c r="T26">
        <f>1/((DM26+1)/(Q26/1.6)+1/(R26/1.37)) + DM26/((DM26+1)/(Q26/1.6) + DM26/(R26/1.37))</f>
        <v>0</v>
      </c>
      <c r="U26">
        <f>(DH26*DK26)</f>
        <v>0</v>
      </c>
      <c r="V26">
        <f>(EA26+(U26+2*0.95*5.67E-8*(((EA26+$B$7)+273)^4-(EA26+273)^4)-44100*J26)/(1.84*29.3*R26+8*0.95*5.67E-8*(EA26+273)^3))</f>
        <v>0</v>
      </c>
      <c r="W26">
        <f>($C$7*EB26+$D$7*EC26+$E$7*V26)</f>
        <v>0</v>
      </c>
      <c r="X26">
        <f>0.61365*exp(17.502*W26/(240.97+W26))</f>
        <v>0</v>
      </c>
      <c r="Y26">
        <f>(Z26/AA26*100)</f>
        <v>0</v>
      </c>
      <c r="Z26">
        <f>DT26*(DY26+DZ26)/1000</f>
        <v>0</v>
      </c>
      <c r="AA26">
        <f>0.61365*exp(17.502*EA26/(240.97+EA26))</f>
        <v>0</v>
      </c>
      <c r="AB26">
        <f>(X26-DT26*(DY26+DZ26)/1000)</f>
        <v>0</v>
      </c>
      <c r="AC26">
        <f>(-J26*44100)</f>
        <v>0</v>
      </c>
      <c r="AD26">
        <f>2*29.3*R26*0.92*(EA26-W26)</f>
        <v>0</v>
      </c>
      <c r="AE26">
        <f>2*0.95*5.67E-8*(((EA26+$B$7)+273)^4-(W26+273)^4)</f>
        <v>0</v>
      </c>
      <c r="AF26">
        <f>U26+AE26+AC26+AD26</f>
        <v>0</v>
      </c>
      <c r="AG26">
        <f>DX26*AU26*(DS26-DR26*(1000-AU26*DU26)/(1000-AU26*DT26))/(100*DL26)</f>
        <v>0</v>
      </c>
      <c r="AH26">
        <f>1000*DX26*AU26*(DT26-DU26)/(100*DL26*(1000-AU26*DT26))</f>
        <v>0</v>
      </c>
      <c r="AI26">
        <f>(AJ26 - AK26 - DY26*1E3/(8.314*(EA26+273.15)) * AM26/DX26 * AL26) * DX26/(100*DL26) * (1000 - DU26)/1000</f>
        <v>0</v>
      </c>
      <c r="AJ26">
        <v>1018.34046774232</v>
      </c>
      <c r="AK26">
        <v>1017.67484848485</v>
      </c>
      <c r="AL26">
        <v>-0.00309264514255656</v>
      </c>
      <c r="AM26">
        <v>63.9552067234477</v>
      </c>
      <c r="AN26">
        <f>(AP26 - AO26 + DY26*1E3/(8.314*(EA26+273.15)) * AR26/DX26 * AQ26) * DX26/(100*DL26) * 1000/(1000 - AP26)</f>
        <v>0</v>
      </c>
      <c r="AO26">
        <v>18.037009830283</v>
      </c>
      <c r="AP26">
        <v>18.0870278787879</v>
      </c>
      <c r="AQ26">
        <v>-1.1195932209627e-05</v>
      </c>
      <c r="AR26">
        <v>104.764650387662</v>
      </c>
      <c r="AS26">
        <v>6</v>
      </c>
      <c r="AT26">
        <v>1</v>
      </c>
      <c r="AU26">
        <f>IF(AS26*$H$13&gt;=AW26,1.0,(AW26/(AW26-AS26*$H$13)))</f>
        <v>0</v>
      </c>
      <c r="AV26">
        <f>(AU26-1)*100</f>
        <v>0</v>
      </c>
      <c r="AW26">
        <f>MAX(0,($B$13+$C$13*EF26)/(1+$D$13*EF26)*DY26/(EA26+273)*$E$13)</f>
        <v>0</v>
      </c>
      <c r="AX26" t="s">
        <v>437</v>
      </c>
      <c r="AY26" t="s">
        <v>437</v>
      </c>
      <c r="AZ26">
        <v>0</v>
      </c>
      <c r="BA26">
        <v>0</v>
      </c>
      <c r="BB26">
        <f>1-AZ26/BA26</f>
        <v>0</v>
      </c>
      <c r="BC26">
        <v>0</v>
      </c>
      <c r="BD26" t="s">
        <v>437</v>
      </c>
      <c r="BE26" t="s">
        <v>437</v>
      </c>
      <c r="BF26">
        <v>0</v>
      </c>
      <c r="BG26">
        <v>0</v>
      </c>
      <c r="BH26">
        <f>1-BF26/BG26</f>
        <v>0</v>
      </c>
      <c r="BI26">
        <v>0.5</v>
      </c>
      <c r="BJ26">
        <f>DI26</f>
        <v>0</v>
      </c>
      <c r="BK26">
        <f>L26</f>
        <v>0</v>
      </c>
      <c r="BL26">
        <f>BH26*BI26*BJ26</f>
        <v>0</v>
      </c>
      <c r="BM26">
        <f>(BK26-BC26)/BJ26</f>
        <v>0</v>
      </c>
      <c r="BN26">
        <f>(BA26-BG26)/BG26</f>
        <v>0</v>
      </c>
      <c r="BO26">
        <f>AZ26/(BB26+AZ26/BG26)</f>
        <v>0</v>
      </c>
      <c r="BP26" t="s">
        <v>437</v>
      </c>
      <c r="BQ26">
        <v>0</v>
      </c>
      <c r="BR26">
        <f>IF(BQ26&lt;&gt;0, BQ26, BO26)</f>
        <v>0</v>
      </c>
      <c r="BS26">
        <f>1-BR26/BG26</f>
        <v>0</v>
      </c>
      <c r="BT26">
        <f>(BG26-BF26)/(BG26-BR26)</f>
        <v>0</v>
      </c>
      <c r="BU26">
        <f>(BA26-BG26)/(BA26-BR26)</f>
        <v>0</v>
      </c>
      <c r="BV26">
        <f>(BG26-BF26)/(BG26-AZ26)</f>
        <v>0</v>
      </c>
      <c r="BW26">
        <f>(BA26-BG26)/(BA26-AZ26)</f>
        <v>0</v>
      </c>
      <c r="BX26">
        <f>(BT26*BR26/BF26)</f>
        <v>0</v>
      </c>
      <c r="BY26">
        <f>(1-BX26)</f>
        <v>0</v>
      </c>
      <c r="DH26">
        <f>$B$11*EG26+$C$11*EH26+$F$11*ES26*(1-EV26)</f>
        <v>0</v>
      </c>
      <c r="DI26">
        <f>DH26*DJ26</f>
        <v>0</v>
      </c>
      <c r="DJ26">
        <f>($B$11*$D$9+$C$11*$D$9+$F$11*((FF26+EX26)/MAX(FF26+EX26+FG26, 0.1)*$I$9+FG26/MAX(FF26+EX26+FG26, 0.1)*$J$9))/($B$11+$C$11+$F$11)</f>
        <v>0</v>
      </c>
      <c r="DK26">
        <f>($B$11*$K$9+$C$11*$K$9+$F$11*((FF26+EX26)/MAX(FF26+EX26+FG26, 0.1)*$P$9+FG26/MAX(FF26+EX26+FG26, 0.1)*$Q$9))/($B$11+$C$11+$F$11)</f>
        <v>0</v>
      </c>
      <c r="DL26">
        <v>6</v>
      </c>
      <c r="DM26">
        <v>0.5</v>
      </c>
      <c r="DN26" t="s">
        <v>438</v>
      </c>
      <c r="DO26">
        <v>2</v>
      </c>
      <c r="DP26" t="b">
        <v>1</v>
      </c>
      <c r="DQ26">
        <v>1765298837.1</v>
      </c>
      <c r="DR26">
        <v>999.221466666667</v>
      </c>
      <c r="DS26">
        <v>999.9964</v>
      </c>
      <c r="DT26">
        <v>18.0912</v>
      </c>
      <c r="DU26">
        <v>18.03888</v>
      </c>
      <c r="DV26">
        <v>990.422466666667</v>
      </c>
      <c r="DW26">
        <v>18.0062</v>
      </c>
      <c r="DX26">
        <v>500.000533333333</v>
      </c>
      <c r="DY26">
        <v>90.0819333333334</v>
      </c>
      <c r="DZ26">
        <v>0.100001293333333</v>
      </c>
      <c r="EA26">
        <v>25.4118</v>
      </c>
      <c r="EB26">
        <v>25.0061333333333</v>
      </c>
      <c r="EC26">
        <v>999.9</v>
      </c>
      <c r="ED26">
        <v>0</v>
      </c>
      <c r="EE26">
        <v>0</v>
      </c>
      <c r="EF26">
        <v>9990.212</v>
      </c>
      <c r="EG26">
        <v>0</v>
      </c>
      <c r="EH26">
        <v>13.0202</v>
      </c>
      <c r="EI26">
        <v>-0.7042196</v>
      </c>
      <c r="EJ26">
        <v>1017.7</v>
      </c>
      <c r="EK26">
        <v>1018.366</v>
      </c>
      <c r="EL26">
        <v>0.0496006066666667</v>
      </c>
      <c r="EM26">
        <v>999.9964</v>
      </c>
      <c r="EN26">
        <v>18.03888</v>
      </c>
      <c r="EO26">
        <v>1.62944533333333</v>
      </c>
      <c r="EP26">
        <v>1.62497466666667</v>
      </c>
      <c r="EQ26">
        <v>14.24012</v>
      </c>
      <c r="ER26">
        <v>14.19772</v>
      </c>
      <c r="ES26">
        <v>800.0352</v>
      </c>
      <c r="ET26">
        <v>0.950004933333333</v>
      </c>
      <c r="EU26">
        <v>0.0499949733333333</v>
      </c>
      <c r="EV26">
        <v>0</v>
      </c>
      <c r="EW26">
        <v>963.986266666667</v>
      </c>
      <c r="EX26">
        <v>5.00016</v>
      </c>
      <c r="EY26">
        <v>7415.314</v>
      </c>
      <c r="EZ26">
        <v>7195.006</v>
      </c>
      <c r="FA26">
        <v>39.687</v>
      </c>
      <c r="FB26">
        <v>42.4412</v>
      </c>
      <c r="FC26">
        <v>41.187</v>
      </c>
      <c r="FD26">
        <v>42.437</v>
      </c>
      <c r="FE26">
        <v>42.375</v>
      </c>
      <c r="FF26">
        <v>755.287333333333</v>
      </c>
      <c r="FG26">
        <v>39.75</v>
      </c>
      <c r="FH26">
        <v>0</v>
      </c>
      <c r="FI26">
        <v>1765298845.3</v>
      </c>
      <c r="FJ26">
        <v>0</v>
      </c>
      <c r="FK26">
        <v>963.961384615385</v>
      </c>
      <c r="FL26">
        <v>-0.18529914335074</v>
      </c>
      <c r="FM26">
        <v>0.274529903697326</v>
      </c>
      <c r="FN26">
        <v>7415.06115384615</v>
      </c>
      <c r="FO26">
        <v>15</v>
      </c>
      <c r="FP26">
        <v>1765298873.1</v>
      </c>
      <c r="FQ26" t="s">
        <v>470</v>
      </c>
      <c r="FR26">
        <v>1765298873.1</v>
      </c>
      <c r="FS26">
        <v>1765298861.1</v>
      </c>
      <c r="FT26">
        <v>10</v>
      </c>
      <c r="FU26">
        <v>-0.072</v>
      </c>
      <c r="FV26">
        <v>0.003</v>
      </c>
      <c r="FW26">
        <v>8.799</v>
      </c>
      <c r="FX26">
        <v>0.085</v>
      </c>
      <c r="FY26">
        <v>1000</v>
      </c>
      <c r="FZ26">
        <v>18</v>
      </c>
      <c r="GA26">
        <v>0.8</v>
      </c>
      <c r="GB26">
        <v>0.15</v>
      </c>
      <c r="GC26">
        <v>-0.72430425</v>
      </c>
      <c r="GD26">
        <v>0.393723563909776</v>
      </c>
      <c r="GE26">
        <v>0.0500942469460067</v>
      </c>
      <c r="GF26">
        <v>1</v>
      </c>
      <c r="GG26">
        <v>963.959117647059</v>
      </c>
      <c r="GH26">
        <v>-0.0582734891113222</v>
      </c>
      <c r="GI26">
        <v>0.174773090657564</v>
      </c>
      <c r="GJ26">
        <v>-1</v>
      </c>
      <c r="GK26">
        <v>0.04872428</v>
      </c>
      <c r="GL26">
        <v>0.0191412721804512</v>
      </c>
      <c r="GM26">
        <v>0.00195861839688082</v>
      </c>
      <c r="GN26">
        <v>1</v>
      </c>
      <c r="GO26">
        <v>2</v>
      </c>
      <c r="GP26">
        <v>2</v>
      </c>
      <c r="GQ26" t="s">
        <v>440</v>
      </c>
      <c r="GR26">
        <v>3.12485</v>
      </c>
      <c r="GS26">
        <v>2.72558</v>
      </c>
      <c r="GT26">
        <v>0.163921</v>
      </c>
      <c r="GU26">
        <v>0.164652</v>
      </c>
      <c r="GV26">
        <v>0.0834404</v>
      </c>
      <c r="GW26">
        <v>0.0832097</v>
      </c>
      <c r="GX26">
        <v>22182.3</v>
      </c>
      <c r="GY26">
        <v>20411.6</v>
      </c>
      <c r="GZ26">
        <v>23717.8</v>
      </c>
      <c r="HA26">
        <v>23782.7</v>
      </c>
      <c r="HB26">
        <v>37019.3</v>
      </c>
      <c r="HC26">
        <v>36050.8</v>
      </c>
      <c r="HD26">
        <v>42713.8</v>
      </c>
      <c r="HE26">
        <v>42354.3</v>
      </c>
      <c r="HF26">
        <v>1.9158</v>
      </c>
      <c r="HG26">
        <v>1.84457</v>
      </c>
      <c r="HH26">
        <v>0.106245</v>
      </c>
      <c r="HI26">
        <v>0</v>
      </c>
      <c r="HJ26">
        <v>23.2714</v>
      </c>
      <c r="HK26">
        <v>999.9</v>
      </c>
      <c r="HL26">
        <v>49.225</v>
      </c>
      <c r="HM26">
        <v>28.943</v>
      </c>
      <c r="HN26">
        <v>21.9026</v>
      </c>
      <c r="HO26">
        <v>54.4502</v>
      </c>
      <c r="HP26">
        <v>46.6867</v>
      </c>
      <c r="HQ26">
        <v>1</v>
      </c>
      <c r="HR26">
        <v>-0.102805</v>
      </c>
      <c r="HS26">
        <v>0.853785</v>
      </c>
      <c r="HT26">
        <v>20.2313</v>
      </c>
      <c r="HU26">
        <v>5.23481</v>
      </c>
      <c r="HV26">
        <v>11.992</v>
      </c>
      <c r="HW26">
        <v>4.95725</v>
      </c>
      <c r="HX26">
        <v>3.304</v>
      </c>
      <c r="HY26">
        <v>999.9</v>
      </c>
      <c r="HZ26">
        <v>9999</v>
      </c>
      <c r="IA26">
        <v>9999</v>
      </c>
      <c r="IB26">
        <v>9999</v>
      </c>
      <c r="IC26">
        <v>1.86905</v>
      </c>
      <c r="ID26">
        <v>1.86478</v>
      </c>
      <c r="IE26">
        <v>1.87235</v>
      </c>
      <c r="IF26">
        <v>1.86336</v>
      </c>
      <c r="IG26">
        <v>1.86268</v>
      </c>
      <c r="IH26">
        <v>1.86908</v>
      </c>
      <c r="II26">
        <v>1.85928</v>
      </c>
      <c r="IJ26">
        <v>1.86562</v>
      </c>
      <c r="IK26">
        <v>5</v>
      </c>
      <c r="IL26">
        <v>0</v>
      </c>
      <c r="IM26">
        <v>0</v>
      </c>
      <c r="IN26">
        <v>0</v>
      </c>
      <c r="IO26" t="s">
        <v>441</v>
      </c>
      <c r="IP26" t="s">
        <v>442</v>
      </c>
      <c r="IQ26" t="s">
        <v>443</v>
      </c>
      <c r="IR26" t="s">
        <v>443</v>
      </c>
      <c r="IS26" t="s">
        <v>443</v>
      </c>
      <c r="IT26" t="s">
        <v>443</v>
      </c>
      <c r="IU26">
        <v>0</v>
      </c>
      <c r="IV26">
        <v>100</v>
      </c>
      <c r="IW26">
        <v>100</v>
      </c>
      <c r="IX26">
        <v>8.799</v>
      </c>
      <c r="IY26">
        <v>0.085</v>
      </c>
      <c r="IZ26">
        <v>5.05253924797348</v>
      </c>
      <c r="JA26">
        <v>0.0062698613543794</v>
      </c>
      <c r="JB26">
        <v>-3.23243345529816e-06</v>
      </c>
      <c r="JC26">
        <v>8.00506428382295e-10</v>
      </c>
      <c r="JD26">
        <v>-0.0816417683216126</v>
      </c>
      <c r="JE26">
        <v>-0.0018464610107002</v>
      </c>
      <c r="JF26">
        <v>0.000796540623429801</v>
      </c>
      <c r="JG26">
        <v>-1.04619914107352e-05</v>
      </c>
      <c r="JH26">
        <v>-0</v>
      </c>
      <c r="JI26">
        <v>2101</v>
      </c>
      <c r="JJ26">
        <v>1</v>
      </c>
      <c r="JK26">
        <v>23</v>
      </c>
      <c r="JL26">
        <v>1.4</v>
      </c>
      <c r="JM26">
        <v>1.6</v>
      </c>
      <c r="JN26">
        <v>2.10083</v>
      </c>
      <c r="JO26">
        <v>2.33521</v>
      </c>
      <c r="JP26">
        <v>1.4978</v>
      </c>
      <c r="JQ26">
        <v>2.33643</v>
      </c>
      <c r="JR26">
        <v>1.54419</v>
      </c>
      <c r="JS26">
        <v>2.35962</v>
      </c>
      <c r="JT26">
        <v>36.7892</v>
      </c>
      <c r="JU26">
        <v>24.1488</v>
      </c>
      <c r="JV26">
        <v>18</v>
      </c>
      <c r="JW26">
        <v>538.171</v>
      </c>
      <c r="JX26">
        <v>435.774</v>
      </c>
      <c r="JY26">
        <v>22.4692</v>
      </c>
      <c r="JZ26">
        <v>26.1625</v>
      </c>
      <c r="KA26">
        <v>30.0002</v>
      </c>
      <c r="KB26">
        <v>26.2061</v>
      </c>
      <c r="KC26">
        <v>26.2321</v>
      </c>
      <c r="KD26">
        <v>42.0656</v>
      </c>
      <c r="KE26">
        <v>30.3984</v>
      </c>
      <c r="KF26">
        <v>91.032</v>
      </c>
      <c r="KG26">
        <v>22.459</v>
      </c>
      <c r="KH26">
        <v>1000</v>
      </c>
      <c r="KI26">
        <v>17.9927</v>
      </c>
      <c r="KJ26">
        <v>95.7692</v>
      </c>
      <c r="KK26">
        <v>98.7573</v>
      </c>
    </row>
    <row r="27" spans="1:297">
      <c r="A27">
        <v>11</v>
      </c>
      <c r="B27">
        <v>1765298950.1</v>
      </c>
      <c r="C27">
        <v>1001.09999990463</v>
      </c>
      <c r="D27" t="s">
        <v>471</v>
      </c>
      <c r="E27" t="s">
        <v>472</v>
      </c>
      <c r="F27">
        <v>5</v>
      </c>
      <c r="G27" t="s">
        <v>435</v>
      </c>
      <c r="H27" t="s">
        <v>436</v>
      </c>
      <c r="I27">
        <v>1765298941.6</v>
      </c>
      <c r="J27">
        <f>(K27)/1000</f>
        <v>0</v>
      </c>
      <c r="K27">
        <f>IF(DP27, AN27, AH27)</f>
        <v>0</v>
      </c>
      <c r="L27">
        <f>IF(DP27, AI27, AG27)</f>
        <v>0</v>
      </c>
      <c r="M27">
        <f>DR27 - IF(AU27&gt;1, L27*DL27*100.0/(AW27), 0)</f>
        <v>0</v>
      </c>
      <c r="N27">
        <f>((T27-J27/2)*M27-L27)/(T27+J27/2)</f>
        <v>0</v>
      </c>
      <c r="O27">
        <f>N27*(DY27+DZ27)/1000.0</f>
        <v>0</v>
      </c>
      <c r="P27">
        <f>(DR27 - IF(AU27&gt;1, L27*DL27*100.0/(AW27), 0))*(DY27+DZ27)/1000.0</f>
        <v>0</v>
      </c>
      <c r="Q27">
        <f>2.0/((1/S27-1/R27)+SIGN(S27)*SQRT((1/S27-1/R27)*(1/S27-1/R27) + 4*DM27/((DM27+1)*(DM27+1))*(2*1/S27*1/R27-1/R27*1/R27)))</f>
        <v>0</v>
      </c>
      <c r="R27">
        <f>IF(LEFT(DN27,1)&lt;&gt;"0",IF(LEFT(DN27,1)="1",3.0,DO27),$D$5+$E$5*(EF27*DY27/($K$5*1000))+$F$5*(EF27*DY27/($K$5*1000))*MAX(MIN(DL27,$J$5),$I$5)*MAX(MIN(DL27,$J$5),$I$5)+$G$5*MAX(MIN(DL27,$J$5),$I$5)*(EF27*DY27/($K$5*1000))+$H$5*(EF27*DY27/($K$5*1000))*(EF27*DY27/($K$5*1000)))</f>
        <v>0</v>
      </c>
      <c r="S27">
        <f>J27*(1000-(1000*0.61365*exp(17.502*W27/(240.97+W27))/(DY27+DZ27)+DT27)/2)/(1000*0.61365*exp(17.502*W27/(240.97+W27))/(DY27+DZ27)-DT27)</f>
        <v>0</v>
      </c>
      <c r="T27">
        <f>1/((DM27+1)/(Q27/1.6)+1/(R27/1.37)) + DM27/((DM27+1)/(Q27/1.6) + DM27/(R27/1.37))</f>
        <v>0</v>
      </c>
      <c r="U27">
        <f>(DH27*DK27)</f>
        <v>0</v>
      </c>
      <c r="V27">
        <f>(EA27+(U27+2*0.95*5.67E-8*(((EA27+$B$7)+273)^4-(EA27+273)^4)-44100*J27)/(1.84*29.3*R27+8*0.95*5.67E-8*(EA27+273)^3))</f>
        <v>0</v>
      </c>
      <c r="W27">
        <f>($C$7*EB27+$D$7*EC27+$E$7*V27)</f>
        <v>0</v>
      </c>
      <c r="X27">
        <f>0.61365*exp(17.502*W27/(240.97+W27))</f>
        <v>0</v>
      </c>
      <c r="Y27">
        <f>(Z27/AA27*100)</f>
        <v>0</v>
      </c>
      <c r="Z27">
        <f>DT27*(DY27+DZ27)/1000</f>
        <v>0</v>
      </c>
      <c r="AA27">
        <f>0.61365*exp(17.502*EA27/(240.97+EA27))</f>
        <v>0</v>
      </c>
      <c r="AB27">
        <f>(X27-DT27*(DY27+DZ27)/1000)</f>
        <v>0</v>
      </c>
      <c r="AC27">
        <f>(-J27*44100)</f>
        <v>0</v>
      </c>
      <c r="AD27">
        <f>2*29.3*R27*0.92*(EA27-W27)</f>
        <v>0</v>
      </c>
      <c r="AE27">
        <f>2*0.95*5.67E-8*(((EA27+$B$7)+273)^4-(W27+273)^4)</f>
        <v>0</v>
      </c>
      <c r="AF27">
        <f>U27+AE27+AC27+AD27</f>
        <v>0</v>
      </c>
      <c r="AG27">
        <f>DX27*AU27*(DS27-DR27*(1000-AU27*DU27)/(1000-AU27*DT27))/(100*DL27)</f>
        <v>0</v>
      </c>
      <c r="AH27">
        <f>1000*DX27*AU27*(DT27-DU27)/(100*DL27*(1000-AU27*DT27))</f>
        <v>0</v>
      </c>
      <c r="AI27">
        <f>(AJ27 - AK27 - DY27*1E3/(8.314*(EA27+273.15)) * AM27/DX27 * AL27) * DX27/(100*DL27) * (1000 - DU27)/1000</f>
        <v>0</v>
      </c>
      <c r="AJ27">
        <v>1222.10164354924</v>
      </c>
      <c r="AK27">
        <v>1220.74521212121</v>
      </c>
      <c r="AL27">
        <v>0.00281308456908439</v>
      </c>
      <c r="AM27">
        <v>63.8719039859438</v>
      </c>
      <c r="AN27">
        <f>(AP27 - AO27 + DY27*1E3/(8.314*(EA27+273.15)) * AR27/DX27 * AQ27) * DX27/(100*DL27) * 1000/(1000 - AP27)</f>
        <v>0</v>
      </c>
      <c r="AO27">
        <v>18.0333066917413</v>
      </c>
      <c r="AP27">
        <v>18.0841133333333</v>
      </c>
      <c r="AQ27">
        <v>-1.63086344851523e-05</v>
      </c>
      <c r="AR27">
        <v>105.201083526319</v>
      </c>
      <c r="AS27">
        <v>6</v>
      </c>
      <c r="AT27">
        <v>1</v>
      </c>
      <c r="AU27">
        <f>IF(AS27*$H$13&gt;=AW27,1.0,(AW27/(AW27-AS27*$H$13)))</f>
        <v>0</v>
      </c>
      <c r="AV27">
        <f>(AU27-1)*100</f>
        <v>0</v>
      </c>
      <c r="AW27">
        <f>MAX(0,($B$13+$C$13*EF27)/(1+$D$13*EF27)*DY27/(EA27+273)*$E$13)</f>
        <v>0</v>
      </c>
      <c r="AX27" t="s">
        <v>437</v>
      </c>
      <c r="AY27" t="s">
        <v>437</v>
      </c>
      <c r="AZ27">
        <v>0</v>
      </c>
      <c r="BA27">
        <v>0</v>
      </c>
      <c r="BB27">
        <f>1-AZ27/BA27</f>
        <v>0</v>
      </c>
      <c r="BC27">
        <v>0</v>
      </c>
      <c r="BD27" t="s">
        <v>437</v>
      </c>
      <c r="BE27" t="s">
        <v>437</v>
      </c>
      <c r="BF27">
        <v>0</v>
      </c>
      <c r="BG27">
        <v>0</v>
      </c>
      <c r="BH27">
        <f>1-BF27/BG27</f>
        <v>0</v>
      </c>
      <c r="BI27">
        <v>0.5</v>
      </c>
      <c r="BJ27">
        <f>DI27</f>
        <v>0</v>
      </c>
      <c r="BK27">
        <f>L27</f>
        <v>0</v>
      </c>
      <c r="BL27">
        <f>BH27*BI27*BJ27</f>
        <v>0</v>
      </c>
      <c r="BM27">
        <f>(BK27-BC27)/BJ27</f>
        <v>0</v>
      </c>
      <c r="BN27">
        <f>(BA27-BG27)/BG27</f>
        <v>0</v>
      </c>
      <c r="BO27">
        <f>AZ27/(BB27+AZ27/BG27)</f>
        <v>0</v>
      </c>
      <c r="BP27" t="s">
        <v>437</v>
      </c>
      <c r="BQ27">
        <v>0</v>
      </c>
      <c r="BR27">
        <f>IF(BQ27&lt;&gt;0, BQ27, BO27)</f>
        <v>0</v>
      </c>
      <c r="BS27">
        <f>1-BR27/BG27</f>
        <v>0</v>
      </c>
      <c r="BT27">
        <f>(BG27-BF27)/(BG27-BR27)</f>
        <v>0</v>
      </c>
      <c r="BU27">
        <f>(BA27-BG27)/(BA27-BR27)</f>
        <v>0</v>
      </c>
      <c r="BV27">
        <f>(BG27-BF27)/(BG27-AZ27)</f>
        <v>0</v>
      </c>
      <c r="BW27">
        <f>(BA27-BG27)/(BA27-AZ27)</f>
        <v>0</v>
      </c>
      <c r="BX27">
        <f>(BT27*BR27/BF27)</f>
        <v>0</v>
      </c>
      <c r="BY27">
        <f>(1-BX27)</f>
        <v>0</v>
      </c>
      <c r="DH27">
        <f>$B$11*EG27+$C$11*EH27+$F$11*ES27*(1-EV27)</f>
        <v>0</v>
      </c>
      <c r="DI27">
        <f>DH27*DJ27</f>
        <v>0</v>
      </c>
      <c r="DJ27">
        <f>($B$11*$D$9+$C$11*$D$9+$F$11*((FF27+EX27)/MAX(FF27+EX27+FG27, 0.1)*$I$9+FG27/MAX(FF27+EX27+FG27, 0.1)*$J$9))/($B$11+$C$11+$F$11)</f>
        <v>0</v>
      </c>
      <c r="DK27">
        <f>($B$11*$K$9+$C$11*$K$9+$F$11*((FF27+EX27)/MAX(FF27+EX27+FG27, 0.1)*$P$9+FG27/MAX(FF27+EX27+FG27, 0.1)*$Q$9))/($B$11+$C$11+$F$11)</f>
        <v>0</v>
      </c>
      <c r="DL27">
        <v>6</v>
      </c>
      <c r="DM27">
        <v>0.5</v>
      </c>
      <c r="DN27" t="s">
        <v>438</v>
      </c>
      <c r="DO27">
        <v>2</v>
      </c>
      <c r="DP27" t="b">
        <v>1</v>
      </c>
      <c r="DQ27">
        <v>1765298941.6</v>
      </c>
      <c r="DR27">
        <v>1198.948</v>
      </c>
      <c r="DS27">
        <v>1199.998125</v>
      </c>
      <c r="DT27">
        <v>18.08735</v>
      </c>
      <c r="DU27">
        <v>18.03399375</v>
      </c>
      <c r="DV27">
        <v>1189.405</v>
      </c>
      <c r="DW27">
        <v>18.00135</v>
      </c>
      <c r="DX27">
        <v>500.0025625</v>
      </c>
      <c r="DY27">
        <v>90.08621875</v>
      </c>
      <c r="DZ27">
        <v>0.1000141</v>
      </c>
      <c r="EA27">
        <v>25.40506875</v>
      </c>
      <c r="EB27">
        <v>25.0085625</v>
      </c>
      <c r="EC27">
        <v>999.9</v>
      </c>
      <c r="ED27">
        <v>0</v>
      </c>
      <c r="EE27">
        <v>0</v>
      </c>
      <c r="EF27">
        <v>9998.48375</v>
      </c>
      <c r="EG27">
        <v>0</v>
      </c>
      <c r="EH27">
        <v>13.0202</v>
      </c>
      <c r="EI27">
        <v>-1.380791875</v>
      </c>
      <c r="EJ27">
        <v>1220.695</v>
      </c>
      <c r="EK27">
        <v>1222.03625</v>
      </c>
      <c r="EL27">
        <v>0.05272065</v>
      </c>
      <c r="EM27">
        <v>1199.998125</v>
      </c>
      <c r="EN27">
        <v>18.03399375</v>
      </c>
      <c r="EO27">
        <v>1.629364375</v>
      </c>
      <c r="EP27">
        <v>1.624615</v>
      </c>
      <c r="EQ27">
        <v>14.23935</v>
      </c>
      <c r="ER27">
        <v>14.19426875</v>
      </c>
      <c r="ES27">
        <v>799.9988125</v>
      </c>
      <c r="ET27">
        <v>0.9500041875</v>
      </c>
      <c r="EU27">
        <v>0.04999570625</v>
      </c>
      <c r="EV27">
        <v>0</v>
      </c>
      <c r="EW27">
        <v>963.8539375</v>
      </c>
      <c r="EX27">
        <v>5.00016</v>
      </c>
      <c r="EY27">
        <v>7414.28625</v>
      </c>
      <c r="EZ27">
        <v>7194.67625</v>
      </c>
      <c r="FA27">
        <v>39.75</v>
      </c>
      <c r="FB27">
        <v>42.5</v>
      </c>
      <c r="FC27">
        <v>41.187</v>
      </c>
      <c r="FD27">
        <v>42.5</v>
      </c>
      <c r="FE27">
        <v>42.386625</v>
      </c>
      <c r="FF27">
        <v>755.2525</v>
      </c>
      <c r="FG27">
        <v>39.75</v>
      </c>
      <c r="FH27">
        <v>0</v>
      </c>
      <c r="FI27">
        <v>1765298950.3</v>
      </c>
      <c r="FJ27">
        <v>0</v>
      </c>
      <c r="FK27">
        <v>963.86504</v>
      </c>
      <c r="FL27">
        <v>-0.550923070372521</v>
      </c>
      <c r="FM27">
        <v>-1.14076924913619</v>
      </c>
      <c r="FN27">
        <v>7414.4388</v>
      </c>
      <c r="FO27">
        <v>15</v>
      </c>
      <c r="FP27">
        <v>1765298981.1</v>
      </c>
      <c r="FQ27" t="s">
        <v>473</v>
      </c>
      <c r="FR27">
        <v>1765298981.1</v>
      </c>
      <c r="FS27">
        <v>1765298972.1</v>
      </c>
      <c r="FT27">
        <v>11</v>
      </c>
      <c r="FU27">
        <v>0.33</v>
      </c>
      <c r="FV27">
        <v>0.002</v>
      </c>
      <c r="FW27">
        <v>9.543</v>
      </c>
      <c r="FX27">
        <v>0.086</v>
      </c>
      <c r="FY27">
        <v>1200</v>
      </c>
      <c r="FZ27">
        <v>18</v>
      </c>
      <c r="GA27">
        <v>0.7</v>
      </c>
      <c r="GB27">
        <v>0.21</v>
      </c>
      <c r="GC27">
        <v>-1.41428904761905</v>
      </c>
      <c r="GD27">
        <v>0.442425194805195</v>
      </c>
      <c r="GE27">
        <v>0.080125155963284</v>
      </c>
      <c r="GF27">
        <v>1</v>
      </c>
      <c r="GG27">
        <v>963.873970588235</v>
      </c>
      <c r="GH27">
        <v>0.00640183565766765</v>
      </c>
      <c r="GI27">
        <v>0.181151624060223</v>
      </c>
      <c r="GJ27">
        <v>-1</v>
      </c>
      <c r="GK27">
        <v>0.0536696</v>
      </c>
      <c r="GL27">
        <v>-0.012634464935065</v>
      </c>
      <c r="GM27">
        <v>0.00157615580236642</v>
      </c>
      <c r="GN27">
        <v>1</v>
      </c>
      <c r="GO27">
        <v>2</v>
      </c>
      <c r="GP27">
        <v>2</v>
      </c>
      <c r="GQ27" t="s">
        <v>440</v>
      </c>
      <c r="GR27">
        <v>3.12491</v>
      </c>
      <c r="GS27">
        <v>2.72542</v>
      </c>
      <c r="GT27">
        <v>0.184224</v>
      </c>
      <c r="GU27">
        <v>0.184884</v>
      </c>
      <c r="GV27">
        <v>0.0834317</v>
      </c>
      <c r="GW27">
        <v>0.0832026</v>
      </c>
      <c r="GX27">
        <v>21642.4</v>
      </c>
      <c r="GY27">
        <v>19918</v>
      </c>
      <c r="GZ27">
        <v>23716</v>
      </c>
      <c r="HA27">
        <v>23783.3</v>
      </c>
      <c r="HB27">
        <v>37018.5</v>
      </c>
      <c r="HC27">
        <v>36053.4</v>
      </c>
      <c r="HD27">
        <v>42710.5</v>
      </c>
      <c r="HE27">
        <v>42355.1</v>
      </c>
      <c r="HF27">
        <v>1.9162</v>
      </c>
      <c r="HG27">
        <v>1.84465</v>
      </c>
      <c r="HH27">
        <v>0.103559</v>
      </c>
      <c r="HI27">
        <v>0</v>
      </c>
      <c r="HJ27">
        <v>23.2958</v>
      </c>
      <c r="HK27">
        <v>999.9</v>
      </c>
      <c r="HL27">
        <v>49.078</v>
      </c>
      <c r="HM27">
        <v>28.983</v>
      </c>
      <c r="HN27">
        <v>21.8883</v>
      </c>
      <c r="HO27">
        <v>54.5702</v>
      </c>
      <c r="HP27">
        <v>46.847</v>
      </c>
      <c r="HQ27">
        <v>1</v>
      </c>
      <c r="HR27">
        <v>-0.103016</v>
      </c>
      <c r="HS27">
        <v>0.904605</v>
      </c>
      <c r="HT27">
        <v>20.2308</v>
      </c>
      <c r="HU27">
        <v>5.23511</v>
      </c>
      <c r="HV27">
        <v>11.992</v>
      </c>
      <c r="HW27">
        <v>4.95565</v>
      </c>
      <c r="HX27">
        <v>3.304</v>
      </c>
      <c r="HY27">
        <v>999.9</v>
      </c>
      <c r="HZ27">
        <v>9999</v>
      </c>
      <c r="IA27">
        <v>9999</v>
      </c>
      <c r="IB27">
        <v>9999</v>
      </c>
      <c r="IC27">
        <v>1.86905</v>
      </c>
      <c r="ID27">
        <v>1.86478</v>
      </c>
      <c r="IE27">
        <v>1.87235</v>
      </c>
      <c r="IF27">
        <v>1.86338</v>
      </c>
      <c r="IG27">
        <v>1.86266</v>
      </c>
      <c r="IH27">
        <v>1.86906</v>
      </c>
      <c r="II27">
        <v>1.85928</v>
      </c>
      <c r="IJ27">
        <v>1.86563</v>
      </c>
      <c r="IK27">
        <v>5</v>
      </c>
      <c r="IL27">
        <v>0</v>
      </c>
      <c r="IM27">
        <v>0</v>
      </c>
      <c r="IN27">
        <v>0</v>
      </c>
      <c r="IO27" t="s">
        <v>441</v>
      </c>
      <c r="IP27" t="s">
        <v>442</v>
      </c>
      <c r="IQ27" t="s">
        <v>443</v>
      </c>
      <c r="IR27" t="s">
        <v>443</v>
      </c>
      <c r="IS27" t="s">
        <v>443</v>
      </c>
      <c r="IT27" t="s">
        <v>443</v>
      </c>
      <c r="IU27">
        <v>0</v>
      </c>
      <c r="IV27">
        <v>100</v>
      </c>
      <c r="IW27">
        <v>100</v>
      </c>
      <c r="IX27">
        <v>9.543</v>
      </c>
      <c r="IY27">
        <v>0.086</v>
      </c>
      <c r="IZ27">
        <v>4.98050230781135</v>
      </c>
      <c r="JA27">
        <v>0.0062698613543794</v>
      </c>
      <c r="JB27">
        <v>-3.23243345529816e-06</v>
      </c>
      <c r="JC27">
        <v>8.00506428382295e-10</v>
      </c>
      <c r="JD27">
        <v>-0.0784901237079677</v>
      </c>
      <c r="JE27">
        <v>-0.0018464610107002</v>
      </c>
      <c r="JF27">
        <v>0.000796540623429801</v>
      </c>
      <c r="JG27">
        <v>-1.04619914107352e-05</v>
      </c>
      <c r="JH27">
        <v>-0</v>
      </c>
      <c r="JI27">
        <v>2101</v>
      </c>
      <c r="JJ27">
        <v>1</v>
      </c>
      <c r="JK27">
        <v>23</v>
      </c>
      <c r="JL27">
        <v>1.3</v>
      </c>
      <c r="JM27">
        <v>1.5</v>
      </c>
      <c r="JN27">
        <v>2.43286</v>
      </c>
      <c r="JO27">
        <v>2.34009</v>
      </c>
      <c r="JP27">
        <v>1.49902</v>
      </c>
      <c r="JQ27">
        <v>2.33643</v>
      </c>
      <c r="JR27">
        <v>1.54419</v>
      </c>
      <c r="JS27">
        <v>2.29614</v>
      </c>
      <c r="JT27">
        <v>36.8366</v>
      </c>
      <c r="JU27">
        <v>24.1488</v>
      </c>
      <c r="JV27">
        <v>18</v>
      </c>
      <c r="JW27">
        <v>538.236</v>
      </c>
      <c r="JX27">
        <v>435.648</v>
      </c>
      <c r="JY27">
        <v>22.379</v>
      </c>
      <c r="JZ27">
        <v>26.1543</v>
      </c>
      <c r="KA27">
        <v>30.0001</v>
      </c>
      <c r="KB27">
        <v>26.1842</v>
      </c>
      <c r="KC27">
        <v>26.2102</v>
      </c>
      <c r="KD27">
        <v>48.7011</v>
      </c>
      <c r="KE27">
        <v>30.3984</v>
      </c>
      <c r="KF27">
        <v>91.032</v>
      </c>
      <c r="KG27">
        <v>22.3789</v>
      </c>
      <c r="KH27">
        <v>1200</v>
      </c>
      <c r="KI27">
        <v>17.993</v>
      </c>
      <c r="KJ27">
        <v>95.7618</v>
      </c>
      <c r="KK27">
        <v>98.7594</v>
      </c>
    </row>
    <row r="28" spans="1:297">
      <c r="A28">
        <v>12</v>
      </c>
      <c r="B28">
        <v>1765299060.1</v>
      </c>
      <c r="C28">
        <v>1111.09999990463</v>
      </c>
      <c r="D28" t="s">
        <v>474</v>
      </c>
      <c r="E28" t="s">
        <v>475</v>
      </c>
      <c r="F28">
        <v>5</v>
      </c>
      <c r="G28" t="s">
        <v>435</v>
      </c>
      <c r="H28" t="s">
        <v>436</v>
      </c>
      <c r="I28">
        <v>1765299051.6</v>
      </c>
      <c r="J28">
        <f>(K28)/1000</f>
        <v>0</v>
      </c>
      <c r="K28">
        <f>IF(DP28, AN28, AH28)</f>
        <v>0</v>
      </c>
      <c r="L28">
        <f>IF(DP28, AI28, AG28)</f>
        <v>0</v>
      </c>
      <c r="M28">
        <f>DR28 - IF(AU28&gt;1, L28*DL28*100.0/(AW28), 0)</f>
        <v>0</v>
      </c>
      <c r="N28">
        <f>((T28-J28/2)*M28-L28)/(T28+J28/2)</f>
        <v>0</v>
      </c>
      <c r="O28">
        <f>N28*(DY28+DZ28)/1000.0</f>
        <v>0</v>
      </c>
      <c r="P28">
        <f>(DR28 - IF(AU28&gt;1, L28*DL28*100.0/(AW28), 0))*(DY28+DZ28)/1000.0</f>
        <v>0</v>
      </c>
      <c r="Q28">
        <f>2.0/((1/S28-1/R28)+SIGN(S28)*SQRT((1/S28-1/R28)*(1/S28-1/R28) + 4*DM28/((DM28+1)*(DM28+1))*(2*1/S28*1/R28-1/R28*1/R28)))</f>
        <v>0</v>
      </c>
      <c r="R28">
        <f>IF(LEFT(DN28,1)&lt;&gt;"0",IF(LEFT(DN28,1)="1",3.0,DO28),$D$5+$E$5*(EF28*DY28/($K$5*1000))+$F$5*(EF28*DY28/($K$5*1000))*MAX(MIN(DL28,$J$5),$I$5)*MAX(MIN(DL28,$J$5),$I$5)+$G$5*MAX(MIN(DL28,$J$5),$I$5)*(EF28*DY28/($K$5*1000))+$H$5*(EF28*DY28/($K$5*1000))*(EF28*DY28/($K$5*1000)))</f>
        <v>0</v>
      </c>
      <c r="S28">
        <f>J28*(1000-(1000*0.61365*exp(17.502*W28/(240.97+W28))/(DY28+DZ28)+DT28)/2)/(1000*0.61365*exp(17.502*W28/(240.97+W28))/(DY28+DZ28)-DT28)</f>
        <v>0</v>
      </c>
      <c r="T28">
        <f>1/((DM28+1)/(Q28/1.6)+1/(R28/1.37)) + DM28/((DM28+1)/(Q28/1.6) + DM28/(R28/1.37))</f>
        <v>0</v>
      </c>
      <c r="U28">
        <f>(DH28*DK28)</f>
        <v>0</v>
      </c>
      <c r="V28">
        <f>(EA28+(U28+2*0.95*5.67E-8*(((EA28+$B$7)+273)^4-(EA28+273)^4)-44100*J28)/(1.84*29.3*R28+8*0.95*5.67E-8*(EA28+273)^3))</f>
        <v>0</v>
      </c>
      <c r="W28">
        <f>($C$7*EB28+$D$7*EC28+$E$7*V28)</f>
        <v>0</v>
      </c>
      <c r="X28">
        <f>0.61365*exp(17.502*W28/(240.97+W28))</f>
        <v>0</v>
      </c>
      <c r="Y28">
        <f>(Z28/AA28*100)</f>
        <v>0</v>
      </c>
      <c r="Z28">
        <f>DT28*(DY28+DZ28)/1000</f>
        <v>0</v>
      </c>
      <c r="AA28">
        <f>0.61365*exp(17.502*EA28/(240.97+EA28))</f>
        <v>0</v>
      </c>
      <c r="AB28">
        <f>(X28-DT28*(DY28+DZ28)/1000)</f>
        <v>0</v>
      </c>
      <c r="AC28">
        <f>(-J28*44100)</f>
        <v>0</v>
      </c>
      <c r="AD28">
        <f>2*29.3*R28*0.92*(EA28-W28)</f>
        <v>0</v>
      </c>
      <c r="AE28">
        <f>2*0.95*5.67E-8*(((EA28+$B$7)+273)^4-(W28+273)^4)</f>
        <v>0</v>
      </c>
      <c r="AF28">
        <f>U28+AE28+AC28+AD28</f>
        <v>0</v>
      </c>
      <c r="AG28">
        <f>DX28*AU28*(DS28-DR28*(1000-AU28*DU28)/(1000-AU28*DT28))/(100*DL28)</f>
        <v>0</v>
      </c>
      <c r="AH28">
        <f>1000*DX28*AU28*(DT28-DU28)/(100*DL28*(1000-AU28*DT28))</f>
        <v>0</v>
      </c>
      <c r="AI28">
        <f>(AJ28 - AK28 - DY28*1E3/(8.314*(EA28+273.15)) * AM28/DX28 * AL28) * DX28/(100*DL28) * (1000 - DU28)/1000</f>
        <v>0</v>
      </c>
      <c r="AJ28">
        <v>1527.6852927895</v>
      </c>
      <c r="AK28">
        <v>1526.31963636364</v>
      </c>
      <c r="AL28">
        <v>-0.0253227654397647</v>
      </c>
      <c r="AM28">
        <v>63.8944678837641</v>
      </c>
      <c r="AN28">
        <f>(AP28 - AO28 + DY28*1E3/(8.314*(EA28+273.15)) * AR28/DX28 * AQ28) * DX28/(100*DL28) * 1000/(1000 - AP28)</f>
        <v>0</v>
      </c>
      <c r="AO28">
        <v>18.0094605804995</v>
      </c>
      <c r="AP28">
        <v>18.0740606060606</v>
      </c>
      <c r="AQ28">
        <v>-4.08896698620984e-05</v>
      </c>
      <c r="AR28">
        <v>105.082371723702</v>
      </c>
      <c r="AS28">
        <v>6</v>
      </c>
      <c r="AT28">
        <v>1</v>
      </c>
      <c r="AU28">
        <f>IF(AS28*$H$13&gt;=AW28,1.0,(AW28/(AW28-AS28*$H$13)))</f>
        <v>0</v>
      </c>
      <c r="AV28">
        <f>(AU28-1)*100</f>
        <v>0</v>
      </c>
      <c r="AW28">
        <f>MAX(0,($B$13+$C$13*EF28)/(1+$D$13*EF28)*DY28/(EA28+273)*$E$13)</f>
        <v>0</v>
      </c>
      <c r="AX28" t="s">
        <v>437</v>
      </c>
      <c r="AY28" t="s">
        <v>437</v>
      </c>
      <c r="AZ28">
        <v>0</v>
      </c>
      <c r="BA28">
        <v>0</v>
      </c>
      <c r="BB28">
        <f>1-AZ28/BA28</f>
        <v>0</v>
      </c>
      <c r="BC28">
        <v>0</v>
      </c>
      <c r="BD28" t="s">
        <v>437</v>
      </c>
      <c r="BE28" t="s">
        <v>437</v>
      </c>
      <c r="BF28">
        <v>0</v>
      </c>
      <c r="BG28">
        <v>0</v>
      </c>
      <c r="BH28">
        <f>1-BF28/BG28</f>
        <v>0</v>
      </c>
      <c r="BI28">
        <v>0.5</v>
      </c>
      <c r="BJ28">
        <f>DI28</f>
        <v>0</v>
      </c>
      <c r="BK28">
        <f>L28</f>
        <v>0</v>
      </c>
      <c r="BL28">
        <f>BH28*BI28*BJ28</f>
        <v>0</v>
      </c>
      <c r="BM28">
        <f>(BK28-BC28)/BJ28</f>
        <v>0</v>
      </c>
      <c r="BN28">
        <f>(BA28-BG28)/BG28</f>
        <v>0</v>
      </c>
      <c r="BO28">
        <f>AZ28/(BB28+AZ28/BG28)</f>
        <v>0</v>
      </c>
      <c r="BP28" t="s">
        <v>437</v>
      </c>
      <c r="BQ28">
        <v>0</v>
      </c>
      <c r="BR28">
        <f>IF(BQ28&lt;&gt;0, BQ28, BO28)</f>
        <v>0</v>
      </c>
      <c r="BS28">
        <f>1-BR28/BG28</f>
        <v>0</v>
      </c>
      <c r="BT28">
        <f>(BG28-BF28)/(BG28-BR28)</f>
        <v>0</v>
      </c>
      <c r="BU28">
        <f>(BA28-BG28)/(BA28-BR28)</f>
        <v>0</v>
      </c>
      <c r="BV28">
        <f>(BG28-BF28)/(BG28-AZ28)</f>
        <v>0</v>
      </c>
      <c r="BW28">
        <f>(BA28-BG28)/(BA28-AZ28)</f>
        <v>0</v>
      </c>
      <c r="BX28">
        <f>(BT28*BR28/BF28)</f>
        <v>0</v>
      </c>
      <c r="BY28">
        <f>(1-BX28)</f>
        <v>0</v>
      </c>
      <c r="DH28">
        <f>$B$11*EG28+$C$11*EH28+$F$11*ES28*(1-EV28)</f>
        <v>0</v>
      </c>
      <c r="DI28">
        <f>DH28*DJ28</f>
        <v>0</v>
      </c>
      <c r="DJ28">
        <f>($B$11*$D$9+$C$11*$D$9+$F$11*((FF28+EX28)/MAX(FF28+EX28+FG28, 0.1)*$I$9+FG28/MAX(FF28+EX28+FG28, 0.1)*$J$9))/($B$11+$C$11+$F$11)</f>
        <v>0</v>
      </c>
      <c r="DK28">
        <f>($B$11*$K$9+$C$11*$K$9+$F$11*((FF28+EX28)/MAX(FF28+EX28+FG28, 0.1)*$P$9+FG28/MAX(FF28+EX28+FG28, 0.1)*$Q$9))/($B$11+$C$11+$F$11)</f>
        <v>0</v>
      </c>
      <c r="DL28">
        <v>6</v>
      </c>
      <c r="DM28">
        <v>0.5</v>
      </c>
      <c r="DN28" t="s">
        <v>438</v>
      </c>
      <c r="DO28">
        <v>2</v>
      </c>
      <c r="DP28" t="b">
        <v>1</v>
      </c>
      <c r="DQ28">
        <v>1765299051.6</v>
      </c>
      <c r="DR28">
        <v>1498.67775</v>
      </c>
      <c r="DS28">
        <v>1500</v>
      </c>
      <c r="DT28">
        <v>18.07351875</v>
      </c>
      <c r="DU28">
        <v>18.0169</v>
      </c>
      <c r="DV28">
        <v>1488.61375</v>
      </c>
      <c r="DW28">
        <v>17.99151875</v>
      </c>
      <c r="DX28">
        <v>499.9919375</v>
      </c>
      <c r="DY28">
        <v>90.08610625</v>
      </c>
      <c r="DZ28">
        <v>0.09996240625</v>
      </c>
      <c r="EA28">
        <v>25.40018125</v>
      </c>
      <c r="EB28">
        <v>25.0010875</v>
      </c>
      <c r="EC28">
        <v>999.9</v>
      </c>
      <c r="ED28">
        <v>0</v>
      </c>
      <c r="EE28">
        <v>0</v>
      </c>
      <c r="EF28">
        <v>10008.571875</v>
      </c>
      <c r="EG28">
        <v>0</v>
      </c>
      <c r="EH28">
        <v>13.0202</v>
      </c>
      <c r="EI28">
        <v>-1.2674025</v>
      </c>
      <c r="EJ28">
        <v>1526.3275</v>
      </c>
      <c r="EK28">
        <v>1527.521875</v>
      </c>
      <c r="EL28">
        <v>0.061582925</v>
      </c>
      <c r="EM28">
        <v>1500</v>
      </c>
      <c r="EN28">
        <v>18.0169</v>
      </c>
      <c r="EO28">
        <v>1.628621875</v>
      </c>
      <c r="EP28">
        <v>1.623073125</v>
      </c>
      <c r="EQ28">
        <v>14.23230625</v>
      </c>
      <c r="ER28">
        <v>14.17963125</v>
      </c>
      <c r="ES28">
        <v>799.9835</v>
      </c>
      <c r="ET28">
        <v>0.950003125</v>
      </c>
      <c r="EU28">
        <v>0.0499967875</v>
      </c>
      <c r="EV28">
        <v>0</v>
      </c>
      <c r="EW28">
        <v>963.753625</v>
      </c>
      <c r="EX28">
        <v>5.00016</v>
      </c>
      <c r="EY28">
        <v>7413.1225</v>
      </c>
      <c r="EZ28">
        <v>7194.533125</v>
      </c>
      <c r="FA28">
        <v>39.75</v>
      </c>
      <c r="FB28">
        <v>42.5</v>
      </c>
      <c r="FC28">
        <v>41.2066875</v>
      </c>
      <c r="FD28">
        <v>42.519375</v>
      </c>
      <c r="FE28">
        <v>42.394375</v>
      </c>
      <c r="FF28">
        <v>755.23625</v>
      </c>
      <c r="FG28">
        <v>39.75</v>
      </c>
      <c r="FH28">
        <v>0</v>
      </c>
      <c r="FI28">
        <v>1765299060.1</v>
      </c>
      <c r="FJ28">
        <v>0</v>
      </c>
      <c r="FK28">
        <v>963.743</v>
      </c>
      <c r="FL28">
        <v>-0.428307695173246</v>
      </c>
      <c r="FM28">
        <v>-4.59145296966915</v>
      </c>
      <c r="FN28">
        <v>7413.27769230769</v>
      </c>
      <c r="FO28">
        <v>15</v>
      </c>
      <c r="FP28">
        <v>1765299085.1</v>
      </c>
      <c r="FQ28" t="s">
        <v>476</v>
      </c>
      <c r="FR28">
        <v>1765299085.1</v>
      </c>
      <c r="FS28">
        <v>1765299078.1</v>
      </c>
      <c r="FT28">
        <v>12</v>
      </c>
      <c r="FU28">
        <v>-0.058</v>
      </c>
      <c r="FV28">
        <v>-0.004</v>
      </c>
      <c r="FW28">
        <v>10.064</v>
      </c>
      <c r="FX28">
        <v>0.082</v>
      </c>
      <c r="FY28">
        <v>1500</v>
      </c>
      <c r="FZ28">
        <v>18</v>
      </c>
      <c r="GA28">
        <v>0.71</v>
      </c>
      <c r="GB28">
        <v>0.13</v>
      </c>
      <c r="GC28">
        <v>-1.28636476190476</v>
      </c>
      <c r="GD28">
        <v>0.148436883116882</v>
      </c>
      <c r="GE28">
        <v>0.108172278889655</v>
      </c>
      <c r="GF28">
        <v>1</v>
      </c>
      <c r="GG28">
        <v>963.743176470588</v>
      </c>
      <c r="GH28">
        <v>-0.0317799854331729</v>
      </c>
      <c r="GI28">
        <v>0.164772476033266</v>
      </c>
      <c r="GJ28">
        <v>-1</v>
      </c>
      <c r="GK28">
        <v>0.0603358904761905</v>
      </c>
      <c r="GL28">
        <v>0.0177751558441559</v>
      </c>
      <c r="GM28">
        <v>0.00308536943545544</v>
      </c>
      <c r="GN28">
        <v>1</v>
      </c>
      <c r="GO28">
        <v>2</v>
      </c>
      <c r="GP28">
        <v>2</v>
      </c>
      <c r="GQ28" t="s">
        <v>440</v>
      </c>
      <c r="GR28">
        <v>3.1249</v>
      </c>
      <c r="GS28">
        <v>2.72561</v>
      </c>
      <c r="GT28">
        <v>0.211512</v>
      </c>
      <c r="GU28">
        <v>0.212036</v>
      </c>
      <c r="GV28">
        <v>0.0833907</v>
      </c>
      <c r="GW28">
        <v>0.0830971</v>
      </c>
      <c r="GX28">
        <v>20918</v>
      </c>
      <c r="GY28">
        <v>19255.9</v>
      </c>
      <c r="GZ28">
        <v>23714.8</v>
      </c>
      <c r="HA28">
        <v>23784.2</v>
      </c>
      <c r="HB28">
        <v>37020.7</v>
      </c>
      <c r="HC28">
        <v>36060.5</v>
      </c>
      <c r="HD28">
        <v>42708.4</v>
      </c>
      <c r="HE28">
        <v>42356.1</v>
      </c>
      <c r="HF28">
        <v>1.91653</v>
      </c>
      <c r="HG28">
        <v>1.84553</v>
      </c>
      <c r="HH28">
        <v>0.102744</v>
      </c>
      <c r="HI28">
        <v>0</v>
      </c>
      <c r="HJ28">
        <v>23.3</v>
      </c>
      <c r="HK28">
        <v>999.9</v>
      </c>
      <c r="HL28">
        <v>48.883</v>
      </c>
      <c r="HM28">
        <v>29.044</v>
      </c>
      <c r="HN28">
        <v>21.8797</v>
      </c>
      <c r="HO28">
        <v>54.1003</v>
      </c>
      <c r="HP28">
        <v>46.6266</v>
      </c>
      <c r="HQ28">
        <v>1</v>
      </c>
      <c r="HR28">
        <v>-0.104649</v>
      </c>
      <c r="HS28">
        <v>0.886528</v>
      </c>
      <c r="HT28">
        <v>20.2311</v>
      </c>
      <c r="HU28">
        <v>5.23451</v>
      </c>
      <c r="HV28">
        <v>11.992</v>
      </c>
      <c r="HW28">
        <v>4.9565</v>
      </c>
      <c r="HX28">
        <v>3.304</v>
      </c>
      <c r="HY28">
        <v>999.9</v>
      </c>
      <c r="HZ28">
        <v>9999</v>
      </c>
      <c r="IA28">
        <v>9999</v>
      </c>
      <c r="IB28">
        <v>9999</v>
      </c>
      <c r="IC28">
        <v>1.86905</v>
      </c>
      <c r="ID28">
        <v>1.86478</v>
      </c>
      <c r="IE28">
        <v>1.87237</v>
      </c>
      <c r="IF28">
        <v>1.8634</v>
      </c>
      <c r="IG28">
        <v>1.86267</v>
      </c>
      <c r="IH28">
        <v>1.86913</v>
      </c>
      <c r="II28">
        <v>1.85928</v>
      </c>
      <c r="IJ28">
        <v>1.86562</v>
      </c>
      <c r="IK28">
        <v>5</v>
      </c>
      <c r="IL28">
        <v>0</v>
      </c>
      <c r="IM28">
        <v>0</v>
      </c>
      <c r="IN28">
        <v>0</v>
      </c>
      <c r="IO28" t="s">
        <v>441</v>
      </c>
      <c r="IP28" t="s">
        <v>442</v>
      </c>
      <c r="IQ28" t="s">
        <v>443</v>
      </c>
      <c r="IR28" t="s">
        <v>443</v>
      </c>
      <c r="IS28" t="s">
        <v>443</v>
      </c>
      <c r="IT28" t="s">
        <v>443</v>
      </c>
      <c r="IU28">
        <v>0</v>
      </c>
      <c r="IV28">
        <v>100</v>
      </c>
      <c r="IW28">
        <v>100</v>
      </c>
      <c r="IX28">
        <v>10.064</v>
      </c>
      <c r="IY28">
        <v>0.082</v>
      </c>
      <c r="IZ28">
        <v>5.30921941261515</v>
      </c>
      <c r="JA28">
        <v>0.0062698613543794</v>
      </c>
      <c r="JB28">
        <v>-3.23243345529816e-06</v>
      </c>
      <c r="JC28">
        <v>8.00506428382295e-10</v>
      </c>
      <c r="JD28">
        <v>-0.0767123688376816</v>
      </c>
      <c r="JE28">
        <v>-0.0018464610107002</v>
      </c>
      <c r="JF28">
        <v>0.000796540623429801</v>
      </c>
      <c r="JG28">
        <v>-1.04619914107352e-05</v>
      </c>
      <c r="JH28">
        <v>-0</v>
      </c>
      <c r="JI28">
        <v>2101</v>
      </c>
      <c r="JJ28">
        <v>1</v>
      </c>
      <c r="JK28">
        <v>23</v>
      </c>
      <c r="JL28">
        <v>1.3</v>
      </c>
      <c r="JM28">
        <v>1.5</v>
      </c>
      <c r="JN28">
        <v>2.90894</v>
      </c>
      <c r="JO28">
        <v>2.32422</v>
      </c>
      <c r="JP28">
        <v>1.49902</v>
      </c>
      <c r="JQ28">
        <v>2.33643</v>
      </c>
      <c r="JR28">
        <v>1.54419</v>
      </c>
      <c r="JS28">
        <v>2.30225</v>
      </c>
      <c r="JT28">
        <v>36.908</v>
      </c>
      <c r="JU28">
        <v>24.1488</v>
      </c>
      <c r="JV28">
        <v>18</v>
      </c>
      <c r="JW28">
        <v>538.235</v>
      </c>
      <c r="JX28">
        <v>435.978</v>
      </c>
      <c r="JY28">
        <v>22.3575</v>
      </c>
      <c r="JZ28">
        <v>26.1427</v>
      </c>
      <c r="KA28">
        <v>30.0001</v>
      </c>
      <c r="KB28">
        <v>26.1603</v>
      </c>
      <c r="KC28">
        <v>26.1863</v>
      </c>
      <c r="KD28">
        <v>58.2027</v>
      </c>
      <c r="KE28">
        <v>30.3984</v>
      </c>
      <c r="KF28">
        <v>90.6617</v>
      </c>
      <c r="KG28">
        <v>22.3567</v>
      </c>
      <c r="KH28">
        <v>1500</v>
      </c>
      <c r="KI28">
        <v>17.9933</v>
      </c>
      <c r="KJ28">
        <v>95.757</v>
      </c>
      <c r="KK28">
        <v>98.7622</v>
      </c>
    </row>
    <row r="29" spans="1:297">
      <c r="A29">
        <v>13</v>
      </c>
      <c r="B29">
        <v>1765299174.1</v>
      </c>
      <c r="C29">
        <v>1225.09999990463</v>
      </c>
      <c r="D29" t="s">
        <v>477</v>
      </c>
      <c r="E29" t="s">
        <v>478</v>
      </c>
      <c r="F29">
        <v>5</v>
      </c>
      <c r="G29" t="s">
        <v>435</v>
      </c>
      <c r="H29" t="s">
        <v>436</v>
      </c>
      <c r="I29">
        <v>1765299165.6</v>
      </c>
      <c r="J29">
        <f>(K29)/1000</f>
        <v>0</v>
      </c>
      <c r="K29">
        <f>IF(DP29, AN29, AH29)</f>
        <v>0</v>
      </c>
      <c r="L29">
        <f>IF(DP29, AI29, AG29)</f>
        <v>0</v>
      </c>
      <c r="M29">
        <f>DR29 - IF(AU29&gt;1, L29*DL29*100.0/(AW29), 0)</f>
        <v>0</v>
      </c>
      <c r="N29">
        <f>((T29-J29/2)*M29-L29)/(T29+J29/2)</f>
        <v>0</v>
      </c>
      <c r="O29">
        <f>N29*(DY29+DZ29)/1000.0</f>
        <v>0</v>
      </c>
      <c r="P29">
        <f>(DR29 - IF(AU29&gt;1, L29*DL29*100.0/(AW29), 0))*(DY29+DZ29)/1000.0</f>
        <v>0</v>
      </c>
      <c r="Q29">
        <f>2.0/((1/S29-1/R29)+SIGN(S29)*SQRT((1/S29-1/R29)*(1/S29-1/R29) + 4*DM29/((DM29+1)*(DM29+1))*(2*1/S29*1/R29-1/R29*1/R29)))</f>
        <v>0</v>
      </c>
      <c r="R29">
        <f>IF(LEFT(DN29,1)&lt;&gt;"0",IF(LEFT(DN29,1)="1",3.0,DO29),$D$5+$E$5*(EF29*DY29/($K$5*1000))+$F$5*(EF29*DY29/($K$5*1000))*MAX(MIN(DL29,$J$5),$I$5)*MAX(MIN(DL29,$J$5),$I$5)+$G$5*MAX(MIN(DL29,$J$5),$I$5)*(EF29*DY29/($K$5*1000))+$H$5*(EF29*DY29/($K$5*1000))*(EF29*DY29/($K$5*1000)))</f>
        <v>0</v>
      </c>
      <c r="S29">
        <f>J29*(1000-(1000*0.61365*exp(17.502*W29/(240.97+W29))/(DY29+DZ29)+DT29)/2)/(1000*0.61365*exp(17.502*W29/(240.97+W29))/(DY29+DZ29)-DT29)</f>
        <v>0</v>
      </c>
      <c r="T29">
        <f>1/((DM29+1)/(Q29/1.6)+1/(R29/1.37)) + DM29/((DM29+1)/(Q29/1.6) + DM29/(R29/1.37))</f>
        <v>0</v>
      </c>
      <c r="U29">
        <f>(DH29*DK29)</f>
        <v>0</v>
      </c>
      <c r="V29">
        <f>(EA29+(U29+2*0.95*5.67E-8*(((EA29+$B$7)+273)^4-(EA29+273)^4)-44100*J29)/(1.84*29.3*R29+8*0.95*5.67E-8*(EA29+273)^3))</f>
        <v>0</v>
      </c>
      <c r="W29">
        <f>($C$7*EB29+$D$7*EC29+$E$7*V29)</f>
        <v>0</v>
      </c>
      <c r="X29">
        <f>0.61365*exp(17.502*W29/(240.97+W29))</f>
        <v>0</v>
      </c>
      <c r="Y29">
        <f>(Z29/AA29*100)</f>
        <v>0</v>
      </c>
      <c r="Z29">
        <f>DT29*(DY29+DZ29)/1000</f>
        <v>0</v>
      </c>
      <c r="AA29">
        <f>0.61365*exp(17.502*EA29/(240.97+EA29))</f>
        <v>0</v>
      </c>
      <c r="AB29">
        <f>(X29-DT29*(DY29+DZ29)/1000)</f>
        <v>0</v>
      </c>
      <c r="AC29">
        <f>(-J29*44100)</f>
        <v>0</v>
      </c>
      <c r="AD29">
        <f>2*29.3*R29*0.92*(EA29-W29)</f>
        <v>0</v>
      </c>
      <c r="AE29">
        <f>2*0.95*5.67E-8*(((EA29+$B$7)+273)^4-(W29+273)^4)</f>
        <v>0</v>
      </c>
      <c r="AF29">
        <f>U29+AE29+AC29+AD29</f>
        <v>0</v>
      </c>
      <c r="AG29">
        <f>DX29*AU29*(DS29-DR29*(1000-AU29*DU29)/(1000-AU29*DT29))/(100*DL29)</f>
        <v>0</v>
      </c>
      <c r="AH29">
        <f>1000*DX29*AU29*(DT29-DU29)/(100*DL29*(1000-AU29*DT29))</f>
        <v>0</v>
      </c>
      <c r="AI29">
        <f>(AJ29 - AK29 - DY29*1E3/(8.314*(EA29+273.15)) * AM29/DX29 * AL29) * DX29/(100*DL29) * (1000 - DU29)/1000</f>
        <v>0</v>
      </c>
      <c r="AJ29">
        <v>407.285268075458</v>
      </c>
      <c r="AK29">
        <v>407.579939393939</v>
      </c>
      <c r="AL29">
        <v>-0.00259820003795065</v>
      </c>
      <c r="AM29">
        <v>63.9756774284213</v>
      </c>
      <c r="AN29">
        <f>(AP29 - AO29 + DY29*1E3/(8.314*(EA29+273.15)) * AR29/DX29 * AQ29) * DX29/(100*DL29) * 1000/(1000 - AP29)</f>
        <v>0</v>
      </c>
      <c r="AO29">
        <v>17.9796687964982</v>
      </c>
      <c r="AP29">
        <v>18.0383878787879</v>
      </c>
      <c r="AQ29">
        <v>1.37112469938045e-05</v>
      </c>
      <c r="AR29">
        <v>104.658244714868</v>
      </c>
      <c r="AS29">
        <v>7</v>
      </c>
      <c r="AT29">
        <v>1</v>
      </c>
      <c r="AU29">
        <f>IF(AS29*$H$13&gt;=AW29,1.0,(AW29/(AW29-AS29*$H$13)))</f>
        <v>0</v>
      </c>
      <c r="AV29">
        <f>(AU29-1)*100</f>
        <v>0</v>
      </c>
      <c r="AW29">
        <f>MAX(0,($B$13+$C$13*EF29)/(1+$D$13*EF29)*DY29/(EA29+273)*$E$13)</f>
        <v>0</v>
      </c>
      <c r="AX29" t="s">
        <v>437</v>
      </c>
      <c r="AY29" t="s">
        <v>437</v>
      </c>
      <c r="AZ29">
        <v>0</v>
      </c>
      <c r="BA29">
        <v>0</v>
      </c>
      <c r="BB29">
        <f>1-AZ29/BA29</f>
        <v>0</v>
      </c>
      <c r="BC29">
        <v>0</v>
      </c>
      <c r="BD29" t="s">
        <v>437</v>
      </c>
      <c r="BE29" t="s">
        <v>437</v>
      </c>
      <c r="BF29">
        <v>0</v>
      </c>
      <c r="BG29">
        <v>0</v>
      </c>
      <c r="BH29">
        <f>1-BF29/BG29</f>
        <v>0</v>
      </c>
      <c r="BI29">
        <v>0.5</v>
      </c>
      <c r="BJ29">
        <f>DI29</f>
        <v>0</v>
      </c>
      <c r="BK29">
        <f>L29</f>
        <v>0</v>
      </c>
      <c r="BL29">
        <f>BH29*BI29*BJ29</f>
        <v>0</v>
      </c>
      <c r="BM29">
        <f>(BK29-BC29)/BJ29</f>
        <v>0</v>
      </c>
      <c r="BN29">
        <f>(BA29-BG29)/BG29</f>
        <v>0</v>
      </c>
      <c r="BO29">
        <f>AZ29/(BB29+AZ29/BG29)</f>
        <v>0</v>
      </c>
      <c r="BP29" t="s">
        <v>437</v>
      </c>
      <c r="BQ29">
        <v>0</v>
      </c>
      <c r="BR29">
        <f>IF(BQ29&lt;&gt;0, BQ29, BO29)</f>
        <v>0</v>
      </c>
      <c r="BS29">
        <f>1-BR29/BG29</f>
        <v>0</v>
      </c>
      <c r="BT29">
        <f>(BG29-BF29)/(BG29-BR29)</f>
        <v>0</v>
      </c>
      <c r="BU29">
        <f>(BA29-BG29)/(BA29-BR29)</f>
        <v>0</v>
      </c>
      <c r="BV29">
        <f>(BG29-BF29)/(BG29-AZ29)</f>
        <v>0</v>
      </c>
      <c r="BW29">
        <f>(BA29-BG29)/(BA29-AZ29)</f>
        <v>0</v>
      </c>
      <c r="BX29">
        <f>(BT29*BR29/BF29)</f>
        <v>0</v>
      </c>
      <c r="BY29">
        <f>(1-BX29)</f>
        <v>0</v>
      </c>
      <c r="DH29">
        <f>$B$11*EG29+$C$11*EH29+$F$11*ES29*(1-EV29)</f>
        <v>0</v>
      </c>
      <c r="DI29">
        <f>DH29*DJ29</f>
        <v>0</v>
      </c>
      <c r="DJ29">
        <f>($B$11*$D$9+$C$11*$D$9+$F$11*((FF29+EX29)/MAX(FF29+EX29+FG29, 0.1)*$I$9+FG29/MAX(FF29+EX29+FG29, 0.1)*$J$9))/($B$11+$C$11+$F$11)</f>
        <v>0</v>
      </c>
      <c r="DK29">
        <f>($B$11*$K$9+$C$11*$K$9+$F$11*((FF29+EX29)/MAX(FF29+EX29+FG29, 0.1)*$P$9+FG29/MAX(FF29+EX29+FG29, 0.1)*$Q$9))/($B$11+$C$11+$F$11)</f>
        <v>0</v>
      </c>
      <c r="DL29">
        <v>6</v>
      </c>
      <c r="DM29">
        <v>0.5</v>
      </c>
      <c r="DN29" t="s">
        <v>438</v>
      </c>
      <c r="DO29">
        <v>2</v>
      </c>
      <c r="DP29" t="b">
        <v>1</v>
      </c>
      <c r="DQ29">
        <v>1765299165.6</v>
      </c>
      <c r="DR29">
        <v>400.26325</v>
      </c>
      <c r="DS29">
        <v>399.9686875</v>
      </c>
      <c r="DT29">
        <v>18.03009375</v>
      </c>
      <c r="DU29">
        <v>17.9789875</v>
      </c>
      <c r="DV29">
        <v>393.00825</v>
      </c>
      <c r="DW29">
        <v>17.95409375</v>
      </c>
      <c r="DX29">
        <v>500.0056875</v>
      </c>
      <c r="DY29">
        <v>90.0807</v>
      </c>
      <c r="DZ29">
        <v>0.09998595</v>
      </c>
      <c r="EA29">
        <v>25.39831875</v>
      </c>
      <c r="EB29">
        <v>25.00306875</v>
      </c>
      <c r="EC29">
        <v>999.9</v>
      </c>
      <c r="ED29">
        <v>0</v>
      </c>
      <c r="EE29">
        <v>0</v>
      </c>
      <c r="EF29">
        <v>9990.939375</v>
      </c>
      <c r="EG29">
        <v>0</v>
      </c>
      <c r="EH29">
        <v>13.0290625</v>
      </c>
      <c r="EI29">
        <v>0.3029155</v>
      </c>
      <c r="EJ29">
        <v>407.6240625</v>
      </c>
      <c r="EK29">
        <v>407.2915625</v>
      </c>
      <c r="EL29">
        <v>0.0576792875</v>
      </c>
      <c r="EM29">
        <v>399.9686875</v>
      </c>
      <c r="EN29">
        <v>17.9789875</v>
      </c>
      <c r="EO29">
        <v>1.624754375</v>
      </c>
      <c r="EP29">
        <v>1.619558125</v>
      </c>
      <c r="EQ29">
        <v>14.19560625</v>
      </c>
      <c r="ER29">
        <v>14.14618125</v>
      </c>
      <c r="ES29">
        <v>800.038625</v>
      </c>
      <c r="ET29">
        <v>0.950007625</v>
      </c>
      <c r="EU29">
        <v>0.0499923375</v>
      </c>
      <c r="EV29">
        <v>0</v>
      </c>
      <c r="EW29">
        <v>963.2630625</v>
      </c>
      <c r="EX29">
        <v>5.00016</v>
      </c>
      <c r="EY29">
        <v>7411.19125</v>
      </c>
      <c r="EZ29">
        <v>7195.044375</v>
      </c>
      <c r="FA29">
        <v>39.800375</v>
      </c>
      <c r="FB29">
        <v>42.5</v>
      </c>
      <c r="FC29">
        <v>41.25</v>
      </c>
      <c r="FD29">
        <v>42.562</v>
      </c>
      <c r="FE29">
        <v>42.437</v>
      </c>
      <c r="FF29">
        <v>755.294375</v>
      </c>
      <c r="FG29">
        <v>39.75</v>
      </c>
      <c r="FH29">
        <v>0</v>
      </c>
      <c r="FI29">
        <v>1765299174.1</v>
      </c>
      <c r="FJ29">
        <v>0</v>
      </c>
      <c r="FK29">
        <v>963.317346153846</v>
      </c>
      <c r="FL29">
        <v>-1.19155554598923</v>
      </c>
      <c r="FM29">
        <v>-6.78324791033731</v>
      </c>
      <c r="FN29">
        <v>7410.95346153846</v>
      </c>
      <c r="FO29">
        <v>15</v>
      </c>
      <c r="FP29">
        <v>1765299192.1</v>
      </c>
      <c r="FQ29" t="s">
        <v>479</v>
      </c>
      <c r="FR29">
        <v>1765299192.1</v>
      </c>
      <c r="FS29">
        <v>1765299190.1</v>
      </c>
      <c r="FT29">
        <v>13</v>
      </c>
      <c r="FU29">
        <v>-0.007</v>
      </c>
      <c r="FV29">
        <v>-0.005</v>
      </c>
      <c r="FW29">
        <v>7.255</v>
      </c>
      <c r="FX29">
        <v>0.076</v>
      </c>
      <c r="FY29">
        <v>400</v>
      </c>
      <c r="FZ29">
        <v>18</v>
      </c>
      <c r="GA29">
        <v>0.39</v>
      </c>
      <c r="GB29">
        <v>0.25</v>
      </c>
      <c r="GC29">
        <v>0.325243238095238</v>
      </c>
      <c r="GD29">
        <v>-0.414956259740259</v>
      </c>
      <c r="GE29">
        <v>0.0540958050938595</v>
      </c>
      <c r="GF29">
        <v>1</v>
      </c>
      <c r="GG29">
        <v>963.376705882353</v>
      </c>
      <c r="GH29">
        <v>-0.74582123251255</v>
      </c>
      <c r="GI29">
        <v>0.195494475536775</v>
      </c>
      <c r="GJ29">
        <v>-1</v>
      </c>
      <c r="GK29">
        <v>0.0572131857142857</v>
      </c>
      <c r="GL29">
        <v>0.0101725168831169</v>
      </c>
      <c r="GM29">
        <v>0.00116085533584004</v>
      </c>
      <c r="GN29">
        <v>1</v>
      </c>
      <c r="GO29">
        <v>2</v>
      </c>
      <c r="GP29">
        <v>2</v>
      </c>
      <c r="GQ29" t="s">
        <v>440</v>
      </c>
      <c r="GR29">
        <v>3.12489</v>
      </c>
      <c r="GS29">
        <v>2.72549</v>
      </c>
      <c r="GT29">
        <v>0.0854206</v>
      </c>
      <c r="GU29">
        <v>0.086547</v>
      </c>
      <c r="GV29">
        <v>0.0832898</v>
      </c>
      <c r="GW29">
        <v>0.0830262</v>
      </c>
      <c r="GX29">
        <v>24259</v>
      </c>
      <c r="GY29">
        <v>22322.4</v>
      </c>
      <c r="GZ29">
        <v>23712.6</v>
      </c>
      <c r="HA29">
        <v>23786.1</v>
      </c>
      <c r="HB29">
        <v>37010.4</v>
      </c>
      <c r="HC29">
        <v>36056.1</v>
      </c>
      <c r="HD29">
        <v>42704.2</v>
      </c>
      <c r="HE29">
        <v>42359.1</v>
      </c>
      <c r="HF29">
        <v>1.91593</v>
      </c>
      <c r="HG29">
        <v>1.84188</v>
      </c>
      <c r="HH29">
        <v>0.101633</v>
      </c>
      <c r="HI29">
        <v>0</v>
      </c>
      <c r="HJ29">
        <v>23.3277</v>
      </c>
      <c r="HK29">
        <v>999.9</v>
      </c>
      <c r="HL29">
        <v>48.688</v>
      </c>
      <c r="HM29">
        <v>29.094</v>
      </c>
      <c r="HN29">
        <v>21.8556</v>
      </c>
      <c r="HO29">
        <v>54.4603</v>
      </c>
      <c r="HP29">
        <v>46.7388</v>
      </c>
      <c r="HQ29">
        <v>1</v>
      </c>
      <c r="HR29">
        <v>-0.105912</v>
      </c>
      <c r="HS29">
        <v>0.88954</v>
      </c>
      <c r="HT29">
        <v>20.2307</v>
      </c>
      <c r="HU29">
        <v>5.23391</v>
      </c>
      <c r="HV29">
        <v>11.992</v>
      </c>
      <c r="HW29">
        <v>4.95655</v>
      </c>
      <c r="HX29">
        <v>3.304</v>
      </c>
      <c r="HY29">
        <v>999.9</v>
      </c>
      <c r="HZ29">
        <v>9999</v>
      </c>
      <c r="IA29">
        <v>9999</v>
      </c>
      <c r="IB29">
        <v>9999</v>
      </c>
      <c r="IC29">
        <v>1.86905</v>
      </c>
      <c r="ID29">
        <v>1.86478</v>
      </c>
      <c r="IE29">
        <v>1.87235</v>
      </c>
      <c r="IF29">
        <v>1.8634</v>
      </c>
      <c r="IG29">
        <v>1.86265</v>
      </c>
      <c r="IH29">
        <v>1.86908</v>
      </c>
      <c r="II29">
        <v>1.85928</v>
      </c>
      <c r="IJ29">
        <v>1.86562</v>
      </c>
      <c r="IK29">
        <v>5</v>
      </c>
      <c r="IL29">
        <v>0</v>
      </c>
      <c r="IM29">
        <v>0</v>
      </c>
      <c r="IN29">
        <v>0</v>
      </c>
      <c r="IO29" t="s">
        <v>441</v>
      </c>
      <c r="IP29" t="s">
        <v>442</v>
      </c>
      <c r="IQ29" t="s">
        <v>443</v>
      </c>
      <c r="IR29" t="s">
        <v>443</v>
      </c>
      <c r="IS29" t="s">
        <v>443</v>
      </c>
      <c r="IT29" t="s">
        <v>443</v>
      </c>
      <c r="IU29">
        <v>0</v>
      </c>
      <c r="IV29">
        <v>100</v>
      </c>
      <c r="IW29">
        <v>100</v>
      </c>
      <c r="IX29">
        <v>7.255</v>
      </c>
      <c r="IY29">
        <v>0.076</v>
      </c>
      <c r="IZ29">
        <v>5.2501203873428</v>
      </c>
      <c r="JA29">
        <v>0.0062698613543794</v>
      </c>
      <c r="JB29">
        <v>-3.23243345529816e-06</v>
      </c>
      <c r="JC29">
        <v>8.00506428382295e-10</v>
      </c>
      <c r="JD29">
        <v>-0.0804958599044196</v>
      </c>
      <c r="JE29">
        <v>-0.0018464610107002</v>
      </c>
      <c r="JF29">
        <v>0.000796540623429801</v>
      </c>
      <c r="JG29">
        <v>-1.04619914107352e-05</v>
      </c>
      <c r="JH29">
        <v>-0</v>
      </c>
      <c r="JI29">
        <v>2101</v>
      </c>
      <c r="JJ29">
        <v>1</v>
      </c>
      <c r="JK29">
        <v>23</v>
      </c>
      <c r="JL29">
        <v>1.5</v>
      </c>
      <c r="JM29">
        <v>1.6</v>
      </c>
      <c r="JN29">
        <v>1.00952</v>
      </c>
      <c r="JO29">
        <v>2.36328</v>
      </c>
      <c r="JP29">
        <v>1.49902</v>
      </c>
      <c r="JQ29">
        <v>2.33643</v>
      </c>
      <c r="JR29">
        <v>1.54419</v>
      </c>
      <c r="JS29">
        <v>2.29492</v>
      </c>
      <c r="JT29">
        <v>36.9556</v>
      </c>
      <c r="JU29">
        <v>24.1488</v>
      </c>
      <c r="JV29">
        <v>18</v>
      </c>
      <c r="JW29">
        <v>537.664</v>
      </c>
      <c r="JX29">
        <v>433.654</v>
      </c>
      <c r="JY29">
        <v>22.347</v>
      </c>
      <c r="JZ29">
        <v>26.125</v>
      </c>
      <c r="KA29">
        <v>30.0001</v>
      </c>
      <c r="KB29">
        <v>26.1383</v>
      </c>
      <c r="KC29">
        <v>26.1642</v>
      </c>
      <c r="KD29">
        <v>20.237</v>
      </c>
      <c r="KE29">
        <v>29.8371</v>
      </c>
      <c r="KF29">
        <v>90.6617</v>
      </c>
      <c r="KG29">
        <v>22.3407</v>
      </c>
      <c r="KH29">
        <v>400</v>
      </c>
      <c r="KI29">
        <v>18.0314</v>
      </c>
      <c r="KJ29">
        <v>95.7479</v>
      </c>
      <c r="KK29">
        <v>98.7696</v>
      </c>
    </row>
    <row r="30" spans="1:297">
      <c r="A30">
        <v>14</v>
      </c>
      <c r="B30">
        <v>1765300440</v>
      </c>
      <c r="C30">
        <v>2491</v>
      </c>
      <c r="D30" t="s">
        <v>480</v>
      </c>
      <c r="E30" t="s">
        <v>481</v>
      </c>
      <c r="F30">
        <v>5</v>
      </c>
      <c r="G30" t="s">
        <v>482</v>
      </c>
      <c r="H30" t="s">
        <v>436</v>
      </c>
      <c r="I30">
        <v>1765300432</v>
      </c>
      <c r="J30">
        <f>(K30)/1000</f>
        <v>0</v>
      </c>
      <c r="K30">
        <f>IF(DP30, AN30, AH30)</f>
        <v>0</v>
      </c>
      <c r="L30">
        <f>IF(DP30, AI30, AG30)</f>
        <v>0</v>
      </c>
      <c r="M30">
        <f>DR30 - IF(AU30&gt;1, L30*DL30*100.0/(AW30), 0)</f>
        <v>0</v>
      </c>
      <c r="N30">
        <f>((T30-J30/2)*M30-L30)/(T30+J30/2)</f>
        <v>0</v>
      </c>
      <c r="O30">
        <f>N30*(DY30+DZ30)/1000.0</f>
        <v>0</v>
      </c>
      <c r="P30">
        <f>(DR30 - IF(AU30&gt;1, L30*DL30*100.0/(AW30), 0))*(DY30+DZ30)/1000.0</f>
        <v>0</v>
      </c>
      <c r="Q30">
        <f>2.0/((1/S30-1/R30)+SIGN(S30)*SQRT((1/S30-1/R30)*(1/S30-1/R30) + 4*DM30/((DM30+1)*(DM30+1))*(2*1/S30*1/R30-1/R30*1/R30)))</f>
        <v>0</v>
      </c>
      <c r="R30">
        <f>IF(LEFT(DN30,1)&lt;&gt;"0",IF(LEFT(DN30,1)="1",3.0,DO30),$D$5+$E$5*(EF30*DY30/($K$5*1000))+$F$5*(EF30*DY30/($K$5*1000))*MAX(MIN(DL30,$J$5),$I$5)*MAX(MIN(DL30,$J$5),$I$5)+$G$5*MAX(MIN(DL30,$J$5),$I$5)*(EF30*DY30/($K$5*1000))+$H$5*(EF30*DY30/($K$5*1000))*(EF30*DY30/($K$5*1000)))</f>
        <v>0</v>
      </c>
      <c r="S30">
        <f>J30*(1000-(1000*0.61365*exp(17.502*W30/(240.97+W30))/(DY30+DZ30)+DT30)/2)/(1000*0.61365*exp(17.502*W30/(240.97+W30))/(DY30+DZ30)-DT30)</f>
        <v>0</v>
      </c>
      <c r="T30">
        <f>1/((DM30+1)/(Q30/1.6)+1/(R30/1.37)) + DM30/((DM30+1)/(Q30/1.6) + DM30/(R30/1.37))</f>
        <v>0</v>
      </c>
      <c r="U30">
        <f>(DH30*DK30)</f>
        <v>0</v>
      </c>
      <c r="V30">
        <f>(EA30+(U30+2*0.95*5.67E-8*(((EA30+$B$7)+273)^4-(EA30+273)^4)-44100*J30)/(1.84*29.3*R30+8*0.95*5.67E-8*(EA30+273)^3))</f>
        <v>0</v>
      </c>
      <c r="W30">
        <f>($C$7*EB30+$D$7*EC30+$E$7*V30)</f>
        <v>0</v>
      </c>
      <c r="X30">
        <f>0.61365*exp(17.502*W30/(240.97+W30))</f>
        <v>0</v>
      </c>
      <c r="Y30">
        <f>(Z30/AA30*100)</f>
        <v>0</v>
      </c>
      <c r="Z30">
        <f>DT30*(DY30+DZ30)/1000</f>
        <v>0</v>
      </c>
      <c r="AA30">
        <f>0.61365*exp(17.502*EA30/(240.97+EA30))</f>
        <v>0</v>
      </c>
      <c r="AB30">
        <f>(X30-DT30*(DY30+DZ30)/1000)</f>
        <v>0</v>
      </c>
      <c r="AC30">
        <f>(-J30*44100)</f>
        <v>0</v>
      </c>
      <c r="AD30">
        <f>2*29.3*R30*0.92*(EA30-W30)</f>
        <v>0</v>
      </c>
      <c r="AE30">
        <f>2*0.95*5.67E-8*(((EA30+$B$7)+273)^4-(W30+273)^4)</f>
        <v>0</v>
      </c>
      <c r="AF30">
        <f>U30+AE30+AC30+AD30</f>
        <v>0</v>
      </c>
      <c r="AG30">
        <f>DX30*AU30*(DS30-DR30*(1000-AU30*DU30)/(1000-AU30*DT30))/(100*DL30)</f>
        <v>0</v>
      </c>
      <c r="AH30">
        <f>1000*DX30*AU30*(DT30-DU30)/(100*DL30*(1000-AU30*DT30))</f>
        <v>0</v>
      </c>
      <c r="AI30">
        <f>(AJ30 - AK30 - DY30*1E3/(8.314*(EA30+273.15)) * AM30/DX30 * AL30) * DX30/(100*DL30) * (1000 - DU30)/1000</f>
        <v>0</v>
      </c>
      <c r="AJ30">
        <v>407.217589478168</v>
      </c>
      <c r="AK30">
        <v>407.32326060606</v>
      </c>
      <c r="AL30">
        <v>-0.00484055292223359</v>
      </c>
      <c r="AM30">
        <v>62.990304102939</v>
      </c>
      <c r="AN30">
        <f>(AP30 - AO30 + DY30*1E3/(8.314*(EA30+273.15)) * AR30/DX30 * AQ30) * DX30/(100*DL30) * 1000/(1000 - AP30)</f>
        <v>0</v>
      </c>
      <c r="AO30">
        <v>17.6520059461708</v>
      </c>
      <c r="AP30">
        <v>17.7584745454545</v>
      </c>
      <c r="AQ30">
        <v>-7.96353512928054e-07</v>
      </c>
      <c r="AR30">
        <v>110.38020722323</v>
      </c>
      <c r="AS30">
        <v>0</v>
      </c>
      <c r="AT30">
        <v>0</v>
      </c>
      <c r="AU30">
        <f>IF(AS30*$H$13&gt;=AW30,1.0,(AW30/(AW30-AS30*$H$13)))</f>
        <v>0</v>
      </c>
      <c r="AV30">
        <f>(AU30-1)*100</f>
        <v>0</v>
      </c>
      <c r="AW30">
        <f>MAX(0,($B$13+$C$13*EF30)/(1+$D$13*EF30)*DY30/(EA30+273)*$E$13)</f>
        <v>0</v>
      </c>
      <c r="AX30" t="s">
        <v>437</v>
      </c>
      <c r="AY30" t="s">
        <v>437</v>
      </c>
      <c r="AZ30">
        <v>0</v>
      </c>
      <c r="BA30">
        <v>0</v>
      </c>
      <c r="BB30">
        <f>1-AZ30/BA30</f>
        <v>0</v>
      </c>
      <c r="BC30">
        <v>0</v>
      </c>
      <c r="BD30" t="s">
        <v>437</v>
      </c>
      <c r="BE30" t="s">
        <v>437</v>
      </c>
      <c r="BF30">
        <v>0</v>
      </c>
      <c r="BG30">
        <v>0</v>
      </c>
      <c r="BH30">
        <f>1-BF30/BG30</f>
        <v>0</v>
      </c>
      <c r="BI30">
        <v>0.5</v>
      </c>
      <c r="BJ30">
        <f>DI30</f>
        <v>0</v>
      </c>
      <c r="BK30">
        <f>L30</f>
        <v>0</v>
      </c>
      <c r="BL30">
        <f>BH30*BI30*BJ30</f>
        <v>0</v>
      </c>
      <c r="BM30">
        <f>(BK30-BC30)/BJ30</f>
        <v>0</v>
      </c>
      <c r="BN30">
        <f>(BA30-BG30)/BG30</f>
        <v>0</v>
      </c>
      <c r="BO30">
        <f>AZ30/(BB30+AZ30/BG30)</f>
        <v>0</v>
      </c>
      <c r="BP30" t="s">
        <v>437</v>
      </c>
      <c r="BQ30">
        <v>0</v>
      </c>
      <c r="BR30">
        <f>IF(BQ30&lt;&gt;0, BQ30, BO30)</f>
        <v>0</v>
      </c>
      <c r="BS30">
        <f>1-BR30/BG30</f>
        <v>0</v>
      </c>
      <c r="BT30">
        <f>(BG30-BF30)/(BG30-BR30)</f>
        <v>0</v>
      </c>
      <c r="BU30">
        <f>(BA30-BG30)/(BA30-BR30)</f>
        <v>0</v>
      </c>
      <c r="BV30">
        <f>(BG30-BF30)/(BG30-AZ30)</f>
        <v>0</v>
      </c>
      <c r="BW30">
        <f>(BA30-BG30)/(BA30-AZ30)</f>
        <v>0</v>
      </c>
      <c r="BX30">
        <f>(BT30*BR30/BF30)</f>
        <v>0</v>
      </c>
      <c r="BY30">
        <f>(1-BX30)</f>
        <v>0</v>
      </c>
      <c r="DH30">
        <f>$B$11*EG30+$C$11*EH30+$F$11*ES30*(1-EV30)</f>
        <v>0</v>
      </c>
      <c r="DI30">
        <f>DH30*DJ30</f>
        <v>0</v>
      </c>
      <c r="DJ30">
        <f>($B$11*$D$9+$C$11*$D$9+$F$11*((FF30+EX30)/MAX(FF30+EX30+FG30, 0.1)*$I$9+FG30/MAX(FF30+EX30+FG30, 0.1)*$J$9))/($B$11+$C$11+$F$11)</f>
        <v>0</v>
      </c>
      <c r="DK30">
        <f>($B$11*$K$9+$C$11*$K$9+$F$11*((FF30+EX30)/MAX(FF30+EX30+FG30, 0.1)*$P$9+FG30/MAX(FF30+EX30+FG30, 0.1)*$Q$9))/($B$11+$C$11+$F$11)</f>
        <v>0</v>
      </c>
      <c r="DL30">
        <v>6</v>
      </c>
      <c r="DM30">
        <v>0.5</v>
      </c>
      <c r="DN30" t="s">
        <v>438</v>
      </c>
      <c r="DO30">
        <v>2</v>
      </c>
      <c r="DP30" t="b">
        <v>1</v>
      </c>
      <c r="DQ30">
        <v>1765300432</v>
      </c>
      <c r="DR30">
        <v>400.277733333333</v>
      </c>
      <c r="DS30">
        <v>400.001666666667</v>
      </c>
      <c r="DT30">
        <v>17.7667133333333</v>
      </c>
      <c r="DU30">
        <v>17.6492733333333</v>
      </c>
      <c r="DV30">
        <v>392.884733333333</v>
      </c>
      <c r="DW30">
        <v>17.6837133333333</v>
      </c>
      <c r="DX30">
        <v>500.017933333333</v>
      </c>
      <c r="DY30">
        <v>90.0760933333333</v>
      </c>
      <c r="DZ30">
        <v>0.100023086666667</v>
      </c>
      <c r="EA30">
        <v>25.1445</v>
      </c>
      <c r="EB30">
        <v>25.0252333333333</v>
      </c>
      <c r="EC30">
        <v>999.9</v>
      </c>
      <c r="ED30">
        <v>0</v>
      </c>
      <c r="EE30">
        <v>0</v>
      </c>
      <c r="EF30">
        <v>9993.75133333333</v>
      </c>
      <c r="EG30">
        <v>0</v>
      </c>
      <c r="EH30">
        <v>13.1833933333333</v>
      </c>
      <c r="EI30">
        <v>0.13894456</v>
      </c>
      <c r="EJ30">
        <v>407.374066666667</v>
      </c>
      <c r="EK30">
        <v>407.1882</v>
      </c>
      <c r="EL30">
        <v>0.107326</v>
      </c>
      <c r="EM30">
        <v>400.001666666667</v>
      </c>
      <c r="EN30">
        <v>17.6492733333333</v>
      </c>
      <c r="EO30">
        <v>1.599446</v>
      </c>
      <c r="EP30">
        <v>1.589778</v>
      </c>
      <c r="EQ30">
        <v>13.9534533333333</v>
      </c>
      <c r="ER30">
        <v>13.86008</v>
      </c>
      <c r="ES30">
        <v>800.011266666667</v>
      </c>
      <c r="ET30">
        <v>0.9499906</v>
      </c>
      <c r="EU30">
        <v>0.05000952</v>
      </c>
      <c r="EV30">
        <v>0</v>
      </c>
      <c r="EW30">
        <v>888.4986</v>
      </c>
      <c r="EX30">
        <v>5.00016</v>
      </c>
      <c r="EY30">
        <v>6867.71666666667</v>
      </c>
      <c r="EZ30">
        <v>7194.756</v>
      </c>
      <c r="FA30">
        <v>39.5</v>
      </c>
      <c r="FB30">
        <v>42.3498</v>
      </c>
      <c r="FC30">
        <v>41</v>
      </c>
      <c r="FD30">
        <v>42.312</v>
      </c>
      <c r="FE30">
        <v>42.1704666666667</v>
      </c>
      <c r="FF30">
        <v>755.253333333333</v>
      </c>
      <c r="FG30">
        <v>39.756</v>
      </c>
      <c r="FH30">
        <v>0</v>
      </c>
      <c r="FI30">
        <v>1765300440.1</v>
      </c>
      <c r="FJ30">
        <v>0</v>
      </c>
      <c r="FK30">
        <v>888.441807692308</v>
      </c>
      <c r="FL30">
        <v>-3.2766153855911</v>
      </c>
      <c r="FM30">
        <v>-26.8116240009188</v>
      </c>
      <c r="FN30">
        <v>6867.52076923077</v>
      </c>
      <c r="FO30">
        <v>15</v>
      </c>
      <c r="FP30">
        <v>1765300459</v>
      </c>
      <c r="FQ30" t="s">
        <v>483</v>
      </c>
      <c r="FR30">
        <v>1765300459</v>
      </c>
      <c r="FS30">
        <v>1765300458</v>
      </c>
      <c r="FT30">
        <v>14</v>
      </c>
      <c r="FU30">
        <v>0.139</v>
      </c>
      <c r="FV30">
        <v>0.012</v>
      </c>
      <c r="FW30">
        <v>7.393</v>
      </c>
      <c r="FX30">
        <v>0.083</v>
      </c>
      <c r="FY30">
        <v>400</v>
      </c>
      <c r="FZ30">
        <v>18</v>
      </c>
      <c r="GA30">
        <v>0.81</v>
      </c>
      <c r="GB30">
        <v>0.12</v>
      </c>
      <c r="GC30">
        <v>0.13035080952381</v>
      </c>
      <c r="GD30">
        <v>-0.0323504337662339</v>
      </c>
      <c r="GE30">
        <v>0.0366543303835389</v>
      </c>
      <c r="GF30">
        <v>1</v>
      </c>
      <c r="GG30">
        <v>888.642529411765</v>
      </c>
      <c r="GH30">
        <v>-3.60207792637905</v>
      </c>
      <c r="GI30">
        <v>0.41879949121367</v>
      </c>
      <c r="GJ30">
        <v>-1</v>
      </c>
      <c r="GK30">
        <v>0.108088095238095</v>
      </c>
      <c r="GL30">
        <v>-0.0120342857142856</v>
      </c>
      <c r="GM30">
        <v>0.00177714905194654</v>
      </c>
      <c r="GN30">
        <v>1</v>
      </c>
      <c r="GO30">
        <v>2</v>
      </c>
      <c r="GP30">
        <v>2</v>
      </c>
      <c r="GQ30" t="s">
        <v>440</v>
      </c>
      <c r="GR30">
        <v>3.12478</v>
      </c>
      <c r="GS30">
        <v>2.72548</v>
      </c>
      <c r="GT30">
        <v>0.0854797</v>
      </c>
      <c r="GU30">
        <v>0.086625</v>
      </c>
      <c r="GV30">
        <v>0.0824346</v>
      </c>
      <c r="GW30">
        <v>0.081988</v>
      </c>
      <c r="GX30">
        <v>24250.9</v>
      </c>
      <c r="GY30">
        <v>22344.8</v>
      </c>
      <c r="GZ30">
        <v>23704.8</v>
      </c>
      <c r="HA30">
        <v>23810.5</v>
      </c>
      <c r="HB30">
        <v>37030.4</v>
      </c>
      <c r="HC30">
        <v>36133.7</v>
      </c>
      <c r="HD30">
        <v>42687.1</v>
      </c>
      <c r="HE30">
        <v>42401.8</v>
      </c>
      <c r="HF30">
        <v>1.9376</v>
      </c>
      <c r="HG30">
        <v>1.84382</v>
      </c>
      <c r="HH30">
        <v>0.114225</v>
      </c>
      <c r="HI30">
        <v>0</v>
      </c>
      <c r="HJ30">
        <v>23.1376</v>
      </c>
      <c r="HK30">
        <v>999.9</v>
      </c>
      <c r="HL30">
        <v>46.856</v>
      </c>
      <c r="HM30">
        <v>29.588</v>
      </c>
      <c r="HN30">
        <v>21.6415</v>
      </c>
      <c r="HO30">
        <v>54.8503</v>
      </c>
      <c r="HP30">
        <v>47.2196</v>
      </c>
      <c r="HQ30">
        <v>1</v>
      </c>
      <c r="HR30">
        <v>-0.132304</v>
      </c>
      <c r="HS30">
        <v>1.28928</v>
      </c>
      <c r="HT30">
        <v>20.2281</v>
      </c>
      <c r="HU30">
        <v>5.23286</v>
      </c>
      <c r="HV30">
        <v>11.992</v>
      </c>
      <c r="HW30">
        <v>4.95575</v>
      </c>
      <c r="HX30">
        <v>3.304</v>
      </c>
      <c r="HY30">
        <v>999.9</v>
      </c>
      <c r="HZ30">
        <v>9999</v>
      </c>
      <c r="IA30">
        <v>9999</v>
      </c>
      <c r="IB30">
        <v>9999</v>
      </c>
      <c r="IC30">
        <v>1.86905</v>
      </c>
      <c r="ID30">
        <v>1.86478</v>
      </c>
      <c r="IE30">
        <v>1.87233</v>
      </c>
      <c r="IF30">
        <v>1.86339</v>
      </c>
      <c r="IG30">
        <v>1.8627</v>
      </c>
      <c r="IH30">
        <v>1.86906</v>
      </c>
      <c r="II30">
        <v>1.85928</v>
      </c>
      <c r="IJ30">
        <v>1.86558</v>
      </c>
      <c r="IK30">
        <v>5</v>
      </c>
      <c r="IL30">
        <v>0</v>
      </c>
      <c r="IM30">
        <v>0</v>
      </c>
      <c r="IN30">
        <v>0</v>
      </c>
      <c r="IO30" t="s">
        <v>441</v>
      </c>
      <c r="IP30" t="s">
        <v>442</v>
      </c>
      <c r="IQ30" t="s">
        <v>443</v>
      </c>
      <c r="IR30" t="s">
        <v>443</v>
      </c>
      <c r="IS30" t="s">
        <v>443</v>
      </c>
      <c r="IT30" t="s">
        <v>443</v>
      </c>
      <c r="IU30">
        <v>0</v>
      </c>
      <c r="IV30">
        <v>100</v>
      </c>
      <c r="IW30">
        <v>100</v>
      </c>
      <c r="IX30">
        <v>7.393</v>
      </c>
      <c r="IY30">
        <v>0.083</v>
      </c>
      <c r="IZ30">
        <v>5.24276962994034</v>
      </c>
      <c r="JA30">
        <v>0.0062698613543794</v>
      </c>
      <c r="JB30">
        <v>-3.23243345529816e-06</v>
      </c>
      <c r="JC30">
        <v>8.00506428382295e-10</v>
      </c>
      <c r="JD30">
        <v>-0.0856867534733463</v>
      </c>
      <c r="JE30">
        <v>-0.0018464610107002</v>
      </c>
      <c r="JF30">
        <v>0.000796540623429801</v>
      </c>
      <c r="JG30">
        <v>-1.04619914107352e-05</v>
      </c>
      <c r="JH30">
        <v>-0</v>
      </c>
      <c r="JI30">
        <v>2101</v>
      </c>
      <c r="JJ30">
        <v>1</v>
      </c>
      <c r="JK30">
        <v>23</v>
      </c>
      <c r="JL30">
        <v>20.8</v>
      </c>
      <c r="JM30">
        <v>20.8</v>
      </c>
      <c r="JN30">
        <v>1.00952</v>
      </c>
      <c r="JO30">
        <v>2.35352</v>
      </c>
      <c r="JP30">
        <v>1.49902</v>
      </c>
      <c r="JQ30">
        <v>2.33398</v>
      </c>
      <c r="JR30">
        <v>1.54419</v>
      </c>
      <c r="JS30">
        <v>2.34131</v>
      </c>
      <c r="JT30">
        <v>37.4819</v>
      </c>
      <c r="JU30">
        <v>24.14</v>
      </c>
      <c r="JV30">
        <v>18</v>
      </c>
      <c r="JW30">
        <v>548.427</v>
      </c>
      <c r="JX30">
        <v>432.059</v>
      </c>
      <c r="JY30">
        <v>21.8224</v>
      </c>
      <c r="JZ30">
        <v>25.7852</v>
      </c>
      <c r="KA30">
        <v>30.0004</v>
      </c>
      <c r="KB30">
        <v>25.7899</v>
      </c>
      <c r="KC30">
        <v>25.8122</v>
      </c>
      <c r="KD30">
        <v>20.2551</v>
      </c>
      <c r="KE30">
        <v>30.7303</v>
      </c>
      <c r="KF30">
        <v>88.9379</v>
      </c>
      <c r="KG30">
        <v>21.8049</v>
      </c>
      <c r="KH30">
        <v>400</v>
      </c>
      <c r="KI30">
        <v>17.6595</v>
      </c>
      <c r="KJ30">
        <v>95.7119</v>
      </c>
      <c r="KK30">
        <v>98.8697</v>
      </c>
    </row>
    <row r="31" spans="1:297">
      <c r="A31">
        <v>15</v>
      </c>
      <c r="B31">
        <v>1765300535</v>
      </c>
      <c r="C31">
        <v>2586</v>
      </c>
      <c r="D31" t="s">
        <v>484</v>
      </c>
      <c r="E31" t="s">
        <v>485</v>
      </c>
      <c r="F31">
        <v>5</v>
      </c>
      <c r="G31" t="s">
        <v>482</v>
      </c>
      <c r="H31" t="s">
        <v>436</v>
      </c>
      <c r="I31">
        <v>1765300527</v>
      </c>
      <c r="J31">
        <f>(K31)/1000</f>
        <v>0</v>
      </c>
      <c r="K31">
        <f>IF(DP31, AN31, AH31)</f>
        <v>0</v>
      </c>
      <c r="L31">
        <f>IF(DP31, AI31, AG31)</f>
        <v>0</v>
      </c>
      <c r="M31">
        <f>DR31 - IF(AU31&gt;1, L31*DL31*100.0/(AW31), 0)</f>
        <v>0</v>
      </c>
      <c r="N31">
        <f>((T31-J31/2)*M31-L31)/(T31+J31/2)</f>
        <v>0</v>
      </c>
      <c r="O31">
        <f>N31*(DY31+DZ31)/1000.0</f>
        <v>0</v>
      </c>
      <c r="P31">
        <f>(DR31 - IF(AU31&gt;1, L31*DL31*100.0/(AW31), 0))*(DY31+DZ31)/1000.0</f>
        <v>0</v>
      </c>
      <c r="Q31">
        <f>2.0/((1/S31-1/R31)+SIGN(S31)*SQRT((1/S31-1/R31)*(1/S31-1/R31) + 4*DM31/((DM31+1)*(DM31+1))*(2*1/S31*1/R31-1/R31*1/R31)))</f>
        <v>0</v>
      </c>
      <c r="R31">
        <f>IF(LEFT(DN31,1)&lt;&gt;"0",IF(LEFT(DN31,1)="1",3.0,DO31),$D$5+$E$5*(EF31*DY31/($K$5*1000))+$F$5*(EF31*DY31/($K$5*1000))*MAX(MIN(DL31,$J$5),$I$5)*MAX(MIN(DL31,$J$5),$I$5)+$G$5*MAX(MIN(DL31,$J$5),$I$5)*(EF31*DY31/($K$5*1000))+$H$5*(EF31*DY31/($K$5*1000))*(EF31*DY31/($K$5*1000)))</f>
        <v>0</v>
      </c>
      <c r="S31">
        <f>J31*(1000-(1000*0.61365*exp(17.502*W31/(240.97+W31))/(DY31+DZ31)+DT31)/2)/(1000*0.61365*exp(17.502*W31/(240.97+W31))/(DY31+DZ31)-DT31)</f>
        <v>0</v>
      </c>
      <c r="T31">
        <f>1/((DM31+1)/(Q31/1.6)+1/(R31/1.37)) + DM31/((DM31+1)/(Q31/1.6) + DM31/(R31/1.37))</f>
        <v>0</v>
      </c>
      <c r="U31">
        <f>(DH31*DK31)</f>
        <v>0</v>
      </c>
      <c r="V31">
        <f>(EA31+(U31+2*0.95*5.67E-8*(((EA31+$B$7)+273)^4-(EA31+273)^4)-44100*J31)/(1.84*29.3*R31+8*0.95*5.67E-8*(EA31+273)^3))</f>
        <v>0</v>
      </c>
      <c r="W31">
        <f>($C$7*EB31+$D$7*EC31+$E$7*V31)</f>
        <v>0</v>
      </c>
      <c r="X31">
        <f>0.61365*exp(17.502*W31/(240.97+W31))</f>
        <v>0</v>
      </c>
      <c r="Y31">
        <f>(Z31/AA31*100)</f>
        <v>0</v>
      </c>
      <c r="Z31">
        <f>DT31*(DY31+DZ31)/1000</f>
        <v>0</v>
      </c>
      <c r="AA31">
        <f>0.61365*exp(17.502*EA31/(240.97+EA31))</f>
        <v>0</v>
      </c>
      <c r="AB31">
        <f>(X31-DT31*(DY31+DZ31)/1000)</f>
        <v>0</v>
      </c>
      <c r="AC31">
        <f>(-J31*44100)</f>
        <v>0</v>
      </c>
      <c r="AD31">
        <f>2*29.3*R31*0.92*(EA31-W31)</f>
        <v>0</v>
      </c>
      <c r="AE31">
        <f>2*0.95*5.67E-8*(((EA31+$B$7)+273)^4-(W31+273)^4)</f>
        <v>0</v>
      </c>
      <c r="AF31">
        <f>U31+AE31+AC31+AD31</f>
        <v>0</v>
      </c>
      <c r="AG31">
        <f>DX31*AU31*(DS31-DR31*(1000-AU31*DU31)/(1000-AU31*DT31))/(100*DL31)</f>
        <v>0</v>
      </c>
      <c r="AH31">
        <f>1000*DX31*AU31*(DT31-DU31)/(100*DL31*(1000-AU31*DT31))</f>
        <v>0</v>
      </c>
      <c r="AI31">
        <f>(AJ31 - AK31 - DY31*1E3/(8.314*(EA31+273.15)) * AM31/DX31 * AL31) * DX31/(100*DL31) * (1000 - DU31)/1000</f>
        <v>0</v>
      </c>
      <c r="AJ31">
        <v>305.414885120674</v>
      </c>
      <c r="AK31">
        <v>306.186787878788</v>
      </c>
      <c r="AL31">
        <v>0.00179023959422431</v>
      </c>
      <c r="AM31">
        <v>63.6618286621383</v>
      </c>
      <c r="AN31">
        <f>(AP31 - AO31 + DY31*1E3/(8.314*(EA31+273.15)) * AR31/DX31 * AQ31) * DX31/(100*DL31) * 1000/(1000 - AP31)</f>
        <v>0</v>
      </c>
      <c r="AO31">
        <v>17.6847817233182</v>
      </c>
      <c r="AP31">
        <v>17.8073381818182</v>
      </c>
      <c r="AQ31">
        <v>5.02519474224824e-05</v>
      </c>
      <c r="AR31">
        <v>105.977330154223</v>
      </c>
      <c r="AS31">
        <v>0</v>
      </c>
      <c r="AT31">
        <v>0</v>
      </c>
      <c r="AU31">
        <f>IF(AS31*$H$13&gt;=AW31,1.0,(AW31/(AW31-AS31*$H$13)))</f>
        <v>0</v>
      </c>
      <c r="AV31">
        <f>(AU31-1)*100</f>
        <v>0</v>
      </c>
      <c r="AW31">
        <f>MAX(0,($B$13+$C$13*EF31)/(1+$D$13*EF31)*DY31/(EA31+273)*$E$13)</f>
        <v>0</v>
      </c>
      <c r="AX31" t="s">
        <v>437</v>
      </c>
      <c r="AY31" t="s">
        <v>437</v>
      </c>
      <c r="AZ31">
        <v>0</v>
      </c>
      <c r="BA31">
        <v>0</v>
      </c>
      <c r="BB31">
        <f>1-AZ31/BA31</f>
        <v>0</v>
      </c>
      <c r="BC31">
        <v>0</v>
      </c>
      <c r="BD31" t="s">
        <v>437</v>
      </c>
      <c r="BE31" t="s">
        <v>437</v>
      </c>
      <c r="BF31">
        <v>0</v>
      </c>
      <c r="BG31">
        <v>0</v>
      </c>
      <c r="BH31">
        <f>1-BF31/BG31</f>
        <v>0</v>
      </c>
      <c r="BI31">
        <v>0.5</v>
      </c>
      <c r="BJ31">
        <f>DI31</f>
        <v>0</v>
      </c>
      <c r="BK31">
        <f>L31</f>
        <v>0</v>
      </c>
      <c r="BL31">
        <f>BH31*BI31*BJ31</f>
        <v>0</v>
      </c>
      <c r="BM31">
        <f>(BK31-BC31)/BJ31</f>
        <v>0</v>
      </c>
      <c r="BN31">
        <f>(BA31-BG31)/BG31</f>
        <v>0</v>
      </c>
      <c r="BO31">
        <f>AZ31/(BB31+AZ31/BG31)</f>
        <v>0</v>
      </c>
      <c r="BP31" t="s">
        <v>437</v>
      </c>
      <c r="BQ31">
        <v>0</v>
      </c>
      <c r="BR31">
        <f>IF(BQ31&lt;&gt;0, BQ31, BO31)</f>
        <v>0</v>
      </c>
      <c r="BS31">
        <f>1-BR31/BG31</f>
        <v>0</v>
      </c>
      <c r="BT31">
        <f>(BG31-BF31)/(BG31-BR31)</f>
        <v>0</v>
      </c>
      <c r="BU31">
        <f>(BA31-BG31)/(BA31-BR31)</f>
        <v>0</v>
      </c>
      <c r="BV31">
        <f>(BG31-BF31)/(BG31-AZ31)</f>
        <v>0</v>
      </c>
      <c r="BW31">
        <f>(BA31-BG31)/(BA31-AZ31)</f>
        <v>0</v>
      </c>
      <c r="BX31">
        <f>(BT31*BR31/BF31)</f>
        <v>0</v>
      </c>
      <c r="BY31">
        <f>(1-BX31)</f>
        <v>0</v>
      </c>
      <c r="DH31">
        <f>$B$11*EG31+$C$11*EH31+$F$11*ES31*(1-EV31)</f>
        <v>0</v>
      </c>
      <c r="DI31">
        <f>DH31*DJ31</f>
        <v>0</v>
      </c>
      <c r="DJ31">
        <f>($B$11*$D$9+$C$11*$D$9+$F$11*((FF31+EX31)/MAX(FF31+EX31+FG31, 0.1)*$I$9+FG31/MAX(FF31+EX31+FG31, 0.1)*$J$9))/($B$11+$C$11+$F$11)</f>
        <v>0</v>
      </c>
      <c r="DK31">
        <f>($B$11*$K$9+$C$11*$K$9+$F$11*((FF31+EX31)/MAX(FF31+EX31+FG31, 0.1)*$P$9+FG31/MAX(FF31+EX31+FG31, 0.1)*$Q$9))/($B$11+$C$11+$F$11)</f>
        <v>0</v>
      </c>
      <c r="DL31">
        <v>6</v>
      </c>
      <c r="DM31">
        <v>0.5</v>
      </c>
      <c r="DN31" t="s">
        <v>438</v>
      </c>
      <c r="DO31">
        <v>2</v>
      </c>
      <c r="DP31" t="b">
        <v>1</v>
      </c>
      <c r="DQ31">
        <v>1765300527</v>
      </c>
      <c r="DR31">
        <v>300.350466666667</v>
      </c>
      <c r="DS31">
        <v>300.012466666667</v>
      </c>
      <c r="DT31">
        <v>17.7998133333333</v>
      </c>
      <c r="DU31">
        <v>17.6814066666667</v>
      </c>
      <c r="DV31">
        <v>293.770466666667</v>
      </c>
      <c r="DW31">
        <v>17.7168133333333</v>
      </c>
      <c r="DX31">
        <v>500.017533333333</v>
      </c>
      <c r="DY31">
        <v>90.06488</v>
      </c>
      <c r="DZ31">
        <v>0.09995734</v>
      </c>
      <c r="EA31">
        <v>25.1402933333333</v>
      </c>
      <c r="EB31">
        <v>25.0147266666667</v>
      </c>
      <c r="EC31">
        <v>999.9</v>
      </c>
      <c r="ED31">
        <v>0</v>
      </c>
      <c r="EE31">
        <v>0</v>
      </c>
      <c r="EF31">
        <v>10007.376</v>
      </c>
      <c r="EG31">
        <v>0</v>
      </c>
      <c r="EH31">
        <v>13.1633733333333</v>
      </c>
      <c r="EI31">
        <v>0.722511733333333</v>
      </c>
      <c r="EJ31">
        <v>306.1858</v>
      </c>
      <c r="EK31">
        <v>305.412666666667</v>
      </c>
      <c r="EL31">
        <v>0.121187533333333</v>
      </c>
      <c r="EM31">
        <v>300.012466666667</v>
      </c>
      <c r="EN31">
        <v>17.6814066666667</v>
      </c>
      <c r="EO31">
        <v>1.60338933333333</v>
      </c>
      <c r="EP31">
        <v>1.59247333333333</v>
      </c>
      <c r="EQ31">
        <v>13.9914066666667</v>
      </c>
      <c r="ER31">
        <v>13.88618</v>
      </c>
      <c r="ES31">
        <v>799.9382</v>
      </c>
      <c r="ET31">
        <v>0.949995333333333</v>
      </c>
      <c r="EU31">
        <v>0.0500048</v>
      </c>
      <c r="EV31">
        <v>0</v>
      </c>
      <c r="EW31">
        <v>883.209133333334</v>
      </c>
      <c r="EX31">
        <v>5.00016</v>
      </c>
      <c r="EY31">
        <v>6828.90866666667</v>
      </c>
      <c r="EZ31">
        <v>7194.10533333333</v>
      </c>
      <c r="FA31">
        <v>39.5662</v>
      </c>
      <c r="FB31">
        <v>42.437</v>
      </c>
      <c r="FC31">
        <v>41.062</v>
      </c>
      <c r="FD31">
        <v>42.3956666666667</v>
      </c>
      <c r="FE31">
        <v>42.25</v>
      </c>
      <c r="FF31">
        <v>755.187333333333</v>
      </c>
      <c r="FG31">
        <v>39.75</v>
      </c>
      <c r="FH31">
        <v>0</v>
      </c>
      <c r="FI31">
        <v>1765300535.5</v>
      </c>
      <c r="FJ31">
        <v>0</v>
      </c>
      <c r="FK31">
        <v>883.15864</v>
      </c>
      <c r="FL31">
        <v>-2.69276922715338</v>
      </c>
      <c r="FM31">
        <v>-25.9169230350415</v>
      </c>
      <c r="FN31">
        <v>6828.5716</v>
      </c>
      <c r="FO31">
        <v>15</v>
      </c>
      <c r="FP31">
        <v>1765300562</v>
      </c>
      <c r="FQ31" t="s">
        <v>486</v>
      </c>
      <c r="FR31">
        <v>1765300562</v>
      </c>
      <c r="FS31">
        <v>1765300553</v>
      </c>
      <c r="FT31">
        <v>15</v>
      </c>
      <c r="FU31">
        <v>-0.383</v>
      </c>
      <c r="FV31">
        <v>-0.001</v>
      </c>
      <c r="FW31">
        <v>6.58</v>
      </c>
      <c r="FX31">
        <v>0.083</v>
      </c>
      <c r="FY31">
        <v>300</v>
      </c>
      <c r="FZ31">
        <v>18</v>
      </c>
      <c r="GA31">
        <v>0.52</v>
      </c>
      <c r="GB31">
        <v>0.23</v>
      </c>
      <c r="GC31">
        <v>0.741705</v>
      </c>
      <c r="GD31">
        <v>-0.342034363636361</v>
      </c>
      <c r="GE31">
        <v>0.0524231293709906</v>
      </c>
      <c r="GF31">
        <v>1</v>
      </c>
      <c r="GG31">
        <v>883.444764705882</v>
      </c>
      <c r="GH31">
        <v>-3.21176470227174</v>
      </c>
      <c r="GI31">
        <v>0.381853148461051</v>
      </c>
      <c r="GJ31">
        <v>-1</v>
      </c>
      <c r="GK31">
        <v>0.121881571428571</v>
      </c>
      <c r="GL31">
        <v>-0.0121215584415586</v>
      </c>
      <c r="GM31">
        <v>0.0014110242335818</v>
      </c>
      <c r="GN31">
        <v>1</v>
      </c>
      <c r="GO31">
        <v>2</v>
      </c>
      <c r="GP31">
        <v>2</v>
      </c>
      <c r="GQ31" t="s">
        <v>440</v>
      </c>
      <c r="GR31">
        <v>3.12484</v>
      </c>
      <c r="GS31">
        <v>2.72547</v>
      </c>
      <c r="GT31">
        <v>0.0677433</v>
      </c>
      <c r="GU31">
        <v>0.0689315</v>
      </c>
      <c r="GV31">
        <v>0.0825325</v>
      </c>
      <c r="GW31">
        <v>0.0820762</v>
      </c>
      <c r="GX31">
        <v>24712.6</v>
      </c>
      <c r="GY31">
        <v>22771.9</v>
      </c>
      <c r="GZ31">
        <v>23696.9</v>
      </c>
      <c r="HA31">
        <v>23804.9</v>
      </c>
      <c r="HB31">
        <v>37013.8</v>
      </c>
      <c r="HC31">
        <v>36120.8</v>
      </c>
      <c r="HD31">
        <v>42674.3</v>
      </c>
      <c r="HE31">
        <v>42392.4</v>
      </c>
      <c r="HF31">
        <v>1.93668</v>
      </c>
      <c r="HG31">
        <v>1.84197</v>
      </c>
      <c r="HH31">
        <v>0.109151</v>
      </c>
      <c r="HI31">
        <v>0</v>
      </c>
      <c r="HJ31">
        <v>23.2193</v>
      </c>
      <c r="HK31">
        <v>999.9</v>
      </c>
      <c r="HL31">
        <v>46.826</v>
      </c>
      <c r="HM31">
        <v>29.608</v>
      </c>
      <c r="HN31">
        <v>21.6588</v>
      </c>
      <c r="HO31">
        <v>54.4103</v>
      </c>
      <c r="HP31">
        <v>47.1154</v>
      </c>
      <c r="HQ31">
        <v>1</v>
      </c>
      <c r="HR31">
        <v>-0.123763</v>
      </c>
      <c r="HS31">
        <v>1.34492</v>
      </c>
      <c r="HT31">
        <v>20.2278</v>
      </c>
      <c r="HU31">
        <v>5.23286</v>
      </c>
      <c r="HV31">
        <v>11.992</v>
      </c>
      <c r="HW31">
        <v>4.9558</v>
      </c>
      <c r="HX31">
        <v>3.304</v>
      </c>
      <c r="HY31">
        <v>999.9</v>
      </c>
      <c r="HZ31">
        <v>9999</v>
      </c>
      <c r="IA31">
        <v>9999</v>
      </c>
      <c r="IB31">
        <v>9999</v>
      </c>
      <c r="IC31">
        <v>1.86905</v>
      </c>
      <c r="ID31">
        <v>1.86478</v>
      </c>
      <c r="IE31">
        <v>1.87232</v>
      </c>
      <c r="IF31">
        <v>1.86337</v>
      </c>
      <c r="IG31">
        <v>1.86266</v>
      </c>
      <c r="IH31">
        <v>1.86906</v>
      </c>
      <c r="II31">
        <v>1.85928</v>
      </c>
      <c r="IJ31">
        <v>1.86558</v>
      </c>
      <c r="IK31">
        <v>5</v>
      </c>
      <c r="IL31">
        <v>0</v>
      </c>
      <c r="IM31">
        <v>0</v>
      </c>
      <c r="IN31">
        <v>0</v>
      </c>
      <c r="IO31" t="s">
        <v>441</v>
      </c>
      <c r="IP31" t="s">
        <v>442</v>
      </c>
      <c r="IQ31" t="s">
        <v>443</v>
      </c>
      <c r="IR31" t="s">
        <v>443</v>
      </c>
      <c r="IS31" t="s">
        <v>443</v>
      </c>
      <c r="IT31" t="s">
        <v>443</v>
      </c>
      <c r="IU31">
        <v>0</v>
      </c>
      <c r="IV31">
        <v>100</v>
      </c>
      <c r="IW31">
        <v>100</v>
      </c>
      <c r="IX31">
        <v>6.58</v>
      </c>
      <c r="IY31">
        <v>0.083</v>
      </c>
      <c r="IZ31">
        <v>5.3812675209129</v>
      </c>
      <c r="JA31">
        <v>0.0062698613543794</v>
      </c>
      <c r="JB31">
        <v>-3.23243345529816e-06</v>
      </c>
      <c r="JC31">
        <v>8.00506428382295e-10</v>
      </c>
      <c r="JD31">
        <v>-0.0733385871760449</v>
      </c>
      <c r="JE31">
        <v>-0.0018464610107002</v>
      </c>
      <c r="JF31">
        <v>0.000796540623429801</v>
      </c>
      <c r="JG31">
        <v>-1.04619914107352e-05</v>
      </c>
      <c r="JH31">
        <v>-0</v>
      </c>
      <c r="JI31">
        <v>2101</v>
      </c>
      <c r="JJ31">
        <v>1</v>
      </c>
      <c r="JK31">
        <v>23</v>
      </c>
      <c r="JL31">
        <v>1.3</v>
      </c>
      <c r="JM31">
        <v>1.3</v>
      </c>
      <c r="JN31">
        <v>0.806885</v>
      </c>
      <c r="JO31">
        <v>2.36328</v>
      </c>
      <c r="JP31">
        <v>1.4978</v>
      </c>
      <c r="JQ31">
        <v>2.33398</v>
      </c>
      <c r="JR31">
        <v>1.54419</v>
      </c>
      <c r="JS31">
        <v>2.34253</v>
      </c>
      <c r="JT31">
        <v>37.53</v>
      </c>
      <c r="JU31">
        <v>24.1488</v>
      </c>
      <c r="JV31">
        <v>18</v>
      </c>
      <c r="JW31">
        <v>548.31</v>
      </c>
      <c r="JX31">
        <v>431.369</v>
      </c>
      <c r="JY31">
        <v>21.6965</v>
      </c>
      <c r="JZ31">
        <v>25.8703</v>
      </c>
      <c r="KA31">
        <v>30.0005</v>
      </c>
      <c r="KB31">
        <v>25.8434</v>
      </c>
      <c r="KC31">
        <v>25.8626</v>
      </c>
      <c r="KD31">
        <v>16.1961</v>
      </c>
      <c r="KE31">
        <v>30.7303</v>
      </c>
      <c r="KF31">
        <v>88.9379</v>
      </c>
      <c r="KG31">
        <v>21.6909</v>
      </c>
      <c r="KH31">
        <v>300</v>
      </c>
      <c r="KI31">
        <v>17.6624</v>
      </c>
      <c r="KJ31">
        <v>95.6821</v>
      </c>
      <c r="KK31">
        <v>98.8474</v>
      </c>
    </row>
    <row r="32" spans="1:297">
      <c r="A32">
        <v>16</v>
      </c>
      <c r="B32">
        <v>1765300637</v>
      </c>
      <c r="C32">
        <v>2688</v>
      </c>
      <c r="D32" t="s">
        <v>487</v>
      </c>
      <c r="E32" t="s">
        <v>488</v>
      </c>
      <c r="F32">
        <v>5</v>
      </c>
      <c r="G32" t="s">
        <v>482</v>
      </c>
      <c r="H32" t="s">
        <v>436</v>
      </c>
      <c r="I32">
        <v>1765300628.5</v>
      </c>
      <c r="J32">
        <f>(K32)/1000</f>
        <v>0</v>
      </c>
      <c r="K32">
        <f>IF(DP32, AN32, AH32)</f>
        <v>0</v>
      </c>
      <c r="L32">
        <f>IF(DP32, AI32, AG32)</f>
        <v>0</v>
      </c>
      <c r="M32">
        <f>DR32 - IF(AU32&gt;1, L32*DL32*100.0/(AW32), 0)</f>
        <v>0</v>
      </c>
      <c r="N32">
        <f>((T32-J32/2)*M32-L32)/(T32+J32/2)</f>
        <v>0</v>
      </c>
      <c r="O32">
        <f>N32*(DY32+DZ32)/1000.0</f>
        <v>0</v>
      </c>
      <c r="P32">
        <f>(DR32 - IF(AU32&gt;1, L32*DL32*100.0/(AW32), 0))*(DY32+DZ32)/1000.0</f>
        <v>0</v>
      </c>
      <c r="Q32">
        <f>2.0/((1/S32-1/R32)+SIGN(S32)*SQRT((1/S32-1/R32)*(1/S32-1/R32) + 4*DM32/((DM32+1)*(DM32+1))*(2*1/S32*1/R32-1/R32*1/R32)))</f>
        <v>0</v>
      </c>
      <c r="R32">
        <f>IF(LEFT(DN32,1)&lt;&gt;"0",IF(LEFT(DN32,1)="1",3.0,DO32),$D$5+$E$5*(EF32*DY32/($K$5*1000))+$F$5*(EF32*DY32/($K$5*1000))*MAX(MIN(DL32,$J$5),$I$5)*MAX(MIN(DL32,$J$5),$I$5)+$G$5*MAX(MIN(DL32,$J$5),$I$5)*(EF32*DY32/($K$5*1000))+$H$5*(EF32*DY32/($K$5*1000))*(EF32*DY32/($K$5*1000)))</f>
        <v>0</v>
      </c>
      <c r="S32">
        <f>J32*(1000-(1000*0.61365*exp(17.502*W32/(240.97+W32))/(DY32+DZ32)+DT32)/2)/(1000*0.61365*exp(17.502*W32/(240.97+W32))/(DY32+DZ32)-DT32)</f>
        <v>0</v>
      </c>
      <c r="T32">
        <f>1/((DM32+1)/(Q32/1.6)+1/(R32/1.37)) + DM32/((DM32+1)/(Q32/1.6) + DM32/(R32/1.37))</f>
        <v>0</v>
      </c>
      <c r="U32">
        <f>(DH32*DK32)</f>
        <v>0</v>
      </c>
      <c r="V32">
        <f>(EA32+(U32+2*0.95*5.67E-8*(((EA32+$B$7)+273)^4-(EA32+273)^4)-44100*J32)/(1.84*29.3*R32+8*0.95*5.67E-8*(EA32+273)^3))</f>
        <v>0</v>
      </c>
      <c r="W32">
        <f>($C$7*EB32+$D$7*EC32+$E$7*V32)</f>
        <v>0</v>
      </c>
      <c r="X32">
        <f>0.61365*exp(17.502*W32/(240.97+W32))</f>
        <v>0</v>
      </c>
      <c r="Y32">
        <f>(Z32/AA32*100)</f>
        <v>0</v>
      </c>
      <c r="Z32">
        <f>DT32*(DY32+DZ32)/1000</f>
        <v>0</v>
      </c>
      <c r="AA32">
        <f>0.61365*exp(17.502*EA32/(240.97+EA32))</f>
        <v>0</v>
      </c>
      <c r="AB32">
        <f>(X32-DT32*(DY32+DZ32)/1000)</f>
        <v>0</v>
      </c>
      <c r="AC32">
        <f>(-J32*44100)</f>
        <v>0</v>
      </c>
      <c r="AD32">
        <f>2*29.3*R32*0.92*(EA32-W32)</f>
        <v>0</v>
      </c>
      <c r="AE32">
        <f>2*0.95*5.67E-8*(((EA32+$B$7)+273)^4-(W32+273)^4)</f>
        <v>0</v>
      </c>
      <c r="AF32">
        <f>U32+AE32+AC32+AD32</f>
        <v>0</v>
      </c>
      <c r="AG32">
        <f>DX32*AU32*(DS32-DR32*(1000-AU32*DU32)/(1000-AU32*DT32))/(100*DL32)</f>
        <v>0</v>
      </c>
      <c r="AH32">
        <f>1000*DX32*AU32*(DT32-DU32)/(100*DL32*(1000-AU32*DT32))</f>
        <v>0</v>
      </c>
      <c r="AI32">
        <f>(AJ32 - AK32 - DY32*1E3/(8.314*(EA32+273.15)) * AM32/DX32 * AL32) * DX32/(100*DL32) * (1000 - DU32)/1000</f>
        <v>0</v>
      </c>
      <c r="AJ32">
        <v>203.603191269333</v>
      </c>
      <c r="AK32">
        <v>204.122448484848</v>
      </c>
      <c r="AL32">
        <v>-0.00117421836950514</v>
      </c>
      <c r="AM32">
        <v>64.1977765892216</v>
      </c>
      <c r="AN32">
        <f>(AP32 - AO32 + DY32*1E3/(8.314*(EA32+273.15)) * AR32/DX32 * AQ32) * DX32/(100*DL32) * 1000/(1000 - AP32)</f>
        <v>0</v>
      </c>
      <c r="AO32">
        <v>17.6632206406574</v>
      </c>
      <c r="AP32">
        <v>17.7856125874126</v>
      </c>
      <c r="AQ32">
        <v>-7.01636121887093e-05</v>
      </c>
      <c r="AR32">
        <v>103.677539225769</v>
      </c>
      <c r="AS32">
        <v>0</v>
      </c>
      <c r="AT32">
        <v>0</v>
      </c>
      <c r="AU32">
        <f>IF(AS32*$H$13&gt;=AW32,1.0,(AW32/(AW32-AS32*$H$13)))</f>
        <v>0</v>
      </c>
      <c r="AV32">
        <f>(AU32-1)*100</f>
        <v>0</v>
      </c>
      <c r="AW32">
        <f>MAX(0,($B$13+$C$13*EF32)/(1+$D$13*EF32)*DY32/(EA32+273)*$E$13)</f>
        <v>0</v>
      </c>
      <c r="AX32" t="s">
        <v>437</v>
      </c>
      <c r="AY32" t="s">
        <v>437</v>
      </c>
      <c r="AZ32">
        <v>0</v>
      </c>
      <c r="BA32">
        <v>0</v>
      </c>
      <c r="BB32">
        <f>1-AZ32/BA32</f>
        <v>0</v>
      </c>
      <c r="BC32">
        <v>0</v>
      </c>
      <c r="BD32" t="s">
        <v>437</v>
      </c>
      <c r="BE32" t="s">
        <v>437</v>
      </c>
      <c r="BF32">
        <v>0</v>
      </c>
      <c r="BG32">
        <v>0</v>
      </c>
      <c r="BH32">
        <f>1-BF32/BG32</f>
        <v>0</v>
      </c>
      <c r="BI32">
        <v>0.5</v>
      </c>
      <c r="BJ32">
        <f>DI32</f>
        <v>0</v>
      </c>
      <c r="BK32">
        <f>L32</f>
        <v>0</v>
      </c>
      <c r="BL32">
        <f>BH32*BI32*BJ32</f>
        <v>0</v>
      </c>
      <c r="BM32">
        <f>(BK32-BC32)/BJ32</f>
        <v>0</v>
      </c>
      <c r="BN32">
        <f>(BA32-BG32)/BG32</f>
        <v>0</v>
      </c>
      <c r="BO32">
        <f>AZ32/(BB32+AZ32/BG32)</f>
        <v>0</v>
      </c>
      <c r="BP32" t="s">
        <v>437</v>
      </c>
      <c r="BQ32">
        <v>0</v>
      </c>
      <c r="BR32">
        <f>IF(BQ32&lt;&gt;0, BQ32, BO32)</f>
        <v>0</v>
      </c>
      <c r="BS32">
        <f>1-BR32/BG32</f>
        <v>0</v>
      </c>
      <c r="BT32">
        <f>(BG32-BF32)/(BG32-BR32)</f>
        <v>0</v>
      </c>
      <c r="BU32">
        <f>(BA32-BG32)/(BA32-BR32)</f>
        <v>0</v>
      </c>
      <c r="BV32">
        <f>(BG32-BF32)/(BG32-AZ32)</f>
        <v>0</v>
      </c>
      <c r="BW32">
        <f>(BA32-BG32)/(BA32-AZ32)</f>
        <v>0</v>
      </c>
      <c r="BX32">
        <f>(BT32*BR32/BF32)</f>
        <v>0</v>
      </c>
      <c r="BY32">
        <f>(1-BX32)</f>
        <v>0</v>
      </c>
      <c r="DH32">
        <f>$B$11*EG32+$C$11*EH32+$F$11*ES32*(1-EV32)</f>
        <v>0</v>
      </c>
      <c r="DI32">
        <f>DH32*DJ32</f>
        <v>0</v>
      </c>
      <c r="DJ32">
        <f>($B$11*$D$9+$C$11*$D$9+$F$11*((FF32+EX32)/MAX(FF32+EX32+FG32, 0.1)*$I$9+FG32/MAX(FF32+EX32+FG32, 0.1)*$J$9))/($B$11+$C$11+$F$11)</f>
        <v>0</v>
      </c>
      <c r="DK32">
        <f>($B$11*$K$9+$C$11*$K$9+$F$11*((FF32+EX32)/MAX(FF32+EX32+FG32, 0.1)*$P$9+FG32/MAX(FF32+EX32+FG32, 0.1)*$Q$9))/($B$11+$C$11+$F$11)</f>
        <v>0</v>
      </c>
      <c r="DL32">
        <v>6</v>
      </c>
      <c r="DM32">
        <v>0.5</v>
      </c>
      <c r="DN32" t="s">
        <v>438</v>
      </c>
      <c r="DO32">
        <v>2</v>
      </c>
      <c r="DP32" t="b">
        <v>1</v>
      </c>
      <c r="DQ32">
        <v>1765300628.5</v>
      </c>
      <c r="DR32">
        <v>200.43075</v>
      </c>
      <c r="DS32">
        <v>199.9955</v>
      </c>
      <c r="DT32">
        <v>17.79261875</v>
      </c>
      <c r="DU32">
        <v>17.66228125</v>
      </c>
      <c r="DV32">
        <v>194.40675</v>
      </c>
      <c r="DW32">
        <v>17.71061875</v>
      </c>
      <c r="DX32">
        <v>499.9946875</v>
      </c>
      <c r="DY32">
        <v>90.05015625</v>
      </c>
      <c r="DZ32">
        <v>0.09997238125</v>
      </c>
      <c r="EA32">
        <v>25.1293625</v>
      </c>
      <c r="EB32">
        <v>25.0362</v>
      </c>
      <c r="EC32">
        <v>999.9</v>
      </c>
      <c r="ED32">
        <v>0</v>
      </c>
      <c r="EE32">
        <v>0</v>
      </c>
      <c r="EF32">
        <v>9984.483125</v>
      </c>
      <c r="EG32">
        <v>0</v>
      </c>
      <c r="EH32">
        <v>13.1719875</v>
      </c>
      <c r="EI32">
        <v>0.512379625</v>
      </c>
      <c r="EJ32">
        <v>204.140625</v>
      </c>
      <c r="EK32">
        <v>203.591375</v>
      </c>
      <c r="EL32">
        <v>0.13259025</v>
      </c>
      <c r="EM32">
        <v>199.9955</v>
      </c>
      <c r="EN32">
        <v>17.66228125</v>
      </c>
      <c r="EO32">
        <v>1.60243125</v>
      </c>
      <c r="EP32">
        <v>1.5904925</v>
      </c>
      <c r="EQ32">
        <v>13.9822</v>
      </c>
      <c r="ER32">
        <v>13.8669875</v>
      </c>
      <c r="ES32">
        <v>800.0075625</v>
      </c>
      <c r="ET32">
        <v>0.949991875</v>
      </c>
      <c r="EU32">
        <v>0.05000831875</v>
      </c>
      <c r="EV32">
        <v>0</v>
      </c>
      <c r="EW32">
        <v>878.2678125</v>
      </c>
      <c r="EX32">
        <v>5.00016</v>
      </c>
      <c r="EY32">
        <v>6792.418125</v>
      </c>
      <c r="EZ32">
        <v>7194.725625</v>
      </c>
      <c r="FA32">
        <v>39.687</v>
      </c>
      <c r="FB32">
        <v>42.562</v>
      </c>
      <c r="FC32">
        <v>41.17925</v>
      </c>
      <c r="FD32">
        <v>42.562</v>
      </c>
      <c r="FE32">
        <v>42.351375</v>
      </c>
      <c r="FF32">
        <v>755.2525</v>
      </c>
      <c r="FG32">
        <v>39.758125</v>
      </c>
      <c r="FH32">
        <v>0</v>
      </c>
      <c r="FI32">
        <v>1765300637.5</v>
      </c>
      <c r="FJ32">
        <v>0</v>
      </c>
      <c r="FK32">
        <v>878.1698</v>
      </c>
      <c r="FL32">
        <v>-3.65984614329751</v>
      </c>
      <c r="FM32">
        <v>-22.7130769194611</v>
      </c>
      <c r="FN32">
        <v>6791.906</v>
      </c>
      <c r="FO32">
        <v>15</v>
      </c>
      <c r="FP32">
        <v>1765300665</v>
      </c>
      <c r="FQ32" t="s">
        <v>489</v>
      </c>
      <c r="FR32">
        <v>1765300665</v>
      </c>
      <c r="FS32">
        <v>1765300656</v>
      </c>
      <c r="FT32">
        <v>16</v>
      </c>
      <c r="FU32">
        <v>-0.075</v>
      </c>
      <c r="FV32">
        <v>-0</v>
      </c>
      <c r="FW32">
        <v>6.024</v>
      </c>
      <c r="FX32">
        <v>0.082</v>
      </c>
      <c r="FY32">
        <v>200</v>
      </c>
      <c r="FZ32">
        <v>18</v>
      </c>
      <c r="GA32">
        <v>0.26</v>
      </c>
      <c r="GB32">
        <v>0.22</v>
      </c>
      <c r="GC32">
        <v>0.532768571428571</v>
      </c>
      <c r="GD32">
        <v>-0.340135012987013</v>
      </c>
      <c r="GE32">
        <v>0.0417969386969354</v>
      </c>
      <c r="GF32">
        <v>1</v>
      </c>
      <c r="GG32">
        <v>878.425676470588</v>
      </c>
      <c r="GH32">
        <v>-3.14180289960449</v>
      </c>
      <c r="GI32">
        <v>0.369995367267351</v>
      </c>
      <c r="GJ32">
        <v>-1</v>
      </c>
      <c r="GK32">
        <v>0.131841904761905</v>
      </c>
      <c r="GL32">
        <v>-0.0143699999999999</v>
      </c>
      <c r="GM32">
        <v>0.00709060118953428</v>
      </c>
      <c r="GN32">
        <v>1</v>
      </c>
      <c r="GO32">
        <v>2</v>
      </c>
      <c r="GP32">
        <v>2</v>
      </c>
      <c r="GQ32" t="s">
        <v>440</v>
      </c>
      <c r="GR32">
        <v>3.12484</v>
      </c>
      <c r="GS32">
        <v>2.72578</v>
      </c>
      <c r="GT32">
        <v>0.0475287</v>
      </c>
      <c r="GU32">
        <v>0.0487921</v>
      </c>
      <c r="GV32">
        <v>0.0824303</v>
      </c>
      <c r="GW32">
        <v>0.0819721</v>
      </c>
      <c r="GX32">
        <v>25237</v>
      </c>
      <c r="GY32">
        <v>23256.9</v>
      </c>
      <c r="GZ32">
        <v>23686.8</v>
      </c>
      <c r="HA32">
        <v>23797.8</v>
      </c>
      <c r="HB32">
        <v>37002</v>
      </c>
      <c r="HC32">
        <v>36113.5</v>
      </c>
      <c r="HD32">
        <v>42658</v>
      </c>
      <c r="HE32">
        <v>42381</v>
      </c>
      <c r="HF32">
        <v>1.93485</v>
      </c>
      <c r="HG32">
        <v>1.83895</v>
      </c>
      <c r="HH32">
        <v>0.106134</v>
      </c>
      <c r="HI32">
        <v>0</v>
      </c>
      <c r="HJ32">
        <v>23.2672</v>
      </c>
      <c r="HK32">
        <v>999.9</v>
      </c>
      <c r="HL32">
        <v>46.777</v>
      </c>
      <c r="HM32">
        <v>29.658</v>
      </c>
      <c r="HN32">
        <v>21.7014</v>
      </c>
      <c r="HO32">
        <v>54.9203</v>
      </c>
      <c r="HP32">
        <v>47.1795</v>
      </c>
      <c r="HQ32">
        <v>1</v>
      </c>
      <c r="HR32">
        <v>-0.111397</v>
      </c>
      <c r="HS32">
        <v>1.61556</v>
      </c>
      <c r="HT32">
        <v>20.2252</v>
      </c>
      <c r="HU32">
        <v>5.23481</v>
      </c>
      <c r="HV32">
        <v>11.992</v>
      </c>
      <c r="HW32">
        <v>4.9572</v>
      </c>
      <c r="HX32">
        <v>3.304</v>
      </c>
      <c r="HY32">
        <v>999.9</v>
      </c>
      <c r="HZ32">
        <v>9999</v>
      </c>
      <c r="IA32">
        <v>9999</v>
      </c>
      <c r="IB32">
        <v>9999</v>
      </c>
      <c r="IC32">
        <v>1.86905</v>
      </c>
      <c r="ID32">
        <v>1.86478</v>
      </c>
      <c r="IE32">
        <v>1.87237</v>
      </c>
      <c r="IF32">
        <v>1.86339</v>
      </c>
      <c r="IG32">
        <v>1.86273</v>
      </c>
      <c r="IH32">
        <v>1.86905</v>
      </c>
      <c r="II32">
        <v>1.85929</v>
      </c>
      <c r="IJ32">
        <v>1.86557</v>
      </c>
      <c r="IK32">
        <v>5</v>
      </c>
      <c r="IL32">
        <v>0</v>
      </c>
      <c r="IM32">
        <v>0</v>
      </c>
      <c r="IN32">
        <v>0</v>
      </c>
      <c r="IO32" t="s">
        <v>441</v>
      </c>
      <c r="IP32" t="s">
        <v>442</v>
      </c>
      <c r="IQ32" t="s">
        <v>443</v>
      </c>
      <c r="IR32" t="s">
        <v>443</v>
      </c>
      <c r="IS32" t="s">
        <v>443</v>
      </c>
      <c r="IT32" t="s">
        <v>443</v>
      </c>
      <c r="IU32">
        <v>0</v>
      </c>
      <c r="IV32">
        <v>100</v>
      </c>
      <c r="IW32">
        <v>100</v>
      </c>
      <c r="IX32">
        <v>6.024</v>
      </c>
      <c r="IY32">
        <v>0.082</v>
      </c>
      <c r="IZ32">
        <v>4.99849509009922</v>
      </c>
      <c r="JA32">
        <v>0.0062698613543794</v>
      </c>
      <c r="JB32">
        <v>-3.23243345529816e-06</v>
      </c>
      <c r="JC32">
        <v>8.00506428382295e-10</v>
      </c>
      <c r="JD32">
        <v>-0.0747661238567115</v>
      </c>
      <c r="JE32">
        <v>-0.0018464610107002</v>
      </c>
      <c r="JF32">
        <v>0.000796540623429801</v>
      </c>
      <c r="JG32">
        <v>-1.04619914107352e-05</v>
      </c>
      <c r="JH32">
        <v>-0</v>
      </c>
      <c r="JI32">
        <v>2101</v>
      </c>
      <c r="JJ32">
        <v>1</v>
      </c>
      <c r="JK32">
        <v>23</v>
      </c>
      <c r="JL32">
        <v>1.2</v>
      </c>
      <c r="JM32">
        <v>1.4</v>
      </c>
      <c r="JN32">
        <v>0.595703</v>
      </c>
      <c r="JO32">
        <v>2.39868</v>
      </c>
      <c r="JP32">
        <v>1.49902</v>
      </c>
      <c r="JQ32">
        <v>2.33398</v>
      </c>
      <c r="JR32">
        <v>1.54419</v>
      </c>
      <c r="JS32">
        <v>2.26074</v>
      </c>
      <c r="JT32">
        <v>37.6022</v>
      </c>
      <c r="JU32">
        <v>24.14</v>
      </c>
      <c r="JV32">
        <v>18</v>
      </c>
      <c r="JW32">
        <v>547.945</v>
      </c>
      <c r="JX32">
        <v>430.278</v>
      </c>
      <c r="JY32">
        <v>21.5313</v>
      </c>
      <c r="JZ32">
        <v>25.999</v>
      </c>
      <c r="KA32">
        <v>30.0007</v>
      </c>
      <c r="KB32">
        <v>25.9341</v>
      </c>
      <c r="KC32">
        <v>25.9499</v>
      </c>
      <c r="KD32">
        <v>11.9608</v>
      </c>
      <c r="KE32">
        <v>31.0058</v>
      </c>
      <c r="KF32">
        <v>88.5665</v>
      </c>
      <c r="KG32">
        <v>21.5213</v>
      </c>
      <c r="KH32">
        <v>200</v>
      </c>
      <c r="KI32">
        <v>17.6084</v>
      </c>
      <c r="KJ32">
        <v>95.6439</v>
      </c>
      <c r="KK32">
        <v>98.8199</v>
      </c>
    </row>
    <row r="33" spans="1:297">
      <c r="A33">
        <v>17</v>
      </c>
      <c r="B33">
        <v>1765300736</v>
      </c>
      <c r="C33">
        <v>2787</v>
      </c>
      <c r="D33" t="s">
        <v>490</v>
      </c>
      <c r="E33" t="s">
        <v>491</v>
      </c>
      <c r="F33">
        <v>5</v>
      </c>
      <c r="G33" t="s">
        <v>482</v>
      </c>
      <c r="H33" t="s">
        <v>436</v>
      </c>
      <c r="I33">
        <v>1765300727.5</v>
      </c>
      <c r="J33">
        <f>(K33)/1000</f>
        <v>0</v>
      </c>
      <c r="K33">
        <f>IF(DP33, AN33, AH33)</f>
        <v>0</v>
      </c>
      <c r="L33">
        <f>IF(DP33, AI33, AG33)</f>
        <v>0</v>
      </c>
      <c r="M33">
        <f>DR33 - IF(AU33&gt;1, L33*DL33*100.0/(AW33), 0)</f>
        <v>0</v>
      </c>
      <c r="N33">
        <f>((T33-J33/2)*M33-L33)/(T33+J33/2)</f>
        <v>0</v>
      </c>
      <c r="O33">
        <f>N33*(DY33+DZ33)/1000.0</f>
        <v>0</v>
      </c>
      <c r="P33">
        <f>(DR33 - IF(AU33&gt;1, L33*DL33*100.0/(AW33), 0))*(DY33+DZ33)/1000.0</f>
        <v>0</v>
      </c>
      <c r="Q33">
        <f>2.0/((1/S33-1/R33)+SIGN(S33)*SQRT((1/S33-1/R33)*(1/S33-1/R33) + 4*DM33/((DM33+1)*(DM33+1))*(2*1/S33*1/R33-1/R33*1/R33)))</f>
        <v>0</v>
      </c>
      <c r="R33">
        <f>IF(LEFT(DN33,1)&lt;&gt;"0",IF(LEFT(DN33,1)="1",3.0,DO33),$D$5+$E$5*(EF33*DY33/($K$5*1000))+$F$5*(EF33*DY33/($K$5*1000))*MAX(MIN(DL33,$J$5),$I$5)*MAX(MIN(DL33,$J$5),$I$5)+$G$5*MAX(MIN(DL33,$J$5),$I$5)*(EF33*DY33/($K$5*1000))+$H$5*(EF33*DY33/($K$5*1000))*(EF33*DY33/($K$5*1000)))</f>
        <v>0</v>
      </c>
      <c r="S33">
        <f>J33*(1000-(1000*0.61365*exp(17.502*W33/(240.97+W33))/(DY33+DZ33)+DT33)/2)/(1000*0.61365*exp(17.502*W33/(240.97+W33))/(DY33+DZ33)-DT33)</f>
        <v>0</v>
      </c>
      <c r="T33">
        <f>1/((DM33+1)/(Q33/1.6)+1/(R33/1.37)) + DM33/((DM33+1)/(Q33/1.6) + DM33/(R33/1.37))</f>
        <v>0</v>
      </c>
      <c r="U33">
        <f>(DH33*DK33)</f>
        <v>0</v>
      </c>
      <c r="V33">
        <f>(EA33+(U33+2*0.95*5.67E-8*(((EA33+$B$7)+273)^4-(EA33+273)^4)-44100*J33)/(1.84*29.3*R33+8*0.95*5.67E-8*(EA33+273)^3))</f>
        <v>0</v>
      </c>
      <c r="W33">
        <f>($C$7*EB33+$D$7*EC33+$E$7*V33)</f>
        <v>0</v>
      </c>
      <c r="X33">
        <f>0.61365*exp(17.502*W33/(240.97+W33))</f>
        <v>0</v>
      </c>
      <c r="Y33">
        <f>(Z33/AA33*100)</f>
        <v>0</v>
      </c>
      <c r="Z33">
        <f>DT33*(DY33+DZ33)/1000</f>
        <v>0</v>
      </c>
      <c r="AA33">
        <f>0.61365*exp(17.502*EA33/(240.97+EA33))</f>
        <v>0</v>
      </c>
      <c r="AB33">
        <f>(X33-DT33*(DY33+DZ33)/1000)</f>
        <v>0</v>
      </c>
      <c r="AC33">
        <f>(-J33*44100)</f>
        <v>0</v>
      </c>
      <c r="AD33">
        <f>2*29.3*R33*0.92*(EA33-W33)</f>
        <v>0</v>
      </c>
      <c r="AE33">
        <f>2*0.95*5.67E-8*(((EA33+$B$7)+273)^4-(W33+273)^4)</f>
        <v>0</v>
      </c>
      <c r="AF33">
        <f>U33+AE33+AC33+AD33</f>
        <v>0</v>
      </c>
      <c r="AG33">
        <f>DX33*AU33*(DS33-DR33*(1000-AU33*DU33)/(1000-AU33*DT33))/(100*DL33)</f>
        <v>0</v>
      </c>
      <c r="AH33">
        <f>1000*DX33*AU33*(DT33-DU33)/(100*DL33*(1000-AU33*DT33))</f>
        <v>0</v>
      </c>
      <c r="AI33">
        <f>(AJ33 - AK33 - DY33*1E3/(8.314*(EA33+273.15)) * AM33/DX33 * AL33) * DX33/(100*DL33) * (1000 - DU33)/1000</f>
        <v>0</v>
      </c>
      <c r="AJ33">
        <v>101.805393553488</v>
      </c>
      <c r="AK33">
        <v>102.109</v>
      </c>
      <c r="AL33">
        <v>-0.00355454583728509</v>
      </c>
      <c r="AM33">
        <v>64.2976489332018</v>
      </c>
      <c r="AN33">
        <f>(AP33 - AO33 + DY33*1E3/(8.314*(EA33+273.15)) * AR33/DX33 * AQ33) * DX33/(100*DL33) * 1000/(1000 - AP33)</f>
        <v>0</v>
      </c>
      <c r="AO33">
        <v>17.6254238223563</v>
      </c>
      <c r="AP33">
        <v>17.7555839160839</v>
      </c>
      <c r="AQ33">
        <v>5.49033117142057e-05</v>
      </c>
      <c r="AR33">
        <v>103.168969491691</v>
      </c>
      <c r="AS33">
        <v>0</v>
      </c>
      <c r="AT33">
        <v>0</v>
      </c>
      <c r="AU33">
        <f>IF(AS33*$H$13&gt;=AW33,1.0,(AW33/(AW33-AS33*$H$13)))</f>
        <v>0</v>
      </c>
      <c r="AV33">
        <f>(AU33-1)*100</f>
        <v>0</v>
      </c>
      <c r="AW33">
        <f>MAX(0,($B$13+$C$13*EF33)/(1+$D$13*EF33)*DY33/(EA33+273)*$E$13)</f>
        <v>0</v>
      </c>
      <c r="AX33" t="s">
        <v>437</v>
      </c>
      <c r="AY33" t="s">
        <v>437</v>
      </c>
      <c r="AZ33">
        <v>0</v>
      </c>
      <c r="BA33">
        <v>0</v>
      </c>
      <c r="BB33">
        <f>1-AZ33/BA33</f>
        <v>0</v>
      </c>
      <c r="BC33">
        <v>0</v>
      </c>
      <c r="BD33" t="s">
        <v>437</v>
      </c>
      <c r="BE33" t="s">
        <v>437</v>
      </c>
      <c r="BF33">
        <v>0</v>
      </c>
      <c r="BG33">
        <v>0</v>
      </c>
      <c r="BH33">
        <f>1-BF33/BG33</f>
        <v>0</v>
      </c>
      <c r="BI33">
        <v>0.5</v>
      </c>
      <c r="BJ33">
        <f>DI33</f>
        <v>0</v>
      </c>
      <c r="BK33">
        <f>L33</f>
        <v>0</v>
      </c>
      <c r="BL33">
        <f>BH33*BI33*BJ33</f>
        <v>0</v>
      </c>
      <c r="BM33">
        <f>(BK33-BC33)/BJ33</f>
        <v>0</v>
      </c>
      <c r="BN33">
        <f>(BA33-BG33)/BG33</f>
        <v>0</v>
      </c>
      <c r="BO33">
        <f>AZ33/(BB33+AZ33/BG33)</f>
        <v>0</v>
      </c>
      <c r="BP33" t="s">
        <v>437</v>
      </c>
      <c r="BQ33">
        <v>0</v>
      </c>
      <c r="BR33">
        <f>IF(BQ33&lt;&gt;0, BQ33, BO33)</f>
        <v>0</v>
      </c>
      <c r="BS33">
        <f>1-BR33/BG33</f>
        <v>0</v>
      </c>
      <c r="BT33">
        <f>(BG33-BF33)/(BG33-BR33)</f>
        <v>0</v>
      </c>
      <c r="BU33">
        <f>(BA33-BG33)/(BA33-BR33)</f>
        <v>0</v>
      </c>
      <c r="BV33">
        <f>(BG33-BF33)/(BG33-AZ33)</f>
        <v>0</v>
      </c>
      <c r="BW33">
        <f>(BA33-BG33)/(BA33-AZ33)</f>
        <v>0</v>
      </c>
      <c r="BX33">
        <f>(BT33*BR33/BF33)</f>
        <v>0</v>
      </c>
      <c r="BY33">
        <f>(1-BX33)</f>
        <v>0</v>
      </c>
      <c r="DH33">
        <f>$B$11*EG33+$C$11*EH33+$F$11*ES33*(1-EV33)</f>
        <v>0</v>
      </c>
      <c r="DI33">
        <f>DH33*DJ33</f>
        <v>0</v>
      </c>
      <c r="DJ33">
        <f>($B$11*$D$9+$C$11*$D$9+$F$11*((FF33+EX33)/MAX(FF33+EX33+FG33, 0.1)*$I$9+FG33/MAX(FF33+EX33+FG33, 0.1)*$J$9))/($B$11+$C$11+$F$11)</f>
        <v>0</v>
      </c>
      <c r="DK33">
        <f>($B$11*$K$9+$C$11*$K$9+$F$11*((FF33+EX33)/MAX(FF33+EX33+FG33, 0.1)*$P$9+FG33/MAX(FF33+EX33+FG33, 0.1)*$Q$9))/($B$11+$C$11+$F$11)</f>
        <v>0</v>
      </c>
      <c r="DL33">
        <v>6</v>
      </c>
      <c r="DM33">
        <v>0.5</v>
      </c>
      <c r="DN33" t="s">
        <v>438</v>
      </c>
      <c r="DO33">
        <v>2</v>
      </c>
      <c r="DP33" t="b">
        <v>1</v>
      </c>
      <c r="DQ33">
        <v>1765300727.5</v>
      </c>
      <c r="DR33">
        <v>100.46291875</v>
      </c>
      <c r="DS33">
        <v>99.98990625</v>
      </c>
      <c r="DT33">
        <v>17.746575</v>
      </c>
      <c r="DU33">
        <v>17.6245125</v>
      </c>
      <c r="DV33">
        <v>94.85391875</v>
      </c>
      <c r="DW33">
        <v>17.666575</v>
      </c>
      <c r="DX33">
        <v>500.0089375</v>
      </c>
      <c r="DY33">
        <v>90.05304375</v>
      </c>
      <c r="DZ33">
        <v>0.099971675</v>
      </c>
      <c r="EA33">
        <v>25.1229125</v>
      </c>
      <c r="EB33">
        <v>25.0009625</v>
      </c>
      <c r="EC33">
        <v>999.9</v>
      </c>
      <c r="ED33">
        <v>0</v>
      </c>
      <c r="EE33">
        <v>0</v>
      </c>
      <c r="EF33">
        <v>9990.6625</v>
      </c>
      <c r="EG33">
        <v>0</v>
      </c>
      <c r="EH33">
        <v>13.1707625</v>
      </c>
      <c r="EI33">
        <v>0.3537393125</v>
      </c>
      <c r="EJ33">
        <v>102.1569375</v>
      </c>
      <c r="EK33">
        <v>101.783875</v>
      </c>
      <c r="EL33">
        <v>0.125293125</v>
      </c>
      <c r="EM33">
        <v>99.98990625</v>
      </c>
      <c r="EN33">
        <v>17.6245125</v>
      </c>
      <c r="EO33">
        <v>1.5984225</v>
      </c>
      <c r="EP33">
        <v>1.58714</v>
      </c>
      <c r="EQ33">
        <v>13.94361875</v>
      </c>
      <c r="ER33">
        <v>13.8345</v>
      </c>
      <c r="ES33">
        <v>799.982875</v>
      </c>
      <c r="ET33">
        <v>0.94999075</v>
      </c>
      <c r="EU33">
        <v>0.0500094125</v>
      </c>
      <c r="EV33">
        <v>0</v>
      </c>
      <c r="EW33">
        <v>873.7779375</v>
      </c>
      <c r="EX33">
        <v>5.00016</v>
      </c>
      <c r="EY33">
        <v>6759.67625</v>
      </c>
      <c r="EZ33">
        <v>7194.498125</v>
      </c>
      <c r="FA33">
        <v>39.812</v>
      </c>
      <c r="FB33">
        <v>42.687</v>
      </c>
      <c r="FC33">
        <v>41.312</v>
      </c>
      <c r="FD33">
        <v>42.6988125</v>
      </c>
      <c r="FE33">
        <v>42.4685</v>
      </c>
      <c r="FF33">
        <v>755.226875</v>
      </c>
      <c r="FG33">
        <v>39.76</v>
      </c>
      <c r="FH33">
        <v>0</v>
      </c>
      <c r="FI33">
        <v>1765300736.5</v>
      </c>
      <c r="FJ33">
        <v>0</v>
      </c>
      <c r="FK33">
        <v>873.727192307692</v>
      </c>
      <c r="FL33">
        <v>-2.50676923043278</v>
      </c>
      <c r="FM33">
        <v>-20.5969230515928</v>
      </c>
      <c r="FN33">
        <v>6759.42538461538</v>
      </c>
      <c r="FO33">
        <v>15</v>
      </c>
      <c r="FP33">
        <v>1765300761</v>
      </c>
      <c r="FQ33" t="s">
        <v>492</v>
      </c>
      <c r="FR33">
        <v>1765300761</v>
      </c>
      <c r="FS33">
        <v>1765300754</v>
      </c>
      <c r="FT33">
        <v>17</v>
      </c>
      <c r="FU33">
        <v>0.122</v>
      </c>
      <c r="FV33">
        <v>-0.001</v>
      </c>
      <c r="FW33">
        <v>5.609</v>
      </c>
      <c r="FX33">
        <v>0.08</v>
      </c>
      <c r="FY33">
        <v>100</v>
      </c>
      <c r="FZ33">
        <v>18</v>
      </c>
      <c r="GA33">
        <v>0.79</v>
      </c>
      <c r="GB33">
        <v>0.17</v>
      </c>
      <c r="GC33">
        <v>0.37902065</v>
      </c>
      <c r="GD33">
        <v>-0.44364112781955</v>
      </c>
      <c r="GE33">
        <v>0.0515490941882348</v>
      </c>
      <c r="GF33">
        <v>1</v>
      </c>
      <c r="GG33">
        <v>873.951</v>
      </c>
      <c r="GH33">
        <v>-2.48113063609713</v>
      </c>
      <c r="GI33">
        <v>0.295842167777508</v>
      </c>
      <c r="GJ33">
        <v>-1</v>
      </c>
      <c r="GK33">
        <v>0.12415075</v>
      </c>
      <c r="GL33">
        <v>0.0235987218045114</v>
      </c>
      <c r="GM33">
        <v>0.00292385387588026</v>
      </c>
      <c r="GN33">
        <v>1</v>
      </c>
      <c r="GO33">
        <v>2</v>
      </c>
      <c r="GP33">
        <v>2</v>
      </c>
      <c r="GQ33" t="s">
        <v>440</v>
      </c>
      <c r="GR33">
        <v>3.12481</v>
      </c>
      <c r="GS33">
        <v>2.72549</v>
      </c>
      <c r="GT33">
        <v>0.0243483</v>
      </c>
      <c r="GU33">
        <v>0.0256871</v>
      </c>
      <c r="GV33">
        <v>0.0823055</v>
      </c>
      <c r="GW33">
        <v>0.0817959</v>
      </c>
      <c r="GX33">
        <v>25839.5</v>
      </c>
      <c r="GY33">
        <v>23813.4</v>
      </c>
      <c r="GZ33">
        <v>23676.6</v>
      </c>
      <c r="HA33">
        <v>23790.1</v>
      </c>
      <c r="HB33">
        <v>36990.8</v>
      </c>
      <c r="HC33">
        <v>36108.2</v>
      </c>
      <c r="HD33">
        <v>42641.4</v>
      </c>
      <c r="HE33">
        <v>42369</v>
      </c>
      <c r="HF33">
        <v>1.9331</v>
      </c>
      <c r="HG33">
        <v>1.8361</v>
      </c>
      <c r="HH33">
        <v>0.102386</v>
      </c>
      <c r="HI33">
        <v>0</v>
      </c>
      <c r="HJ33">
        <v>23.328</v>
      </c>
      <c r="HK33">
        <v>999.9</v>
      </c>
      <c r="HL33">
        <v>46.753</v>
      </c>
      <c r="HM33">
        <v>29.698</v>
      </c>
      <c r="HN33">
        <v>21.7378</v>
      </c>
      <c r="HO33">
        <v>55.0103</v>
      </c>
      <c r="HP33">
        <v>46.9391</v>
      </c>
      <c r="HQ33">
        <v>1</v>
      </c>
      <c r="HR33">
        <v>-0.0990422</v>
      </c>
      <c r="HS33">
        <v>1.49685</v>
      </c>
      <c r="HT33">
        <v>20.2263</v>
      </c>
      <c r="HU33">
        <v>5.23481</v>
      </c>
      <c r="HV33">
        <v>11.992</v>
      </c>
      <c r="HW33">
        <v>4.9565</v>
      </c>
      <c r="HX33">
        <v>3.304</v>
      </c>
      <c r="HY33">
        <v>999.9</v>
      </c>
      <c r="HZ33">
        <v>9999</v>
      </c>
      <c r="IA33">
        <v>9999</v>
      </c>
      <c r="IB33">
        <v>9999</v>
      </c>
      <c r="IC33">
        <v>1.86905</v>
      </c>
      <c r="ID33">
        <v>1.86478</v>
      </c>
      <c r="IE33">
        <v>1.87233</v>
      </c>
      <c r="IF33">
        <v>1.86339</v>
      </c>
      <c r="IG33">
        <v>1.86268</v>
      </c>
      <c r="IH33">
        <v>1.86906</v>
      </c>
      <c r="II33">
        <v>1.85928</v>
      </c>
      <c r="IJ33">
        <v>1.86556</v>
      </c>
      <c r="IK33">
        <v>5</v>
      </c>
      <c r="IL33">
        <v>0</v>
      </c>
      <c r="IM33">
        <v>0</v>
      </c>
      <c r="IN33">
        <v>0</v>
      </c>
      <c r="IO33" t="s">
        <v>441</v>
      </c>
      <c r="IP33" t="s">
        <v>442</v>
      </c>
      <c r="IQ33" t="s">
        <v>443</v>
      </c>
      <c r="IR33" t="s">
        <v>443</v>
      </c>
      <c r="IS33" t="s">
        <v>443</v>
      </c>
      <c r="IT33" t="s">
        <v>443</v>
      </c>
      <c r="IU33">
        <v>0</v>
      </c>
      <c r="IV33">
        <v>100</v>
      </c>
      <c r="IW33">
        <v>100</v>
      </c>
      <c r="IX33">
        <v>5.609</v>
      </c>
      <c r="IY33">
        <v>0.08</v>
      </c>
      <c r="IZ33">
        <v>4.92349071739569</v>
      </c>
      <c r="JA33">
        <v>0.0062698613543794</v>
      </c>
      <c r="JB33">
        <v>-3.23243345529816e-06</v>
      </c>
      <c r="JC33">
        <v>8.00506428382295e-10</v>
      </c>
      <c r="JD33">
        <v>-0.0750814048194409</v>
      </c>
      <c r="JE33">
        <v>-0.0018464610107002</v>
      </c>
      <c r="JF33">
        <v>0.000796540623429801</v>
      </c>
      <c r="JG33">
        <v>-1.04619914107352e-05</v>
      </c>
      <c r="JH33">
        <v>-0</v>
      </c>
      <c r="JI33">
        <v>2101</v>
      </c>
      <c r="JJ33">
        <v>1</v>
      </c>
      <c r="JK33">
        <v>23</v>
      </c>
      <c r="JL33">
        <v>1.2</v>
      </c>
      <c r="JM33">
        <v>1.3</v>
      </c>
      <c r="JN33">
        <v>0.375977</v>
      </c>
      <c r="JO33">
        <v>2.40234</v>
      </c>
      <c r="JP33">
        <v>1.4978</v>
      </c>
      <c r="JQ33">
        <v>2.33398</v>
      </c>
      <c r="JR33">
        <v>1.54419</v>
      </c>
      <c r="JS33">
        <v>2.37671</v>
      </c>
      <c r="JT33">
        <v>37.6745</v>
      </c>
      <c r="JU33">
        <v>24.1575</v>
      </c>
      <c r="JV33">
        <v>18</v>
      </c>
      <c r="JW33">
        <v>547.816</v>
      </c>
      <c r="JX33">
        <v>429.461</v>
      </c>
      <c r="JY33">
        <v>21.5344</v>
      </c>
      <c r="JZ33">
        <v>26.1448</v>
      </c>
      <c r="KA33">
        <v>30.0008</v>
      </c>
      <c r="KB33">
        <v>26.0462</v>
      </c>
      <c r="KC33">
        <v>26.0596</v>
      </c>
      <c r="KD33">
        <v>7.55766</v>
      </c>
      <c r="KE33">
        <v>31.2782</v>
      </c>
      <c r="KF33">
        <v>88.1958</v>
      </c>
      <c r="KG33">
        <v>21.5237</v>
      </c>
      <c r="KH33">
        <v>100</v>
      </c>
      <c r="KI33">
        <v>17.6075</v>
      </c>
      <c r="KJ33">
        <v>95.6054</v>
      </c>
      <c r="KK33">
        <v>98.7904</v>
      </c>
    </row>
    <row r="34" spans="1:297">
      <c r="A34">
        <v>18</v>
      </c>
      <c r="B34">
        <v>1765300828</v>
      </c>
      <c r="C34">
        <v>2879</v>
      </c>
      <c r="D34" t="s">
        <v>493</v>
      </c>
      <c r="E34" t="s">
        <v>494</v>
      </c>
      <c r="F34">
        <v>5</v>
      </c>
      <c r="G34" t="s">
        <v>482</v>
      </c>
      <c r="H34" t="s">
        <v>436</v>
      </c>
      <c r="I34">
        <v>1765300819.5</v>
      </c>
      <c r="J34">
        <f>(K34)/1000</f>
        <v>0</v>
      </c>
      <c r="K34">
        <f>IF(DP34, AN34, AH34)</f>
        <v>0</v>
      </c>
      <c r="L34">
        <f>IF(DP34, AI34, AG34)</f>
        <v>0</v>
      </c>
      <c r="M34">
        <f>DR34 - IF(AU34&gt;1, L34*DL34*100.0/(AW34), 0)</f>
        <v>0</v>
      </c>
      <c r="N34">
        <f>((T34-J34/2)*M34-L34)/(T34+J34/2)</f>
        <v>0</v>
      </c>
      <c r="O34">
        <f>N34*(DY34+DZ34)/1000.0</f>
        <v>0</v>
      </c>
      <c r="P34">
        <f>(DR34 - IF(AU34&gt;1, L34*DL34*100.0/(AW34), 0))*(DY34+DZ34)/1000.0</f>
        <v>0</v>
      </c>
      <c r="Q34">
        <f>2.0/((1/S34-1/R34)+SIGN(S34)*SQRT((1/S34-1/R34)*(1/S34-1/R34) + 4*DM34/((DM34+1)*(DM34+1))*(2*1/S34*1/R34-1/R34*1/R34)))</f>
        <v>0</v>
      </c>
      <c r="R34">
        <f>IF(LEFT(DN34,1)&lt;&gt;"0",IF(LEFT(DN34,1)="1",3.0,DO34),$D$5+$E$5*(EF34*DY34/($K$5*1000))+$F$5*(EF34*DY34/($K$5*1000))*MAX(MIN(DL34,$J$5),$I$5)*MAX(MIN(DL34,$J$5),$I$5)+$G$5*MAX(MIN(DL34,$J$5),$I$5)*(EF34*DY34/($K$5*1000))+$H$5*(EF34*DY34/($K$5*1000))*(EF34*DY34/($K$5*1000)))</f>
        <v>0</v>
      </c>
      <c r="S34">
        <f>J34*(1000-(1000*0.61365*exp(17.502*W34/(240.97+W34))/(DY34+DZ34)+DT34)/2)/(1000*0.61365*exp(17.502*W34/(240.97+W34))/(DY34+DZ34)-DT34)</f>
        <v>0</v>
      </c>
      <c r="T34">
        <f>1/((DM34+1)/(Q34/1.6)+1/(R34/1.37)) + DM34/((DM34+1)/(Q34/1.6) + DM34/(R34/1.37))</f>
        <v>0</v>
      </c>
      <c r="U34">
        <f>(DH34*DK34)</f>
        <v>0</v>
      </c>
      <c r="V34">
        <f>(EA34+(U34+2*0.95*5.67E-8*(((EA34+$B$7)+273)^4-(EA34+273)^4)-44100*J34)/(1.84*29.3*R34+8*0.95*5.67E-8*(EA34+273)^3))</f>
        <v>0</v>
      </c>
      <c r="W34">
        <f>($C$7*EB34+$D$7*EC34+$E$7*V34)</f>
        <v>0</v>
      </c>
      <c r="X34">
        <f>0.61365*exp(17.502*W34/(240.97+W34))</f>
        <v>0</v>
      </c>
      <c r="Y34">
        <f>(Z34/AA34*100)</f>
        <v>0</v>
      </c>
      <c r="Z34">
        <f>DT34*(DY34+DZ34)/1000</f>
        <v>0</v>
      </c>
      <c r="AA34">
        <f>0.61365*exp(17.502*EA34/(240.97+EA34))</f>
        <v>0</v>
      </c>
      <c r="AB34">
        <f>(X34-DT34*(DY34+DZ34)/1000)</f>
        <v>0</v>
      </c>
      <c r="AC34">
        <f>(-J34*44100)</f>
        <v>0</v>
      </c>
      <c r="AD34">
        <f>2*29.3*R34*0.92*(EA34-W34)</f>
        <v>0</v>
      </c>
      <c r="AE34">
        <f>2*0.95*5.67E-8*(((EA34+$B$7)+273)^4-(W34+273)^4)</f>
        <v>0</v>
      </c>
      <c r="AF34">
        <f>U34+AE34+AC34+AD34</f>
        <v>0</v>
      </c>
      <c r="AG34">
        <f>DX34*AU34*(DS34-DR34*(1000-AU34*DU34)/(1000-AU34*DT34))/(100*DL34)</f>
        <v>0</v>
      </c>
      <c r="AH34">
        <f>1000*DX34*AU34*(DT34-DU34)/(100*DL34*(1000-AU34*DT34))</f>
        <v>0</v>
      </c>
      <c r="AI34">
        <f>(AJ34 - AK34 - DY34*1E3/(8.314*(EA34+273.15)) * AM34/DX34 * AL34) * DX34/(100*DL34) * (1000 - DU34)/1000</f>
        <v>0</v>
      </c>
      <c r="AJ34">
        <v>50.825267423928</v>
      </c>
      <c r="AK34">
        <v>51.0634496969697</v>
      </c>
      <c r="AL34">
        <v>-0.0014560567430145</v>
      </c>
      <c r="AM34">
        <v>64.282078352863</v>
      </c>
      <c r="AN34">
        <f>(AP34 - AO34 + DY34*1E3/(8.314*(EA34+273.15)) * AR34/DX34 * AQ34) * DX34/(100*DL34) * 1000/(1000 - AP34)</f>
        <v>0</v>
      </c>
      <c r="AO34">
        <v>17.6493561040262</v>
      </c>
      <c r="AP34">
        <v>17.7694027972028</v>
      </c>
      <c r="AQ34">
        <v>1.73341005030111e-05</v>
      </c>
      <c r="AR34">
        <v>102.67308192603</v>
      </c>
      <c r="AS34">
        <v>0</v>
      </c>
      <c r="AT34">
        <v>0</v>
      </c>
      <c r="AU34">
        <f>IF(AS34*$H$13&gt;=AW34,1.0,(AW34/(AW34-AS34*$H$13)))</f>
        <v>0</v>
      </c>
      <c r="AV34">
        <f>(AU34-1)*100</f>
        <v>0</v>
      </c>
      <c r="AW34">
        <f>MAX(0,($B$13+$C$13*EF34)/(1+$D$13*EF34)*DY34/(EA34+273)*$E$13)</f>
        <v>0</v>
      </c>
      <c r="AX34" t="s">
        <v>437</v>
      </c>
      <c r="AY34" t="s">
        <v>437</v>
      </c>
      <c r="AZ34">
        <v>0</v>
      </c>
      <c r="BA34">
        <v>0</v>
      </c>
      <c r="BB34">
        <f>1-AZ34/BA34</f>
        <v>0</v>
      </c>
      <c r="BC34">
        <v>0</v>
      </c>
      <c r="BD34" t="s">
        <v>437</v>
      </c>
      <c r="BE34" t="s">
        <v>437</v>
      </c>
      <c r="BF34">
        <v>0</v>
      </c>
      <c r="BG34">
        <v>0</v>
      </c>
      <c r="BH34">
        <f>1-BF34/BG34</f>
        <v>0</v>
      </c>
      <c r="BI34">
        <v>0.5</v>
      </c>
      <c r="BJ34">
        <f>DI34</f>
        <v>0</v>
      </c>
      <c r="BK34">
        <f>L34</f>
        <v>0</v>
      </c>
      <c r="BL34">
        <f>BH34*BI34*BJ34</f>
        <v>0</v>
      </c>
      <c r="BM34">
        <f>(BK34-BC34)/BJ34</f>
        <v>0</v>
      </c>
      <c r="BN34">
        <f>(BA34-BG34)/BG34</f>
        <v>0</v>
      </c>
      <c r="BO34">
        <f>AZ34/(BB34+AZ34/BG34)</f>
        <v>0</v>
      </c>
      <c r="BP34" t="s">
        <v>437</v>
      </c>
      <c r="BQ34">
        <v>0</v>
      </c>
      <c r="BR34">
        <f>IF(BQ34&lt;&gt;0, BQ34, BO34)</f>
        <v>0</v>
      </c>
      <c r="BS34">
        <f>1-BR34/BG34</f>
        <v>0</v>
      </c>
      <c r="BT34">
        <f>(BG34-BF34)/(BG34-BR34)</f>
        <v>0</v>
      </c>
      <c r="BU34">
        <f>(BA34-BG34)/(BA34-BR34)</f>
        <v>0</v>
      </c>
      <c r="BV34">
        <f>(BG34-BF34)/(BG34-AZ34)</f>
        <v>0</v>
      </c>
      <c r="BW34">
        <f>(BA34-BG34)/(BA34-AZ34)</f>
        <v>0</v>
      </c>
      <c r="BX34">
        <f>(BT34*BR34/BF34)</f>
        <v>0</v>
      </c>
      <c r="BY34">
        <f>(1-BX34)</f>
        <v>0</v>
      </c>
      <c r="DH34">
        <f>$B$11*EG34+$C$11*EH34+$F$11*ES34*(1-EV34)</f>
        <v>0</v>
      </c>
      <c r="DI34">
        <f>DH34*DJ34</f>
        <v>0</v>
      </c>
      <c r="DJ34">
        <f>($B$11*$D$9+$C$11*$D$9+$F$11*((FF34+EX34)/MAX(FF34+EX34+FG34, 0.1)*$I$9+FG34/MAX(FF34+EX34+FG34, 0.1)*$J$9))/($B$11+$C$11+$F$11)</f>
        <v>0</v>
      </c>
      <c r="DK34">
        <f>($B$11*$K$9+$C$11*$K$9+$F$11*((FF34+EX34)/MAX(FF34+EX34+FG34, 0.1)*$P$9+FG34/MAX(FF34+EX34+FG34, 0.1)*$Q$9))/($B$11+$C$11+$F$11)</f>
        <v>0</v>
      </c>
      <c r="DL34">
        <v>6</v>
      </c>
      <c r="DM34">
        <v>0.5</v>
      </c>
      <c r="DN34" t="s">
        <v>438</v>
      </c>
      <c r="DO34">
        <v>2</v>
      </c>
      <c r="DP34" t="b">
        <v>1</v>
      </c>
      <c r="DQ34">
        <v>1765300819.5</v>
      </c>
      <c r="DR34">
        <v>50.50356875</v>
      </c>
      <c r="DS34">
        <v>49.9971875</v>
      </c>
      <c r="DT34">
        <v>17.7641125</v>
      </c>
      <c r="DU34">
        <v>17.6461875</v>
      </c>
      <c r="DV34">
        <v>44.88656875</v>
      </c>
      <c r="DW34">
        <v>17.6851125</v>
      </c>
      <c r="DX34">
        <v>500.015875</v>
      </c>
      <c r="DY34">
        <v>90.05845625</v>
      </c>
      <c r="DZ34">
        <v>0.10000751875</v>
      </c>
      <c r="EA34">
        <v>25.13821875</v>
      </c>
      <c r="EB34">
        <v>25.00965</v>
      </c>
      <c r="EC34">
        <v>999.9</v>
      </c>
      <c r="ED34">
        <v>0</v>
      </c>
      <c r="EE34">
        <v>0</v>
      </c>
      <c r="EF34">
        <v>9989.995625</v>
      </c>
      <c r="EG34">
        <v>0</v>
      </c>
      <c r="EH34">
        <v>13.1315</v>
      </c>
      <c r="EI34">
        <v>0.2101428125</v>
      </c>
      <c r="EJ34">
        <v>51.1155</v>
      </c>
      <c r="EK34">
        <v>50.89529375</v>
      </c>
      <c r="EL34">
        <v>0.1212798125</v>
      </c>
      <c r="EM34">
        <v>49.9971875</v>
      </c>
      <c r="EN34">
        <v>17.6461875</v>
      </c>
      <c r="EO34">
        <v>1.60011</v>
      </c>
      <c r="EP34">
        <v>1.589188125</v>
      </c>
      <c r="EQ34">
        <v>13.959875</v>
      </c>
      <c r="ER34">
        <v>13.8543625</v>
      </c>
      <c r="ES34">
        <v>799.9819375</v>
      </c>
      <c r="ET34">
        <v>0.949993</v>
      </c>
      <c r="EU34">
        <v>0.0500072</v>
      </c>
      <c r="EV34">
        <v>0</v>
      </c>
      <c r="EW34">
        <v>869.8320625</v>
      </c>
      <c r="EX34">
        <v>5.00016</v>
      </c>
      <c r="EY34">
        <v>6731.395</v>
      </c>
      <c r="EZ34">
        <v>7194.495</v>
      </c>
      <c r="FA34">
        <v>39.9409375</v>
      </c>
      <c r="FB34">
        <v>42.8159375</v>
      </c>
      <c r="FC34">
        <v>41.42925</v>
      </c>
      <c r="FD34">
        <v>42.875</v>
      </c>
      <c r="FE34">
        <v>42.5738125</v>
      </c>
      <c r="FF34">
        <v>755.226875</v>
      </c>
      <c r="FG34">
        <v>39.7525</v>
      </c>
      <c r="FH34">
        <v>0</v>
      </c>
      <c r="FI34">
        <v>1765300828.3</v>
      </c>
      <c r="FJ34">
        <v>0</v>
      </c>
      <c r="FK34">
        <v>869.73468</v>
      </c>
      <c r="FL34">
        <v>-2.51061539570217</v>
      </c>
      <c r="FM34">
        <v>-17.864615403874</v>
      </c>
      <c r="FN34">
        <v>6731.084</v>
      </c>
      <c r="FO34">
        <v>15</v>
      </c>
      <c r="FP34">
        <v>1765300854</v>
      </c>
      <c r="FQ34" t="s">
        <v>495</v>
      </c>
      <c r="FR34">
        <v>1765300854</v>
      </c>
      <c r="FS34">
        <v>1765300846</v>
      </c>
      <c r="FT34">
        <v>18</v>
      </c>
      <c r="FU34">
        <v>0.299</v>
      </c>
      <c r="FV34">
        <v>-0.001</v>
      </c>
      <c r="FW34">
        <v>5.617</v>
      </c>
      <c r="FX34">
        <v>0.079</v>
      </c>
      <c r="FY34">
        <v>50</v>
      </c>
      <c r="FZ34">
        <v>18</v>
      </c>
      <c r="GA34">
        <v>0.18</v>
      </c>
      <c r="GB34">
        <v>0.23</v>
      </c>
      <c r="GC34">
        <v>0.243391</v>
      </c>
      <c r="GD34">
        <v>-0.342134887218045</v>
      </c>
      <c r="GE34">
        <v>0.0698149054607968</v>
      </c>
      <c r="GF34">
        <v>1</v>
      </c>
      <c r="GG34">
        <v>869.919852941176</v>
      </c>
      <c r="GH34">
        <v>-2.35387318956806</v>
      </c>
      <c r="GI34">
        <v>0.28447558898197</v>
      </c>
      <c r="GJ34">
        <v>-1</v>
      </c>
      <c r="GK34">
        <v>0.12183775</v>
      </c>
      <c r="GL34">
        <v>-0.00759595488721828</v>
      </c>
      <c r="GM34">
        <v>0.00162415195948532</v>
      </c>
      <c r="GN34">
        <v>1</v>
      </c>
      <c r="GO34">
        <v>2</v>
      </c>
      <c r="GP34">
        <v>2</v>
      </c>
      <c r="GQ34" t="s">
        <v>440</v>
      </c>
      <c r="GR34">
        <v>3.12483</v>
      </c>
      <c r="GS34">
        <v>2.72569</v>
      </c>
      <c r="GT34">
        <v>0.0116817</v>
      </c>
      <c r="GU34">
        <v>0.0130512</v>
      </c>
      <c r="GV34">
        <v>0.082344</v>
      </c>
      <c r="GW34">
        <v>0.0818916</v>
      </c>
      <c r="GX34">
        <v>26162.3</v>
      </c>
      <c r="GY34">
        <v>24113.4</v>
      </c>
      <c r="GZ34">
        <v>23665.8</v>
      </c>
      <c r="HA34">
        <v>23782</v>
      </c>
      <c r="HB34">
        <v>36972.9</v>
      </c>
      <c r="HC34">
        <v>36092.6</v>
      </c>
      <c r="HD34">
        <v>42623.9</v>
      </c>
      <c r="HE34">
        <v>42356.4</v>
      </c>
      <c r="HF34">
        <v>1.93135</v>
      </c>
      <c r="HG34">
        <v>1.83322</v>
      </c>
      <c r="HH34">
        <v>0.0998974</v>
      </c>
      <c r="HI34">
        <v>0</v>
      </c>
      <c r="HJ34">
        <v>23.3727</v>
      </c>
      <c r="HK34">
        <v>999.9</v>
      </c>
      <c r="HL34">
        <v>46.679</v>
      </c>
      <c r="HM34">
        <v>29.749</v>
      </c>
      <c r="HN34">
        <v>21.7646</v>
      </c>
      <c r="HO34">
        <v>54.7203</v>
      </c>
      <c r="HP34">
        <v>46.9511</v>
      </c>
      <c r="HQ34">
        <v>1</v>
      </c>
      <c r="HR34">
        <v>-0.0859807</v>
      </c>
      <c r="HS34">
        <v>1.6427</v>
      </c>
      <c r="HT34">
        <v>20.225</v>
      </c>
      <c r="HU34">
        <v>5.23466</v>
      </c>
      <c r="HV34">
        <v>11.992</v>
      </c>
      <c r="HW34">
        <v>4.957</v>
      </c>
      <c r="HX34">
        <v>3.304</v>
      </c>
      <c r="HY34">
        <v>999.9</v>
      </c>
      <c r="HZ34">
        <v>9999</v>
      </c>
      <c r="IA34">
        <v>9999</v>
      </c>
      <c r="IB34">
        <v>9999</v>
      </c>
      <c r="IC34">
        <v>1.86905</v>
      </c>
      <c r="ID34">
        <v>1.86478</v>
      </c>
      <c r="IE34">
        <v>1.87234</v>
      </c>
      <c r="IF34">
        <v>1.86339</v>
      </c>
      <c r="IG34">
        <v>1.86268</v>
      </c>
      <c r="IH34">
        <v>1.86908</v>
      </c>
      <c r="II34">
        <v>1.85928</v>
      </c>
      <c r="IJ34">
        <v>1.86558</v>
      </c>
      <c r="IK34">
        <v>5</v>
      </c>
      <c r="IL34">
        <v>0</v>
      </c>
      <c r="IM34">
        <v>0</v>
      </c>
      <c r="IN34">
        <v>0</v>
      </c>
      <c r="IO34" t="s">
        <v>441</v>
      </c>
      <c r="IP34" t="s">
        <v>442</v>
      </c>
      <c r="IQ34" t="s">
        <v>443</v>
      </c>
      <c r="IR34" t="s">
        <v>443</v>
      </c>
      <c r="IS34" t="s">
        <v>443</v>
      </c>
      <c r="IT34" t="s">
        <v>443</v>
      </c>
      <c r="IU34">
        <v>0</v>
      </c>
      <c r="IV34">
        <v>100</v>
      </c>
      <c r="IW34">
        <v>100</v>
      </c>
      <c r="IX34">
        <v>5.617</v>
      </c>
      <c r="IY34">
        <v>0.079</v>
      </c>
      <c r="IZ34">
        <v>5.04575809762185</v>
      </c>
      <c r="JA34">
        <v>0.0062698613543794</v>
      </c>
      <c r="JB34">
        <v>-3.23243345529816e-06</v>
      </c>
      <c r="JC34">
        <v>8.00506428382295e-10</v>
      </c>
      <c r="JD34">
        <v>-0.0762644850504535</v>
      </c>
      <c r="JE34">
        <v>-0.0018464610107002</v>
      </c>
      <c r="JF34">
        <v>0.000796540623429801</v>
      </c>
      <c r="JG34">
        <v>-1.04619914107352e-05</v>
      </c>
      <c r="JH34">
        <v>-0</v>
      </c>
      <c r="JI34">
        <v>2101</v>
      </c>
      <c r="JJ34">
        <v>1</v>
      </c>
      <c r="JK34">
        <v>23</v>
      </c>
      <c r="JL34">
        <v>1.1</v>
      </c>
      <c r="JM34">
        <v>1.2</v>
      </c>
      <c r="JN34">
        <v>0.266113</v>
      </c>
      <c r="JO34">
        <v>2.45117</v>
      </c>
      <c r="JP34">
        <v>1.4978</v>
      </c>
      <c r="JQ34">
        <v>2.33398</v>
      </c>
      <c r="JR34">
        <v>1.54419</v>
      </c>
      <c r="JS34">
        <v>2.25098</v>
      </c>
      <c r="JT34">
        <v>37.7228</v>
      </c>
      <c r="JU34">
        <v>24.1488</v>
      </c>
      <c r="JV34">
        <v>18</v>
      </c>
      <c r="JW34">
        <v>547.764</v>
      </c>
      <c r="JX34">
        <v>428.708</v>
      </c>
      <c r="JY34">
        <v>21.4561</v>
      </c>
      <c r="JZ34">
        <v>26.293</v>
      </c>
      <c r="KA34">
        <v>30.0007</v>
      </c>
      <c r="KB34">
        <v>26.1674</v>
      </c>
      <c r="KC34">
        <v>26.1797</v>
      </c>
      <c r="KD34">
        <v>5.34846</v>
      </c>
      <c r="KE34">
        <v>31.2782</v>
      </c>
      <c r="KF34">
        <v>88.1958</v>
      </c>
      <c r="KG34">
        <v>21.4451</v>
      </c>
      <c r="KH34">
        <v>50</v>
      </c>
      <c r="KI34">
        <v>17.6149</v>
      </c>
      <c r="KJ34">
        <v>95.5646</v>
      </c>
      <c r="KK34">
        <v>98.7596</v>
      </c>
    </row>
    <row r="35" spans="1:297">
      <c r="A35">
        <v>19</v>
      </c>
      <c r="B35">
        <v>1765300935</v>
      </c>
      <c r="C35">
        <v>2986</v>
      </c>
      <c r="D35" t="s">
        <v>496</v>
      </c>
      <c r="E35" t="s">
        <v>497</v>
      </c>
      <c r="F35">
        <v>5</v>
      </c>
      <c r="G35" t="s">
        <v>482</v>
      </c>
      <c r="H35" t="s">
        <v>436</v>
      </c>
      <c r="I35">
        <v>1765300926.5</v>
      </c>
      <c r="J35">
        <f>(K35)/1000</f>
        <v>0</v>
      </c>
      <c r="K35">
        <f>IF(DP35, AN35, AH35)</f>
        <v>0</v>
      </c>
      <c r="L35">
        <f>IF(DP35, AI35, AG35)</f>
        <v>0</v>
      </c>
      <c r="M35">
        <f>DR35 - IF(AU35&gt;1, L35*DL35*100.0/(AW35), 0)</f>
        <v>0</v>
      </c>
      <c r="N35">
        <f>((T35-J35/2)*M35-L35)/(T35+J35/2)</f>
        <v>0</v>
      </c>
      <c r="O35">
        <f>N35*(DY35+DZ35)/1000.0</f>
        <v>0</v>
      </c>
      <c r="P35">
        <f>(DR35 - IF(AU35&gt;1, L35*DL35*100.0/(AW35), 0))*(DY35+DZ35)/1000.0</f>
        <v>0</v>
      </c>
      <c r="Q35">
        <f>2.0/((1/S35-1/R35)+SIGN(S35)*SQRT((1/S35-1/R35)*(1/S35-1/R35) + 4*DM35/((DM35+1)*(DM35+1))*(2*1/S35*1/R35-1/R35*1/R35)))</f>
        <v>0</v>
      </c>
      <c r="R35">
        <f>IF(LEFT(DN35,1)&lt;&gt;"0",IF(LEFT(DN35,1)="1",3.0,DO35),$D$5+$E$5*(EF35*DY35/($K$5*1000))+$F$5*(EF35*DY35/($K$5*1000))*MAX(MIN(DL35,$J$5),$I$5)*MAX(MIN(DL35,$J$5),$I$5)+$G$5*MAX(MIN(DL35,$J$5),$I$5)*(EF35*DY35/($K$5*1000))+$H$5*(EF35*DY35/($K$5*1000))*(EF35*DY35/($K$5*1000)))</f>
        <v>0</v>
      </c>
      <c r="S35">
        <f>J35*(1000-(1000*0.61365*exp(17.502*W35/(240.97+W35))/(DY35+DZ35)+DT35)/2)/(1000*0.61365*exp(17.502*W35/(240.97+W35))/(DY35+DZ35)-DT35)</f>
        <v>0</v>
      </c>
      <c r="T35">
        <f>1/((DM35+1)/(Q35/1.6)+1/(R35/1.37)) + DM35/((DM35+1)/(Q35/1.6) + DM35/(R35/1.37))</f>
        <v>0</v>
      </c>
      <c r="U35">
        <f>(DH35*DK35)</f>
        <v>0</v>
      </c>
      <c r="V35">
        <f>(EA35+(U35+2*0.95*5.67E-8*(((EA35+$B$7)+273)^4-(EA35+273)^4)-44100*J35)/(1.84*29.3*R35+8*0.95*5.67E-8*(EA35+273)^3))</f>
        <v>0</v>
      </c>
      <c r="W35">
        <f>($C$7*EB35+$D$7*EC35+$E$7*V35)</f>
        <v>0</v>
      </c>
      <c r="X35">
        <f>0.61365*exp(17.502*W35/(240.97+W35))</f>
        <v>0</v>
      </c>
      <c r="Y35">
        <f>(Z35/AA35*100)</f>
        <v>0</v>
      </c>
      <c r="Z35">
        <f>DT35*(DY35+DZ35)/1000</f>
        <v>0</v>
      </c>
      <c r="AA35">
        <f>0.61365*exp(17.502*EA35/(240.97+EA35))</f>
        <v>0</v>
      </c>
      <c r="AB35">
        <f>(X35-DT35*(DY35+DZ35)/1000)</f>
        <v>0</v>
      </c>
      <c r="AC35">
        <f>(-J35*44100)</f>
        <v>0</v>
      </c>
      <c r="AD35">
        <f>2*29.3*R35*0.92*(EA35-W35)</f>
        <v>0</v>
      </c>
      <c r="AE35">
        <f>2*0.95*5.67E-8*(((EA35+$B$7)+273)^4-(W35+273)^4)</f>
        <v>0</v>
      </c>
      <c r="AF35">
        <f>U35+AE35+AC35+AD35</f>
        <v>0</v>
      </c>
      <c r="AG35">
        <f>DX35*AU35*(DS35-DR35*(1000-AU35*DU35)/(1000-AU35*DT35))/(100*DL35)</f>
        <v>0</v>
      </c>
      <c r="AH35">
        <f>1000*DX35*AU35*(DT35-DU35)/(100*DL35*(1000-AU35*DT35))</f>
        <v>0</v>
      </c>
      <c r="AI35">
        <f>(AJ35 - AK35 - DY35*1E3/(8.314*(EA35+273.15)) * AM35/DX35 * AL35) * DX35/(100*DL35) * (1000 - DU35)/1000</f>
        <v>0</v>
      </c>
      <c r="AJ35">
        <v>407.173629335871</v>
      </c>
      <c r="AK35">
        <v>407.095109090909</v>
      </c>
      <c r="AL35">
        <v>0.000721420957146136</v>
      </c>
      <c r="AM35">
        <v>64.3102576272468</v>
      </c>
      <c r="AN35">
        <f>(AP35 - AO35 + DY35*1E3/(8.314*(EA35+273.15)) * AR35/DX35 * AQ35) * DX35/(100*DL35) * 1000/(1000 - AP35)</f>
        <v>0</v>
      </c>
      <c r="AO35">
        <v>17.6271870066512</v>
      </c>
      <c r="AP35">
        <v>17.7496888111888</v>
      </c>
      <c r="AQ35">
        <v>7.33675434755575e-06</v>
      </c>
      <c r="AR35">
        <v>103.105281965326</v>
      </c>
      <c r="AS35">
        <v>0</v>
      </c>
      <c r="AT35">
        <v>0</v>
      </c>
      <c r="AU35">
        <f>IF(AS35*$H$13&gt;=AW35,1.0,(AW35/(AW35-AS35*$H$13)))</f>
        <v>0</v>
      </c>
      <c r="AV35">
        <f>(AU35-1)*100</f>
        <v>0</v>
      </c>
      <c r="AW35">
        <f>MAX(0,($B$13+$C$13*EF35)/(1+$D$13*EF35)*DY35/(EA35+273)*$E$13)</f>
        <v>0</v>
      </c>
      <c r="AX35" t="s">
        <v>437</v>
      </c>
      <c r="AY35" t="s">
        <v>437</v>
      </c>
      <c r="AZ35">
        <v>0</v>
      </c>
      <c r="BA35">
        <v>0</v>
      </c>
      <c r="BB35">
        <f>1-AZ35/BA35</f>
        <v>0</v>
      </c>
      <c r="BC35">
        <v>0</v>
      </c>
      <c r="BD35" t="s">
        <v>437</v>
      </c>
      <c r="BE35" t="s">
        <v>437</v>
      </c>
      <c r="BF35">
        <v>0</v>
      </c>
      <c r="BG35">
        <v>0</v>
      </c>
      <c r="BH35">
        <f>1-BF35/BG35</f>
        <v>0</v>
      </c>
      <c r="BI35">
        <v>0.5</v>
      </c>
      <c r="BJ35">
        <f>DI35</f>
        <v>0</v>
      </c>
      <c r="BK35">
        <f>L35</f>
        <v>0</v>
      </c>
      <c r="BL35">
        <f>BH35*BI35*BJ35</f>
        <v>0</v>
      </c>
      <c r="BM35">
        <f>(BK35-BC35)/BJ35</f>
        <v>0</v>
      </c>
      <c r="BN35">
        <f>(BA35-BG35)/BG35</f>
        <v>0</v>
      </c>
      <c r="BO35">
        <f>AZ35/(BB35+AZ35/BG35)</f>
        <v>0</v>
      </c>
      <c r="BP35" t="s">
        <v>437</v>
      </c>
      <c r="BQ35">
        <v>0</v>
      </c>
      <c r="BR35">
        <f>IF(BQ35&lt;&gt;0, BQ35, BO35)</f>
        <v>0</v>
      </c>
      <c r="BS35">
        <f>1-BR35/BG35</f>
        <v>0</v>
      </c>
      <c r="BT35">
        <f>(BG35-BF35)/(BG35-BR35)</f>
        <v>0</v>
      </c>
      <c r="BU35">
        <f>(BA35-BG35)/(BA35-BR35)</f>
        <v>0</v>
      </c>
      <c r="BV35">
        <f>(BG35-BF35)/(BG35-AZ35)</f>
        <v>0</v>
      </c>
      <c r="BW35">
        <f>(BA35-BG35)/(BA35-AZ35)</f>
        <v>0</v>
      </c>
      <c r="BX35">
        <f>(BT35*BR35/BF35)</f>
        <v>0</v>
      </c>
      <c r="BY35">
        <f>(1-BX35)</f>
        <v>0</v>
      </c>
      <c r="DH35">
        <f>$B$11*EG35+$C$11*EH35+$F$11*ES35*(1-EV35)</f>
        <v>0</v>
      </c>
      <c r="DI35">
        <f>DH35*DJ35</f>
        <v>0</v>
      </c>
      <c r="DJ35">
        <f>($B$11*$D$9+$C$11*$D$9+$F$11*((FF35+EX35)/MAX(FF35+EX35+FG35, 0.1)*$I$9+FG35/MAX(FF35+EX35+FG35, 0.1)*$J$9))/($B$11+$C$11+$F$11)</f>
        <v>0</v>
      </c>
      <c r="DK35">
        <f>($B$11*$K$9+$C$11*$K$9+$F$11*((FF35+EX35)/MAX(FF35+EX35+FG35, 0.1)*$P$9+FG35/MAX(FF35+EX35+FG35, 0.1)*$Q$9))/($B$11+$C$11+$F$11)</f>
        <v>0</v>
      </c>
      <c r="DL35">
        <v>6</v>
      </c>
      <c r="DM35">
        <v>0.5</v>
      </c>
      <c r="DN35" t="s">
        <v>438</v>
      </c>
      <c r="DO35">
        <v>2</v>
      </c>
      <c r="DP35" t="b">
        <v>1</v>
      </c>
      <c r="DQ35">
        <v>1765300926.5</v>
      </c>
      <c r="DR35">
        <v>400.1019375</v>
      </c>
      <c r="DS35">
        <v>400.01875</v>
      </c>
      <c r="DT35">
        <v>17.74795</v>
      </c>
      <c r="DU35">
        <v>17.625</v>
      </c>
      <c r="DV35">
        <v>392.4869375</v>
      </c>
      <c r="DW35">
        <v>17.66695</v>
      </c>
      <c r="DX35">
        <v>500.014625</v>
      </c>
      <c r="DY35">
        <v>90.06644375</v>
      </c>
      <c r="DZ35">
        <v>0.10000941875</v>
      </c>
      <c r="EA35">
        <v>25.13540625</v>
      </c>
      <c r="EB35">
        <v>25.0086125</v>
      </c>
      <c r="EC35">
        <v>999.9</v>
      </c>
      <c r="ED35">
        <v>0</v>
      </c>
      <c r="EE35">
        <v>0</v>
      </c>
      <c r="EF35">
        <v>10006.679375</v>
      </c>
      <c r="EG35">
        <v>0</v>
      </c>
      <c r="EH35">
        <v>13.1975625</v>
      </c>
      <c r="EI35">
        <v>-0.175697375</v>
      </c>
      <c r="EJ35">
        <v>407.067375</v>
      </c>
      <c r="EK35">
        <v>407.1955625</v>
      </c>
      <c r="EL35">
        <v>0.1226813125</v>
      </c>
      <c r="EM35">
        <v>400.01875</v>
      </c>
      <c r="EN35">
        <v>17.625</v>
      </c>
      <c r="EO35">
        <v>1.59847</v>
      </c>
      <c r="EP35">
        <v>1.587420625</v>
      </c>
      <c r="EQ35">
        <v>13.94406875</v>
      </c>
      <c r="ER35">
        <v>13.83723125</v>
      </c>
      <c r="ES35">
        <v>800.0025</v>
      </c>
      <c r="ET35">
        <v>0.949996375</v>
      </c>
      <c r="EU35">
        <v>0.05000388125</v>
      </c>
      <c r="EV35">
        <v>0</v>
      </c>
      <c r="EW35">
        <v>865.5291875</v>
      </c>
      <c r="EX35">
        <v>5.00016</v>
      </c>
      <c r="EY35">
        <v>6701.21875</v>
      </c>
      <c r="EZ35">
        <v>7194.69</v>
      </c>
      <c r="FA35">
        <v>40.062</v>
      </c>
      <c r="FB35">
        <v>42.9685</v>
      </c>
      <c r="FC35">
        <v>41.562</v>
      </c>
      <c r="FD35">
        <v>43</v>
      </c>
      <c r="FE35">
        <v>42.70275</v>
      </c>
      <c r="FF35">
        <v>755.250625</v>
      </c>
      <c r="FG35">
        <v>39.75</v>
      </c>
      <c r="FH35">
        <v>0</v>
      </c>
      <c r="FI35">
        <v>1765300935.1</v>
      </c>
      <c r="FJ35">
        <v>0</v>
      </c>
      <c r="FK35">
        <v>865.50756</v>
      </c>
      <c r="FL35">
        <v>-1.33792308123305</v>
      </c>
      <c r="FM35">
        <v>-18.0007692950168</v>
      </c>
      <c r="FN35">
        <v>6700.6924</v>
      </c>
      <c r="FO35">
        <v>15</v>
      </c>
      <c r="FP35">
        <v>1765300957</v>
      </c>
      <c r="FQ35" t="s">
        <v>498</v>
      </c>
      <c r="FR35">
        <v>1765300957</v>
      </c>
      <c r="FS35">
        <v>1765300954</v>
      </c>
      <c r="FT35">
        <v>19</v>
      </c>
      <c r="FU35">
        <v>0.259</v>
      </c>
      <c r="FV35">
        <v>0.002</v>
      </c>
      <c r="FW35">
        <v>7.615</v>
      </c>
      <c r="FX35">
        <v>0.081</v>
      </c>
      <c r="FY35">
        <v>400</v>
      </c>
      <c r="FZ35">
        <v>18</v>
      </c>
      <c r="GA35">
        <v>0.37</v>
      </c>
      <c r="GB35">
        <v>0.24</v>
      </c>
      <c r="GC35">
        <v>-0.191009523809524</v>
      </c>
      <c r="GD35">
        <v>0.347500051948052</v>
      </c>
      <c r="GE35">
        <v>0.0464590300788607</v>
      </c>
      <c r="GF35">
        <v>1</v>
      </c>
      <c r="GG35">
        <v>865.660205882353</v>
      </c>
      <c r="GH35">
        <v>-1.74626432379747</v>
      </c>
      <c r="GI35">
        <v>0.27876722098341</v>
      </c>
      <c r="GJ35">
        <v>-1</v>
      </c>
      <c r="GK35">
        <v>0.124173666666667</v>
      </c>
      <c r="GL35">
        <v>-0.0283195324675323</v>
      </c>
      <c r="GM35">
        <v>0.00304203195458207</v>
      </c>
      <c r="GN35">
        <v>1</v>
      </c>
      <c r="GO35">
        <v>2</v>
      </c>
      <c r="GP35">
        <v>2</v>
      </c>
      <c r="GQ35" t="s">
        <v>440</v>
      </c>
      <c r="GR35">
        <v>3.1248</v>
      </c>
      <c r="GS35">
        <v>2.72575</v>
      </c>
      <c r="GT35">
        <v>0.0852891</v>
      </c>
      <c r="GU35">
        <v>0.0865023</v>
      </c>
      <c r="GV35">
        <v>0.0822568</v>
      </c>
      <c r="GW35">
        <v>0.0817972</v>
      </c>
      <c r="GX35">
        <v>24201.4</v>
      </c>
      <c r="GY35">
        <v>22312</v>
      </c>
      <c r="GZ35">
        <v>23654.4</v>
      </c>
      <c r="HA35">
        <v>23775.4</v>
      </c>
      <c r="HB35">
        <v>36966.9</v>
      </c>
      <c r="HC35">
        <v>36092.8</v>
      </c>
      <c r="HD35">
        <v>42605.7</v>
      </c>
      <c r="HE35">
        <v>42345.8</v>
      </c>
      <c r="HF35">
        <v>1.92962</v>
      </c>
      <c r="HG35">
        <v>1.83148</v>
      </c>
      <c r="HH35">
        <v>0.0972003</v>
      </c>
      <c r="HI35">
        <v>0</v>
      </c>
      <c r="HJ35">
        <v>23.4062</v>
      </c>
      <c r="HK35">
        <v>999.9</v>
      </c>
      <c r="HL35">
        <v>46.63</v>
      </c>
      <c r="HM35">
        <v>29.809</v>
      </c>
      <c r="HN35">
        <v>21.8176</v>
      </c>
      <c r="HO35">
        <v>54.3703</v>
      </c>
      <c r="HP35">
        <v>47.0673</v>
      </c>
      <c r="HQ35">
        <v>1</v>
      </c>
      <c r="HR35">
        <v>-0.0719563</v>
      </c>
      <c r="HS35">
        <v>1.74929</v>
      </c>
      <c r="HT35">
        <v>20.2239</v>
      </c>
      <c r="HU35">
        <v>5.23391</v>
      </c>
      <c r="HV35">
        <v>11.992</v>
      </c>
      <c r="HW35">
        <v>4.95595</v>
      </c>
      <c r="HX35">
        <v>3.304</v>
      </c>
      <c r="HY35">
        <v>999.9</v>
      </c>
      <c r="HZ35">
        <v>9999</v>
      </c>
      <c r="IA35">
        <v>9999</v>
      </c>
      <c r="IB35">
        <v>9999</v>
      </c>
      <c r="IC35">
        <v>1.86905</v>
      </c>
      <c r="ID35">
        <v>1.86478</v>
      </c>
      <c r="IE35">
        <v>1.87231</v>
      </c>
      <c r="IF35">
        <v>1.86338</v>
      </c>
      <c r="IG35">
        <v>1.86267</v>
      </c>
      <c r="IH35">
        <v>1.86907</v>
      </c>
      <c r="II35">
        <v>1.85928</v>
      </c>
      <c r="IJ35">
        <v>1.86556</v>
      </c>
      <c r="IK35">
        <v>5</v>
      </c>
      <c r="IL35">
        <v>0</v>
      </c>
      <c r="IM35">
        <v>0</v>
      </c>
      <c r="IN35">
        <v>0</v>
      </c>
      <c r="IO35" t="s">
        <v>441</v>
      </c>
      <c r="IP35" t="s">
        <v>442</v>
      </c>
      <c r="IQ35" t="s">
        <v>443</v>
      </c>
      <c r="IR35" t="s">
        <v>443</v>
      </c>
      <c r="IS35" t="s">
        <v>443</v>
      </c>
      <c r="IT35" t="s">
        <v>443</v>
      </c>
      <c r="IU35">
        <v>0</v>
      </c>
      <c r="IV35">
        <v>100</v>
      </c>
      <c r="IW35">
        <v>100</v>
      </c>
      <c r="IX35">
        <v>7.615</v>
      </c>
      <c r="IY35">
        <v>0.081</v>
      </c>
      <c r="IZ35">
        <v>5.34463235885369</v>
      </c>
      <c r="JA35">
        <v>0.0062698613543794</v>
      </c>
      <c r="JB35">
        <v>-3.23243345529816e-06</v>
      </c>
      <c r="JC35">
        <v>8.00506428382295e-10</v>
      </c>
      <c r="JD35">
        <v>-0.0775659931716089</v>
      </c>
      <c r="JE35">
        <v>-0.0018464610107002</v>
      </c>
      <c r="JF35">
        <v>0.000796540623429801</v>
      </c>
      <c r="JG35">
        <v>-1.04619914107352e-05</v>
      </c>
      <c r="JH35">
        <v>-0</v>
      </c>
      <c r="JI35">
        <v>2101</v>
      </c>
      <c r="JJ35">
        <v>1</v>
      </c>
      <c r="JK35">
        <v>23</v>
      </c>
      <c r="JL35">
        <v>1.4</v>
      </c>
      <c r="JM35">
        <v>1.5</v>
      </c>
      <c r="JN35">
        <v>1.00952</v>
      </c>
      <c r="JO35">
        <v>2.37671</v>
      </c>
      <c r="JP35">
        <v>1.4978</v>
      </c>
      <c r="JQ35">
        <v>2.33398</v>
      </c>
      <c r="JR35">
        <v>1.54419</v>
      </c>
      <c r="JS35">
        <v>2.36206</v>
      </c>
      <c r="JT35">
        <v>37.8195</v>
      </c>
      <c r="JU35">
        <v>24.1488</v>
      </c>
      <c r="JV35">
        <v>18</v>
      </c>
      <c r="JW35">
        <v>547.95</v>
      </c>
      <c r="JX35">
        <v>428.798</v>
      </c>
      <c r="JY35">
        <v>21.3297</v>
      </c>
      <c r="JZ35">
        <v>26.4607</v>
      </c>
      <c r="KA35">
        <v>30.0006</v>
      </c>
      <c r="KB35">
        <v>26.314</v>
      </c>
      <c r="KC35">
        <v>26.3248</v>
      </c>
      <c r="KD35">
        <v>20.2579</v>
      </c>
      <c r="KE35">
        <v>31.8362</v>
      </c>
      <c r="KF35">
        <v>87.8227</v>
      </c>
      <c r="KG35">
        <v>21.3302</v>
      </c>
      <c r="KH35">
        <v>400</v>
      </c>
      <c r="KI35">
        <v>17.6165</v>
      </c>
      <c r="KJ35">
        <v>95.5219</v>
      </c>
      <c r="KK35">
        <v>98.7338</v>
      </c>
    </row>
    <row r="36" spans="1:297">
      <c r="A36">
        <v>20</v>
      </c>
      <c r="B36">
        <v>1765301019</v>
      </c>
      <c r="C36">
        <v>3070</v>
      </c>
      <c r="D36" t="s">
        <v>499</v>
      </c>
      <c r="E36" t="s">
        <v>500</v>
      </c>
      <c r="F36">
        <v>5</v>
      </c>
      <c r="G36" t="s">
        <v>482</v>
      </c>
      <c r="H36" t="s">
        <v>436</v>
      </c>
      <c r="I36">
        <v>1765301011</v>
      </c>
      <c r="J36">
        <f>(K36)/1000</f>
        <v>0</v>
      </c>
      <c r="K36">
        <f>IF(DP36, AN36, AH36)</f>
        <v>0</v>
      </c>
      <c r="L36">
        <f>IF(DP36, AI36, AG36)</f>
        <v>0</v>
      </c>
      <c r="M36">
        <f>DR36 - IF(AU36&gt;1, L36*DL36*100.0/(AW36), 0)</f>
        <v>0</v>
      </c>
      <c r="N36">
        <f>((T36-J36/2)*M36-L36)/(T36+J36/2)</f>
        <v>0</v>
      </c>
      <c r="O36">
        <f>N36*(DY36+DZ36)/1000.0</f>
        <v>0</v>
      </c>
      <c r="P36">
        <f>(DR36 - IF(AU36&gt;1, L36*DL36*100.0/(AW36), 0))*(DY36+DZ36)/1000.0</f>
        <v>0</v>
      </c>
      <c r="Q36">
        <f>2.0/((1/S36-1/R36)+SIGN(S36)*SQRT((1/S36-1/R36)*(1/S36-1/R36) + 4*DM36/((DM36+1)*(DM36+1))*(2*1/S36*1/R36-1/R36*1/R36)))</f>
        <v>0</v>
      </c>
      <c r="R36">
        <f>IF(LEFT(DN36,1)&lt;&gt;"0",IF(LEFT(DN36,1)="1",3.0,DO36),$D$5+$E$5*(EF36*DY36/($K$5*1000))+$F$5*(EF36*DY36/($K$5*1000))*MAX(MIN(DL36,$J$5),$I$5)*MAX(MIN(DL36,$J$5),$I$5)+$G$5*MAX(MIN(DL36,$J$5),$I$5)*(EF36*DY36/($K$5*1000))+$H$5*(EF36*DY36/($K$5*1000))*(EF36*DY36/($K$5*1000)))</f>
        <v>0</v>
      </c>
      <c r="S36">
        <f>J36*(1000-(1000*0.61365*exp(17.502*W36/(240.97+W36))/(DY36+DZ36)+DT36)/2)/(1000*0.61365*exp(17.502*W36/(240.97+W36))/(DY36+DZ36)-DT36)</f>
        <v>0</v>
      </c>
      <c r="T36">
        <f>1/((DM36+1)/(Q36/1.6)+1/(R36/1.37)) + DM36/((DM36+1)/(Q36/1.6) + DM36/(R36/1.37))</f>
        <v>0</v>
      </c>
      <c r="U36">
        <f>(DH36*DK36)</f>
        <v>0</v>
      </c>
      <c r="V36">
        <f>(EA36+(U36+2*0.95*5.67E-8*(((EA36+$B$7)+273)^4-(EA36+273)^4)-44100*J36)/(1.84*29.3*R36+8*0.95*5.67E-8*(EA36+273)^3))</f>
        <v>0</v>
      </c>
      <c r="W36">
        <f>($C$7*EB36+$D$7*EC36+$E$7*V36)</f>
        <v>0</v>
      </c>
      <c r="X36">
        <f>0.61365*exp(17.502*W36/(240.97+W36))</f>
        <v>0</v>
      </c>
      <c r="Y36">
        <f>(Z36/AA36*100)</f>
        <v>0</v>
      </c>
      <c r="Z36">
        <f>DT36*(DY36+DZ36)/1000</f>
        <v>0</v>
      </c>
      <c r="AA36">
        <f>0.61365*exp(17.502*EA36/(240.97+EA36))</f>
        <v>0</v>
      </c>
      <c r="AB36">
        <f>(X36-DT36*(DY36+DZ36)/1000)</f>
        <v>0</v>
      </c>
      <c r="AC36">
        <f>(-J36*44100)</f>
        <v>0</v>
      </c>
      <c r="AD36">
        <f>2*29.3*R36*0.92*(EA36-W36)</f>
        <v>0</v>
      </c>
      <c r="AE36">
        <f>2*0.95*5.67E-8*(((EA36+$B$7)+273)^4-(W36+273)^4)</f>
        <v>0</v>
      </c>
      <c r="AF36">
        <f>U36+AE36+AC36+AD36</f>
        <v>0</v>
      </c>
      <c r="AG36">
        <f>DX36*AU36*(DS36-DR36*(1000-AU36*DU36)/(1000-AU36*DT36))/(100*DL36)</f>
        <v>0</v>
      </c>
      <c r="AH36">
        <f>1000*DX36*AU36*(DT36-DU36)/(100*DL36*(1000-AU36*DT36))</f>
        <v>0</v>
      </c>
      <c r="AI36">
        <f>(AJ36 - AK36 - DY36*1E3/(8.314*(EA36+273.15)) * AM36/DX36 * AL36) * DX36/(100*DL36) * (1000 - DU36)/1000</f>
        <v>0</v>
      </c>
      <c r="AJ36">
        <v>407.201096797648</v>
      </c>
      <c r="AK36">
        <v>407.545490909091</v>
      </c>
      <c r="AL36">
        <v>0.01177790748697</v>
      </c>
      <c r="AM36">
        <v>64.3716415766477</v>
      </c>
      <c r="AN36">
        <f>(AP36 - AO36 + DY36*1E3/(8.314*(EA36+273.15)) * AR36/DX36 * AQ36) * DX36/(100*DL36) * 1000/(1000 - AP36)</f>
        <v>0</v>
      </c>
      <c r="AO36">
        <v>17.6569264734417</v>
      </c>
      <c r="AP36">
        <v>17.7791377622378</v>
      </c>
      <c r="AQ36">
        <v>-2.85258131012005e-05</v>
      </c>
      <c r="AR36">
        <v>102.795624848792</v>
      </c>
      <c r="AS36">
        <v>0</v>
      </c>
      <c r="AT36">
        <v>0</v>
      </c>
      <c r="AU36">
        <f>IF(AS36*$H$13&gt;=AW36,1.0,(AW36/(AW36-AS36*$H$13)))</f>
        <v>0</v>
      </c>
      <c r="AV36">
        <f>(AU36-1)*100</f>
        <v>0</v>
      </c>
      <c r="AW36">
        <f>MAX(0,($B$13+$C$13*EF36)/(1+$D$13*EF36)*DY36/(EA36+273)*$E$13)</f>
        <v>0</v>
      </c>
      <c r="AX36" t="s">
        <v>437</v>
      </c>
      <c r="AY36" t="s">
        <v>437</v>
      </c>
      <c r="AZ36">
        <v>0</v>
      </c>
      <c r="BA36">
        <v>0</v>
      </c>
      <c r="BB36">
        <f>1-AZ36/BA36</f>
        <v>0</v>
      </c>
      <c r="BC36">
        <v>0</v>
      </c>
      <c r="BD36" t="s">
        <v>437</v>
      </c>
      <c r="BE36" t="s">
        <v>437</v>
      </c>
      <c r="BF36">
        <v>0</v>
      </c>
      <c r="BG36">
        <v>0</v>
      </c>
      <c r="BH36">
        <f>1-BF36/BG36</f>
        <v>0</v>
      </c>
      <c r="BI36">
        <v>0.5</v>
      </c>
      <c r="BJ36">
        <f>DI36</f>
        <v>0</v>
      </c>
      <c r="BK36">
        <f>L36</f>
        <v>0</v>
      </c>
      <c r="BL36">
        <f>BH36*BI36*BJ36</f>
        <v>0</v>
      </c>
      <c r="BM36">
        <f>(BK36-BC36)/BJ36</f>
        <v>0</v>
      </c>
      <c r="BN36">
        <f>(BA36-BG36)/BG36</f>
        <v>0</v>
      </c>
      <c r="BO36">
        <f>AZ36/(BB36+AZ36/BG36)</f>
        <v>0</v>
      </c>
      <c r="BP36" t="s">
        <v>437</v>
      </c>
      <c r="BQ36">
        <v>0</v>
      </c>
      <c r="BR36">
        <f>IF(BQ36&lt;&gt;0, BQ36, BO36)</f>
        <v>0</v>
      </c>
      <c r="BS36">
        <f>1-BR36/BG36</f>
        <v>0</v>
      </c>
      <c r="BT36">
        <f>(BG36-BF36)/(BG36-BR36)</f>
        <v>0</v>
      </c>
      <c r="BU36">
        <f>(BA36-BG36)/(BA36-BR36)</f>
        <v>0</v>
      </c>
      <c r="BV36">
        <f>(BG36-BF36)/(BG36-AZ36)</f>
        <v>0</v>
      </c>
      <c r="BW36">
        <f>(BA36-BG36)/(BA36-AZ36)</f>
        <v>0</v>
      </c>
      <c r="BX36">
        <f>(BT36*BR36/BF36)</f>
        <v>0</v>
      </c>
      <c r="BY36">
        <f>(1-BX36)</f>
        <v>0</v>
      </c>
      <c r="DH36">
        <f>$B$11*EG36+$C$11*EH36+$F$11*ES36*(1-EV36)</f>
        <v>0</v>
      </c>
      <c r="DI36">
        <f>DH36*DJ36</f>
        <v>0</v>
      </c>
      <c r="DJ36">
        <f>($B$11*$D$9+$C$11*$D$9+$F$11*((FF36+EX36)/MAX(FF36+EX36+FG36, 0.1)*$I$9+FG36/MAX(FF36+EX36+FG36, 0.1)*$J$9))/($B$11+$C$11+$F$11)</f>
        <v>0</v>
      </c>
      <c r="DK36">
        <f>($B$11*$K$9+$C$11*$K$9+$F$11*((FF36+EX36)/MAX(FF36+EX36+FG36, 0.1)*$P$9+FG36/MAX(FF36+EX36+FG36, 0.1)*$Q$9))/($B$11+$C$11+$F$11)</f>
        <v>0</v>
      </c>
      <c r="DL36">
        <v>6</v>
      </c>
      <c r="DM36">
        <v>0.5</v>
      </c>
      <c r="DN36" t="s">
        <v>438</v>
      </c>
      <c r="DO36">
        <v>2</v>
      </c>
      <c r="DP36" t="b">
        <v>1</v>
      </c>
      <c r="DQ36">
        <v>1765301011</v>
      </c>
      <c r="DR36">
        <v>400.181866666667</v>
      </c>
      <c r="DS36">
        <v>399.995</v>
      </c>
      <c r="DT36">
        <v>17.78</v>
      </c>
      <c r="DU36">
        <v>17.6547666666667</v>
      </c>
      <c r="DV36">
        <v>392.638866666667</v>
      </c>
      <c r="DW36">
        <v>17.697</v>
      </c>
      <c r="DX36">
        <v>499.998266666667</v>
      </c>
      <c r="DY36">
        <v>90.06544</v>
      </c>
      <c r="DZ36">
        <v>0.0999628266666666</v>
      </c>
      <c r="EA36">
        <v>25.13262</v>
      </c>
      <c r="EB36">
        <v>24.99776</v>
      </c>
      <c r="EC36">
        <v>999.9</v>
      </c>
      <c r="ED36">
        <v>0</v>
      </c>
      <c r="EE36">
        <v>0</v>
      </c>
      <c r="EF36">
        <v>10002.9153333333</v>
      </c>
      <c r="EG36">
        <v>0</v>
      </c>
      <c r="EH36">
        <v>13.1315</v>
      </c>
      <c r="EI36">
        <v>0.259940666666667</v>
      </c>
      <c r="EJ36">
        <v>407.5006</v>
      </c>
      <c r="EK36">
        <v>407.183866666667</v>
      </c>
      <c r="EL36">
        <v>0.125844533333333</v>
      </c>
      <c r="EM36">
        <v>399.995</v>
      </c>
      <c r="EN36">
        <v>17.6547666666667</v>
      </c>
      <c r="EO36">
        <v>1.60142066666667</v>
      </c>
      <c r="EP36">
        <v>1.590086</v>
      </c>
      <c r="EQ36">
        <v>13.9724733333333</v>
      </c>
      <c r="ER36">
        <v>13.8630533333333</v>
      </c>
      <c r="ES36">
        <v>800.009533333333</v>
      </c>
      <c r="ET36">
        <v>0.9499978</v>
      </c>
      <c r="EU36">
        <v>0.0500024533333333</v>
      </c>
      <c r="EV36">
        <v>0</v>
      </c>
      <c r="EW36">
        <v>862.4074</v>
      </c>
      <c r="EX36">
        <v>5.00016</v>
      </c>
      <c r="EY36">
        <v>6678.312</v>
      </c>
      <c r="EZ36">
        <v>7194.758</v>
      </c>
      <c r="FA36">
        <v>40.1746</v>
      </c>
      <c r="FB36">
        <v>43.062</v>
      </c>
      <c r="FC36">
        <v>41.6498</v>
      </c>
      <c r="FD36">
        <v>43.0998</v>
      </c>
      <c r="FE36">
        <v>42.812</v>
      </c>
      <c r="FF36">
        <v>755.256666666667</v>
      </c>
      <c r="FG36">
        <v>39.75</v>
      </c>
      <c r="FH36">
        <v>0</v>
      </c>
      <c r="FI36">
        <v>1765301019.1</v>
      </c>
      <c r="FJ36">
        <v>0</v>
      </c>
      <c r="FK36">
        <v>862.3922</v>
      </c>
      <c r="FL36">
        <v>-3.38276923067219</v>
      </c>
      <c r="FM36">
        <v>-18.1261538988131</v>
      </c>
      <c r="FN36">
        <v>6678.0344</v>
      </c>
      <c r="FO36">
        <v>15</v>
      </c>
      <c r="FP36">
        <v>1765301045</v>
      </c>
      <c r="FQ36" t="s">
        <v>501</v>
      </c>
      <c r="FR36">
        <v>1765301045</v>
      </c>
      <c r="FS36">
        <v>1765301037</v>
      </c>
      <c r="FT36">
        <v>20</v>
      </c>
      <c r="FU36">
        <v>-0.073</v>
      </c>
      <c r="FV36">
        <v>0.002</v>
      </c>
      <c r="FW36">
        <v>7.543</v>
      </c>
      <c r="FX36">
        <v>0.083</v>
      </c>
      <c r="FY36">
        <v>400</v>
      </c>
      <c r="FZ36">
        <v>18</v>
      </c>
      <c r="GA36">
        <v>1.06</v>
      </c>
      <c r="GB36">
        <v>0.13</v>
      </c>
      <c r="GC36">
        <v>0.223137276190476</v>
      </c>
      <c r="GD36">
        <v>0.466339246753247</v>
      </c>
      <c r="GE36">
        <v>0.0626855460662633</v>
      </c>
      <c r="GF36">
        <v>1</v>
      </c>
      <c r="GG36">
        <v>862.563911764706</v>
      </c>
      <c r="GH36">
        <v>-2.30641710744673</v>
      </c>
      <c r="GI36">
        <v>0.294943600555521</v>
      </c>
      <c r="GJ36">
        <v>-1</v>
      </c>
      <c r="GK36">
        <v>0.12433919047619</v>
      </c>
      <c r="GL36">
        <v>0.00874823376623382</v>
      </c>
      <c r="GM36">
        <v>0.00419039536285684</v>
      </c>
      <c r="GN36">
        <v>1</v>
      </c>
      <c r="GO36">
        <v>2</v>
      </c>
      <c r="GP36">
        <v>2</v>
      </c>
      <c r="GQ36" t="s">
        <v>440</v>
      </c>
      <c r="GR36">
        <v>3.12473</v>
      </c>
      <c r="GS36">
        <v>2.72558</v>
      </c>
      <c r="GT36">
        <v>0.085289</v>
      </c>
      <c r="GU36">
        <v>0.0864736</v>
      </c>
      <c r="GV36">
        <v>0.0823252</v>
      </c>
      <c r="GW36">
        <v>0.0818722</v>
      </c>
      <c r="GX36">
        <v>24192.1</v>
      </c>
      <c r="GY36">
        <v>22307</v>
      </c>
      <c r="GZ36">
        <v>23645.8</v>
      </c>
      <c r="HA36">
        <v>23769.8</v>
      </c>
      <c r="HB36">
        <v>36952</v>
      </c>
      <c r="HC36">
        <v>36082.1</v>
      </c>
      <c r="HD36">
        <v>42591.8</v>
      </c>
      <c r="HE36">
        <v>42337</v>
      </c>
      <c r="HF36">
        <v>1.9282</v>
      </c>
      <c r="HG36">
        <v>1.82915</v>
      </c>
      <c r="HH36">
        <v>0.0959262</v>
      </c>
      <c r="HI36">
        <v>0</v>
      </c>
      <c r="HJ36">
        <v>23.4238</v>
      </c>
      <c r="HK36">
        <v>999.9</v>
      </c>
      <c r="HL36">
        <v>46.582</v>
      </c>
      <c r="HM36">
        <v>29.86</v>
      </c>
      <c r="HN36">
        <v>21.8596</v>
      </c>
      <c r="HO36">
        <v>54.8803</v>
      </c>
      <c r="HP36">
        <v>47.1034</v>
      </c>
      <c r="HQ36">
        <v>1</v>
      </c>
      <c r="HR36">
        <v>-0.061311</v>
      </c>
      <c r="HS36">
        <v>1.74143</v>
      </c>
      <c r="HT36">
        <v>20.2239</v>
      </c>
      <c r="HU36">
        <v>5.23406</v>
      </c>
      <c r="HV36">
        <v>11.992</v>
      </c>
      <c r="HW36">
        <v>4.9559</v>
      </c>
      <c r="HX36">
        <v>3.304</v>
      </c>
      <c r="HY36">
        <v>999.9</v>
      </c>
      <c r="HZ36">
        <v>9999</v>
      </c>
      <c r="IA36">
        <v>9999</v>
      </c>
      <c r="IB36">
        <v>9999</v>
      </c>
      <c r="IC36">
        <v>1.86905</v>
      </c>
      <c r="ID36">
        <v>1.86478</v>
      </c>
      <c r="IE36">
        <v>1.87234</v>
      </c>
      <c r="IF36">
        <v>1.86339</v>
      </c>
      <c r="IG36">
        <v>1.86267</v>
      </c>
      <c r="IH36">
        <v>1.86906</v>
      </c>
      <c r="II36">
        <v>1.85928</v>
      </c>
      <c r="IJ36">
        <v>1.86555</v>
      </c>
      <c r="IK36">
        <v>5</v>
      </c>
      <c r="IL36">
        <v>0</v>
      </c>
      <c r="IM36">
        <v>0</v>
      </c>
      <c r="IN36">
        <v>0</v>
      </c>
      <c r="IO36" t="s">
        <v>441</v>
      </c>
      <c r="IP36" t="s">
        <v>442</v>
      </c>
      <c r="IQ36" t="s">
        <v>443</v>
      </c>
      <c r="IR36" t="s">
        <v>443</v>
      </c>
      <c r="IS36" t="s">
        <v>443</v>
      </c>
      <c r="IT36" t="s">
        <v>443</v>
      </c>
      <c r="IU36">
        <v>0</v>
      </c>
      <c r="IV36">
        <v>100</v>
      </c>
      <c r="IW36">
        <v>100</v>
      </c>
      <c r="IX36">
        <v>7.543</v>
      </c>
      <c r="IY36">
        <v>0.083</v>
      </c>
      <c r="IZ36">
        <v>5.60416832168684</v>
      </c>
      <c r="JA36">
        <v>0.0062698613543794</v>
      </c>
      <c r="JB36">
        <v>-3.23243345529816e-06</v>
      </c>
      <c r="JC36">
        <v>8.00506428382295e-10</v>
      </c>
      <c r="JD36">
        <v>-0.0751869361518636</v>
      </c>
      <c r="JE36">
        <v>-0.0018464610107002</v>
      </c>
      <c r="JF36">
        <v>0.000796540623429801</v>
      </c>
      <c r="JG36">
        <v>-1.04619914107352e-05</v>
      </c>
      <c r="JH36">
        <v>-0</v>
      </c>
      <c r="JI36">
        <v>2101</v>
      </c>
      <c r="JJ36">
        <v>1</v>
      </c>
      <c r="JK36">
        <v>23</v>
      </c>
      <c r="JL36">
        <v>1</v>
      </c>
      <c r="JM36">
        <v>1.1</v>
      </c>
      <c r="JN36">
        <v>1.00952</v>
      </c>
      <c r="JO36">
        <v>2.37671</v>
      </c>
      <c r="JP36">
        <v>1.4978</v>
      </c>
      <c r="JQ36">
        <v>2.33398</v>
      </c>
      <c r="JR36">
        <v>1.54419</v>
      </c>
      <c r="JS36">
        <v>2.37793</v>
      </c>
      <c r="JT36">
        <v>37.8921</v>
      </c>
      <c r="JU36">
        <v>24.1488</v>
      </c>
      <c r="JV36">
        <v>18</v>
      </c>
      <c r="JW36">
        <v>548.077</v>
      </c>
      <c r="JX36">
        <v>428.34</v>
      </c>
      <c r="JY36">
        <v>21.3038</v>
      </c>
      <c r="JZ36">
        <v>26.5893</v>
      </c>
      <c r="KA36">
        <v>30.0007</v>
      </c>
      <c r="KB36">
        <v>26.4324</v>
      </c>
      <c r="KC36">
        <v>26.4424</v>
      </c>
      <c r="KD36">
        <v>20.2558</v>
      </c>
      <c r="KE36">
        <v>31.8362</v>
      </c>
      <c r="KF36">
        <v>87.4501</v>
      </c>
      <c r="KG36">
        <v>21.3026</v>
      </c>
      <c r="KH36">
        <v>400</v>
      </c>
      <c r="KI36">
        <v>17.6237</v>
      </c>
      <c r="KJ36">
        <v>95.4894</v>
      </c>
      <c r="KK36">
        <v>98.7122</v>
      </c>
    </row>
    <row r="37" spans="1:297">
      <c r="A37">
        <v>21</v>
      </c>
      <c r="B37">
        <v>1765301118</v>
      </c>
      <c r="C37">
        <v>3169</v>
      </c>
      <c r="D37" t="s">
        <v>502</v>
      </c>
      <c r="E37" t="s">
        <v>503</v>
      </c>
      <c r="F37">
        <v>5</v>
      </c>
      <c r="G37" t="s">
        <v>482</v>
      </c>
      <c r="H37" t="s">
        <v>436</v>
      </c>
      <c r="I37">
        <v>1765301109.5</v>
      </c>
      <c r="J37">
        <f>(K37)/1000</f>
        <v>0</v>
      </c>
      <c r="K37">
        <f>IF(DP37, AN37, AH37)</f>
        <v>0</v>
      </c>
      <c r="L37">
        <f>IF(DP37, AI37, AG37)</f>
        <v>0</v>
      </c>
      <c r="M37">
        <f>DR37 - IF(AU37&gt;1, L37*DL37*100.0/(AW37), 0)</f>
        <v>0</v>
      </c>
      <c r="N37">
        <f>((T37-J37/2)*M37-L37)/(T37+J37/2)</f>
        <v>0</v>
      </c>
      <c r="O37">
        <f>N37*(DY37+DZ37)/1000.0</f>
        <v>0</v>
      </c>
      <c r="P37">
        <f>(DR37 - IF(AU37&gt;1, L37*DL37*100.0/(AW37), 0))*(DY37+DZ37)/1000.0</f>
        <v>0</v>
      </c>
      <c r="Q37">
        <f>2.0/((1/S37-1/R37)+SIGN(S37)*SQRT((1/S37-1/R37)*(1/S37-1/R37) + 4*DM37/((DM37+1)*(DM37+1))*(2*1/S37*1/R37-1/R37*1/R37)))</f>
        <v>0</v>
      </c>
      <c r="R37">
        <f>IF(LEFT(DN37,1)&lt;&gt;"0",IF(LEFT(DN37,1)="1",3.0,DO37),$D$5+$E$5*(EF37*DY37/($K$5*1000))+$F$5*(EF37*DY37/($K$5*1000))*MAX(MIN(DL37,$J$5),$I$5)*MAX(MIN(DL37,$J$5),$I$5)+$G$5*MAX(MIN(DL37,$J$5),$I$5)*(EF37*DY37/($K$5*1000))+$H$5*(EF37*DY37/($K$5*1000))*(EF37*DY37/($K$5*1000)))</f>
        <v>0</v>
      </c>
      <c r="S37">
        <f>J37*(1000-(1000*0.61365*exp(17.502*W37/(240.97+W37))/(DY37+DZ37)+DT37)/2)/(1000*0.61365*exp(17.502*W37/(240.97+W37))/(DY37+DZ37)-DT37)</f>
        <v>0</v>
      </c>
      <c r="T37">
        <f>1/((DM37+1)/(Q37/1.6)+1/(R37/1.37)) + DM37/((DM37+1)/(Q37/1.6) + DM37/(R37/1.37))</f>
        <v>0</v>
      </c>
      <c r="U37">
        <f>(DH37*DK37)</f>
        <v>0</v>
      </c>
      <c r="V37">
        <f>(EA37+(U37+2*0.95*5.67E-8*(((EA37+$B$7)+273)^4-(EA37+273)^4)-44100*J37)/(1.84*29.3*R37+8*0.95*5.67E-8*(EA37+273)^3))</f>
        <v>0</v>
      </c>
      <c r="W37">
        <f>($C$7*EB37+$D$7*EC37+$E$7*V37)</f>
        <v>0</v>
      </c>
      <c r="X37">
        <f>0.61365*exp(17.502*W37/(240.97+W37))</f>
        <v>0</v>
      </c>
      <c r="Y37">
        <f>(Z37/AA37*100)</f>
        <v>0</v>
      </c>
      <c r="Z37">
        <f>DT37*(DY37+DZ37)/1000</f>
        <v>0</v>
      </c>
      <c r="AA37">
        <f>0.61365*exp(17.502*EA37/(240.97+EA37))</f>
        <v>0</v>
      </c>
      <c r="AB37">
        <f>(X37-DT37*(DY37+DZ37)/1000)</f>
        <v>0</v>
      </c>
      <c r="AC37">
        <f>(-J37*44100)</f>
        <v>0</v>
      </c>
      <c r="AD37">
        <f>2*29.3*R37*0.92*(EA37-W37)</f>
        <v>0</v>
      </c>
      <c r="AE37">
        <f>2*0.95*5.67E-8*(((EA37+$B$7)+273)^4-(W37+273)^4)</f>
        <v>0</v>
      </c>
      <c r="AF37">
        <f>U37+AE37+AC37+AD37</f>
        <v>0</v>
      </c>
      <c r="AG37">
        <f>DX37*AU37*(DS37-DR37*(1000-AU37*DU37)/(1000-AU37*DT37))/(100*DL37)</f>
        <v>0</v>
      </c>
      <c r="AH37">
        <f>1000*DX37*AU37*(DT37-DU37)/(100*DL37*(1000-AU37*DT37))</f>
        <v>0</v>
      </c>
      <c r="AI37">
        <f>(AJ37 - AK37 - DY37*1E3/(8.314*(EA37+273.15)) * AM37/DX37 * AL37) * DX37/(100*DL37) * (1000 - DU37)/1000</f>
        <v>0</v>
      </c>
      <c r="AJ37">
        <v>610.828441317612</v>
      </c>
      <c r="AK37">
        <v>611.054242424243</v>
      </c>
      <c r="AL37">
        <v>0.00124722751617888</v>
      </c>
      <c r="AM37">
        <v>64.290503750484</v>
      </c>
      <c r="AN37">
        <f>(AP37 - AO37 + DY37*1E3/(8.314*(EA37+273.15)) * AR37/DX37 * AQ37) * DX37/(100*DL37) * 1000/(1000 - AP37)</f>
        <v>0</v>
      </c>
      <c r="AO37">
        <v>17.6088570867892</v>
      </c>
      <c r="AP37">
        <v>17.7480286713287</v>
      </c>
      <c r="AQ37">
        <v>-9.35709465758057e-05</v>
      </c>
      <c r="AR37">
        <v>102.631113490866</v>
      </c>
      <c r="AS37">
        <v>0</v>
      </c>
      <c r="AT37">
        <v>0</v>
      </c>
      <c r="AU37">
        <f>IF(AS37*$H$13&gt;=AW37,1.0,(AW37/(AW37-AS37*$H$13)))</f>
        <v>0</v>
      </c>
      <c r="AV37">
        <f>(AU37-1)*100</f>
        <v>0</v>
      </c>
      <c r="AW37">
        <f>MAX(0,($B$13+$C$13*EF37)/(1+$D$13*EF37)*DY37/(EA37+273)*$E$13)</f>
        <v>0</v>
      </c>
      <c r="AX37" t="s">
        <v>437</v>
      </c>
      <c r="AY37" t="s">
        <v>437</v>
      </c>
      <c r="AZ37">
        <v>0</v>
      </c>
      <c r="BA37">
        <v>0</v>
      </c>
      <c r="BB37">
        <f>1-AZ37/BA37</f>
        <v>0</v>
      </c>
      <c r="BC37">
        <v>0</v>
      </c>
      <c r="BD37" t="s">
        <v>437</v>
      </c>
      <c r="BE37" t="s">
        <v>437</v>
      </c>
      <c r="BF37">
        <v>0</v>
      </c>
      <c r="BG37">
        <v>0</v>
      </c>
      <c r="BH37">
        <f>1-BF37/BG37</f>
        <v>0</v>
      </c>
      <c r="BI37">
        <v>0.5</v>
      </c>
      <c r="BJ37">
        <f>DI37</f>
        <v>0</v>
      </c>
      <c r="BK37">
        <f>L37</f>
        <v>0</v>
      </c>
      <c r="BL37">
        <f>BH37*BI37*BJ37</f>
        <v>0</v>
      </c>
      <c r="BM37">
        <f>(BK37-BC37)/BJ37</f>
        <v>0</v>
      </c>
      <c r="BN37">
        <f>(BA37-BG37)/BG37</f>
        <v>0</v>
      </c>
      <c r="BO37">
        <f>AZ37/(BB37+AZ37/BG37)</f>
        <v>0</v>
      </c>
      <c r="BP37" t="s">
        <v>437</v>
      </c>
      <c r="BQ37">
        <v>0</v>
      </c>
      <c r="BR37">
        <f>IF(BQ37&lt;&gt;0, BQ37, BO37)</f>
        <v>0</v>
      </c>
      <c r="BS37">
        <f>1-BR37/BG37</f>
        <v>0</v>
      </c>
      <c r="BT37">
        <f>(BG37-BF37)/(BG37-BR37)</f>
        <v>0</v>
      </c>
      <c r="BU37">
        <f>(BA37-BG37)/(BA37-BR37)</f>
        <v>0</v>
      </c>
      <c r="BV37">
        <f>(BG37-BF37)/(BG37-AZ37)</f>
        <v>0</v>
      </c>
      <c r="BW37">
        <f>(BA37-BG37)/(BA37-AZ37)</f>
        <v>0</v>
      </c>
      <c r="BX37">
        <f>(BT37*BR37/BF37)</f>
        <v>0</v>
      </c>
      <c r="BY37">
        <f>(1-BX37)</f>
        <v>0</v>
      </c>
      <c r="DH37">
        <f>$B$11*EG37+$C$11*EH37+$F$11*ES37*(1-EV37)</f>
        <v>0</v>
      </c>
      <c r="DI37">
        <f>DH37*DJ37</f>
        <v>0</v>
      </c>
      <c r="DJ37">
        <f>($B$11*$D$9+$C$11*$D$9+$F$11*((FF37+EX37)/MAX(FF37+EX37+FG37, 0.1)*$I$9+FG37/MAX(FF37+EX37+FG37, 0.1)*$J$9))/($B$11+$C$11+$F$11)</f>
        <v>0</v>
      </c>
      <c r="DK37">
        <f>($B$11*$K$9+$C$11*$K$9+$F$11*((FF37+EX37)/MAX(FF37+EX37+FG37, 0.1)*$P$9+FG37/MAX(FF37+EX37+FG37, 0.1)*$Q$9))/($B$11+$C$11+$F$11)</f>
        <v>0</v>
      </c>
      <c r="DL37">
        <v>6</v>
      </c>
      <c r="DM37">
        <v>0.5</v>
      </c>
      <c r="DN37" t="s">
        <v>438</v>
      </c>
      <c r="DO37">
        <v>2</v>
      </c>
      <c r="DP37" t="b">
        <v>1</v>
      </c>
      <c r="DQ37">
        <v>1765301109.5</v>
      </c>
      <c r="DR37">
        <v>600.066625</v>
      </c>
      <c r="DS37">
        <v>600.0334375</v>
      </c>
      <c r="DT37">
        <v>17.7589</v>
      </c>
      <c r="DU37">
        <v>17.61658125</v>
      </c>
      <c r="DV37">
        <v>591.884625</v>
      </c>
      <c r="DW37">
        <v>17.6749</v>
      </c>
      <c r="DX37">
        <v>499.9945625</v>
      </c>
      <c r="DY37">
        <v>90.07158125</v>
      </c>
      <c r="DZ37">
        <v>0.0999948</v>
      </c>
      <c r="EA37">
        <v>25.1289875</v>
      </c>
      <c r="EB37">
        <v>25.00538125</v>
      </c>
      <c r="EC37">
        <v>999.9</v>
      </c>
      <c r="ED37">
        <v>0</v>
      </c>
      <c r="EE37">
        <v>0</v>
      </c>
      <c r="EF37">
        <v>9998.5175</v>
      </c>
      <c r="EG37">
        <v>0</v>
      </c>
      <c r="EH37">
        <v>13.1368875</v>
      </c>
      <c r="EI37">
        <v>0.127056075</v>
      </c>
      <c r="EJ37">
        <v>611.011625</v>
      </c>
      <c r="EK37">
        <v>610.7935</v>
      </c>
      <c r="EL37">
        <v>0.1430825</v>
      </c>
      <c r="EM37">
        <v>600.0334375</v>
      </c>
      <c r="EN37">
        <v>17.61658125</v>
      </c>
      <c r="EO37">
        <v>1.599641875</v>
      </c>
      <c r="EP37">
        <v>1.586754375</v>
      </c>
      <c r="EQ37">
        <v>13.95535</v>
      </c>
      <c r="ER37">
        <v>13.8307625</v>
      </c>
      <c r="ES37">
        <v>799.98675</v>
      </c>
      <c r="ET37">
        <v>0.9499985625</v>
      </c>
      <c r="EU37">
        <v>0.05000169375</v>
      </c>
      <c r="EV37">
        <v>0</v>
      </c>
      <c r="EW37">
        <v>858.933875</v>
      </c>
      <c r="EX37">
        <v>5.00016</v>
      </c>
      <c r="EY37">
        <v>6653.5575</v>
      </c>
      <c r="EZ37">
        <v>7194.5525</v>
      </c>
      <c r="FA37">
        <v>40.253875</v>
      </c>
      <c r="FB37">
        <v>43.187</v>
      </c>
      <c r="FC37">
        <v>41.753875</v>
      </c>
      <c r="FD37">
        <v>43.187</v>
      </c>
      <c r="FE37">
        <v>42.875</v>
      </c>
      <c r="FF37">
        <v>755.235</v>
      </c>
      <c r="FG37">
        <v>39.75</v>
      </c>
      <c r="FH37">
        <v>0</v>
      </c>
      <c r="FI37">
        <v>1765301118.1</v>
      </c>
      <c r="FJ37">
        <v>0</v>
      </c>
      <c r="FK37">
        <v>858.923153846154</v>
      </c>
      <c r="FL37">
        <v>-1.80635897178738</v>
      </c>
      <c r="FM37">
        <v>-8.56649572916203</v>
      </c>
      <c r="FN37">
        <v>6653.49115384615</v>
      </c>
      <c r="FO37">
        <v>15</v>
      </c>
      <c r="FP37">
        <v>1765301137</v>
      </c>
      <c r="FQ37" t="s">
        <v>504</v>
      </c>
      <c r="FR37">
        <v>1765301137</v>
      </c>
      <c r="FS37">
        <v>1765301136</v>
      </c>
      <c r="FT37">
        <v>21</v>
      </c>
      <c r="FU37">
        <v>-0.094</v>
      </c>
      <c r="FV37">
        <v>0.001</v>
      </c>
      <c r="FW37">
        <v>8.182</v>
      </c>
      <c r="FX37">
        <v>0.084</v>
      </c>
      <c r="FY37">
        <v>600</v>
      </c>
      <c r="FZ37">
        <v>18</v>
      </c>
      <c r="GA37">
        <v>0.61</v>
      </c>
      <c r="GB37">
        <v>0.12</v>
      </c>
      <c r="GC37">
        <v>0.119248152380952</v>
      </c>
      <c r="GD37">
        <v>0.234574815584416</v>
      </c>
      <c r="GE37">
        <v>0.0500134383884173</v>
      </c>
      <c r="GF37">
        <v>1</v>
      </c>
      <c r="GG37">
        <v>859.041323529412</v>
      </c>
      <c r="GH37">
        <v>-2.22574483957243</v>
      </c>
      <c r="GI37">
        <v>0.282964425179132</v>
      </c>
      <c r="GJ37">
        <v>-1</v>
      </c>
      <c r="GK37">
        <v>0.147769904761905</v>
      </c>
      <c r="GL37">
        <v>-0.074861064935065</v>
      </c>
      <c r="GM37">
        <v>0.00920563190404844</v>
      </c>
      <c r="GN37">
        <v>1</v>
      </c>
      <c r="GO37">
        <v>2</v>
      </c>
      <c r="GP37">
        <v>2</v>
      </c>
      <c r="GQ37" t="s">
        <v>440</v>
      </c>
      <c r="GR37">
        <v>3.12473</v>
      </c>
      <c r="GS37">
        <v>2.72562</v>
      </c>
      <c r="GT37">
        <v>0.115573</v>
      </c>
      <c r="GU37">
        <v>0.116565</v>
      </c>
      <c r="GV37">
        <v>0.0821877</v>
      </c>
      <c r="GW37">
        <v>0.0816722</v>
      </c>
      <c r="GX37">
        <v>23381.4</v>
      </c>
      <c r="GY37">
        <v>21566.2</v>
      </c>
      <c r="GZ37">
        <v>23636.3</v>
      </c>
      <c r="HA37">
        <v>23763.6</v>
      </c>
      <c r="HB37">
        <v>36947</v>
      </c>
      <c r="HC37">
        <v>36084.4</v>
      </c>
      <c r="HD37">
        <v>42576.6</v>
      </c>
      <c r="HE37">
        <v>42327.9</v>
      </c>
      <c r="HF37">
        <v>1.92687</v>
      </c>
      <c r="HG37">
        <v>1.82712</v>
      </c>
      <c r="HH37">
        <v>0.0964701</v>
      </c>
      <c r="HI37">
        <v>0</v>
      </c>
      <c r="HJ37">
        <v>23.4278</v>
      </c>
      <c r="HK37">
        <v>999.9</v>
      </c>
      <c r="HL37">
        <v>46.508</v>
      </c>
      <c r="HM37">
        <v>29.93</v>
      </c>
      <c r="HN37">
        <v>21.9102</v>
      </c>
      <c r="HO37">
        <v>54.0703</v>
      </c>
      <c r="HP37">
        <v>47.0312</v>
      </c>
      <c r="HQ37">
        <v>1</v>
      </c>
      <c r="HR37">
        <v>-0.0502922</v>
      </c>
      <c r="HS37">
        <v>1.80037</v>
      </c>
      <c r="HT37">
        <v>20.2231</v>
      </c>
      <c r="HU37">
        <v>5.23271</v>
      </c>
      <c r="HV37">
        <v>11.992</v>
      </c>
      <c r="HW37">
        <v>4.95635</v>
      </c>
      <c r="HX37">
        <v>3.304</v>
      </c>
      <c r="HY37">
        <v>999.9</v>
      </c>
      <c r="HZ37">
        <v>9999</v>
      </c>
      <c r="IA37">
        <v>9999</v>
      </c>
      <c r="IB37">
        <v>9999</v>
      </c>
      <c r="IC37">
        <v>1.86905</v>
      </c>
      <c r="ID37">
        <v>1.86478</v>
      </c>
      <c r="IE37">
        <v>1.87235</v>
      </c>
      <c r="IF37">
        <v>1.86338</v>
      </c>
      <c r="IG37">
        <v>1.8627</v>
      </c>
      <c r="IH37">
        <v>1.86906</v>
      </c>
      <c r="II37">
        <v>1.85928</v>
      </c>
      <c r="IJ37">
        <v>1.8656</v>
      </c>
      <c r="IK37">
        <v>5</v>
      </c>
      <c r="IL37">
        <v>0</v>
      </c>
      <c r="IM37">
        <v>0</v>
      </c>
      <c r="IN37">
        <v>0</v>
      </c>
      <c r="IO37" t="s">
        <v>441</v>
      </c>
      <c r="IP37" t="s">
        <v>442</v>
      </c>
      <c r="IQ37" t="s">
        <v>443</v>
      </c>
      <c r="IR37" t="s">
        <v>443</v>
      </c>
      <c r="IS37" t="s">
        <v>443</v>
      </c>
      <c r="IT37" t="s">
        <v>443</v>
      </c>
      <c r="IU37">
        <v>0</v>
      </c>
      <c r="IV37">
        <v>100</v>
      </c>
      <c r="IW37">
        <v>100</v>
      </c>
      <c r="IX37">
        <v>8.182</v>
      </c>
      <c r="IY37">
        <v>0.084</v>
      </c>
      <c r="IZ37">
        <v>5.53120381062952</v>
      </c>
      <c r="JA37">
        <v>0.0062698613543794</v>
      </c>
      <c r="JB37">
        <v>-3.23243345529816e-06</v>
      </c>
      <c r="JC37">
        <v>8.00506428382295e-10</v>
      </c>
      <c r="JD37">
        <v>-0.0736691526054317</v>
      </c>
      <c r="JE37">
        <v>-0.0018464610107002</v>
      </c>
      <c r="JF37">
        <v>0.000796540623429801</v>
      </c>
      <c r="JG37">
        <v>-1.04619914107352e-05</v>
      </c>
      <c r="JH37">
        <v>-0</v>
      </c>
      <c r="JI37">
        <v>2101</v>
      </c>
      <c r="JJ37">
        <v>1</v>
      </c>
      <c r="JK37">
        <v>23</v>
      </c>
      <c r="JL37">
        <v>1.2</v>
      </c>
      <c r="JM37">
        <v>1.4</v>
      </c>
      <c r="JN37">
        <v>1.39404</v>
      </c>
      <c r="JO37">
        <v>2.37793</v>
      </c>
      <c r="JP37">
        <v>1.49902</v>
      </c>
      <c r="JQ37">
        <v>2.33398</v>
      </c>
      <c r="JR37">
        <v>1.54419</v>
      </c>
      <c r="JS37">
        <v>2.29126</v>
      </c>
      <c r="JT37">
        <v>37.9891</v>
      </c>
      <c r="JU37">
        <v>24.14</v>
      </c>
      <c r="JV37">
        <v>18</v>
      </c>
      <c r="JW37">
        <v>548.368</v>
      </c>
      <c r="JX37">
        <v>428.15</v>
      </c>
      <c r="JY37">
        <v>21.273</v>
      </c>
      <c r="JZ37">
        <v>26.7233</v>
      </c>
      <c r="KA37">
        <v>30.0005</v>
      </c>
      <c r="KB37">
        <v>26.5625</v>
      </c>
      <c r="KC37">
        <v>26.5728</v>
      </c>
      <c r="KD37">
        <v>27.9311</v>
      </c>
      <c r="KE37">
        <v>32.4019</v>
      </c>
      <c r="KF37">
        <v>87.0798</v>
      </c>
      <c r="KG37">
        <v>21.2684</v>
      </c>
      <c r="KH37">
        <v>600</v>
      </c>
      <c r="KI37">
        <v>17.6166</v>
      </c>
      <c r="KJ37">
        <v>95.4538</v>
      </c>
      <c r="KK37">
        <v>98.6893</v>
      </c>
    </row>
    <row r="38" spans="1:297">
      <c r="A38">
        <v>22</v>
      </c>
      <c r="B38">
        <v>1765301212</v>
      </c>
      <c r="C38">
        <v>3263</v>
      </c>
      <c r="D38" t="s">
        <v>505</v>
      </c>
      <c r="E38" t="s">
        <v>506</v>
      </c>
      <c r="F38">
        <v>5</v>
      </c>
      <c r="G38" t="s">
        <v>482</v>
      </c>
      <c r="H38" t="s">
        <v>436</v>
      </c>
      <c r="I38">
        <v>1765301203.5</v>
      </c>
      <c r="J38">
        <f>(K38)/1000</f>
        <v>0</v>
      </c>
      <c r="K38">
        <f>IF(DP38, AN38, AH38)</f>
        <v>0</v>
      </c>
      <c r="L38">
        <f>IF(DP38, AI38, AG38)</f>
        <v>0</v>
      </c>
      <c r="M38">
        <f>DR38 - IF(AU38&gt;1, L38*DL38*100.0/(AW38), 0)</f>
        <v>0</v>
      </c>
      <c r="N38">
        <f>((T38-J38/2)*M38-L38)/(T38+J38/2)</f>
        <v>0</v>
      </c>
      <c r="O38">
        <f>N38*(DY38+DZ38)/1000.0</f>
        <v>0</v>
      </c>
      <c r="P38">
        <f>(DR38 - IF(AU38&gt;1, L38*DL38*100.0/(AW38), 0))*(DY38+DZ38)/1000.0</f>
        <v>0</v>
      </c>
      <c r="Q38">
        <f>2.0/((1/S38-1/R38)+SIGN(S38)*SQRT((1/S38-1/R38)*(1/S38-1/R38) + 4*DM38/((DM38+1)*(DM38+1))*(2*1/S38*1/R38-1/R38*1/R38)))</f>
        <v>0</v>
      </c>
      <c r="R38">
        <f>IF(LEFT(DN38,1)&lt;&gt;"0",IF(LEFT(DN38,1)="1",3.0,DO38),$D$5+$E$5*(EF38*DY38/($K$5*1000))+$F$5*(EF38*DY38/($K$5*1000))*MAX(MIN(DL38,$J$5),$I$5)*MAX(MIN(DL38,$J$5),$I$5)+$G$5*MAX(MIN(DL38,$J$5),$I$5)*(EF38*DY38/($K$5*1000))+$H$5*(EF38*DY38/($K$5*1000))*(EF38*DY38/($K$5*1000)))</f>
        <v>0</v>
      </c>
      <c r="S38">
        <f>J38*(1000-(1000*0.61365*exp(17.502*W38/(240.97+W38))/(DY38+DZ38)+DT38)/2)/(1000*0.61365*exp(17.502*W38/(240.97+W38))/(DY38+DZ38)-DT38)</f>
        <v>0</v>
      </c>
      <c r="T38">
        <f>1/((DM38+1)/(Q38/1.6)+1/(R38/1.37)) + DM38/((DM38+1)/(Q38/1.6) + DM38/(R38/1.37))</f>
        <v>0</v>
      </c>
      <c r="U38">
        <f>(DH38*DK38)</f>
        <v>0</v>
      </c>
      <c r="V38">
        <f>(EA38+(U38+2*0.95*5.67E-8*(((EA38+$B$7)+273)^4-(EA38+273)^4)-44100*J38)/(1.84*29.3*R38+8*0.95*5.67E-8*(EA38+273)^3))</f>
        <v>0</v>
      </c>
      <c r="W38">
        <f>($C$7*EB38+$D$7*EC38+$E$7*V38)</f>
        <v>0</v>
      </c>
      <c r="X38">
        <f>0.61365*exp(17.502*W38/(240.97+W38))</f>
        <v>0</v>
      </c>
      <c r="Y38">
        <f>(Z38/AA38*100)</f>
        <v>0</v>
      </c>
      <c r="Z38">
        <f>DT38*(DY38+DZ38)/1000</f>
        <v>0</v>
      </c>
      <c r="AA38">
        <f>0.61365*exp(17.502*EA38/(240.97+EA38))</f>
        <v>0</v>
      </c>
      <c r="AB38">
        <f>(X38-DT38*(DY38+DZ38)/1000)</f>
        <v>0</v>
      </c>
      <c r="AC38">
        <f>(-J38*44100)</f>
        <v>0</v>
      </c>
      <c r="AD38">
        <f>2*29.3*R38*0.92*(EA38-W38)</f>
        <v>0</v>
      </c>
      <c r="AE38">
        <f>2*0.95*5.67E-8*(((EA38+$B$7)+273)^4-(W38+273)^4)</f>
        <v>0</v>
      </c>
      <c r="AF38">
        <f>U38+AE38+AC38+AD38</f>
        <v>0</v>
      </c>
      <c r="AG38">
        <f>DX38*AU38*(DS38-DR38*(1000-AU38*DU38)/(1000-AU38*DT38))/(100*DL38)</f>
        <v>0</v>
      </c>
      <c r="AH38">
        <f>1000*DX38*AU38*(DT38-DU38)/(100*DL38*(1000-AU38*DT38))</f>
        <v>0</v>
      </c>
      <c r="AI38">
        <f>(AJ38 - AK38 - DY38*1E3/(8.314*(EA38+273.15)) * AM38/DX38 * AL38) * DX38/(100*DL38) * (1000 - DU38)/1000</f>
        <v>0</v>
      </c>
      <c r="AJ38">
        <v>814.407201611402</v>
      </c>
      <c r="AK38">
        <v>814.507969696969</v>
      </c>
      <c r="AL38">
        <v>0.0260178116059802</v>
      </c>
      <c r="AM38">
        <v>63.8080370962186</v>
      </c>
      <c r="AN38">
        <f>(AP38 - AO38 + DY38*1E3/(8.314*(EA38+273.15)) * AR38/DX38 * AQ38) * DX38/(100*DL38) * 1000/(1000 - AP38)</f>
        <v>0</v>
      </c>
      <c r="AO38">
        <v>17.6494216300324</v>
      </c>
      <c r="AP38">
        <v>17.7676884848485</v>
      </c>
      <c r="AQ38">
        <v>-1.01034149493637e-05</v>
      </c>
      <c r="AR38">
        <v>105.161747598969</v>
      </c>
      <c r="AS38">
        <v>0</v>
      </c>
      <c r="AT38">
        <v>0</v>
      </c>
      <c r="AU38">
        <f>IF(AS38*$H$13&gt;=AW38,1.0,(AW38/(AW38-AS38*$H$13)))</f>
        <v>0</v>
      </c>
      <c r="AV38">
        <f>(AU38-1)*100</f>
        <v>0</v>
      </c>
      <c r="AW38">
        <f>MAX(0,($B$13+$C$13*EF38)/(1+$D$13*EF38)*DY38/(EA38+273)*$E$13)</f>
        <v>0</v>
      </c>
      <c r="AX38" t="s">
        <v>437</v>
      </c>
      <c r="AY38" t="s">
        <v>437</v>
      </c>
      <c r="AZ38">
        <v>0</v>
      </c>
      <c r="BA38">
        <v>0</v>
      </c>
      <c r="BB38">
        <f>1-AZ38/BA38</f>
        <v>0</v>
      </c>
      <c r="BC38">
        <v>0</v>
      </c>
      <c r="BD38" t="s">
        <v>437</v>
      </c>
      <c r="BE38" t="s">
        <v>437</v>
      </c>
      <c r="BF38">
        <v>0</v>
      </c>
      <c r="BG38">
        <v>0</v>
      </c>
      <c r="BH38">
        <f>1-BF38/BG38</f>
        <v>0</v>
      </c>
      <c r="BI38">
        <v>0.5</v>
      </c>
      <c r="BJ38">
        <f>DI38</f>
        <v>0</v>
      </c>
      <c r="BK38">
        <f>L38</f>
        <v>0</v>
      </c>
      <c r="BL38">
        <f>BH38*BI38*BJ38</f>
        <v>0</v>
      </c>
      <c r="BM38">
        <f>(BK38-BC38)/BJ38</f>
        <v>0</v>
      </c>
      <c r="BN38">
        <f>(BA38-BG38)/BG38</f>
        <v>0</v>
      </c>
      <c r="BO38">
        <f>AZ38/(BB38+AZ38/BG38)</f>
        <v>0</v>
      </c>
      <c r="BP38" t="s">
        <v>437</v>
      </c>
      <c r="BQ38">
        <v>0</v>
      </c>
      <c r="BR38">
        <f>IF(BQ38&lt;&gt;0, BQ38, BO38)</f>
        <v>0</v>
      </c>
      <c r="BS38">
        <f>1-BR38/BG38</f>
        <v>0</v>
      </c>
      <c r="BT38">
        <f>(BG38-BF38)/(BG38-BR38)</f>
        <v>0</v>
      </c>
      <c r="BU38">
        <f>(BA38-BG38)/(BA38-BR38)</f>
        <v>0</v>
      </c>
      <c r="BV38">
        <f>(BG38-BF38)/(BG38-AZ38)</f>
        <v>0</v>
      </c>
      <c r="BW38">
        <f>(BA38-BG38)/(BA38-AZ38)</f>
        <v>0</v>
      </c>
      <c r="BX38">
        <f>(BT38*BR38/BF38)</f>
        <v>0</v>
      </c>
      <c r="BY38">
        <f>(1-BX38)</f>
        <v>0</v>
      </c>
      <c r="DH38">
        <f>$B$11*EG38+$C$11*EH38+$F$11*ES38*(1-EV38)</f>
        <v>0</v>
      </c>
      <c r="DI38">
        <f>DH38*DJ38</f>
        <v>0</v>
      </c>
      <c r="DJ38">
        <f>($B$11*$D$9+$C$11*$D$9+$F$11*((FF38+EX38)/MAX(FF38+EX38+FG38, 0.1)*$I$9+FG38/MAX(FF38+EX38+FG38, 0.1)*$J$9))/($B$11+$C$11+$F$11)</f>
        <v>0</v>
      </c>
      <c r="DK38">
        <f>($B$11*$K$9+$C$11*$K$9+$F$11*((FF38+EX38)/MAX(FF38+EX38+FG38, 0.1)*$P$9+FG38/MAX(FF38+EX38+FG38, 0.1)*$Q$9))/($B$11+$C$11+$F$11)</f>
        <v>0</v>
      </c>
      <c r="DL38">
        <v>6</v>
      </c>
      <c r="DM38">
        <v>0.5</v>
      </c>
      <c r="DN38" t="s">
        <v>438</v>
      </c>
      <c r="DO38">
        <v>2</v>
      </c>
      <c r="DP38" t="b">
        <v>1</v>
      </c>
      <c r="DQ38">
        <v>1765301203.5</v>
      </c>
      <c r="DR38">
        <v>799.867125</v>
      </c>
      <c r="DS38">
        <v>800.023</v>
      </c>
      <c r="DT38">
        <v>17.77298125</v>
      </c>
      <c r="DU38">
        <v>17.65256875</v>
      </c>
      <c r="DV38">
        <v>791.203125</v>
      </c>
      <c r="DW38">
        <v>17.68198125</v>
      </c>
      <c r="DX38">
        <v>500.0058125</v>
      </c>
      <c r="DY38">
        <v>90.068775</v>
      </c>
      <c r="DZ38">
        <v>0.09998819375</v>
      </c>
      <c r="EA38">
        <v>25.12764375</v>
      </c>
      <c r="EB38">
        <v>24.99459375</v>
      </c>
      <c r="EC38">
        <v>999.9</v>
      </c>
      <c r="ED38">
        <v>0</v>
      </c>
      <c r="EE38">
        <v>0</v>
      </c>
      <c r="EF38">
        <v>10006.88</v>
      </c>
      <c r="EG38">
        <v>0</v>
      </c>
      <c r="EH38">
        <v>13.1474875</v>
      </c>
      <c r="EI38">
        <v>-0.04844284125</v>
      </c>
      <c r="EJ38">
        <v>814.44575</v>
      </c>
      <c r="EK38">
        <v>814.39925</v>
      </c>
      <c r="EL38">
        <v>0.1156651875</v>
      </c>
      <c r="EM38">
        <v>800.023</v>
      </c>
      <c r="EN38">
        <v>17.65256875</v>
      </c>
      <c r="EO38">
        <v>1.600364375</v>
      </c>
      <c r="EP38">
        <v>1.589945</v>
      </c>
      <c r="EQ38">
        <v>13.96230625</v>
      </c>
      <c r="ER38">
        <v>13.8617</v>
      </c>
      <c r="ES38">
        <v>799.97975</v>
      </c>
      <c r="ET38">
        <v>0.9499985625</v>
      </c>
      <c r="EU38">
        <v>0.05000164375</v>
      </c>
      <c r="EV38">
        <v>0</v>
      </c>
      <c r="EW38">
        <v>856.0330625</v>
      </c>
      <c r="EX38">
        <v>5.00016</v>
      </c>
      <c r="EY38">
        <v>6630.845</v>
      </c>
      <c r="EZ38">
        <v>7194.49</v>
      </c>
      <c r="FA38">
        <v>40.312</v>
      </c>
      <c r="FB38">
        <v>43.194875</v>
      </c>
      <c r="FC38">
        <v>41.8238125</v>
      </c>
      <c r="FD38">
        <v>43.23425</v>
      </c>
      <c r="FE38">
        <v>42.9409375</v>
      </c>
      <c r="FF38">
        <v>755.230625</v>
      </c>
      <c r="FG38">
        <v>39.75</v>
      </c>
      <c r="FH38">
        <v>0</v>
      </c>
      <c r="FI38">
        <v>1765301212.3</v>
      </c>
      <c r="FJ38">
        <v>0</v>
      </c>
      <c r="FK38">
        <v>855.95184</v>
      </c>
      <c r="FL38">
        <v>-2.01815385806957</v>
      </c>
      <c r="FM38">
        <v>-5.88461541830476</v>
      </c>
      <c r="FN38">
        <v>6630.6724</v>
      </c>
      <c r="FO38">
        <v>15</v>
      </c>
      <c r="FP38">
        <v>1765301232</v>
      </c>
      <c r="FQ38" t="s">
        <v>507</v>
      </c>
      <c r="FR38">
        <v>1765301232</v>
      </c>
      <c r="FS38">
        <v>1765301230</v>
      </c>
      <c r="FT38">
        <v>22</v>
      </c>
      <c r="FU38">
        <v>-0.108</v>
      </c>
      <c r="FV38">
        <v>0.007</v>
      </c>
      <c r="FW38">
        <v>8.664</v>
      </c>
      <c r="FX38">
        <v>0.091</v>
      </c>
      <c r="FY38">
        <v>800</v>
      </c>
      <c r="FZ38">
        <v>18</v>
      </c>
      <c r="GA38">
        <v>0.48</v>
      </c>
      <c r="GB38">
        <v>0.11</v>
      </c>
      <c r="GC38">
        <v>-0.056582626</v>
      </c>
      <c r="GD38">
        <v>0.111732626165414</v>
      </c>
      <c r="GE38">
        <v>0.0505987173816717</v>
      </c>
      <c r="GF38">
        <v>1</v>
      </c>
      <c r="GG38">
        <v>856.065382352941</v>
      </c>
      <c r="GH38">
        <v>-1.04438503273932</v>
      </c>
      <c r="GI38">
        <v>0.253317287060867</v>
      </c>
      <c r="GJ38">
        <v>-1</v>
      </c>
      <c r="GK38">
        <v>0.115703</v>
      </c>
      <c r="GL38">
        <v>0.0100314586466165</v>
      </c>
      <c r="GM38">
        <v>0.00227669563183136</v>
      </c>
      <c r="GN38">
        <v>1</v>
      </c>
      <c r="GO38">
        <v>2</v>
      </c>
      <c r="GP38">
        <v>2</v>
      </c>
      <c r="GQ38" t="s">
        <v>440</v>
      </c>
      <c r="GR38">
        <v>3.12484</v>
      </c>
      <c r="GS38">
        <v>2.72562</v>
      </c>
      <c r="GT38">
        <v>0.141191</v>
      </c>
      <c r="GU38">
        <v>0.142017</v>
      </c>
      <c r="GV38">
        <v>0.0822316</v>
      </c>
      <c r="GW38">
        <v>0.0818024</v>
      </c>
      <c r="GX38">
        <v>22697.5</v>
      </c>
      <c r="GY38">
        <v>20940.6</v>
      </c>
      <c r="GZ38">
        <v>23629.6</v>
      </c>
      <c r="HA38">
        <v>23759</v>
      </c>
      <c r="HB38">
        <v>36937.7</v>
      </c>
      <c r="HC38">
        <v>36075.4</v>
      </c>
      <c r="HD38">
        <v>42565.5</v>
      </c>
      <c r="HE38">
        <v>42321.2</v>
      </c>
      <c r="HF38">
        <v>1.92598</v>
      </c>
      <c r="HG38">
        <v>1.8256</v>
      </c>
      <c r="HH38">
        <v>0.0948869</v>
      </c>
      <c r="HI38">
        <v>0</v>
      </c>
      <c r="HJ38">
        <v>23.4267</v>
      </c>
      <c r="HK38">
        <v>999.9</v>
      </c>
      <c r="HL38">
        <v>46.435</v>
      </c>
      <c r="HM38">
        <v>30.001</v>
      </c>
      <c r="HN38">
        <v>21.9666</v>
      </c>
      <c r="HO38">
        <v>54.5103</v>
      </c>
      <c r="HP38">
        <v>46.8229</v>
      </c>
      <c r="HQ38">
        <v>1</v>
      </c>
      <c r="HR38">
        <v>-0.0424466</v>
      </c>
      <c r="HS38">
        <v>1.72968</v>
      </c>
      <c r="HT38">
        <v>20.224</v>
      </c>
      <c r="HU38">
        <v>5.23436</v>
      </c>
      <c r="HV38">
        <v>11.992</v>
      </c>
      <c r="HW38">
        <v>4.95575</v>
      </c>
      <c r="HX38">
        <v>3.304</v>
      </c>
      <c r="HY38">
        <v>999.9</v>
      </c>
      <c r="HZ38">
        <v>9999</v>
      </c>
      <c r="IA38">
        <v>9999</v>
      </c>
      <c r="IB38">
        <v>9999</v>
      </c>
      <c r="IC38">
        <v>1.86905</v>
      </c>
      <c r="ID38">
        <v>1.86478</v>
      </c>
      <c r="IE38">
        <v>1.87235</v>
      </c>
      <c r="IF38">
        <v>1.86337</v>
      </c>
      <c r="IG38">
        <v>1.86266</v>
      </c>
      <c r="IH38">
        <v>1.86905</v>
      </c>
      <c r="II38">
        <v>1.85929</v>
      </c>
      <c r="IJ38">
        <v>1.86554</v>
      </c>
      <c r="IK38">
        <v>5</v>
      </c>
      <c r="IL38">
        <v>0</v>
      </c>
      <c r="IM38">
        <v>0</v>
      </c>
      <c r="IN38">
        <v>0</v>
      </c>
      <c r="IO38" t="s">
        <v>441</v>
      </c>
      <c r="IP38" t="s">
        <v>442</v>
      </c>
      <c r="IQ38" t="s">
        <v>443</v>
      </c>
      <c r="IR38" t="s">
        <v>443</v>
      </c>
      <c r="IS38" t="s">
        <v>443</v>
      </c>
      <c r="IT38" t="s">
        <v>443</v>
      </c>
      <c r="IU38">
        <v>0</v>
      </c>
      <c r="IV38">
        <v>100</v>
      </c>
      <c r="IW38">
        <v>100</v>
      </c>
      <c r="IX38">
        <v>8.664</v>
      </c>
      <c r="IY38">
        <v>0.091</v>
      </c>
      <c r="IZ38">
        <v>5.43767333882446</v>
      </c>
      <c r="JA38">
        <v>0.0062698613543794</v>
      </c>
      <c r="JB38">
        <v>-3.23243345529816e-06</v>
      </c>
      <c r="JC38">
        <v>8.00506428382295e-10</v>
      </c>
      <c r="JD38">
        <v>-0.0722992758555218</v>
      </c>
      <c r="JE38">
        <v>-0.0018464610107002</v>
      </c>
      <c r="JF38">
        <v>0.000796540623429801</v>
      </c>
      <c r="JG38">
        <v>-1.04619914107352e-05</v>
      </c>
      <c r="JH38">
        <v>-0</v>
      </c>
      <c r="JI38">
        <v>2101</v>
      </c>
      <c r="JJ38">
        <v>1</v>
      </c>
      <c r="JK38">
        <v>23</v>
      </c>
      <c r="JL38">
        <v>1.2</v>
      </c>
      <c r="JM38">
        <v>1.3</v>
      </c>
      <c r="JN38">
        <v>1.75537</v>
      </c>
      <c r="JO38">
        <v>2.35229</v>
      </c>
      <c r="JP38">
        <v>1.4978</v>
      </c>
      <c r="JQ38">
        <v>2.33398</v>
      </c>
      <c r="JR38">
        <v>1.54419</v>
      </c>
      <c r="JS38">
        <v>2.3645</v>
      </c>
      <c r="JT38">
        <v>38.0377</v>
      </c>
      <c r="JU38">
        <v>24.1575</v>
      </c>
      <c r="JV38">
        <v>18</v>
      </c>
      <c r="JW38">
        <v>548.73</v>
      </c>
      <c r="JX38">
        <v>428.088</v>
      </c>
      <c r="JY38">
        <v>21.2528</v>
      </c>
      <c r="JZ38">
        <v>26.8245</v>
      </c>
      <c r="KA38">
        <v>30.0004</v>
      </c>
      <c r="KB38">
        <v>26.6699</v>
      </c>
      <c r="KC38">
        <v>26.682</v>
      </c>
      <c r="KD38">
        <v>35.172</v>
      </c>
      <c r="KE38">
        <v>32.4019</v>
      </c>
      <c r="KF38">
        <v>86.7096</v>
      </c>
      <c r="KG38">
        <v>21.2673</v>
      </c>
      <c r="KH38">
        <v>800</v>
      </c>
      <c r="KI38">
        <v>17.626</v>
      </c>
      <c r="KJ38">
        <v>95.4282</v>
      </c>
      <c r="KK38">
        <v>98.6725</v>
      </c>
    </row>
    <row r="39" spans="1:297">
      <c r="A39">
        <v>23</v>
      </c>
      <c r="B39">
        <v>1765301307</v>
      </c>
      <c r="C39">
        <v>3358</v>
      </c>
      <c r="D39" t="s">
        <v>508</v>
      </c>
      <c r="E39" t="s">
        <v>509</v>
      </c>
      <c r="F39">
        <v>5</v>
      </c>
      <c r="G39" t="s">
        <v>482</v>
      </c>
      <c r="H39" t="s">
        <v>436</v>
      </c>
      <c r="I39">
        <v>1765301298.5</v>
      </c>
      <c r="J39">
        <f>(K39)/1000</f>
        <v>0</v>
      </c>
      <c r="K39">
        <f>IF(DP39, AN39, AH39)</f>
        <v>0</v>
      </c>
      <c r="L39">
        <f>IF(DP39, AI39, AG39)</f>
        <v>0</v>
      </c>
      <c r="M39">
        <f>DR39 - IF(AU39&gt;1, L39*DL39*100.0/(AW39), 0)</f>
        <v>0</v>
      </c>
      <c r="N39">
        <f>((T39-J39/2)*M39-L39)/(T39+J39/2)</f>
        <v>0</v>
      </c>
      <c r="O39">
        <f>N39*(DY39+DZ39)/1000.0</f>
        <v>0</v>
      </c>
      <c r="P39">
        <f>(DR39 - IF(AU39&gt;1, L39*DL39*100.0/(AW39), 0))*(DY39+DZ39)/1000.0</f>
        <v>0</v>
      </c>
      <c r="Q39">
        <f>2.0/((1/S39-1/R39)+SIGN(S39)*SQRT((1/S39-1/R39)*(1/S39-1/R39) + 4*DM39/((DM39+1)*(DM39+1))*(2*1/S39*1/R39-1/R39*1/R39)))</f>
        <v>0</v>
      </c>
      <c r="R39">
        <f>IF(LEFT(DN39,1)&lt;&gt;"0",IF(LEFT(DN39,1)="1",3.0,DO39),$D$5+$E$5*(EF39*DY39/($K$5*1000))+$F$5*(EF39*DY39/($K$5*1000))*MAX(MIN(DL39,$J$5),$I$5)*MAX(MIN(DL39,$J$5),$I$5)+$G$5*MAX(MIN(DL39,$J$5),$I$5)*(EF39*DY39/($K$5*1000))+$H$5*(EF39*DY39/($K$5*1000))*(EF39*DY39/($K$5*1000)))</f>
        <v>0</v>
      </c>
      <c r="S39">
        <f>J39*(1000-(1000*0.61365*exp(17.502*W39/(240.97+W39))/(DY39+DZ39)+DT39)/2)/(1000*0.61365*exp(17.502*W39/(240.97+W39))/(DY39+DZ39)-DT39)</f>
        <v>0</v>
      </c>
      <c r="T39">
        <f>1/((DM39+1)/(Q39/1.6)+1/(R39/1.37)) + DM39/((DM39+1)/(Q39/1.6) + DM39/(R39/1.37))</f>
        <v>0</v>
      </c>
      <c r="U39">
        <f>(DH39*DK39)</f>
        <v>0</v>
      </c>
      <c r="V39">
        <f>(EA39+(U39+2*0.95*5.67E-8*(((EA39+$B$7)+273)^4-(EA39+273)^4)-44100*J39)/(1.84*29.3*R39+8*0.95*5.67E-8*(EA39+273)^3))</f>
        <v>0</v>
      </c>
      <c r="W39">
        <f>($C$7*EB39+$D$7*EC39+$E$7*V39)</f>
        <v>0</v>
      </c>
      <c r="X39">
        <f>0.61365*exp(17.502*W39/(240.97+W39))</f>
        <v>0</v>
      </c>
      <c r="Y39">
        <f>(Z39/AA39*100)</f>
        <v>0</v>
      </c>
      <c r="Z39">
        <f>DT39*(DY39+DZ39)/1000</f>
        <v>0</v>
      </c>
      <c r="AA39">
        <f>0.61365*exp(17.502*EA39/(240.97+EA39))</f>
        <v>0</v>
      </c>
      <c r="AB39">
        <f>(X39-DT39*(DY39+DZ39)/1000)</f>
        <v>0</v>
      </c>
      <c r="AC39">
        <f>(-J39*44100)</f>
        <v>0</v>
      </c>
      <c r="AD39">
        <f>2*29.3*R39*0.92*(EA39-W39)</f>
        <v>0</v>
      </c>
      <c r="AE39">
        <f>2*0.95*5.67E-8*(((EA39+$B$7)+273)^4-(W39+273)^4)</f>
        <v>0</v>
      </c>
      <c r="AF39">
        <f>U39+AE39+AC39+AD39</f>
        <v>0</v>
      </c>
      <c r="AG39">
        <f>DX39*AU39*(DS39-DR39*(1000-AU39*DU39)/(1000-AU39*DT39))/(100*DL39)</f>
        <v>0</v>
      </c>
      <c r="AH39">
        <f>1000*DX39*AU39*(DT39-DU39)/(100*DL39*(1000-AU39*DT39))</f>
        <v>0</v>
      </c>
      <c r="AI39">
        <f>(AJ39 - AK39 - DY39*1E3/(8.314*(EA39+273.15)) * AM39/DX39 * AL39) * DX39/(100*DL39) * (1000 - DU39)/1000</f>
        <v>0</v>
      </c>
      <c r="AJ39">
        <v>1017.9621700319</v>
      </c>
      <c r="AK39">
        <v>1017.9316969697</v>
      </c>
      <c r="AL39">
        <v>-0.0253496861201572</v>
      </c>
      <c r="AM39">
        <v>63.6377669946985</v>
      </c>
      <c r="AN39">
        <f>(AP39 - AO39 + DY39*1E3/(8.314*(EA39+273.15)) * AR39/DX39 * AQ39) * DX39/(100*DL39) * 1000/(1000 - AP39)</f>
        <v>0</v>
      </c>
      <c r="AO39">
        <v>17.6379885990971</v>
      </c>
      <c r="AP39">
        <v>17.7688254545455</v>
      </c>
      <c r="AQ39">
        <v>-8.39926318140076e-05</v>
      </c>
      <c r="AR39">
        <v>106.114124873229</v>
      </c>
      <c r="AS39">
        <v>0</v>
      </c>
      <c r="AT39">
        <v>0</v>
      </c>
      <c r="AU39">
        <f>IF(AS39*$H$13&gt;=AW39,1.0,(AW39/(AW39-AS39*$H$13)))</f>
        <v>0</v>
      </c>
      <c r="AV39">
        <f>(AU39-1)*100</f>
        <v>0</v>
      </c>
      <c r="AW39">
        <f>MAX(0,($B$13+$C$13*EF39)/(1+$D$13*EF39)*DY39/(EA39+273)*$E$13)</f>
        <v>0</v>
      </c>
      <c r="AX39" t="s">
        <v>437</v>
      </c>
      <c r="AY39" t="s">
        <v>437</v>
      </c>
      <c r="AZ39">
        <v>0</v>
      </c>
      <c r="BA39">
        <v>0</v>
      </c>
      <c r="BB39">
        <f>1-AZ39/BA39</f>
        <v>0</v>
      </c>
      <c r="BC39">
        <v>0</v>
      </c>
      <c r="BD39" t="s">
        <v>437</v>
      </c>
      <c r="BE39" t="s">
        <v>437</v>
      </c>
      <c r="BF39">
        <v>0</v>
      </c>
      <c r="BG39">
        <v>0</v>
      </c>
      <c r="BH39">
        <f>1-BF39/BG39</f>
        <v>0</v>
      </c>
      <c r="BI39">
        <v>0.5</v>
      </c>
      <c r="BJ39">
        <f>DI39</f>
        <v>0</v>
      </c>
      <c r="BK39">
        <f>L39</f>
        <v>0</v>
      </c>
      <c r="BL39">
        <f>BH39*BI39*BJ39</f>
        <v>0</v>
      </c>
      <c r="BM39">
        <f>(BK39-BC39)/BJ39</f>
        <v>0</v>
      </c>
      <c r="BN39">
        <f>(BA39-BG39)/BG39</f>
        <v>0</v>
      </c>
      <c r="BO39">
        <f>AZ39/(BB39+AZ39/BG39)</f>
        <v>0</v>
      </c>
      <c r="BP39" t="s">
        <v>437</v>
      </c>
      <c r="BQ39">
        <v>0</v>
      </c>
      <c r="BR39">
        <f>IF(BQ39&lt;&gt;0, BQ39, BO39)</f>
        <v>0</v>
      </c>
      <c r="BS39">
        <f>1-BR39/BG39</f>
        <v>0</v>
      </c>
      <c r="BT39">
        <f>(BG39-BF39)/(BG39-BR39)</f>
        <v>0</v>
      </c>
      <c r="BU39">
        <f>(BA39-BG39)/(BA39-BR39)</f>
        <v>0</v>
      </c>
      <c r="BV39">
        <f>(BG39-BF39)/(BG39-AZ39)</f>
        <v>0</v>
      </c>
      <c r="BW39">
        <f>(BA39-BG39)/(BA39-AZ39)</f>
        <v>0</v>
      </c>
      <c r="BX39">
        <f>(BT39*BR39/BF39)</f>
        <v>0</v>
      </c>
      <c r="BY39">
        <f>(1-BX39)</f>
        <v>0</v>
      </c>
      <c r="DH39">
        <f>$B$11*EG39+$C$11*EH39+$F$11*ES39*(1-EV39)</f>
        <v>0</v>
      </c>
      <c r="DI39">
        <f>DH39*DJ39</f>
        <v>0</v>
      </c>
      <c r="DJ39">
        <f>($B$11*$D$9+$C$11*$D$9+$F$11*((FF39+EX39)/MAX(FF39+EX39+FG39, 0.1)*$I$9+FG39/MAX(FF39+EX39+FG39, 0.1)*$J$9))/($B$11+$C$11+$F$11)</f>
        <v>0</v>
      </c>
      <c r="DK39">
        <f>($B$11*$K$9+$C$11*$K$9+$F$11*((FF39+EX39)/MAX(FF39+EX39+FG39, 0.1)*$P$9+FG39/MAX(FF39+EX39+FG39, 0.1)*$Q$9))/($B$11+$C$11+$F$11)</f>
        <v>0</v>
      </c>
      <c r="DL39">
        <v>6</v>
      </c>
      <c r="DM39">
        <v>0.5</v>
      </c>
      <c r="DN39" t="s">
        <v>438</v>
      </c>
      <c r="DO39">
        <v>2</v>
      </c>
      <c r="DP39" t="b">
        <v>1</v>
      </c>
      <c r="DQ39">
        <v>1765301298.5</v>
      </c>
      <c r="DR39">
        <v>999.830625</v>
      </c>
      <c r="DS39">
        <v>1000.0016875</v>
      </c>
      <c r="DT39">
        <v>17.779225</v>
      </c>
      <c r="DU39">
        <v>17.64590625</v>
      </c>
      <c r="DV39">
        <v>990.749625</v>
      </c>
      <c r="DW39">
        <v>17.686225</v>
      </c>
      <c r="DX39">
        <v>500.0091875</v>
      </c>
      <c r="DY39">
        <v>90.06565</v>
      </c>
      <c r="DZ39">
        <v>0.0999479125</v>
      </c>
      <c r="EA39">
        <v>25.12508125</v>
      </c>
      <c r="EB39">
        <v>24.99779375</v>
      </c>
      <c r="EC39">
        <v>999.9</v>
      </c>
      <c r="ED39">
        <v>0</v>
      </c>
      <c r="EE39">
        <v>0</v>
      </c>
      <c r="EF39">
        <v>10003.4375</v>
      </c>
      <c r="EG39">
        <v>0</v>
      </c>
      <c r="EH39">
        <v>13.1506125</v>
      </c>
      <c r="EI39">
        <v>-0.1047782603</v>
      </c>
      <c r="EJ39">
        <v>1017.996875</v>
      </c>
      <c r="EK39">
        <v>1017.964375</v>
      </c>
      <c r="EL39">
        <v>0.1331865</v>
      </c>
      <c r="EM39">
        <v>1000.0016875</v>
      </c>
      <c r="EN39">
        <v>17.64590625</v>
      </c>
      <c r="EO39">
        <v>1.60128625</v>
      </c>
      <c r="EP39">
        <v>1.58929</v>
      </c>
      <c r="EQ39">
        <v>13.97119375</v>
      </c>
      <c r="ER39">
        <v>13.85535</v>
      </c>
      <c r="ES39">
        <v>799.9795625</v>
      </c>
      <c r="ET39">
        <v>0.9499985</v>
      </c>
      <c r="EU39">
        <v>0.05000164375</v>
      </c>
      <c r="EV39">
        <v>0</v>
      </c>
      <c r="EW39">
        <v>853.035125</v>
      </c>
      <c r="EX39">
        <v>5.00016</v>
      </c>
      <c r="EY39">
        <v>6609.12375</v>
      </c>
      <c r="EZ39">
        <v>7194.488125</v>
      </c>
      <c r="FA39">
        <v>40.375</v>
      </c>
      <c r="FB39">
        <v>43.2381875</v>
      </c>
      <c r="FC39">
        <v>41.875</v>
      </c>
      <c r="FD39">
        <v>43.226375</v>
      </c>
      <c r="FE39">
        <v>43</v>
      </c>
      <c r="FF39">
        <v>755.229375</v>
      </c>
      <c r="FG39">
        <v>39.75</v>
      </c>
      <c r="FH39">
        <v>0</v>
      </c>
      <c r="FI39">
        <v>1765301307.1</v>
      </c>
      <c r="FJ39">
        <v>0</v>
      </c>
      <c r="FK39">
        <v>852.98096</v>
      </c>
      <c r="FL39">
        <v>-1.99346153851685</v>
      </c>
      <c r="FM39">
        <v>-15.7746154004956</v>
      </c>
      <c r="FN39">
        <v>6609.196</v>
      </c>
      <c r="FO39">
        <v>15</v>
      </c>
      <c r="FP39">
        <v>1765301327</v>
      </c>
      <c r="FQ39" t="s">
        <v>510</v>
      </c>
      <c r="FR39">
        <v>1765301327</v>
      </c>
      <c r="FS39">
        <v>1765301325</v>
      </c>
      <c r="FT39">
        <v>23</v>
      </c>
      <c r="FU39">
        <v>-0.066</v>
      </c>
      <c r="FV39">
        <v>0.003</v>
      </c>
      <c r="FW39">
        <v>9.081</v>
      </c>
      <c r="FX39">
        <v>0.093</v>
      </c>
      <c r="FY39">
        <v>1000</v>
      </c>
      <c r="FZ39">
        <v>18</v>
      </c>
      <c r="GA39">
        <v>0.4</v>
      </c>
      <c r="GB39">
        <v>0.14</v>
      </c>
      <c r="GC39">
        <v>-0.134271517371429</v>
      </c>
      <c r="GD39">
        <v>0.427368450077922</v>
      </c>
      <c r="GE39">
        <v>0.0713734505860757</v>
      </c>
      <c r="GF39">
        <v>1</v>
      </c>
      <c r="GG39">
        <v>853.171705882353</v>
      </c>
      <c r="GH39">
        <v>-2.61372039398864</v>
      </c>
      <c r="GI39">
        <v>0.304582890235519</v>
      </c>
      <c r="GJ39">
        <v>-1</v>
      </c>
      <c r="GK39">
        <v>0.132185380952381</v>
      </c>
      <c r="GL39">
        <v>0.0295560000000001</v>
      </c>
      <c r="GM39">
        <v>0.00477886576975661</v>
      </c>
      <c r="GN39">
        <v>1</v>
      </c>
      <c r="GO39">
        <v>2</v>
      </c>
      <c r="GP39">
        <v>2</v>
      </c>
      <c r="GQ39" t="s">
        <v>440</v>
      </c>
      <c r="GR39">
        <v>3.12473</v>
      </c>
      <c r="GS39">
        <v>2.7255</v>
      </c>
      <c r="GT39">
        <v>0.163721</v>
      </c>
      <c r="GU39">
        <v>0.164412</v>
      </c>
      <c r="GV39">
        <v>0.0821858</v>
      </c>
      <c r="GW39">
        <v>0.081744</v>
      </c>
      <c r="GX39">
        <v>22096.6</v>
      </c>
      <c r="GY39">
        <v>20392</v>
      </c>
      <c r="GZ39">
        <v>23623.9</v>
      </c>
      <c r="HA39">
        <v>23756.6</v>
      </c>
      <c r="HB39">
        <v>36933.6</v>
      </c>
      <c r="HC39">
        <v>36077</v>
      </c>
      <c r="HD39">
        <v>42556.4</v>
      </c>
      <c r="HE39">
        <v>42318.3</v>
      </c>
      <c r="HF39">
        <v>1.9251</v>
      </c>
      <c r="HG39">
        <v>1.82465</v>
      </c>
      <c r="HH39">
        <v>0.096716</v>
      </c>
      <c r="HI39">
        <v>0</v>
      </c>
      <c r="HJ39">
        <v>23.3972</v>
      </c>
      <c r="HK39">
        <v>999.9</v>
      </c>
      <c r="HL39">
        <v>46.337</v>
      </c>
      <c r="HM39">
        <v>30.061</v>
      </c>
      <c r="HN39">
        <v>21.9957</v>
      </c>
      <c r="HO39">
        <v>54.9703</v>
      </c>
      <c r="HP39">
        <v>47.0232</v>
      </c>
      <c r="HQ39">
        <v>1</v>
      </c>
      <c r="HR39">
        <v>-0.037002</v>
      </c>
      <c r="HS39">
        <v>1.72099</v>
      </c>
      <c r="HT39">
        <v>20.2237</v>
      </c>
      <c r="HU39">
        <v>5.23481</v>
      </c>
      <c r="HV39">
        <v>11.992</v>
      </c>
      <c r="HW39">
        <v>4.95595</v>
      </c>
      <c r="HX39">
        <v>3.30398</v>
      </c>
      <c r="HY39">
        <v>999.9</v>
      </c>
      <c r="HZ39">
        <v>9999</v>
      </c>
      <c r="IA39">
        <v>9999</v>
      </c>
      <c r="IB39">
        <v>9999</v>
      </c>
      <c r="IC39">
        <v>1.86903</v>
      </c>
      <c r="ID39">
        <v>1.86478</v>
      </c>
      <c r="IE39">
        <v>1.87228</v>
      </c>
      <c r="IF39">
        <v>1.86337</v>
      </c>
      <c r="IG39">
        <v>1.86267</v>
      </c>
      <c r="IH39">
        <v>1.86905</v>
      </c>
      <c r="II39">
        <v>1.85928</v>
      </c>
      <c r="IJ39">
        <v>1.86554</v>
      </c>
      <c r="IK39">
        <v>5</v>
      </c>
      <c r="IL39">
        <v>0</v>
      </c>
      <c r="IM39">
        <v>0</v>
      </c>
      <c r="IN39">
        <v>0</v>
      </c>
      <c r="IO39" t="s">
        <v>441</v>
      </c>
      <c r="IP39" t="s">
        <v>442</v>
      </c>
      <c r="IQ39" t="s">
        <v>443</v>
      </c>
      <c r="IR39" t="s">
        <v>443</v>
      </c>
      <c r="IS39" t="s">
        <v>443</v>
      </c>
      <c r="IT39" t="s">
        <v>443</v>
      </c>
      <c r="IU39">
        <v>0</v>
      </c>
      <c r="IV39">
        <v>100</v>
      </c>
      <c r="IW39">
        <v>100</v>
      </c>
      <c r="IX39">
        <v>9.081</v>
      </c>
      <c r="IY39">
        <v>0.093</v>
      </c>
      <c r="IZ39">
        <v>5.3296402946499</v>
      </c>
      <c r="JA39">
        <v>0.0062698613543794</v>
      </c>
      <c r="JB39">
        <v>-3.23243345529816e-06</v>
      </c>
      <c r="JC39">
        <v>8.00506428382295e-10</v>
      </c>
      <c r="JD39">
        <v>-0.0657529196611428</v>
      </c>
      <c r="JE39">
        <v>-0.0018464610107002</v>
      </c>
      <c r="JF39">
        <v>0.000796540623429801</v>
      </c>
      <c r="JG39">
        <v>-1.04619914107352e-05</v>
      </c>
      <c r="JH39">
        <v>-0</v>
      </c>
      <c r="JI39">
        <v>2101</v>
      </c>
      <c r="JJ39">
        <v>1</v>
      </c>
      <c r="JK39">
        <v>23</v>
      </c>
      <c r="JL39">
        <v>1.2</v>
      </c>
      <c r="JM39">
        <v>1.3</v>
      </c>
      <c r="JN39">
        <v>2.10205</v>
      </c>
      <c r="JO39">
        <v>2.35962</v>
      </c>
      <c r="JP39">
        <v>1.4978</v>
      </c>
      <c r="JQ39">
        <v>2.33398</v>
      </c>
      <c r="JR39">
        <v>1.54419</v>
      </c>
      <c r="JS39">
        <v>2.28516</v>
      </c>
      <c r="JT39">
        <v>38.0863</v>
      </c>
      <c r="JU39">
        <v>24.1663</v>
      </c>
      <c r="JV39">
        <v>18</v>
      </c>
      <c r="JW39">
        <v>548.928</v>
      </c>
      <c r="JX39">
        <v>428.207</v>
      </c>
      <c r="JY39">
        <v>21.3002</v>
      </c>
      <c r="JZ39">
        <v>26.8981</v>
      </c>
      <c r="KA39">
        <v>30.0001</v>
      </c>
      <c r="KB39">
        <v>26.7569</v>
      </c>
      <c r="KC39">
        <v>26.7709</v>
      </c>
      <c r="KD39">
        <v>42.0824</v>
      </c>
      <c r="KE39">
        <v>32.6805</v>
      </c>
      <c r="KF39">
        <v>86.334</v>
      </c>
      <c r="KG39">
        <v>21.3149</v>
      </c>
      <c r="KH39">
        <v>1000</v>
      </c>
      <c r="KI39">
        <v>17.6151</v>
      </c>
      <c r="KJ39">
        <v>95.4069</v>
      </c>
      <c r="KK39">
        <v>98.6647</v>
      </c>
    </row>
    <row r="40" spans="1:297">
      <c r="A40">
        <v>24</v>
      </c>
      <c r="B40">
        <v>1765301400</v>
      </c>
      <c r="C40">
        <v>3451</v>
      </c>
      <c r="D40" t="s">
        <v>511</v>
      </c>
      <c r="E40" t="s">
        <v>512</v>
      </c>
      <c r="F40">
        <v>5</v>
      </c>
      <c r="G40" t="s">
        <v>482</v>
      </c>
      <c r="H40" t="s">
        <v>436</v>
      </c>
      <c r="I40">
        <v>1765301391.5</v>
      </c>
      <c r="J40">
        <f>(K40)/1000</f>
        <v>0</v>
      </c>
      <c r="K40">
        <f>IF(DP40, AN40, AH40)</f>
        <v>0</v>
      </c>
      <c r="L40">
        <f>IF(DP40, AI40, AG40)</f>
        <v>0</v>
      </c>
      <c r="M40">
        <f>DR40 - IF(AU40&gt;1, L40*DL40*100.0/(AW40), 0)</f>
        <v>0</v>
      </c>
      <c r="N40">
        <f>((T40-J40/2)*M40-L40)/(T40+J40/2)</f>
        <v>0</v>
      </c>
      <c r="O40">
        <f>N40*(DY40+DZ40)/1000.0</f>
        <v>0</v>
      </c>
      <c r="P40">
        <f>(DR40 - IF(AU40&gt;1, L40*DL40*100.0/(AW40), 0))*(DY40+DZ40)/1000.0</f>
        <v>0</v>
      </c>
      <c r="Q40">
        <f>2.0/((1/S40-1/R40)+SIGN(S40)*SQRT((1/S40-1/R40)*(1/S40-1/R40) + 4*DM40/((DM40+1)*(DM40+1))*(2*1/S40*1/R40-1/R40*1/R40)))</f>
        <v>0</v>
      </c>
      <c r="R40">
        <f>IF(LEFT(DN40,1)&lt;&gt;"0",IF(LEFT(DN40,1)="1",3.0,DO40),$D$5+$E$5*(EF40*DY40/($K$5*1000))+$F$5*(EF40*DY40/($K$5*1000))*MAX(MIN(DL40,$J$5),$I$5)*MAX(MIN(DL40,$J$5),$I$5)+$G$5*MAX(MIN(DL40,$J$5),$I$5)*(EF40*DY40/($K$5*1000))+$H$5*(EF40*DY40/($K$5*1000))*(EF40*DY40/($K$5*1000)))</f>
        <v>0</v>
      </c>
      <c r="S40">
        <f>J40*(1000-(1000*0.61365*exp(17.502*W40/(240.97+W40))/(DY40+DZ40)+DT40)/2)/(1000*0.61365*exp(17.502*W40/(240.97+W40))/(DY40+DZ40)-DT40)</f>
        <v>0</v>
      </c>
      <c r="T40">
        <f>1/((DM40+1)/(Q40/1.6)+1/(R40/1.37)) + DM40/((DM40+1)/(Q40/1.6) + DM40/(R40/1.37))</f>
        <v>0</v>
      </c>
      <c r="U40">
        <f>(DH40*DK40)</f>
        <v>0</v>
      </c>
      <c r="V40">
        <f>(EA40+(U40+2*0.95*5.67E-8*(((EA40+$B$7)+273)^4-(EA40+273)^4)-44100*J40)/(1.84*29.3*R40+8*0.95*5.67E-8*(EA40+273)^3))</f>
        <v>0</v>
      </c>
      <c r="W40">
        <f>($C$7*EB40+$D$7*EC40+$E$7*V40)</f>
        <v>0</v>
      </c>
      <c r="X40">
        <f>0.61365*exp(17.502*W40/(240.97+W40))</f>
        <v>0</v>
      </c>
      <c r="Y40">
        <f>(Z40/AA40*100)</f>
        <v>0</v>
      </c>
      <c r="Z40">
        <f>DT40*(DY40+DZ40)/1000</f>
        <v>0</v>
      </c>
      <c r="AA40">
        <f>0.61365*exp(17.502*EA40/(240.97+EA40))</f>
        <v>0</v>
      </c>
      <c r="AB40">
        <f>(X40-DT40*(DY40+DZ40)/1000)</f>
        <v>0</v>
      </c>
      <c r="AC40">
        <f>(-J40*44100)</f>
        <v>0</v>
      </c>
      <c r="AD40">
        <f>2*29.3*R40*0.92*(EA40-W40)</f>
        <v>0</v>
      </c>
      <c r="AE40">
        <f>2*0.95*5.67E-8*(((EA40+$B$7)+273)^4-(W40+273)^4)</f>
        <v>0</v>
      </c>
      <c r="AF40">
        <f>U40+AE40+AC40+AD40</f>
        <v>0</v>
      </c>
      <c r="AG40">
        <f>DX40*AU40*(DS40-DR40*(1000-AU40*DU40)/(1000-AU40*DT40))/(100*DL40)</f>
        <v>0</v>
      </c>
      <c r="AH40">
        <f>1000*DX40*AU40*(DT40-DU40)/(100*DL40*(1000-AU40*DT40))</f>
        <v>0</v>
      </c>
      <c r="AI40">
        <f>(AJ40 - AK40 - DY40*1E3/(8.314*(EA40+273.15)) * AM40/DX40 * AL40) * DX40/(100*DL40) * (1000 - DU40)/1000</f>
        <v>0</v>
      </c>
      <c r="AJ40">
        <v>1221.60324422223</v>
      </c>
      <c r="AK40">
        <v>1220.95903030303</v>
      </c>
      <c r="AL40">
        <v>0.0231448681890939</v>
      </c>
      <c r="AM40">
        <v>63.6279203683064</v>
      </c>
      <c r="AN40">
        <f>(AP40 - AO40 + DY40*1E3/(8.314*(EA40+273.15)) * AR40/DX40 * AQ40) * DX40/(100*DL40) * 1000/(1000 - AP40)</f>
        <v>0</v>
      </c>
      <c r="AO40">
        <v>17.6450495400732</v>
      </c>
      <c r="AP40">
        <v>17.7719884848485</v>
      </c>
      <c r="AQ40">
        <v>-2.42186993625045e-05</v>
      </c>
      <c r="AR40">
        <v>106.170151903487</v>
      </c>
      <c r="AS40">
        <v>0</v>
      </c>
      <c r="AT40">
        <v>0</v>
      </c>
      <c r="AU40">
        <f>IF(AS40*$H$13&gt;=AW40,1.0,(AW40/(AW40-AS40*$H$13)))</f>
        <v>0</v>
      </c>
      <c r="AV40">
        <f>(AU40-1)*100</f>
        <v>0</v>
      </c>
      <c r="AW40">
        <f>MAX(0,($B$13+$C$13*EF40)/(1+$D$13*EF40)*DY40/(EA40+273)*$E$13)</f>
        <v>0</v>
      </c>
      <c r="AX40" t="s">
        <v>437</v>
      </c>
      <c r="AY40" t="s">
        <v>437</v>
      </c>
      <c r="AZ40">
        <v>0</v>
      </c>
      <c r="BA40">
        <v>0</v>
      </c>
      <c r="BB40">
        <f>1-AZ40/BA40</f>
        <v>0</v>
      </c>
      <c r="BC40">
        <v>0</v>
      </c>
      <c r="BD40" t="s">
        <v>437</v>
      </c>
      <c r="BE40" t="s">
        <v>437</v>
      </c>
      <c r="BF40">
        <v>0</v>
      </c>
      <c r="BG40">
        <v>0</v>
      </c>
      <c r="BH40">
        <f>1-BF40/BG40</f>
        <v>0</v>
      </c>
      <c r="BI40">
        <v>0.5</v>
      </c>
      <c r="BJ40">
        <f>DI40</f>
        <v>0</v>
      </c>
      <c r="BK40">
        <f>L40</f>
        <v>0</v>
      </c>
      <c r="BL40">
        <f>BH40*BI40*BJ40</f>
        <v>0</v>
      </c>
      <c r="BM40">
        <f>(BK40-BC40)/BJ40</f>
        <v>0</v>
      </c>
      <c r="BN40">
        <f>(BA40-BG40)/BG40</f>
        <v>0</v>
      </c>
      <c r="BO40">
        <f>AZ40/(BB40+AZ40/BG40)</f>
        <v>0</v>
      </c>
      <c r="BP40" t="s">
        <v>437</v>
      </c>
      <c r="BQ40">
        <v>0</v>
      </c>
      <c r="BR40">
        <f>IF(BQ40&lt;&gt;0, BQ40, BO40)</f>
        <v>0</v>
      </c>
      <c r="BS40">
        <f>1-BR40/BG40</f>
        <v>0</v>
      </c>
      <c r="BT40">
        <f>(BG40-BF40)/(BG40-BR40)</f>
        <v>0</v>
      </c>
      <c r="BU40">
        <f>(BA40-BG40)/(BA40-BR40)</f>
        <v>0</v>
      </c>
      <c r="BV40">
        <f>(BG40-BF40)/(BG40-AZ40)</f>
        <v>0</v>
      </c>
      <c r="BW40">
        <f>(BA40-BG40)/(BA40-AZ40)</f>
        <v>0</v>
      </c>
      <c r="BX40">
        <f>(BT40*BR40/BF40)</f>
        <v>0</v>
      </c>
      <c r="BY40">
        <f>(1-BX40)</f>
        <v>0</v>
      </c>
      <c r="DH40">
        <f>$B$11*EG40+$C$11*EH40+$F$11*ES40*(1-EV40)</f>
        <v>0</v>
      </c>
      <c r="DI40">
        <f>DH40*DJ40</f>
        <v>0</v>
      </c>
      <c r="DJ40">
        <f>($B$11*$D$9+$C$11*$D$9+$F$11*((FF40+EX40)/MAX(FF40+EX40+FG40, 0.1)*$I$9+FG40/MAX(FF40+EX40+FG40, 0.1)*$J$9))/($B$11+$C$11+$F$11)</f>
        <v>0</v>
      </c>
      <c r="DK40">
        <f>($B$11*$K$9+$C$11*$K$9+$F$11*((FF40+EX40)/MAX(FF40+EX40+FG40, 0.1)*$P$9+FG40/MAX(FF40+EX40+FG40, 0.1)*$Q$9))/($B$11+$C$11+$F$11)</f>
        <v>0</v>
      </c>
      <c r="DL40">
        <v>6</v>
      </c>
      <c r="DM40">
        <v>0.5</v>
      </c>
      <c r="DN40" t="s">
        <v>438</v>
      </c>
      <c r="DO40">
        <v>2</v>
      </c>
      <c r="DP40" t="b">
        <v>1</v>
      </c>
      <c r="DQ40">
        <v>1765301391.5</v>
      </c>
      <c r="DR40">
        <v>1199.631875</v>
      </c>
      <c r="DS40">
        <v>1200.029375</v>
      </c>
      <c r="DT40">
        <v>17.77384375</v>
      </c>
      <c r="DU40">
        <v>17.64581875</v>
      </c>
      <c r="DV40">
        <v>1189.641875</v>
      </c>
      <c r="DW40">
        <v>17.68084375</v>
      </c>
      <c r="DX40">
        <v>499.9761875</v>
      </c>
      <c r="DY40">
        <v>90.06039375</v>
      </c>
      <c r="DZ40">
        <v>0.09986185625</v>
      </c>
      <c r="EA40">
        <v>25.126925</v>
      </c>
      <c r="EB40">
        <v>24.99443125</v>
      </c>
      <c r="EC40">
        <v>999.9</v>
      </c>
      <c r="ED40">
        <v>0</v>
      </c>
      <c r="EE40">
        <v>0</v>
      </c>
      <c r="EF40">
        <v>10014.371875</v>
      </c>
      <c r="EG40">
        <v>0</v>
      </c>
      <c r="EH40">
        <v>13.14800625</v>
      </c>
      <c r="EI40">
        <v>-0.8932723125</v>
      </c>
      <c r="EJ40">
        <v>1220.838125</v>
      </c>
      <c r="EK40">
        <v>1221.584375</v>
      </c>
      <c r="EL40">
        <v>0.1305105625</v>
      </c>
      <c r="EM40">
        <v>1200.029375</v>
      </c>
      <c r="EN40">
        <v>17.64581875</v>
      </c>
      <c r="EO40">
        <v>1.6009425</v>
      </c>
      <c r="EP40">
        <v>1.589189375</v>
      </c>
      <c r="EQ40">
        <v>13.967875</v>
      </c>
      <c r="ER40">
        <v>13.854375</v>
      </c>
      <c r="ES40">
        <v>800.00275</v>
      </c>
      <c r="ET40">
        <v>0.949999625</v>
      </c>
      <c r="EU40">
        <v>0.0500005875</v>
      </c>
      <c r="EV40">
        <v>0</v>
      </c>
      <c r="EW40">
        <v>850.4629375</v>
      </c>
      <c r="EX40">
        <v>5.00016</v>
      </c>
      <c r="EY40">
        <v>6588.8025</v>
      </c>
      <c r="EZ40">
        <v>7194.7</v>
      </c>
      <c r="FA40">
        <v>40.375</v>
      </c>
      <c r="FB40">
        <v>43.20275</v>
      </c>
      <c r="FC40">
        <v>41.875</v>
      </c>
      <c r="FD40">
        <v>43.187</v>
      </c>
      <c r="FE40">
        <v>43</v>
      </c>
      <c r="FF40">
        <v>755.25125</v>
      </c>
      <c r="FG40">
        <v>39.75</v>
      </c>
      <c r="FH40">
        <v>0</v>
      </c>
      <c r="FI40">
        <v>1765301400.1</v>
      </c>
      <c r="FJ40">
        <v>0</v>
      </c>
      <c r="FK40">
        <v>850.413538461538</v>
      </c>
      <c r="FL40">
        <v>-1.3329230864026</v>
      </c>
      <c r="FM40">
        <v>-3.67316236611892</v>
      </c>
      <c r="FN40">
        <v>6588.76923076923</v>
      </c>
      <c r="FO40">
        <v>15</v>
      </c>
      <c r="FP40">
        <v>1765301424</v>
      </c>
      <c r="FQ40" t="s">
        <v>513</v>
      </c>
      <c r="FR40">
        <v>1765301424</v>
      </c>
      <c r="FS40">
        <v>1765301421</v>
      </c>
      <c r="FT40">
        <v>24</v>
      </c>
      <c r="FU40">
        <v>0.493</v>
      </c>
      <c r="FV40">
        <v>-0</v>
      </c>
      <c r="FW40">
        <v>9.99</v>
      </c>
      <c r="FX40">
        <v>0.093</v>
      </c>
      <c r="FY40">
        <v>1200</v>
      </c>
      <c r="FZ40">
        <v>18</v>
      </c>
      <c r="GA40">
        <v>0.68</v>
      </c>
      <c r="GB40">
        <v>0.26</v>
      </c>
      <c r="GC40">
        <v>-0.9167599</v>
      </c>
      <c r="GD40">
        <v>0.48651067669173</v>
      </c>
      <c r="GE40">
        <v>0.0744799661015632</v>
      </c>
      <c r="GF40">
        <v>1</v>
      </c>
      <c r="GG40">
        <v>850.500441176471</v>
      </c>
      <c r="GH40">
        <v>-1.2161802925326</v>
      </c>
      <c r="GI40">
        <v>0.211507501073564</v>
      </c>
      <c r="GJ40">
        <v>-1</v>
      </c>
      <c r="GK40">
        <v>0.1292289</v>
      </c>
      <c r="GL40">
        <v>0.0201470075187969</v>
      </c>
      <c r="GM40">
        <v>0.00527624898862819</v>
      </c>
      <c r="GN40">
        <v>1</v>
      </c>
      <c r="GO40">
        <v>2</v>
      </c>
      <c r="GP40">
        <v>2</v>
      </c>
      <c r="GQ40" t="s">
        <v>440</v>
      </c>
      <c r="GR40">
        <v>3.12473</v>
      </c>
      <c r="GS40">
        <v>2.72609</v>
      </c>
      <c r="GT40">
        <v>0.183939</v>
      </c>
      <c r="GU40">
        <v>0.184581</v>
      </c>
      <c r="GV40">
        <v>0.0821769</v>
      </c>
      <c r="GW40">
        <v>0.0817484</v>
      </c>
      <c r="GX40">
        <v>21559.3</v>
      </c>
      <c r="GY40">
        <v>19899.1</v>
      </c>
      <c r="GZ40">
        <v>23620.4</v>
      </c>
      <c r="HA40">
        <v>23755.8</v>
      </c>
      <c r="HB40">
        <v>36930.9</v>
      </c>
      <c r="HC40">
        <v>36077.1</v>
      </c>
      <c r="HD40">
        <v>42550.9</v>
      </c>
      <c r="HE40">
        <v>42316.9</v>
      </c>
      <c r="HF40">
        <v>1.92498</v>
      </c>
      <c r="HG40">
        <v>1.82423</v>
      </c>
      <c r="HH40">
        <v>0.0992641</v>
      </c>
      <c r="HI40">
        <v>0</v>
      </c>
      <c r="HJ40">
        <v>23.3647</v>
      </c>
      <c r="HK40">
        <v>999.9</v>
      </c>
      <c r="HL40">
        <v>46.215</v>
      </c>
      <c r="HM40">
        <v>30.111</v>
      </c>
      <c r="HN40">
        <v>22.0041</v>
      </c>
      <c r="HO40">
        <v>54.4303</v>
      </c>
      <c r="HP40">
        <v>46.9712</v>
      </c>
      <c r="HQ40">
        <v>1</v>
      </c>
      <c r="HR40">
        <v>-0.0347282</v>
      </c>
      <c r="HS40">
        <v>1.66837</v>
      </c>
      <c r="HT40">
        <v>20.2241</v>
      </c>
      <c r="HU40">
        <v>5.23511</v>
      </c>
      <c r="HV40">
        <v>11.992</v>
      </c>
      <c r="HW40">
        <v>4.95595</v>
      </c>
      <c r="HX40">
        <v>3.304</v>
      </c>
      <c r="HY40">
        <v>999.9</v>
      </c>
      <c r="HZ40">
        <v>9999</v>
      </c>
      <c r="IA40">
        <v>9999</v>
      </c>
      <c r="IB40">
        <v>9999</v>
      </c>
      <c r="IC40">
        <v>1.869</v>
      </c>
      <c r="ID40">
        <v>1.86478</v>
      </c>
      <c r="IE40">
        <v>1.87226</v>
      </c>
      <c r="IF40">
        <v>1.86327</v>
      </c>
      <c r="IG40">
        <v>1.86264</v>
      </c>
      <c r="IH40">
        <v>1.86905</v>
      </c>
      <c r="II40">
        <v>1.85928</v>
      </c>
      <c r="IJ40">
        <v>1.86554</v>
      </c>
      <c r="IK40">
        <v>5</v>
      </c>
      <c r="IL40">
        <v>0</v>
      </c>
      <c r="IM40">
        <v>0</v>
      </c>
      <c r="IN40">
        <v>0</v>
      </c>
      <c r="IO40" t="s">
        <v>441</v>
      </c>
      <c r="IP40" t="s">
        <v>442</v>
      </c>
      <c r="IQ40" t="s">
        <v>443</v>
      </c>
      <c r="IR40" t="s">
        <v>443</v>
      </c>
      <c r="IS40" t="s">
        <v>443</v>
      </c>
      <c r="IT40" t="s">
        <v>443</v>
      </c>
      <c r="IU40">
        <v>0</v>
      </c>
      <c r="IV40">
        <v>100</v>
      </c>
      <c r="IW40">
        <v>100</v>
      </c>
      <c r="IX40">
        <v>9.99</v>
      </c>
      <c r="IY40">
        <v>0.093</v>
      </c>
      <c r="IZ40">
        <v>5.262700652575</v>
      </c>
      <c r="JA40">
        <v>0.0062698613543794</v>
      </c>
      <c r="JB40">
        <v>-3.23243345529816e-06</v>
      </c>
      <c r="JC40">
        <v>8.00506428382295e-10</v>
      </c>
      <c r="JD40">
        <v>-0.0630586146032965</v>
      </c>
      <c r="JE40">
        <v>-0.0018464610107002</v>
      </c>
      <c r="JF40">
        <v>0.000796540623429801</v>
      </c>
      <c r="JG40">
        <v>-1.04619914107352e-05</v>
      </c>
      <c r="JH40">
        <v>-0</v>
      </c>
      <c r="JI40">
        <v>2101</v>
      </c>
      <c r="JJ40">
        <v>1</v>
      </c>
      <c r="JK40">
        <v>23</v>
      </c>
      <c r="JL40">
        <v>1.2</v>
      </c>
      <c r="JM40">
        <v>1.2</v>
      </c>
      <c r="JN40">
        <v>2.43286</v>
      </c>
      <c r="JO40">
        <v>2.33398</v>
      </c>
      <c r="JP40">
        <v>1.4978</v>
      </c>
      <c r="JQ40">
        <v>2.33276</v>
      </c>
      <c r="JR40">
        <v>1.54419</v>
      </c>
      <c r="JS40">
        <v>2.36694</v>
      </c>
      <c r="JT40">
        <v>38.1106</v>
      </c>
      <c r="JU40">
        <v>24.1751</v>
      </c>
      <c r="JV40">
        <v>18</v>
      </c>
      <c r="JW40">
        <v>549.388</v>
      </c>
      <c r="JX40">
        <v>428.443</v>
      </c>
      <c r="JY40">
        <v>21.3922</v>
      </c>
      <c r="JZ40">
        <v>26.9384</v>
      </c>
      <c r="KA40">
        <v>30.0002</v>
      </c>
      <c r="KB40">
        <v>26.8185</v>
      </c>
      <c r="KC40">
        <v>26.835</v>
      </c>
      <c r="KD40">
        <v>48.7068</v>
      </c>
      <c r="KE40">
        <v>32.6805</v>
      </c>
      <c r="KF40">
        <v>85.9636</v>
      </c>
      <c r="KG40">
        <v>21.3752</v>
      </c>
      <c r="KH40">
        <v>1200</v>
      </c>
      <c r="KI40">
        <v>17.6203</v>
      </c>
      <c r="KJ40">
        <v>95.394</v>
      </c>
      <c r="KK40">
        <v>98.6613</v>
      </c>
    </row>
    <row r="41" spans="1:297">
      <c r="A41">
        <v>25</v>
      </c>
      <c r="B41">
        <v>1765301506.1</v>
      </c>
      <c r="C41">
        <v>3557.09999990463</v>
      </c>
      <c r="D41" t="s">
        <v>514</v>
      </c>
      <c r="E41" t="s">
        <v>515</v>
      </c>
      <c r="F41">
        <v>5</v>
      </c>
      <c r="G41" t="s">
        <v>482</v>
      </c>
      <c r="H41" t="s">
        <v>436</v>
      </c>
      <c r="I41">
        <v>1765301497.6</v>
      </c>
      <c r="J41">
        <f>(K41)/1000</f>
        <v>0</v>
      </c>
      <c r="K41">
        <f>IF(DP41, AN41, AH41)</f>
        <v>0</v>
      </c>
      <c r="L41">
        <f>IF(DP41, AI41, AG41)</f>
        <v>0</v>
      </c>
      <c r="M41">
        <f>DR41 - IF(AU41&gt;1, L41*DL41*100.0/(AW41), 0)</f>
        <v>0</v>
      </c>
      <c r="N41">
        <f>((T41-J41/2)*M41-L41)/(T41+J41/2)</f>
        <v>0</v>
      </c>
      <c r="O41">
        <f>N41*(DY41+DZ41)/1000.0</f>
        <v>0</v>
      </c>
      <c r="P41">
        <f>(DR41 - IF(AU41&gt;1, L41*DL41*100.0/(AW41), 0))*(DY41+DZ41)/1000.0</f>
        <v>0</v>
      </c>
      <c r="Q41">
        <f>2.0/((1/S41-1/R41)+SIGN(S41)*SQRT((1/S41-1/R41)*(1/S41-1/R41) + 4*DM41/((DM41+1)*(DM41+1))*(2*1/S41*1/R41-1/R41*1/R41)))</f>
        <v>0</v>
      </c>
      <c r="R41">
        <f>IF(LEFT(DN41,1)&lt;&gt;"0",IF(LEFT(DN41,1)="1",3.0,DO41),$D$5+$E$5*(EF41*DY41/($K$5*1000))+$F$5*(EF41*DY41/($K$5*1000))*MAX(MIN(DL41,$J$5),$I$5)*MAX(MIN(DL41,$J$5),$I$5)+$G$5*MAX(MIN(DL41,$J$5),$I$5)*(EF41*DY41/($K$5*1000))+$H$5*(EF41*DY41/($K$5*1000))*(EF41*DY41/($K$5*1000)))</f>
        <v>0</v>
      </c>
      <c r="S41">
        <f>J41*(1000-(1000*0.61365*exp(17.502*W41/(240.97+W41))/(DY41+DZ41)+DT41)/2)/(1000*0.61365*exp(17.502*W41/(240.97+W41))/(DY41+DZ41)-DT41)</f>
        <v>0</v>
      </c>
      <c r="T41">
        <f>1/((DM41+1)/(Q41/1.6)+1/(R41/1.37)) + DM41/((DM41+1)/(Q41/1.6) + DM41/(R41/1.37))</f>
        <v>0</v>
      </c>
      <c r="U41">
        <f>(DH41*DK41)</f>
        <v>0</v>
      </c>
      <c r="V41">
        <f>(EA41+(U41+2*0.95*5.67E-8*(((EA41+$B$7)+273)^4-(EA41+273)^4)-44100*J41)/(1.84*29.3*R41+8*0.95*5.67E-8*(EA41+273)^3))</f>
        <v>0</v>
      </c>
      <c r="W41">
        <f>($C$7*EB41+$D$7*EC41+$E$7*V41)</f>
        <v>0</v>
      </c>
      <c r="X41">
        <f>0.61365*exp(17.502*W41/(240.97+W41))</f>
        <v>0</v>
      </c>
      <c r="Y41">
        <f>(Z41/AA41*100)</f>
        <v>0</v>
      </c>
      <c r="Z41">
        <f>DT41*(DY41+DZ41)/1000</f>
        <v>0</v>
      </c>
      <c r="AA41">
        <f>0.61365*exp(17.502*EA41/(240.97+EA41))</f>
        <v>0</v>
      </c>
      <c r="AB41">
        <f>(X41-DT41*(DY41+DZ41)/1000)</f>
        <v>0</v>
      </c>
      <c r="AC41">
        <f>(-J41*44100)</f>
        <v>0</v>
      </c>
      <c r="AD41">
        <f>2*29.3*R41*0.92*(EA41-W41)</f>
        <v>0</v>
      </c>
      <c r="AE41">
        <f>2*0.95*5.67E-8*(((EA41+$B$7)+273)^4-(W41+273)^4)</f>
        <v>0</v>
      </c>
      <c r="AF41">
        <f>U41+AE41+AC41+AD41</f>
        <v>0</v>
      </c>
      <c r="AG41">
        <f>DX41*AU41*(DS41-DR41*(1000-AU41*DU41)/(1000-AU41*DT41))/(100*DL41)</f>
        <v>0</v>
      </c>
      <c r="AH41">
        <f>1000*DX41*AU41*(DT41-DU41)/(100*DL41*(1000-AU41*DT41))</f>
        <v>0</v>
      </c>
      <c r="AI41">
        <f>(AJ41 - AK41 - DY41*1E3/(8.314*(EA41+273.15)) * AM41/DX41 * AL41) * DX41/(100*DL41) * (1000 - DU41)/1000</f>
        <v>0</v>
      </c>
      <c r="AJ41">
        <v>1526.83803399737</v>
      </c>
      <c r="AK41">
        <v>1526.61109090909</v>
      </c>
      <c r="AL41">
        <v>-0.0478529157214048</v>
      </c>
      <c r="AM41">
        <v>63.7459145340363</v>
      </c>
      <c r="AN41">
        <f>(AP41 - AO41 + DY41*1E3/(8.314*(EA41+273.15)) * AR41/DX41 * AQ41) * DX41/(100*DL41) * 1000/(1000 - AP41)</f>
        <v>0</v>
      </c>
      <c r="AO41">
        <v>17.6256060295215</v>
      </c>
      <c r="AP41">
        <v>17.7565181818182</v>
      </c>
      <c r="AQ41">
        <v>3.57131503181382e-05</v>
      </c>
      <c r="AR41">
        <v>105.505266004931</v>
      </c>
      <c r="AS41">
        <v>0</v>
      </c>
      <c r="AT41">
        <v>0</v>
      </c>
      <c r="AU41">
        <f>IF(AS41*$H$13&gt;=AW41,1.0,(AW41/(AW41-AS41*$H$13)))</f>
        <v>0</v>
      </c>
      <c r="AV41">
        <f>(AU41-1)*100</f>
        <v>0</v>
      </c>
      <c r="AW41">
        <f>MAX(0,($B$13+$C$13*EF41)/(1+$D$13*EF41)*DY41/(EA41+273)*$E$13)</f>
        <v>0</v>
      </c>
      <c r="AX41" t="s">
        <v>437</v>
      </c>
      <c r="AY41" t="s">
        <v>437</v>
      </c>
      <c r="AZ41">
        <v>0</v>
      </c>
      <c r="BA41">
        <v>0</v>
      </c>
      <c r="BB41">
        <f>1-AZ41/BA41</f>
        <v>0</v>
      </c>
      <c r="BC41">
        <v>0</v>
      </c>
      <c r="BD41" t="s">
        <v>437</v>
      </c>
      <c r="BE41" t="s">
        <v>437</v>
      </c>
      <c r="BF41">
        <v>0</v>
      </c>
      <c r="BG41">
        <v>0</v>
      </c>
      <c r="BH41">
        <f>1-BF41/BG41</f>
        <v>0</v>
      </c>
      <c r="BI41">
        <v>0.5</v>
      </c>
      <c r="BJ41">
        <f>DI41</f>
        <v>0</v>
      </c>
      <c r="BK41">
        <f>L41</f>
        <v>0</v>
      </c>
      <c r="BL41">
        <f>BH41*BI41*BJ41</f>
        <v>0</v>
      </c>
      <c r="BM41">
        <f>(BK41-BC41)/BJ41</f>
        <v>0</v>
      </c>
      <c r="BN41">
        <f>(BA41-BG41)/BG41</f>
        <v>0</v>
      </c>
      <c r="BO41">
        <f>AZ41/(BB41+AZ41/BG41)</f>
        <v>0</v>
      </c>
      <c r="BP41" t="s">
        <v>437</v>
      </c>
      <c r="BQ41">
        <v>0</v>
      </c>
      <c r="BR41">
        <f>IF(BQ41&lt;&gt;0, BQ41, BO41)</f>
        <v>0</v>
      </c>
      <c r="BS41">
        <f>1-BR41/BG41</f>
        <v>0</v>
      </c>
      <c r="BT41">
        <f>(BG41-BF41)/(BG41-BR41)</f>
        <v>0</v>
      </c>
      <c r="BU41">
        <f>(BA41-BG41)/(BA41-BR41)</f>
        <v>0</v>
      </c>
      <c r="BV41">
        <f>(BG41-BF41)/(BG41-AZ41)</f>
        <v>0</v>
      </c>
      <c r="BW41">
        <f>(BA41-BG41)/(BA41-AZ41)</f>
        <v>0</v>
      </c>
      <c r="BX41">
        <f>(BT41*BR41/BF41)</f>
        <v>0</v>
      </c>
      <c r="BY41">
        <f>(1-BX41)</f>
        <v>0</v>
      </c>
      <c r="DH41">
        <f>$B$11*EG41+$C$11*EH41+$F$11*ES41*(1-EV41)</f>
        <v>0</v>
      </c>
      <c r="DI41">
        <f>DH41*DJ41</f>
        <v>0</v>
      </c>
      <c r="DJ41">
        <f>($B$11*$D$9+$C$11*$D$9+$F$11*((FF41+EX41)/MAX(FF41+EX41+FG41, 0.1)*$I$9+FG41/MAX(FF41+EX41+FG41, 0.1)*$J$9))/($B$11+$C$11+$F$11)</f>
        <v>0</v>
      </c>
      <c r="DK41">
        <f>($B$11*$K$9+$C$11*$K$9+$F$11*((FF41+EX41)/MAX(FF41+EX41+FG41, 0.1)*$P$9+FG41/MAX(FF41+EX41+FG41, 0.1)*$Q$9))/($B$11+$C$11+$F$11)</f>
        <v>0</v>
      </c>
      <c r="DL41">
        <v>6</v>
      </c>
      <c r="DM41">
        <v>0.5</v>
      </c>
      <c r="DN41" t="s">
        <v>438</v>
      </c>
      <c r="DO41">
        <v>2</v>
      </c>
      <c r="DP41" t="b">
        <v>1</v>
      </c>
      <c r="DQ41">
        <v>1765301497.6</v>
      </c>
      <c r="DR41">
        <v>1499.42475</v>
      </c>
      <c r="DS41">
        <v>1499.989375</v>
      </c>
      <c r="DT41">
        <v>17.753275</v>
      </c>
      <c r="DU41">
        <v>17.6241625</v>
      </c>
      <c r="DV41">
        <v>1489.07375</v>
      </c>
      <c r="DW41">
        <v>17.660275</v>
      </c>
      <c r="DX41">
        <v>500.005</v>
      </c>
      <c r="DY41">
        <v>90.057325</v>
      </c>
      <c r="DZ41">
        <v>0.09997326875</v>
      </c>
      <c r="EA41">
        <v>25.12838125</v>
      </c>
      <c r="EB41">
        <v>24.97745625</v>
      </c>
      <c r="EC41">
        <v>999.9</v>
      </c>
      <c r="ED41">
        <v>0</v>
      </c>
      <c r="EE41">
        <v>0</v>
      </c>
      <c r="EF41">
        <v>10007.5675</v>
      </c>
      <c r="EG41">
        <v>0</v>
      </c>
      <c r="EH41">
        <v>13.143575</v>
      </c>
      <c r="EI41">
        <v>-0.345275875</v>
      </c>
      <c r="EJ41">
        <v>1526.749375</v>
      </c>
      <c r="EK41">
        <v>1526.898125</v>
      </c>
      <c r="EL41">
        <v>0.1312283125</v>
      </c>
      <c r="EM41">
        <v>1499.989375</v>
      </c>
      <c r="EN41">
        <v>17.6241625</v>
      </c>
      <c r="EO41">
        <v>1.599003125</v>
      </c>
      <c r="EP41">
        <v>1.587185625</v>
      </c>
      <c r="EQ41">
        <v>13.9491875</v>
      </c>
      <c r="ER41">
        <v>13.83494375</v>
      </c>
      <c r="ES41">
        <v>799.9596875</v>
      </c>
      <c r="ET41">
        <v>0.949996375</v>
      </c>
      <c r="EU41">
        <v>0.05000380625</v>
      </c>
      <c r="EV41">
        <v>0</v>
      </c>
      <c r="EW41">
        <v>847.734375</v>
      </c>
      <c r="EX41">
        <v>5.00016</v>
      </c>
      <c r="EY41">
        <v>6566.519375</v>
      </c>
      <c r="EZ41">
        <v>7194.304375</v>
      </c>
      <c r="FA41">
        <v>40.3553125</v>
      </c>
      <c r="FB41">
        <v>43.187</v>
      </c>
      <c r="FC41">
        <v>41.875</v>
      </c>
      <c r="FD41">
        <v>43.125</v>
      </c>
      <c r="FE41">
        <v>42.960625</v>
      </c>
      <c r="FF41">
        <v>755.20625</v>
      </c>
      <c r="FG41">
        <v>39.75</v>
      </c>
      <c r="FH41">
        <v>0</v>
      </c>
      <c r="FI41">
        <v>1765301506.3</v>
      </c>
      <c r="FJ41">
        <v>0</v>
      </c>
      <c r="FK41">
        <v>847.66808</v>
      </c>
      <c r="FL41">
        <v>-1.19223078590451</v>
      </c>
      <c r="FM41">
        <v>-12.840000002263</v>
      </c>
      <c r="FN41">
        <v>6566.4568</v>
      </c>
      <c r="FO41">
        <v>15</v>
      </c>
      <c r="FP41">
        <v>1765301547.1</v>
      </c>
      <c r="FQ41" t="s">
        <v>516</v>
      </c>
      <c r="FR41">
        <v>1765301547.1</v>
      </c>
      <c r="FS41">
        <v>1765301524.1</v>
      </c>
      <c r="FT41">
        <v>25</v>
      </c>
      <c r="FU41">
        <v>-0.22</v>
      </c>
      <c r="FV41">
        <v>-0</v>
      </c>
      <c r="FW41">
        <v>10.351</v>
      </c>
      <c r="FX41">
        <v>0.093</v>
      </c>
      <c r="FY41">
        <v>1500</v>
      </c>
      <c r="FZ41">
        <v>18</v>
      </c>
      <c r="GA41">
        <v>0.92</v>
      </c>
      <c r="GB41">
        <v>0.21</v>
      </c>
      <c r="GC41">
        <v>-0.36689680952381</v>
      </c>
      <c r="GD41">
        <v>0.480715558441559</v>
      </c>
      <c r="GE41">
        <v>0.0957484896151515</v>
      </c>
      <c r="GF41">
        <v>1</v>
      </c>
      <c r="GG41">
        <v>847.726088235294</v>
      </c>
      <c r="GH41">
        <v>-1.06788388838562</v>
      </c>
      <c r="GI41">
        <v>0.204398165015219</v>
      </c>
      <c r="GJ41">
        <v>-1</v>
      </c>
      <c r="GK41">
        <v>0.134670619047619</v>
      </c>
      <c r="GL41">
        <v>-0.0592022337662338</v>
      </c>
      <c r="GM41">
        <v>0.00643456684061203</v>
      </c>
      <c r="GN41">
        <v>1</v>
      </c>
      <c r="GO41">
        <v>2</v>
      </c>
      <c r="GP41">
        <v>2</v>
      </c>
      <c r="GQ41" t="s">
        <v>440</v>
      </c>
      <c r="GR41">
        <v>3.12471</v>
      </c>
      <c r="GS41">
        <v>2.7255</v>
      </c>
      <c r="GT41">
        <v>0.211181</v>
      </c>
      <c r="GU41">
        <v>0.211656</v>
      </c>
      <c r="GV41">
        <v>0.0821119</v>
      </c>
      <c r="GW41">
        <v>0.0816659</v>
      </c>
      <c r="GX41">
        <v>20838.5</v>
      </c>
      <c r="GY41">
        <v>19238.6</v>
      </c>
      <c r="GZ41">
        <v>23618.9</v>
      </c>
      <c r="HA41">
        <v>23755.7</v>
      </c>
      <c r="HB41">
        <v>36934.1</v>
      </c>
      <c r="HC41">
        <v>36082.5</v>
      </c>
      <c r="HD41">
        <v>42548.9</v>
      </c>
      <c r="HE41">
        <v>42317</v>
      </c>
      <c r="HF41">
        <v>1.9251</v>
      </c>
      <c r="HG41">
        <v>1.8244</v>
      </c>
      <c r="HH41">
        <v>0.101138</v>
      </c>
      <c r="HI41">
        <v>0</v>
      </c>
      <c r="HJ41">
        <v>23.3185</v>
      </c>
      <c r="HK41">
        <v>999.9</v>
      </c>
      <c r="HL41">
        <v>46.02</v>
      </c>
      <c r="HM41">
        <v>30.182</v>
      </c>
      <c r="HN41">
        <v>22.0002</v>
      </c>
      <c r="HO41">
        <v>54.063</v>
      </c>
      <c r="HP41">
        <v>46.9671</v>
      </c>
      <c r="HQ41">
        <v>1</v>
      </c>
      <c r="HR41">
        <v>-0.0348526</v>
      </c>
      <c r="HS41">
        <v>1.43164</v>
      </c>
      <c r="HT41">
        <v>20.2263</v>
      </c>
      <c r="HU41">
        <v>5.23346</v>
      </c>
      <c r="HV41">
        <v>11.992</v>
      </c>
      <c r="HW41">
        <v>4.956</v>
      </c>
      <c r="HX41">
        <v>3.304</v>
      </c>
      <c r="HY41">
        <v>999.9</v>
      </c>
      <c r="HZ41">
        <v>9999</v>
      </c>
      <c r="IA41">
        <v>9999</v>
      </c>
      <c r="IB41">
        <v>9999</v>
      </c>
      <c r="IC41">
        <v>1.86901</v>
      </c>
      <c r="ID41">
        <v>1.86477</v>
      </c>
      <c r="IE41">
        <v>1.87225</v>
      </c>
      <c r="IF41">
        <v>1.86328</v>
      </c>
      <c r="IG41">
        <v>1.86264</v>
      </c>
      <c r="IH41">
        <v>1.86905</v>
      </c>
      <c r="II41">
        <v>1.85927</v>
      </c>
      <c r="IJ41">
        <v>1.86554</v>
      </c>
      <c r="IK41">
        <v>5</v>
      </c>
      <c r="IL41">
        <v>0</v>
      </c>
      <c r="IM41">
        <v>0</v>
      </c>
      <c r="IN41">
        <v>0</v>
      </c>
      <c r="IO41" t="s">
        <v>441</v>
      </c>
      <c r="IP41" t="s">
        <v>442</v>
      </c>
      <c r="IQ41" t="s">
        <v>443</v>
      </c>
      <c r="IR41" t="s">
        <v>443</v>
      </c>
      <c r="IS41" t="s">
        <v>443</v>
      </c>
      <c r="IT41" t="s">
        <v>443</v>
      </c>
      <c r="IU41">
        <v>0</v>
      </c>
      <c r="IV41">
        <v>100</v>
      </c>
      <c r="IW41">
        <v>100</v>
      </c>
      <c r="IX41">
        <v>10.351</v>
      </c>
      <c r="IY41">
        <v>0.093</v>
      </c>
      <c r="IZ41">
        <v>5.75725429414147</v>
      </c>
      <c r="JA41">
        <v>0.0062698613543794</v>
      </c>
      <c r="JB41">
        <v>-3.23243345529816e-06</v>
      </c>
      <c r="JC41">
        <v>8.00506428382295e-10</v>
      </c>
      <c r="JD41">
        <v>-0.0630811948331877</v>
      </c>
      <c r="JE41">
        <v>-0.0018464610107002</v>
      </c>
      <c r="JF41">
        <v>0.000796540623429801</v>
      </c>
      <c r="JG41">
        <v>-1.04619914107352e-05</v>
      </c>
      <c r="JH41">
        <v>-0</v>
      </c>
      <c r="JI41">
        <v>2101</v>
      </c>
      <c r="JJ41">
        <v>1</v>
      </c>
      <c r="JK41">
        <v>23</v>
      </c>
      <c r="JL41">
        <v>1.4</v>
      </c>
      <c r="JM41">
        <v>1.4</v>
      </c>
      <c r="JN41">
        <v>2.91016</v>
      </c>
      <c r="JO41">
        <v>2.33276</v>
      </c>
      <c r="JP41">
        <v>1.49902</v>
      </c>
      <c r="JQ41">
        <v>2.33398</v>
      </c>
      <c r="JR41">
        <v>1.54419</v>
      </c>
      <c r="JS41">
        <v>2.2937</v>
      </c>
      <c r="JT41">
        <v>38.135</v>
      </c>
      <c r="JU41">
        <v>24.1751</v>
      </c>
      <c r="JV41">
        <v>18</v>
      </c>
      <c r="JW41">
        <v>549.834</v>
      </c>
      <c r="JX41">
        <v>428.87</v>
      </c>
      <c r="JY41">
        <v>21.4572</v>
      </c>
      <c r="JZ41">
        <v>26.9499</v>
      </c>
      <c r="KA41">
        <v>29.9999</v>
      </c>
      <c r="KB41">
        <v>26.8601</v>
      </c>
      <c r="KC41">
        <v>26.8778</v>
      </c>
      <c r="KD41">
        <v>58.2167</v>
      </c>
      <c r="KE41">
        <v>32.6805</v>
      </c>
      <c r="KF41">
        <v>85.5921</v>
      </c>
      <c r="KG41">
        <v>21.4668</v>
      </c>
      <c r="KH41">
        <v>1500</v>
      </c>
      <c r="KI41">
        <v>17.6267</v>
      </c>
      <c r="KJ41">
        <v>95.3888</v>
      </c>
      <c r="KK41">
        <v>98.6613</v>
      </c>
    </row>
    <row r="42" spans="1:297">
      <c r="A42">
        <v>26</v>
      </c>
      <c r="B42">
        <v>1765301639.1</v>
      </c>
      <c r="C42">
        <v>3690.09999990463</v>
      </c>
      <c r="D42" t="s">
        <v>517</v>
      </c>
      <c r="E42" t="s">
        <v>518</v>
      </c>
      <c r="F42">
        <v>5</v>
      </c>
      <c r="G42" t="s">
        <v>482</v>
      </c>
      <c r="H42" t="s">
        <v>436</v>
      </c>
      <c r="I42">
        <v>1765301631.1</v>
      </c>
      <c r="J42">
        <f>(K42)/1000</f>
        <v>0</v>
      </c>
      <c r="K42">
        <f>IF(DP42, AN42, AH42)</f>
        <v>0</v>
      </c>
      <c r="L42">
        <f>IF(DP42, AI42, AG42)</f>
        <v>0</v>
      </c>
      <c r="M42">
        <f>DR42 - IF(AU42&gt;1, L42*DL42*100.0/(AW42), 0)</f>
        <v>0</v>
      </c>
      <c r="N42">
        <f>((T42-J42/2)*M42-L42)/(T42+J42/2)</f>
        <v>0</v>
      </c>
      <c r="O42">
        <f>N42*(DY42+DZ42)/1000.0</f>
        <v>0</v>
      </c>
      <c r="P42">
        <f>(DR42 - IF(AU42&gt;1, L42*DL42*100.0/(AW42), 0))*(DY42+DZ42)/1000.0</f>
        <v>0</v>
      </c>
      <c r="Q42">
        <f>2.0/((1/S42-1/R42)+SIGN(S42)*SQRT((1/S42-1/R42)*(1/S42-1/R42) + 4*DM42/((DM42+1)*(DM42+1))*(2*1/S42*1/R42-1/R42*1/R42)))</f>
        <v>0</v>
      </c>
      <c r="R42">
        <f>IF(LEFT(DN42,1)&lt;&gt;"0",IF(LEFT(DN42,1)="1",3.0,DO42),$D$5+$E$5*(EF42*DY42/($K$5*1000))+$F$5*(EF42*DY42/($K$5*1000))*MAX(MIN(DL42,$J$5),$I$5)*MAX(MIN(DL42,$J$5),$I$5)+$G$5*MAX(MIN(DL42,$J$5),$I$5)*(EF42*DY42/($K$5*1000))+$H$5*(EF42*DY42/($K$5*1000))*(EF42*DY42/($K$5*1000)))</f>
        <v>0</v>
      </c>
      <c r="S42">
        <f>J42*(1000-(1000*0.61365*exp(17.502*W42/(240.97+W42))/(DY42+DZ42)+DT42)/2)/(1000*0.61365*exp(17.502*W42/(240.97+W42))/(DY42+DZ42)-DT42)</f>
        <v>0</v>
      </c>
      <c r="T42">
        <f>1/((DM42+1)/(Q42/1.6)+1/(R42/1.37)) + DM42/((DM42+1)/(Q42/1.6) + DM42/(R42/1.37))</f>
        <v>0</v>
      </c>
      <c r="U42">
        <f>(DH42*DK42)</f>
        <v>0</v>
      </c>
      <c r="V42">
        <f>(EA42+(U42+2*0.95*5.67E-8*(((EA42+$B$7)+273)^4-(EA42+273)^4)-44100*J42)/(1.84*29.3*R42+8*0.95*5.67E-8*(EA42+273)^3))</f>
        <v>0</v>
      </c>
      <c r="W42">
        <f>($C$7*EB42+$D$7*EC42+$E$7*V42)</f>
        <v>0</v>
      </c>
      <c r="X42">
        <f>0.61365*exp(17.502*W42/(240.97+W42))</f>
        <v>0</v>
      </c>
      <c r="Y42">
        <f>(Z42/AA42*100)</f>
        <v>0</v>
      </c>
      <c r="Z42">
        <f>DT42*(DY42+DZ42)/1000</f>
        <v>0</v>
      </c>
      <c r="AA42">
        <f>0.61365*exp(17.502*EA42/(240.97+EA42))</f>
        <v>0</v>
      </c>
      <c r="AB42">
        <f>(X42-DT42*(DY42+DZ42)/1000)</f>
        <v>0</v>
      </c>
      <c r="AC42">
        <f>(-J42*44100)</f>
        <v>0</v>
      </c>
      <c r="AD42">
        <f>2*29.3*R42*0.92*(EA42-W42)</f>
        <v>0</v>
      </c>
      <c r="AE42">
        <f>2*0.95*5.67E-8*(((EA42+$B$7)+273)^4-(W42+273)^4)</f>
        <v>0</v>
      </c>
      <c r="AF42">
        <f>U42+AE42+AC42+AD42</f>
        <v>0</v>
      </c>
      <c r="AG42">
        <f>DX42*AU42*(DS42-DR42*(1000-AU42*DU42)/(1000-AU42*DT42))/(100*DL42)</f>
        <v>0</v>
      </c>
      <c r="AH42">
        <f>1000*DX42*AU42*(DT42-DU42)/(100*DL42*(1000-AU42*DT42))</f>
        <v>0</v>
      </c>
      <c r="AI42">
        <f>(AJ42 - AK42 - DY42*1E3/(8.314*(EA42+273.15)) * AM42/DX42 * AL42) * DX42/(100*DL42) * (1000 - DU42)/1000</f>
        <v>0</v>
      </c>
      <c r="AJ42">
        <v>407.189738414148</v>
      </c>
      <c r="AK42">
        <v>407.960521212121</v>
      </c>
      <c r="AL42">
        <v>0.00250125964829172</v>
      </c>
      <c r="AM42">
        <v>64.3469985773444</v>
      </c>
      <c r="AN42">
        <f>(AP42 - AO42 + DY42*1E3/(8.314*(EA42+273.15)) * AR42/DX42 * AQ42) * DX42/(100*DL42) * 1000/(1000 - AP42)</f>
        <v>0</v>
      </c>
      <c r="AO42">
        <v>17.6577241139976</v>
      </c>
      <c r="AP42">
        <v>17.7823062937063</v>
      </c>
      <c r="AQ42">
        <v>-1.92595207848226e-05</v>
      </c>
      <c r="AR42">
        <v>102.350672277329</v>
      </c>
      <c r="AS42">
        <v>0</v>
      </c>
      <c r="AT42">
        <v>0</v>
      </c>
      <c r="AU42">
        <f>IF(AS42*$H$13&gt;=AW42,1.0,(AW42/(AW42-AS42*$H$13)))</f>
        <v>0</v>
      </c>
      <c r="AV42">
        <f>(AU42-1)*100</f>
        <v>0</v>
      </c>
      <c r="AW42">
        <f>MAX(0,($B$13+$C$13*EF42)/(1+$D$13*EF42)*DY42/(EA42+273)*$E$13)</f>
        <v>0</v>
      </c>
      <c r="AX42" t="s">
        <v>437</v>
      </c>
      <c r="AY42" t="s">
        <v>437</v>
      </c>
      <c r="AZ42">
        <v>0</v>
      </c>
      <c r="BA42">
        <v>0</v>
      </c>
      <c r="BB42">
        <f>1-AZ42/BA42</f>
        <v>0</v>
      </c>
      <c r="BC42">
        <v>0</v>
      </c>
      <c r="BD42" t="s">
        <v>437</v>
      </c>
      <c r="BE42" t="s">
        <v>437</v>
      </c>
      <c r="BF42">
        <v>0</v>
      </c>
      <c r="BG42">
        <v>0</v>
      </c>
      <c r="BH42">
        <f>1-BF42/BG42</f>
        <v>0</v>
      </c>
      <c r="BI42">
        <v>0.5</v>
      </c>
      <c r="BJ42">
        <f>DI42</f>
        <v>0</v>
      </c>
      <c r="BK42">
        <f>L42</f>
        <v>0</v>
      </c>
      <c r="BL42">
        <f>BH42*BI42*BJ42</f>
        <v>0</v>
      </c>
      <c r="BM42">
        <f>(BK42-BC42)/BJ42</f>
        <v>0</v>
      </c>
      <c r="BN42">
        <f>(BA42-BG42)/BG42</f>
        <v>0</v>
      </c>
      <c r="BO42">
        <f>AZ42/(BB42+AZ42/BG42)</f>
        <v>0</v>
      </c>
      <c r="BP42" t="s">
        <v>437</v>
      </c>
      <c r="BQ42">
        <v>0</v>
      </c>
      <c r="BR42">
        <f>IF(BQ42&lt;&gt;0, BQ42, BO42)</f>
        <v>0</v>
      </c>
      <c r="BS42">
        <f>1-BR42/BG42</f>
        <v>0</v>
      </c>
      <c r="BT42">
        <f>(BG42-BF42)/(BG42-BR42)</f>
        <v>0</v>
      </c>
      <c r="BU42">
        <f>(BA42-BG42)/(BA42-BR42)</f>
        <v>0</v>
      </c>
      <c r="BV42">
        <f>(BG42-BF42)/(BG42-AZ42)</f>
        <v>0</v>
      </c>
      <c r="BW42">
        <f>(BA42-BG42)/(BA42-AZ42)</f>
        <v>0</v>
      </c>
      <c r="BX42">
        <f>(BT42*BR42/BF42)</f>
        <v>0</v>
      </c>
      <c r="BY42">
        <f>(1-BX42)</f>
        <v>0</v>
      </c>
      <c r="DH42">
        <f>$B$11*EG42+$C$11*EH42+$F$11*ES42*(1-EV42)</f>
        <v>0</v>
      </c>
      <c r="DI42">
        <f>DH42*DJ42</f>
        <v>0</v>
      </c>
      <c r="DJ42">
        <f>($B$11*$D$9+$C$11*$D$9+$F$11*((FF42+EX42)/MAX(FF42+EX42+FG42, 0.1)*$I$9+FG42/MAX(FF42+EX42+FG42, 0.1)*$J$9))/($B$11+$C$11+$F$11)</f>
        <v>0</v>
      </c>
      <c r="DK42">
        <f>($B$11*$K$9+$C$11*$K$9+$F$11*((FF42+EX42)/MAX(FF42+EX42+FG42, 0.1)*$P$9+FG42/MAX(FF42+EX42+FG42, 0.1)*$Q$9))/($B$11+$C$11+$F$11)</f>
        <v>0</v>
      </c>
      <c r="DL42">
        <v>6</v>
      </c>
      <c r="DM42">
        <v>0.5</v>
      </c>
      <c r="DN42" t="s">
        <v>438</v>
      </c>
      <c r="DO42">
        <v>2</v>
      </c>
      <c r="DP42" t="b">
        <v>1</v>
      </c>
      <c r="DQ42">
        <v>1765301631.1</v>
      </c>
      <c r="DR42">
        <v>400.623466666667</v>
      </c>
      <c r="DS42">
        <v>399.9666</v>
      </c>
      <c r="DT42">
        <v>17.77684</v>
      </c>
      <c r="DU42">
        <v>17.6568866666667</v>
      </c>
      <c r="DV42">
        <v>393.151466666667</v>
      </c>
      <c r="DW42">
        <v>17.68784</v>
      </c>
      <c r="DX42">
        <v>500.0126</v>
      </c>
      <c r="DY42">
        <v>90.0500133333333</v>
      </c>
      <c r="DZ42">
        <v>0.10001144</v>
      </c>
      <c r="EA42">
        <v>25.13456</v>
      </c>
      <c r="EB42">
        <v>24.9896533333333</v>
      </c>
      <c r="EC42">
        <v>999.9</v>
      </c>
      <c r="ED42">
        <v>0</v>
      </c>
      <c r="EE42">
        <v>0</v>
      </c>
      <c r="EF42">
        <v>9997.01133333333</v>
      </c>
      <c r="EG42">
        <v>0</v>
      </c>
      <c r="EH42">
        <v>13.1685666666667</v>
      </c>
      <c r="EI42">
        <v>0.736464466666667</v>
      </c>
      <c r="EJ42">
        <v>407.957866666667</v>
      </c>
      <c r="EK42">
        <v>407.1556</v>
      </c>
      <c r="EL42">
        <v>0.1261442</v>
      </c>
      <c r="EM42">
        <v>399.9666</v>
      </c>
      <c r="EN42">
        <v>17.6568866666667</v>
      </c>
      <c r="EO42">
        <v>1.60136266666667</v>
      </c>
      <c r="EP42">
        <v>1.59000266666667</v>
      </c>
      <c r="EQ42">
        <v>13.9719133333333</v>
      </c>
      <c r="ER42">
        <v>13.86226</v>
      </c>
      <c r="ES42">
        <v>799.971333333333</v>
      </c>
      <c r="ET42">
        <v>0.9499966</v>
      </c>
      <c r="EU42">
        <v>0.0500036466666667</v>
      </c>
      <c r="EV42">
        <v>0</v>
      </c>
      <c r="EW42">
        <v>844.286866666667</v>
      </c>
      <c r="EX42">
        <v>5.00016</v>
      </c>
      <c r="EY42">
        <v>6539.89</v>
      </c>
      <c r="EZ42">
        <v>7194.408</v>
      </c>
      <c r="FA42">
        <v>40.312</v>
      </c>
      <c r="FB42">
        <v>43.125</v>
      </c>
      <c r="FC42">
        <v>41.854</v>
      </c>
      <c r="FD42">
        <v>43.0372</v>
      </c>
      <c r="FE42">
        <v>42.937</v>
      </c>
      <c r="FF42">
        <v>755.219333333333</v>
      </c>
      <c r="FG42">
        <v>39.75</v>
      </c>
      <c r="FH42">
        <v>0</v>
      </c>
      <c r="FI42">
        <v>1765301639.5</v>
      </c>
      <c r="FJ42">
        <v>0</v>
      </c>
      <c r="FK42">
        <v>844.24888</v>
      </c>
      <c r="FL42">
        <v>-1.58776923151355</v>
      </c>
      <c r="FM42">
        <v>-11.7399999482608</v>
      </c>
      <c r="FN42">
        <v>6539.8076</v>
      </c>
      <c r="FO42">
        <v>15</v>
      </c>
      <c r="FP42">
        <v>1765301666.1</v>
      </c>
      <c r="FQ42" t="s">
        <v>519</v>
      </c>
      <c r="FR42">
        <v>1765301666.1</v>
      </c>
      <c r="FS42">
        <v>1765301657.1</v>
      </c>
      <c r="FT42">
        <v>26</v>
      </c>
      <c r="FU42">
        <v>-0.076</v>
      </c>
      <c r="FV42">
        <v>-0.004</v>
      </c>
      <c r="FW42">
        <v>7.472</v>
      </c>
      <c r="FX42">
        <v>0.089</v>
      </c>
      <c r="FY42">
        <v>400</v>
      </c>
      <c r="FZ42">
        <v>18</v>
      </c>
      <c r="GA42">
        <v>0.36</v>
      </c>
      <c r="GB42">
        <v>0.12</v>
      </c>
      <c r="GC42">
        <v>0.776897619047619</v>
      </c>
      <c r="GD42">
        <v>-0.797683012987011</v>
      </c>
      <c r="GE42">
        <v>0.0905692302193275</v>
      </c>
      <c r="GF42">
        <v>0</v>
      </c>
      <c r="GG42">
        <v>844.387382352941</v>
      </c>
      <c r="GH42">
        <v>-2.36013751034345</v>
      </c>
      <c r="GI42">
        <v>0.28704242509816</v>
      </c>
      <c r="GJ42">
        <v>-1</v>
      </c>
      <c r="GK42">
        <v>0.125814238095238</v>
      </c>
      <c r="GL42">
        <v>0.00435140259740267</v>
      </c>
      <c r="GM42">
        <v>0.00178256217162028</v>
      </c>
      <c r="GN42">
        <v>1</v>
      </c>
      <c r="GO42">
        <v>1</v>
      </c>
      <c r="GP42">
        <v>2</v>
      </c>
      <c r="GQ42" t="s">
        <v>520</v>
      </c>
      <c r="GR42">
        <v>3.12472</v>
      </c>
      <c r="GS42">
        <v>2.72572</v>
      </c>
      <c r="GT42">
        <v>0.085258</v>
      </c>
      <c r="GU42">
        <v>0.0863584</v>
      </c>
      <c r="GV42">
        <v>0.08219</v>
      </c>
      <c r="GW42">
        <v>0.0817653</v>
      </c>
      <c r="GX42">
        <v>24163.2</v>
      </c>
      <c r="GY42">
        <v>22297.7</v>
      </c>
      <c r="GZ42">
        <v>23618.2</v>
      </c>
      <c r="HA42">
        <v>23758.5</v>
      </c>
      <c r="HB42">
        <v>36918.6</v>
      </c>
      <c r="HC42">
        <v>36072.3</v>
      </c>
      <c r="HD42">
        <v>42546.9</v>
      </c>
      <c r="HE42">
        <v>42321.1</v>
      </c>
      <c r="HF42">
        <v>1.92432</v>
      </c>
      <c r="HG42">
        <v>1.82113</v>
      </c>
      <c r="HH42">
        <v>0.104316</v>
      </c>
      <c r="HI42">
        <v>0</v>
      </c>
      <c r="HJ42">
        <v>23.2803</v>
      </c>
      <c r="HK42">
        <v>999.9</v>
      </c>
      <c r="HL42">
        <v>45.8</v>
      </c>
      <c r="HM42">
        <v>30.242</v>
      </c>
      <c r="HN42">
        <v>21.9709</v>
      </c>
      <c r="HO42">
        <v>54.953</v>
      </c>
      <c r="HP42">
        <v>46.9311</v>
      </c>
      <c r="HQ42">
        <v>1</v>
      </c>
      <c r="HR42">
        <v>-0.0383435</v>
      </c>
      <c r="HS42">
        <v>1.39901</v>
      </c>
      <c r="HT42">
        <v>20.2265</v>
      </c>
      <c r="HU42">
        <v>5.23496</v>
      </c>
      <c r="HV42">
        <v>11.992</v>
      </c>
      <c r="HW42">
        <v>4.95595</v>
      </c>
      <c r="HX42">
        <v>3.304</v>
      </c>
      <c r="HY42">
        <v>999.9</v>
      </c>
      <c r="HZ42">
        <v>9999</v>
      </c>
      <c r="IA42">
        <v>9999</v>
      </c>
      <c r="IB42">
        <v>9999</v>
      </c>
      <c r="IC42">
        <v>1.86896</v>
      </c>
      <c r="ID42">
        <v>1.86471</v>
      </c>
      <c r="IE42">
        <v>1.87225</v>
      </c>
      <c r="IF42">
        <v>1.86325</v>
      </c>
      <c r="IG42">
        <v>1.86264</v>
      </c>
      <c r="IH42">
        <v>1.86904</v>
      </c>
      <c r="II42">
        <v>1.85922</v>
      </c>
      <c r="IJ42">
        <v>1.86552</v>
      </c>
      <c r="IK42">
        <v>5</v>
      </c>
      <c r="IL42">
        <v>0</v>
      </c>
      <c r="IM42">
        <v>0</v>
      </c>
      <c r="IN42">
        <v>0</v>
      </c>
      <c r="IO42" t="s">
        <v>441</v>
      </c>
      <c r="IP42" t="s">
        <v>442</v>
      </c>
      <c r="IQ42" t="s">
        <v>443</v>
      </c>
      <c r="IR42" t="s">
        <v>443</v>
      </c>
      <c r="IS42" t="s">
        <v>443</v>
      </c>
      <c r="IT42" t="s">
        <v>443</v>
      </c>
      <c r="IU42">
        <v>0</v>
      </c>
      <c r="IV42">
        <v>100</v>
      </c>
      <c r="IW42">
        <v>100</v>
      </c>
      <c r="IX42">
        <v>7.472</v>
      </c>
      <c r="IY42">
        <v>0.089</v>
      </c>
      <c r="IZ42">
        <v>5.53740385308968</v>
      </c>
      <c r="JA42">
        <v>0.0062698613543794</v>
      </c>
      <c r="JB42">
        <v>-3.23243345529816e-06</v>
      </c>
      <c r="JC42">
        <v>8.00506428382295e-10</v>
      </c>
      <c r="JD42">
        <v>-0.063455254009149</v>
      </c>
      <c r="JE42">
        <v>-0.0018464610107002</v>
      </c>
      <c r="JF42">
        <v>0.000796540623429801</v>
      </c>
      <c r="JG42">
        <v>-1.04619914107352e-05</v>
      </c>
      <c r="JH42">
        <v>-0</v>
      </c>
      <c r="JI42">
        <v>2101</v>
      </c>
      <c r="JJ42">
        <v>1</v>
      </c>
      <c r="JK42">
        <v>23</v>
      </c>
      <c r="JL42">
        <v>1.5</v>
      </c>
      <c r="JM42">
        <v>1.9</v>
      </c>
      <c r="JN42">
        <v>1.0083</v>
      </c>
      <c r="JO42">
        <v>2.35596</v>
      </c>
      <c r="JP42">
        <v>1.49902</v>
      </c>
      <c r="JQ42">
        <v>2.33276</v>
      </c>
      <c r="JR42">
        <v>1.54419</v>
      </c>
      <c r="JS42">
        <v>2.35962</v>
      </c>
      <c r="JT42">
        <v>38.135</v>
      </c>
      <c r="JU42">
        <v>24.1926</v>
      </c>
      <c r="JV42">
        <v>18</v>
      </c>
      <c r="JW42">
        <v>549.454</v>
      </c>
      <c r="JX42">
        <v>427.088</v>
      </c>
      <c r="JY42">
        <v>21.5734</v>
      </c>
      <c r="JZ42">
        <v>26.9247</v>
      </c>
      <c r="KA42">
        <v>30</v>
      </c>
      <c r="KB42">
        <v>26.874</v>
      </c>
      <c r="KC42">
        <v>26.8953</v>
      </c>
      <c r="KD42">
        <v>20.2315</v>
      </c>
      <c r="KE42">
        <v>31.8503</v>
      </c>
      <c r="KF42">
        <v>85.2203</v>
      </c>
      <c r="KG42">
        <v>21.5732</v>
      </c>
      <c r="KH42">
        <v>400</v>
      </c>
      <c r="KI42">
        <v>17.6858</v>
      </c>
      <c r="KJ42">
        <v>95.385</v>
      </c>
      <c r="KK42">
        <v>98.6715</v>
      </c>
    </row>
    <row r="43" spans="1:297">
      <c r="A43">
        <v>27</v>
      </c>
      <c r="B43">
        <v>1765302708.1</v>
      </c>
      <c r="C43">
        <v>4759.09999990463</v>
      </c>
      <c r="D43" t="s">
        <v>521</v>
      </c>
      <c r="E43" t="s">
        <v>522</v>
      </c>
      <c r="F43">
        <v>5</v>
      </c>
      <c r="G43" t="s">
        <v>523</v>
      </c>
      <c r="H43" t="s">
        <v>436</v>
      </c>
      <c r="I43">
        <v>1765302700.1</v>
      </c>
      <c r="J43">
        <f>(K43)/1000</f>
        <v>0</v>
      </c>
      <c r="K43">
        <f>IF(DP43, AN43, AH43)</f>
        <v>0</v>
      </c>
      <c r="L43">
        <f>IF(DP43, AI43, AG43)</f>
        <v>0</v>
      </c>
      <c r="M43">
        <f>DR43 - IF(AU43&gt;1, L43*DL43*100.0/(AW43), 0)</f>
        <v>0</v>
      </c>
      <c r="N43">
        <f>((T43-J43/2)*M43-L43)/(T43+J43/2)</f>
        <v>0</v>
      </c>
      <c r="O43">
        <f>N43*(DY43+DZ43)/1000.0</f>
        <v>0</v>
      </c>
      <c r="P43">
        <f>(DR43 - IF(AU43&gt;1, L43*DL43*100.0/(AW43), 0))*(DY43+DZ43)/1000.0</f>
        <v>0</v>
      </c>
      <c r="Q43">
        <f>2.0/((1/S43-1/R43)+SIGN(S43)*SQRT((1/S43-1/R43)*(1/S43-1/R43) + 4*DM43/((DM43+1)*(DM43+1))*(2*1/S43*1/R43-1/R43*1/R43)))</f>
        <v>0</v>
      </c>
      <c r="R43">
        <f>IF(LEFT(DN43,1)&lt;&gt;"0",IF(LEFT(DN43,1)="1",3.0,DO43),$D$5+$E$5*(EF43*DY43/($K$5*1000))+$F$5*(EF43*DY43/($K$5*1000))*MAX(MIN(DL43,$J$5),$I$5)*MAX(MIN(DL43,$J$5),$I$5)+$G$5*MAX(MIN(DL43,$J$5),$I$5)*(EF43*DY43/($K$5*1000))+$H$5*(EF43*DY43/($K$5*1000))*(EF43*DY43/($K$5*1000)))</f>
        <v>0</v>
      </c>
      <c r="S43">
        <f>J43*(1000-(1000*0.61365*exp(17.502*W43/(240.97+W43))/(DY43+DZ43)+DT43)/2)/(1000*0.61365*exp(17.502*W43/(240.97+W43))/(DY43+DZ43)-DT43)</f>
        <v>0</v>
      </c>
      <c r="T43">
        <f>1/((DM43+1)/(Q43/1.6)+1/(R43/1.37)) + DM43/((DM43+1)/(Q43/1.6) + DM43/(R43/1.37))</f>
        <v>0</v>
      </c>
      <c r="U43">
        <f>(DH43*DK43)</f>
        <v>0</v>
      </c>
      <c r="V43">
        <f>(EA43+(U43+2*0.95*5.67E-8*(((EA43+$B$7)+273)^4-(EA43+273)^4)-44100*J43)/(1.84*29.3*R43+8*0.95*5.67E-8*(EA43+273)^3))</f>
        <v>0</v>
      </c>
      <c r="W43">
        <f>($C$7*EB43+$D$7*EC43+$E$7*V43)</f>
        <v>0</v>
      </c>
      <c r="X43">
        <f>0.61365*exp(17.502*W43/(240.97+W43))</f>
        <v>0</v>
      </c>
      <c r="Y43">
        <f>(Z43/AA43*100)</f>
        <v>0</v>
      </c>
      <c r="Z43">
        <f>DT43*(DY43+DZ43)/1000</f>
        <v>0</v>
      </c>
      <c r="AA43">
        <f>0.61365*exp(17.502*EA43/(240.97+EA43))</f>
        <v>0</v>
      </c>
      <c r="AB43">
        <f>(X43-DT43*(DY43+DZ43)/1000)</f>
        <v>0</v>
      </c>
      <c r="AC43">
        <f>(-J43*44100)</f>
        <v>0</v>
      </c>
      <c r="AD43">
        <f>2*29.3*R43*0.92*(EA43-W43)</f>
        <v>0</v>
      </c>
      <c r="AE43">
        <f>2*0.95*5.67E-8*(((EA43+$B$7)+273)^4-(W43+273)^4)</f>
        <v>0</v>
      </c>
      <c r="AF43">
        <f>U43+AE43+AC43+AD43</f>
        <v>0</v>
      </c>
      <c r="AG43">
        <f>DX43*AU43*(DS43-DR43*(1000-AU43*DU43)/(1000-AU43*DT43))/(100*DL43)</f>
        <v>0</v>
      </c>
      <c r="AH43">
        <f>1000*DX43*AU43*(DT43-DU43)/(100*DL43*(1000-AU43*DT43))</f>
        <v>0</v>
      </c>
      <c r="AI43">
        <f>(AJ43 - AK43 - DY43*1E3/(8.314*(EA43+273.15)) * AM43/DX43 * AL43) * DX43/(100*DL43) * (1000 - DU43)/1000</f>
        <v>0</v>
      </c>
      <c r="AJ43">
        <v>407.312676739481</v>
      </c>
      <c r="AK43">
        <v>407.059775757576</v>
      </c>
      <c r="AL43">
        <v>-0.00142694551389803</v>
      </c>
      <c r="AM43">
        <v>63.13092377817</v>
      </c>
      <c r="AN43">
        <f>(AP43 - AO43 + DY43*1E3/(8.314*(EA43+273.15)) * AR43/DX43 * AQ43) * DX43/(100*DL43) * 1000/(1000 - AP43)</f>
        <v>0</v>
      </c>
      <c r="AO43">
        <v>17.9567212186239</v>
      </c>
      <c r="AP43">
        <v>18.0127557575758</v>
      </c>
      <c r="AQ43">
        <v>1.9389182464849e-06</v>
      </c>
      <c r="AR43">
        <v>109.251460240674</v>
      </c>
      <c r="AS43">
        <v>0</v>
      </c>
      <c r="AT43">
        <v>0</v>
      </c>
      <c r="AU43">
        <f>IF(AS43*$H$13&gt;=AW43,1.0,(AW43/(AW43-AS43*$H$13)))</f>
        <v>0</v>
      </c>
      <c r="AV43">
        <f>(AU43-1)*100</f>
        <v>0</v>
      </c>
      <c r="AW43">
        <f>MAX(0,($B$13+$C$13*EF43)/(1+$D$13*EF43)*DY43/(EA43+273)*$E$13)</f>
        <v>0</v>
      </c>
      <c r="AX43" t="s">
        <v>437</v>
      </c>
      <c r="AY43" t="s">
        <v>437</v>
      </c>
      <c r="AZ43">
        <v>0</v>
      </c>
      <c r="BA43">
        <v>0</v>
      </c>
      <c r="BB43">
        <f>1-AZ43/BA43</f>
        <v>0</v>
      </c>
      <c r="BC43">
        <v>0</v>
      </c>
      <c r="BD43" t="s">
        <v>437</v>
      </c>
      <c r="BE43" t="s">
        <v>437</v>
      </c>
      <c r="BF43">
        <v>0</v>
      </c>
      <c r="BG43">
        <v>0</v>
      </c>
      <c r="BH43">
        <f>1-BF43/BG43</f>
        <v>0</v>
      </c>
      <c r="BI43">
        <v>0.5</v>
      </c>
      <c r="BJ43">
        <f>DI43</f>
        <v>0</v>
      </c>
      <c r="BK43">
        <f>L43</f>
        <v>0</v>
      </c>
      <c r="BL43">
        <f>BH43*BI43*BJ43</f>
        <v>0</v>
      </c>
      <c r="BM43">
        <f>(BK43-BC43)/BJ43</f>
        <v>0</v>
      </c>
      <c r="BN43">
        <f>(BA43-BG43)/BG43</f>
        <v>0</v>
      </c>
      <c r="BO43">
        <f>AZ43/(BB43+AZ43/BG43)</f>
        <v>0</v>
      </c>
      <c r="BP43" t="s">
        <v>437</v>
      </c>
      <c r="BQ43">
        <v>0</v>
      </c>
      <c r="BR43">
        <f>IF(BQ43&lt;&gt;0, BQ43, BO43)</f>
        <v>0</v>
      </c>
      <c r="BS43">
        <f>1-BR43/BG43</f>
        <v>0</v>
      </c>
      <c r="BT43">
        <f>(BG43-BF43)/(BG43-BR43)</f>
        <v>0</v>
      </c>
      <c r="BU43">
        <f>(BA43-BG43)/(BA43-BR43)</f>
        <v>0</v>
      </c>
      <c r="BV43">
        <f>(BG43-BF43)/(BG43-AZ43)</f>
        <v>0</v>
      </c>
      <c r="BW43">
        <f>(BA43-BG43)/(BA43-AZ43)</f>
        <v>0</v>
      </c>
      <c r="BX43">
        <f>(BT43*BR43/BF43)</f>
        <v>0</v>
      </c>
      <c r="BY43">
        <f>(1-BX43)</f>
        <v>0</v>
      </c>
      <c r="DH43">
        <f>$B$11*EG43+$C$11*EH43+$F$11*ES43*(1-EV43)</f>
        <v>0</v>
      </c>
      <c r="DI43">
        <f>DH43*DJ43</f>
        <v>0</v>
      </c>
      <c r="DJ43">
        <f>($B$11*$D$9+$C$11*$D$9+$F$11*((FF43+EX43)/MAX(FF43+EX43+FG43, 0.1)*$I$9+FG43/MAX(FF43+EX43+FG43, 0.1)*$J$9))/($B$11+$C$11+$F$11)</f>
        <v>0</v>
      </c>
      <c r="DK43">
        <f>($B$11*$K$9+$C$11*$K$9+$F$11*((FF43+EX43)/MAX(FF43+EX43+FG43, 0.1)*$P$9+FG43/MAX(FF43+EX43+FG43, 0.1)*$Q$9))/($B$11+$C$11+$F$11)</f>
        <v>0</v>
      </c>
      <c r="DL43">
        <v>6</v>
      </c>
      <c r="DM43">
        <v>0.5</v>
      </c>
      <c r="DN43" t="s">
        <v>438</v>
      </c>
      <c r="DO43">
        <v>2</v>
      </c>
      <c r="DP43" t="b">
        <v>1</v>
      </c>
      <c r="DQ43">
        <v>1765302700.1</v>
      </c>
      <c r="DR43">
        <v>399.780066666667</v>
      </c>
      <c r="DS43">
        <v>400.004066666667</v>
      </c>
      <c r="DT43">
        <v>18.0152733333333</v>
      </c>
      <c r="DU43">
        <v>17.95402</v>
      </c>
      <c r="DV43">
        <v>392.222066666667</v>
      </c>
      <c r="DW43">
        <v>17.9142733333333</v>
      </c>
      <c r="DX43">
        <v>499.986</v>
      </c>
      <c r="DY43">
        <v>90.01254</v>
      </c>
      <c r="DZ43">
        <v>0.0999383133333333</v>
      </c>
      <c r="EA43">
        <v>25.2848933333333</v>
      </c>
      <c r="EB43">
        <v>25.00732</v>
      </c>
      <c r="EC43">
        <v>999.9</v>
      </c>
      <c r="ED43">
        <v>0</v>
      </c>
      <c r="EE43">
        <v>0</v>
      </c>
      <c r="EF43">
        <v>10005.7933333333</v>
      </c>
      <c r="EG43">
        <v>0</v>
      </c>
      <c r="EH43">
        <v>12.4089333333333</v>
      </c>
      <c r="EI43">
        <v>-0.3110312</v>
      </c>
      <c r="EJ43">
        <v>407.023</v>
      </c>
      <c r="EK43">
        <v>407.317133333333</v>
      </c>
      <c r="EL43">
        <v>0.05476062</v>
      </c>
      <c r="EM43">
        <v>400.004066666667</v>
      </c>
      <c r="EN43">
        <v>17.95402</v>
      </c>
      <c r="EO43">
        <v>1.621016</v>
      </c>
      <c r="EP43">
        <v>1.61608666666667</v>
      </c>
      <c r="EQ43">
        <v>14.1600533333333</v>
      </c>
      <c r="ER43">
        <v>14.11306</v>
      </c>
      <c r="ES43">
        <v>799.998133333333</v>
      </c>
      <c r="ET43">
        <v>0.950004333333334</v>
      </c>
      <c r="EU43">
        <v>0.0499954733333333</v>
      </c>
      <c r="EV43">
        <v>0</v>
      </c>
      <c r="EW43">
        <v>947.149133333333</v>
      </c>
      <c r="EX43">
        <v>5.00016</v>
      </c>
      <c r="EY43">
        <v>7371.95866666667</v>
      </c>
      <c r="EZ43">
        <v>7194.67066666667</v>
      </c>
      <c r="FA43">
        <v>40.125</v>
      </c>
      <c r="FB43">
        <v>42.9080666666667</v>
      </c>
      <c r="FC43">
        <v>41.625</v>
      </c>
      <c r="FD43">
        <v>42.875</v>
      </c>
      <c r="FE43">
        <v>42.75</v>
      </c>
      <c r="FF43">
        <v>755.251333333333</v>
      </c>
      <c r="FG43">
        <v>39.75</v>
      </c>
      <c r="FH43">
        <v>0</v>
      </c>
      <c r="FI43">
        <v>1765302708.1</v>
      </c>
      <c r="FJ43">
        <v>0</v>
      </c>
      <c r="FK43">
        <v>947.144461538462</v>
      </c>
      <c r="FL43">
        <v>-1.56143589798473</v>
      </c>
      <c r="FM43">
        <v>-19.1083760591566</v>
      </c>
      <c r="FN43">
        <v>7371.75846153846</v>
      </c>
      <c r="FO43">
        <v>15</v>
      </c>
      <c r="FP43">
        <v>1765302738.1</v>
      </c>
      <c r="FQ43" t="s">
        <v>524</v>
      </c>
      <c r="FR43">
        <v>1765302738.1</v>
      </c>
      <c r="FS43">
        <v>1765302726.1</v>
      </c>
      <c r="FT43">
        <v>27</v>
      </c>
      <c r="FU43">
        <v>0.086</v>
      </c>
      <c r="FV43">
        <v>0.007</v>
      </c>
      <c r="FW43">
        <v>7.558</v>
      </c>
      <c r="FX43">
        <v>0.101</v>
      </c>
      <c r="FY43">
        <v>400</v>
      </c>
      <c r="FZ43">
        <v>18</v>
      </c>
      <c r="GA43">
        <v>0.74</v>
      </c>
      <c r="GB43">
        <v>0.22</v>
      </c>
      <c r="GC43">
        <v>-0.30683605</v>
      </c>
      <c r="GD43">
        <v>0.198684766917293</v>
      </c>
      <c r="GE43">
        <v>0.0440148124061378</v>
      </c>
      <c r="GF43">
        <v>1</v>
      </c>
      <c r="GG43">
        <v>947.263911764706</v>
      </c>
      <c r="GH43">
        <v>-1.96737967956606</v>
      </c>
      <c r="GI43">
        <v>0.272891744065735</v>
      </c>
      <c r="GJ43">
        <v>-1</v>
      </c>
      <c r="GK43">
        <v>0.05347958</v>
      </c>
      <c r="GL43">
        <v>0.0258956120300752</v>
      </c>
      <c r="GM43">
        <v>0.00263431393243099</v>
      </c>
      <c r="GN43">
        <v>1</v>
      </c>
      <c r="GO43">
        <v>2</v>
      </c>
      <c r="GP43">
        <v>2</v>
      </c>
      <c r="GQ43" t="s">
        <v>440</v>
      </c>
      <c r="GR43">
        <v>3.12482</v>
      </c>
      <c r="GS43">
        <v>2.72578</v>
      </c>
      <c r="GT43">
        <v>0.0850958</v>
      </c>
      <c r="GU43">
        <v>0.0863477</v>
      </c>
      <c r="GV43">
        <v>0.0829792</v>
      </c>
      <c r="GW43">
        <v>0.0827644</v>
      </c>
      <c r="GX43">
        <v>24158.8</v>
      </c>
      <c r="GY43">
        <v>22311.3</v>
      </c>
      <c r="GZ43">
        <v>23609</v>
      </c>
      <c r="HA43">
        <v>23771.9</v>
      </c>
      <c r="HB43">
        <v>36871.1</v>
      </c>
      <c r="HC43">
        <v>36053.2</v>
      </c>
      <c r="HD43">
        <v>42529.1</v>
      </c>
      <c r="HE43">
        <v>42344.6</v>
      </c>
      <c r="HF43">
        <v>1.9261</v>
      </c>
      <c r="HG43">
        <v>1.8216</v>
      </c>
      <c r="HH43">
        <v>0.0927001</v>
      </c>
      <c r="HI43">
        <v>0</v>
      </c>
      <c r="HJ43">
        <v>23.4746</v>
      </c>
      <c r="HK43">
        <v>999.9</v>
      </c>
      <c r="HL43">
        <v>44.988</v>
      </c>
      <c r="HM43">
        <v>30.575</v>
      </c>
      <c r="HN43">
        <v>22.0087</v>
      </c>
      <c r="HO43">
        <v>54.6431</v>
      </c>
      <c r="HP43">
        <v>46.9351</v>
      </c>
      <c r="HQ43">
        <v>1</v>
      </c>
      <c r="HR43">
        <v>-0.0508714</v>
      </c>
      <c r="HS43">
        <v>1.47054</v>
      </c>
      <c r="HT43">
        <v>20.2256</v>
      </c>
      <c r="HU43">
        <v>5.23451</v>
      </c>
      <c r="HV43">
        <v>11.992</v>
      </c>
      <c r="HW43">
        <v>4.9558</v>
      </c>
      <c r="HX43">
        <v>3.304</v>
      </c>
      <c r="HY43">
        <v>999.9</v>
      </c>
      <c r="HZ43">
        <v>9999</v>
      </c>
      <c r="IA43">
        <v>9999</v>
      </c>
      <c r="IB43">
        <v>9999</v>
      </c>
      <c r="IC43">
        <v>1.86878</v>
      </c>
      <c r="ID43">
        <v>1.86457</v>
      </c>
      <c r="IE43">
        <v>1.8721</v>
      </c>
      <c r="IF43">
        <v>1.86311</v>
      </c>
      <c r="IG43">
        <v>1.86249</v>
      </c>
      <c r="IH43">
        <v>1.8689</v>
      </c>
      <c r="II43">
        <v>1.85911</v>
      </c>
      <c r="IJ43">
        <v>1.86538</v>
      </c>
      <c r="IK43">
        <v>5</v>
      </c>
      <c r="IL43">
        <v>0</v>
      </c>
      <c r="IM43">
        <v>0</v>
      </c>
      <c r="IN43">
        <v>0</v>
      </c>
      <c r="IO43" t="s">
        <v>441</v>
      </c>
      <c r="IP43" t="s">
        <v>442</v>
      </c>
      <c r="IQ43" t="s">
        <v>443</v>
      </c>
      <c r="IR43" t="s">
        <v>443</v>
      </c>
      <c r="IS43" t="s">
        <v>443</v>
      </c>
      <c r="IT43" t="s">
        <v>443</v>
      </c>
      <c r="IU43">
        <v>0</v>
      </c>
      <c r="IV43">
        <v>100</v>
      </c>
      <c r="IW43">
        <v>100</v>
      </c>
      <c r="IX43">
        <v>7.558</v>
      </c>
      <c r="IY43">
        <v>0.101</v>
      </c>
      <c r="IZ43">
        <v>5.46074028541186</v>
      </c>
      <c r="JA43">
        <v>0.0062698613543794</v>
      </c>
      <c r="JB43">
        <v>-3.23243345529816e-06</v>
      </c>
      <c r="JC43">
        <v>8.00506428382295e-10</v>
      </c>
      <c r="JD43">
        <v>-0.0678896482184964</v>
      </c>
      <c r="JE43">
        <v>-0.0018464610107002</v>
      </c>
      <c r="JF43">
        <v>0.000796540623429801</v>
      </c>
      <c r="JG43">
        <v>-1.04619914107352e-05</v>
      </c>
      <c r="JH43">
        <v>-0</v>
      </c>
      <c r="JI43">
        <v>2101</v>
      </c>
      <c r="JJ43">
        <v>1</v>
      </c>
      <c r="JK43">
        <v>23</v>
      </c>
      <c r="JL43">
        <v>17.4</v>
      </c>
      <c r="JM43">
        <v>17.5</v>
      </c>
      <c r="JN43">
        <v>1.00952</v>
      </c>
      <c r="JO43">
        <v>2.3584</v>
      </c>
      <c r="JP43">
        <v>1.4978</v>
      </c>
      <c r="JQ43">
        <v>2.33154</v>
      </c>
      <c r="JR43">
        <v>1.54419</v>
      </c>
      <c r="JS43">
        <v>2.35962</v>
      </c>
      <c r="JT43">
        <v>37.8437</v>
      </c>
      <c r="JU43">
        <v>24.2626</v>
      </c>
      <c r="JV43">
        <v>18</v>
      </c>
      <c r="JW43">
        <v>549.638</v>
      </c>
      <c r="JX43">
        <v>426.534</v>
      </c>
      <c r="JY43">
        <v>21.7743</v>
      </c>
      <c r="JZ43">
        <v>26.7726</v>
      </c>
      <c r="KA43">
        <v>30.0002</v>
      </c>
      <c r="KB43">
        <v>26.764</v>
      </c>
      <c r="KC43">
        <v>26.7849</v>
      </c>
      <c r="KD43">
        <v>20.263</v>
      </c>
      <c r="KE43">
        <v>30.0831</v>
      </c>
      <c r="KF43">
        <v>83.3468</v>
      </c>
      <c r="KG43">
        <v>21.7554</v>
      </c>
      <c r="KH43">
        <v>400</v>
      </c>
      <c r="KI43">
        <v>17.9127</v>
      </c>
      <c r="KJ43">
        <v>95.346</v>
      </c>
      <c r="KK43">
        <v>98.7267</v>
      </c>
    </row>
    <row r="44" spans="1:297">
      <c r="A44">
        <v>28</v>
      </c>
      <c r="B44">
        <v>1765302811.1</v>
      </c>
      <c r="C44">
        <v>4862.09999990463</v>
      </c>
      <c r="D44" t="s">
        <v>525</v>
      </c>
      <c r="E44" t="s">
        <v>526</v>
      </c>
      <c r="F44">
        <v>5</v>
      </c>
      <c r="G44" t="s">
        <v>523</v>
      </c>
      <c r="H44" t="s">
        <v>436</v>
      </c>
      <c r="I44">
        <v>1765302802.6</v>
      </c>
      <c r="J44">
        <f>(K44)/1000</f>
        <v>0</v>
      </c>
      <c r="K44">
        <f>IF(DP44, AN44, AH44)</f>
        <v>0</v>
      </c>
      <c r="L44">
        <f>IF(DP44, AI44, AG44)</f>
        <v>0</v>
      </c>
      <c r="M44">
        <f>DR44 - IF(AU44&gt;1, L44*DL44*100.0/(AW44), 0)</f>
        <v>0</v>
      </c>
      <c r="N44">
        <f>((T44-J44/2)*M44-L44)/(T44+J44/2)</f>
        <v>0</v>
      </c>
      <c r="O44">
        <f>N44*(DY44+DZ44)/1000.0</f>
        <v>0</v>
      </c>
      <c r="P44">
        <f>(DR44 - IF(AU44&gt;1, L44*DL44*100.0/(AW44), 0))*(DY44+DZ44)/1000.0</f>
        <v>0</v>
      </c>
      <c r="Q44">
        <f>2.0/((1/S44-1/R44)+SIGN(S44)*SQRT((1/S44-1/R44)*(1/S44-1/R44) + 4*DM44/((DM44+1)*(DM44+1))*(2*1/S44*1/R44-1/R44*1/R44)))</f>
        <v>0</v>
      </c>
      <c r="R44">
        <f>IF(LEFT(DN44,1)&lt;&gt;"0",IF(LEFT(DN44,1)="1",3.0,DO44),$D$5+$E$5*(EF44*DY44/($K$5*1000))+$F$5*(EF44*DY44/($K$5*1000))*MAX(MIN(DL44,$J$5),$I$5)*MAX(MIN(DL44,$J$5),$I$5)+$G$5*MAX(MIN(DL44,$J$5),$I$5)*(EF44*DY44/($K$5*1000))+$H$5*(EF44*DY44/($K$5*1000))*(EF44*DY44/($K$5*1000)))</f>
        <v>0</v>
      </c>
      <c r="S44">
        <f>J44*(1000-(1000*0.61365*exp(17.502*W44/(240.97+W44))/(DY44+DZ44)+DT44)/2)/(1000*0.61365*exp(17.502*W44/(240.97+W44))/(DY44+DZ44)-DT44)</f>
        <v>0</v>
      </c>
      <c r="T44">
        <f>1/((DM44+1)/(Q44/1.6)+1/(R44/1.37)) + DM44/((DM44+1)/(Q44/1.6) + DM44/(R44/1.37))</f>
        <v>0</v>
      </c>
      <c r="U44">
        <f>(DH44*DK44)</f>
        <v>0</v>
      </c>
      <c r="V44">
        <f>(EA44+(U44+2*0.95*5.67E-8*(((EA44+$B$7)+273)^4-(EA44+273)^4)-44100*J44)/(1.84*29.3*R44+8*0.95*5.67E-8*(EA44+273)^3))</f>
        <v>0</v>
      </c>
      <c r="W44">
        <f>($C$7*EB44+$D$7*EC44+$E$7*V44)</f>
        <v>0</v>
      </c>
      <c r="X44">
        <f>0.61365*exp(17.502*W44/(240.97+W44))</f>
        <v>0</v>
      </c>
      <c r="Y44">
        <f>(Z44/AA44*100)</f>
        <v>0</v>
      </c>
      <c r="Z44">
        <f>DT44*(DY44+DZ44)/1000</f>
        <v>0</v>
      </c>
      <c r="AA44">
        <f>0.61365*exp(17.502*EA44/(240.97+EA44))</f>
        <v>0</v>
      </c>
      <c r="AB44">
        <f>(X44-DT44*(DY44+DZ44)/1000)</f>
        <v>0</v>
      </c>
      <c r="AC44">
        <f>(-J44*44100)</f>
        <v>0</v>
      </c>
      <c r="AD44">
        <f>2*29.3*R44*0.92*(EA44-W44)</f>
        <v>0</v>
      </c>
      <c r="AE44">
        <f>2*0.95*5.67E-8*(((EA44+$B$7)+273)^4-(W44+273)^4)</f>
        <v>0</v>
      </c>
      <c r="AF44">
        <f>U44+AE44+AC44+AD44</f>
        <v>0</v>
      </c>
      <c r="AG44">
        <f>DX44*AU44*(DS44-DR44*(1000-AU44*DU44)/(1000-AU44*DT44))/(100*DL44)</f>
        <v>0</v>
      </c>
      <c r="AH44">
        <f>1000*DX44*AU44*(DT44-DU44)/(100*DL44*(1000-AU44*DT44))</f>
        <v>0</v>
      </c>
      <c r="AI44">
        <f>(AJ44 - AK44 - DY44*1E3/(8.314*(EA44+273.15)) * AM44/DX44 * AL44) * DX44/(100*DL44) * (1000 - DU44)/1000</f>
        <v>0</v>
      </c>
      <c r="AJ44">
        <v>305.428368646389</v>
      </c>
      <c r="AK44">
        <v>305.792606060606</v>
      </c>
      <c r="AL44">
        <v>0.00332488829422195</v>
      </c>
      <c r="AM44">
        <v>63.2895464919104</v>
      </c>
      <c r="AN44">
        <f>(AP44 - AO44 + DY44*1E3/(8.314*(EA44+273.15)) * AR44/DX44 * AQ44) * DX44/(100*DL44) * 1000/(1000 - AP44)</f>
        <v>0</v>
      </c>
      <c r="AO44">
        <v>17.8143936827222</v>
      </c>
      <c r="AP44">
        <v>17.8871733333333</v>
      </c>
      <c r="AQ44">
        <v>2.34735796944098e-05</v>
      </c>
      <c r="AR44">
        <v>108.194169419223</v>
      </c>
      <c r="AS44">
        <v>0</v>
      </c>
      <c r="AT44">
        <v>0</v>
      </c>
      <c r="AU44">
        <f>IF(AS44*$H$13&gt;=AW44,1.0,(AW44/(AW44-AS44*$H$13)))</f>
        <v>0</v>
      </c>
      <c r="AV44">
        <f>(AU44-1)*100</f>
        <v>0</v>
      </c>
      <c r="AW44">
        <f>MAX(0,($B$13+$C$13*EF44)/(1+$D$13*EF44)*DY44/(EA44+273)*$E$13)</f>
        <v>0</v>
      </c>
      <c r="AX44" t="s">
        <v>437</v>
      </c>
      <c r="AY44" t="s">
        <v>437</v>
      </c>
      <c r="AZ44">
        <v>0</v>
      </c>
      <c r="BA44">
        <v>0</v>
      </c>
      <c r="BB44">
        <f>1-AZ44/BA44</f>
        <v>0</v>
      </c>
      <c r="BC44">
        <v>0</v>
      </c>
      <c r="BD44" t="s">
        <v>437</v>
      </c>
      <c r="BE44" t="s">
        <v>437</v>
      </c>
      <c r="BF44">
        <v>0</v>
      </c>
      <c r="BG44">
        <v>0</v>
      </c>
      <c r="BH44">
        <f>1-BF44/BG44</f>
        <v>0</v>
      </c>
      <c r="BI44">
        <v>0.5</v>
      </c>
      <c r="BJ44">
        <f>DI44</f>
        <v>0</v>
      </c>
      <c r="BK44">
        <f>L44</f>
        <v>0</v>
      </c>
      <c r="BL44">
        <f>BH44*BI44*BJ44</f>
        <v>0</v>
      </c>
      <c r="BM44">
        <f>(BK44-BC44)/BJ44</f>
        <v>0</v>
      </c>
      <c r="BN44">
        <f>(BA44-BG44)/BG44</f>
        <v>0</v>
      </c>
      <c r="BO44">
        <f>AZ44/(BB44+AZ44/BG44)</f>
        <v>0</v>
      </c>
      <c r="BP44" t="s">
        <v>437</v>
      </c>
      <c r="BQ44">
        <v>0</v>
      </c>
      <c r="BR44">
        <f>IF(BQ44&lt;&gt;0, BQ44, BO44)</f>
        <v>0</v>
      </c>
      <c r="BS44">
        <f>1-BR44/BG44</f>
        <v>0</v>
      </c>
      <c r="BT44">
        <f>(BG44-BF44)/(BG44-BR44)</f>
        <v>0</v>
      </c>
      <c r="BU44">
        <f>(BA44-BG44)/(BA44-BR44)</f>
        <v>0</v>
      </c>
      <c r="BV44">
        <f>(BG44-BF44)/(BG44-AZ44)</f>
        <v>0</v>
      </c>
      <c r="BW44">
        <f>(BA44-BG44)/(BA44-AZ44)</f>
        <v>0</v>
      </c>
      <c r="BX44">
        <f>(BT44*BR44/BF44)</f>
        <v>0</v>
      </c>
      <c r="BY44">
        <f>(1-BX44)</f>
        <v>0</v>
      </c>
      <c r="DH44">
        <f>$B$11*EG44+$C$11*EH44+$F$11*ES44*(1-EV44)</f>
        <v>0</v>
      </c>
      <c r="DI44">
        <f>DH44*DJ44</f>
        <v>0</v>
      </c>
      <c r="DJ44">
        <f>($B$11*$D$9+$C$11*$D$9+$F$11*((FF44+EX44)/MAX(FF44+EX44+FG44, 0.1)*$I$9+FG44/MAX(FF44+EX44+FG44, 0.1)*$J$9))/($B$11+$C$11+$F$11)</f>
        <v>0</v>
      </c>
      <c r="DK44">
        <f>($B$11*$K$9+$C$11*$K$9+$F$11*((FF44+EX44)/MAX(FF44+EX44+FG44, 0.1)*$P$9+FG44/MAX(FF44+EX44+FG44, 0.1)*$Q$9))/($B$11+$C$11+$F$11)</f>
        <v>0</v>
      </c>
      <c r="DL44">
        <v>6</v>
      </c>
      <c r="DM44">
        <v>0.5</v>
      </c>
      <c r="DN44" t="s">
        <v>438</v>
      </c>
      <c r="DO44">
        <v>2</v>
      </c>
      <c r="DP44" t="b">
        <v>1</v>
      </c>
      <c r="DQ44">
        <v>1765302802.6</v>
      </c>
      <c r="DR44">
        <v>299.9715625</v>
      </c>
      <c r="DS44">
        <v>299.9945</v>
      </c>
      <c r="DT44">
        <v>17.88706875</v>
      </c>
      <c r="DU44">
        <v>17.81364375</v>
      </c>
      <c r="DV44">
        <v>293.2125625</v>
      </c>
      <c r="DW44">
        <v>17.78806875</v>
      </c>
      <c r="DX44">
        <v>500.024</v>
      </c>
      <c r="DY44">
        <v>90.009725</v>
      </c>
      <c r="DZ44">
        <v>0.09998696875</v>
      </c>
      <c r="EA44">
        <v>25.2725375</v>
      </c>
      <c r="EB44">
        <v>25.0033375</v>
      </c>
      <c r="EC44">
        <v>999.9</v>
      </c>
      <c r="ED44">
        <v>0</v>
      </c>
      <c r="EE44">
        <v>0</v>
      </c>
      <c r="EF44">
        <v>10020.67875</v>
      </c>
      <c r="EG44">
        <v>0</v>
      </c>
      <c r="EH44">
        <v>12.38499375</v>
      </c>
      <c r="EI44">
        <v>0.34495175</v>
      </c>
      <c r="EJ44">
        <v>305.8099375</v>
      </c>
      <c r="EK44">
        <v>305.4354375</v>
      </c>
      <c r="EL44">
        <v>0.07407164375</v>
      </c>
      <c r="EM44">
        <v>299.9945</v>
      </c>
      <c r="EN44">
        <v>17.81364375</v>
      </c>
      <c r="EO44">
        <v>1.610069375</v>
      </c>
      <c r="EP44">
        <v>1.603401875</v>
      </c>
      <c r="EQ44">
        <v>14.05550625</v>
      </c>
      <c r="ER44">
        <v>13.99154375</v>
      </c>
      <c r="ES44">
        <v>799.9846875</v>
      </c>
      <c r="ET44">
        <v>0.950003625</v>
      </c>
      <c r="EU44">
        <v>0.0499961875</v>
      </c>
      <c r="EV44">
        <v>0</v>
      </c>
      <c r="EW44">
        <v>943.635125</v>
      </c>
      <c r="EX44">
        <v>5.00016</v>
      </c>
      <c r="EY44">
        <v>7344.5525</v>
      </c>
      <c r="EZ44">
        <v>7194.546875</v>
      </c>
      <c r="FA44">
        <v>40.125</v>
      </c>
      <c r="FB44">
        <v>42.875</v>
      </c>
      <c r="FC44">
        <v>41.625</v>
      </c>
      <c r="FD44">
        <v>42.875</v>
      </c>
      <c r="FE44">
        <v>42.75</v>
      </c>
      <c r="FF44">
        <v>755.23875</v>
      </c>
      <c r="FG44">
        <v>39.75</v>
      </c>
      <c r="FH44">
        <v>0</v>
      </c>
      <c r="FI44">
        <v>1765302811.3</v>
      </c>
      <c r="FJ44">
        <v>0</v>
      </c>
      <c r="FK44">
        <v>943.586846153846</v>
      </c>
      <c r="FL44">
        <v>-2.49613675191526</v>
      </c>
      <c r="FM44">
        <v>-11.0249572814753</v>
      </c>
      <c r="FN44">
        <v>7344.18230769231</v>
      </c>
      <c r="FO44">
        <v>15</v>
      </c>
      <c r="FP44">
        <v>1765302840.1</v>
      </c>
      <c r="FQ44" t="s">
        <v>527</v>
      </c>
      <c r="FR44">
        <v>1765302840.1</v>
      </c>
      <c r="FS44">
        <v>1765302829.1</v>
      </c>
      <c r="FT44">
        <v>28</v>
      </c>
      <c r="FU44">
        <v>-0.368</v>
      </c>
      <c r="FV44">
        <v>0</v>
      </c>
      <c r="FW44">
        <v>6.759</v>
      </c>
      <c r="FX44">
        <v>0.099</v>
      </c>
      <c r="FY44">
        <v>300</v>
      </c>
      <c r="FZ44">
        <v>18</v>
      </c>
      <c r="GA44">
        <v>0.38</v>
      </c>
      <c r="GB44">
        <v>0.09</v>
      </c>
      <c r="GC44">
        <v>0.36711125</v>
      </c>
      <c r="GD44">
        <v>-0.299488466165414</v>
      </c>
      <c r="GE44">
        <v>0.0541196493326361</v>
      </c>
      <c r="GF44">
        <v>1</v>
      </c>
      <c r="GG44">
        <v>943.760147058824</v>
      </c>
      <c r="GH44">
        <v>-2.26323911600422</v>
      </c>
      <c r="GI44">
        <v>0.274884909858331</v>
      </c>
      <c r="GJ44">
        <v>-1</v>
      </c>
      <c r="GK44">
        <v>0.075756265</v>
      </c>
      <c r="GL44">
        <v>-0.031285682706767</v>
      </c>
      <c r="GM44">
        <v>0.00322531016636773</v>
      </c>
      <c r="GN44">
        <v>1</v>
      </c>
      <c r="GO44">
        <v>2</v>
      </c>
      <c r="GP44">
        <v>2</v>
      </c>
      <c r="GQ44" t="s">
        <v>440</v>
      </c>
      <c r="GR44">
        <v>3.12489</v>
      </c>
      <c r="GS44">
        <v>2.72555</v>
      </c>
      <c r="GT44">
        <v>0.0674239</v>
      </c>
      <c r="GU44">
        <v>0.0687118</v>
      </c>
      <c r="GV44">
        <v>0.082517</v>
      </c>
      <c r="GW44">
        <v>0.0822783</v>
      </c>
      <c r="GX44">
        <v>24621.6</v>
      </c>
      <c r="GY44">
        <v>22740.3</v>
      </c>
      <c r="GZ44">
        <v>23605.5</v>
      </c>
      <c r="HA44">
        <v>23770.4</v>
      </c>
      <c r="HB44">
        <v>36883.4</v>
      </c>
      <c r="HC44">
        <v>36069.5</v>
      </c>
      <c r="HD44">
        <v>42523.4</v>
      </c>
      <c r="HE44">
        <v>42342.8</v>
      </c>
      <c r="HF44">
        <v>1.92587</v>
      </c>
      <c r="HG44">
        <v>1.82082</v>
      </c>
      <c r="HH44">
        <v>0.0924617</v>
      </c>
      <c r="HI44">
        <v>0</v>
      </c>
      <c r="HJ44">
        <v>23.4879</v>
      </c>
      <c r="HK44">
        <v>999.9</v>
      </c>
      <c r="HL44">
        <v>44.94</v>
      </c>
      <c r="HM44">
        <v>30.595</v>
      </c>
      <c r="HN44">
        <v>22.0102</v>
      </c>
      <c r="HO44">
        <v>54.3931</v>
      </c>
      <c r="HP44">
        <v>46.6306</v>
      </c>
      <c r="HQ44">
        <v>1</v>
      </c>
      <c r="HR44">
        <v>-0.0492962</v>
      </c>
      <c r="HS44">
        <v>1.34625</v>
      </c>
      <c r="HT44">
        <v>20.2265</v>
      </c>
      <c r="HU44">
        <v>5.23466</v>
      </c>
      <c r="HV44">
        <v>11.992</v>
      </c>
      <c r="HW44">
        <v>4.95595</v>
      </c>
      <c r="HX44">
        <v>3.304</v>
      </c>
      <c r="HY44">
        <v>999.9</v>
      </c>
      <c r="HZ44">
        <v>9999</v>
      </c>
      <c r="IA44">
        <v>9999</v>
      </c>
      <c r="IB44">
        <v>9999</v>
      </c>
      <c r="IC44">
        <v>1.86878</v>
      </c>
      <c r="ID44">
        <v>1.86457</v>
      </c>
      <c r="IE44">
        <v>1.8721</v>
      </c>
      <c r="IF44">
        <v>1.86311</v>
      </c>
      <c r="IG44">
        <v>1.86249</v>
      </c>
      <c r="IH44">
        <v>1.86889</v>
      </c>
      <c r="II44">
        <v>1.8591</v>
      </c>
      <c r="IJ44">
        <v>1.86537</v>
      </c>
      <c r="IK44">
        <v>5</v>
      </c>
      <c r="IL44">
        <v>0</v>
      </c>
      <c r="IM44">
        <v>0</v>
      </c>
      <c r="IN44">
        <v>0</v>
      </c>
      <c r="IO44" t="s">
        <v>441</v>
      </c>
      <c r="IP44" t="s">
        <v>442</v>
      </c>
      <c r="IQ44" t="s">
        <v>443</v>
      </c>
      <c r="IR44" t="s">
        <v>443</v>
      </c>
      <c r="IS44" t="s">
        <v>443</v>
      </c>
      <c r="IT44" t="s">
        <v>443</v>
      </c>
      <c r="IU44">
        <v>0</v>
      </c>
      <c r="IV44">
        <v>100</v>
      </c>
      <c r="IW44">
        <v>100</v>
      </c>
      <c r="IX44">
        <v>6.759</v>
      </c>
      <c r="IY44">
        <v>0.099</v>
      </c>
      <c r="IZ44">
        <v>5.54637191157054</v>
      </c>
      <c r="JA44">
        <v>0.0062698613543794</v>
      </c>
      <c r="JB44">
        <v>-3.23243345529816e-06</v>
      </c>
      <c r="JC44">
        <v>8.00506428382295e-10</v>
      </c>
      <c r="JD44">
        <v>-0.0606621989195629</v>
      </c>
      <c r="JE44">
        <v>-0.0018464610107002</v>
      </c>
      <c r="JF44">
        <v>0.000796540623429801</v>
      </c>
      <c r="JG44">
        <v>-1.04619914107352e-05</v>
      </c>
      <c r="JH44">
        <v>-0</v>
      </c>
      <c r="JI44">
        <v>2101</v>
      </c>
      <c r="JJ44">
        <v>1</v>
      </c>
      <c r="JK44">
        <v>23</v>
      </c>
      <c r="JL44">
        <v>1.2</v>
      </c>
      <c r="JM44">
        <v>1.4</v>
      </c>
      <c r="JN44">
        <v>0.808105</v>
      </c>
      <c r="JO44">
        <v>2.38159</v>
      </c>
      <c r="JP44">
        <v>1.4978</v>
      </c>
      <c r="JQ44">
        <v>2.33154</v>
      </c>
      <c r="JR44">
        <v>1.54419</v>
      </c>
      <c r="JS44">
        <v>2.28149</v>
      </c>
      <c r="JT44">
        <v>37.7711</v>
      </c>
      <c r="JU44">
        <v>24.2801</v>
      </c>
      <c r="JV44">
        <v>18</v>
      </c>
      <c r="JW44">
        <v>549.571</v>
      </c>
      <c r="JX44">
        <v>426.15</v>
      </c>
      <c r="JY44">
        <v>21.6759</v>
      </c>
      <c r="JZ44">
        <v>26.7839</v>
      </c>
      <c r="KA44">
        <v>30.0001</v>
      </c>
      <c r="KB44">
        <v>26.7729</v>
      </c>
      <c r="KC44">
        <v>26.7939</v>
      </c>
      <c r="KD44">
        <v>16.2002</v>
      </c>
      <c r="KE44">
        <v>30.9121</v>
      </c>
      <c r="KF44">
        <v>82.9767</v>
      </c>
      <c r="KG44">
        <v>21.725</v>
      </c>
      <c r="KH44">
        <v>300</v>
      </c>
      <c r="KI44">
        <v>17.8864</v>
      </c>
      <c r="KJ44">
        <v>95.3327</v>
      </c>
      <c r="KK44">
        <v>98.7217</v>
      </c>
    </row>
    <row r="45" spans="1:297">
      <c r="A45">
        <v>29</v>
      </c>
      <c r="B45">
        <v>1765302911.1</v>
      </c>
      <c r="C45">
        <v>4962.09999990463</v>
      </c>
      <c r="D45" t="s">
        <v>528</v>
      </c>
      <c r="E45" t="s">
        <v>529</v>
      </c>
      <c r="F45">
        <v>5</v>
      </c>
      <c r="G45" t="s">
        <v>523</v>
      </c>
      <c r="H45" t="s">
        <v>436</v>
      </c>
      <c r="I45">
        <v>1765302902.6</v>
      </c>
      <c r="J45">
        <f>(K45)/1000</f>
        <v>0</v>
      </c>
      <c r="K45">
        <f>IF(DP45, AN45, AH45)</f>
        <v>0</v>
      </c>
      <c r="L45">
        <f>IF(DP45, AI45, AG45)</f>
        <v>0</v>
      </c>
      <c r="M45">
        <f>DR45 - IF(AU45&gt;1, L45*DL45*100.0/(AW45), 0)</f>
        <v>0</v>
      </c>
      <c r="N45">
        <f>((T45-J45/2)*M45-L45)/(T45+J45/2)</f>
        <v>0</v>
      </c>
      <c r="O45">
        <f>N45*(DY45+DZ45)/1000.0</f>
        <v>0</v>
      </c>
      <c r="P45">
        <f>(DR45 - IF(AU45&gt;1, L45*DL45*100.0/(AW45), 0))*(DY45+DZ45)/1000.0</f>
        <v>0</v>
      </c>
      <c r="Q45">
        <f>2.0/((1/S45-1/R45)+SIGN(S45)*SQRT((1/S45-1/R45)*(1/S45-1/R45) + 4*DM45/((DM45+1)*(DM45+1))*(2*1/S45*1/R45-1/R45*1/R45)))</f>
        <v>0</v>
      </c>
      <c r="R45">
        <f>IF(LEFT(DN45,1)&lt;&gt;"0",IF(LEFT(DN45,1)="1",3.0,DO45),$D$5+$E$5*(EF45*DY45/($K$5*1000))+$F$5*(EF45*DY45/($K$5*1000))*MAX(MIN(DL45,$J$5),$I$5)*MAX(MIN(DL45,$J$5),$I$5)+$G$5*MAX(MIN(DL45,$J$5),$I$5)*(EF45*DY45/($K$5*1000))+$H$5*(EF45*DY45/($K$5*1000))*(EF45*DY45/($K$5*1000)))</f>
        <v>0</v>
      </c>
      <c r="S45">
        <f>J45*(1000-(1000*0.61365*exp(17.502*W45/(240.97+W45))/(DY45+DZ45)+DT45)/2)/(1000*0.61365*exp(17.502*W45/(240.97+W45))/(DY45+DZ45)-DT45)</f>
        <v>0</v>
      </c>
      <c r="T45">
        <f>1/((DM45+1)/(Q45/1.6)+1/(R45/1.37)) + DM45/((DM45+1)/(Q45/1.6) + DM45/(R45/1.37))</f>
        <v>0</v>
      </c>
      <c r="U45">
        <f>(DH45*DK45)</f>
        <v>0</v>
      </c>
      <c r="V45">
        <f>(EA45+(U45+2*0.95*5.67E-8*(((EA45+$B$7)+273)^4-(EA45+273)^4)-44100*J45)/(1.84*29.3*R45+8*0.95*5.67E-8*(EA45+273)^3))</f>
        <v>0</v>
      </c>
      <c r="W45">
        <f>($C$7*EB45+$D$7*EC45+$E$7*V45)</f>
        <v>0</v>
      </c>
      <c r="X45">
        <f>0.61365*exp(17.502*W45/(240.97+W45))</f>
        <v>0</v>
      </c>
      <c r="Y45">
        <f>(Z45/AA45*100)</f>
        <v>0</v>
      </c>
      <c r="Z45">
        <f>DT45*(DY45+DZ45)/1000</f>
        <v>0</v>
      </c>
      <c r="AA45">
        <f>0.61365*exp(17.502*EA45/(240.97+EA45))</f>
        <v>0</v>
      </c>
      <c r="AB45">
        <f>(X45-DT45*(DY45+DZ45)/1000)</f>
        <v>0</v>
      </c>
      <c r="AC45">
        <f>(-J45*44100)</f>
        <v>0</v>
      </c>
      <c r="AD45">
        <f>2*29.3*R45*0.92*(EA45-W45)</f>
        <v>0</v>
      </c>
      <c r="AE45">
        <f>2*0.95*5.67E-8*(((EA45+$B$7)+273)^4-(W45+273)^4)</f>
        <v>0</v>
      </c>
      <c r="AF45">
        <f>U45+AE45+AC45+AD45</f>
        <v>0</v>
      </c>
      <c r="AG45">
        <f>DX45*AU45*(DS45-DR45*(1000-AU45*DU45)/(1000-AU45*DT45))/(100*DL45)</f>
        <v>0</v>
      </c>
      <c r="AH45">
        <f>1000*DX45*AU45*(DT45-DU45)/(100*DL45*(1000-AU45*DT45))</f>
        <v>0</v>
      </c>
      <c r="AI45">
        <f>(AJ45 - AK45 - DY45*1E3/(8.314*(EA45+273.15)) * AM45/DX45 * AL45) * DX45/(100*DL45) * (1000 - DU45)/1000</f>
        <v>0</v>
      </c>
      <c r="AJ45">
        <v>203.61468901375</v>
      </c>
      <c r="AK45">
        <v>203.886848484848</v>
      </c>
      <c r="AL45">
        <v>-0.00144934531343545</v>
      </c>
      <c r="AM45">
        <v>63.7292378078664</v>
      </c>
      <c r="AN45">
        <f>(AP45 - AO45 + DY45*1E3/(8.314*(EA45+273.15)) * AR45/DX45 * AQ45) * DX45/(100*DL45) * 1000/(1000 - AP45)</f>
        <v>0</v>
      </c>
      <c r="AO45">
        <v>17.8706723268459</v>
      </c>
      <c r="AP45">
        <v>17.9388315151515</v>
      </c>
      <c r="AQ45">
        <v>7.67699833017336e-06</v>
      </c>
      <c r="AR45">
        <v>105.598273232916</v>
      </c>
      <c r="AS45">
        <v>0</v>
      </c>
      <c r="AT45">
        <v>0</v>
      </c>
      <c r="AU45">
        <f>IF(AS45*$H$13&gt;=AW45,1.0,(AW45/(AW45-AS45*$H$13)))</f>
        <v>0</v>
      </c>
      <c r="AV45">
        <f>(AU45-1)*100</f>
        <v>0</v>
      </c>
      <c r="AW45">
        <f>MAX(0,($B$13+$C$13*EF45)/(1+$D$13*EF45)*DY45/(EA45+273)*$E$13)</f>
        <v>0</v>
      </c>
      <c r="AX45" t="s">
        <v>437</v>
      </c>
      <c r="AY45" t="s">
        <v>437</v>
      </c>
      <c r="AZ45">
        <v>0</v>
      </c>
      <c r="BA45">
        <v>0</v>
      </c>
      <c r="BB45">
        <f>1-AZ45/BA45</f>
        <v>0</v>
      </c>
      <c r="BC45">
        <v>0</v>
      </c>
      <c r="BD45" t="s">
        <v>437</v>
      </c>
      <c r="BE45" t="s">
        <v>437</v>
      </c>
      <c r="BF45">
        <v>0</v>
      </c>
      <c r="BG45">
        <v>0</v>
      </c>
      <c r="BH45">
        <f>1-BF45/BG45</f>
        <v>0</v>
      </c>
      <c r="BI45">
        <v>0.5</v>
      </c>
      <c r="BJ45">
        <f>DI45</f>
        <v>0</v>
      </c>
      <c r="BK45">
        <f>L45</f>
        <v>0</v>
      </c>
      <c r="BL45">
        <f>BH45*BI45*BJ45</f>
        <v>0</v>
      </c>
      <c r="BM45">
        <f>(BK45-BC45)/BJ45</f>
        <v>0</v>
      </c>
      <c r="BN45">
        <f>(BA45-BG45)/BG45</f>
        <v>0</v>
      </c>
      <c r="BO45">
        <f>AZ45/(BB45+AZ45/BG45)</f>
        <v>0</v>
      </c>
      <c r="BP45" t="s">
        <v>437</v>
      </c>
      <c r="BQ45">
        <v>0</v>
      </c>
      <c r="BR45">
        <f>IF(BQ45&lt;&gt;0, BQ45, BO45)</f>
        <v>0</v>
      </c>
      <c r="BS45">
        <f>1-BR45/BG45</f>
        <v>0</v>
      </c>
      <c r="BT45">
        <f>(BG45-BF45)/(BG45-BR45)</f>
        <v>0</v>
      </c>
      <c r="BU45">
        <f>(BA45-BG45)/(BA45-BR45)</f>
        <v>0</v>
      </c>
      <c r="BV45">
        <f>(BG45-BF45)/(BG45-AZ45)</f>
        <v>0</v>
      </c>
      <c r="BW45">
        <f>(BA45-BG45)/(BA45-AZ45)</f>
        <v>0</v>
      </c>
      <c r="BX45">
        <f>(BT45*BR45/BF45)</f>
        <v>0</v>
      </c>
      <c r="BY45">
        <f>(1-BX45)</f>
        <v>0</v>
      </c>
      <c r="DH45">
        <f>$B$11*EG45+$C$11*EH45+$F$11*ES45*(1-EV45)</f>
        <v>0</v>
      </c>
      <c r="DI45">
        <f>DH45*DJ45</f>
        <v>0</v>
      </c>
      <c r="DJ45">
        <f>($B$11*$D$9+$C$11*$D$9+$F$11*((FF45+EX45)/MAX(FF45+EX45+FG45, 0.1)*$I$9+FG45/MAX(FF45+EX45+FG45, 0.1)*$J$9))/($B$11+$C$11+$F$11)</f>
        <v>0</v>
      </c>
      <c r="DK45">
        <f>($B$11*$K$9+$C$11*$K$9+$F$11*((FF45+EX45)/MAX(FF45+EX45+FG45, 0.1)*$P$9+FG45/MAX(FF45+EX45+FG45, 0.1)*$Q$9))/($B$11+$C$11+$F$11)</f>
        <v>0</v>
      </c>
      <c r="DL45">
        <v>6</v>
      </c>
      <c r="DM45">
        <v>0.5</v>
      </c>
      <c r="DN45" t="s">
        <v>438</v>
      </c>
      <c r="DO45">
        <v>2</v>
      </c>
      <c r="DP45" t="b">
        <v>1</v>
      </c>
      <c r="DQ45">
        <v>1765302902.6</v>
      </c>
      <c r="DR45">
        <v>200.106375</v>
      </c>
      <c r="DS45">
        <v>199.9950625</v>
      </c>
      <c r="DT45">
        <v>17.93720625</v>
      </c>
      <c r="DU45">
        <v>17.8701</v>
      </c>
      <c r="DV45">
        <v>193.982375</v>
      </c>
      <c r="DW45">
        <v>17.83720625</v>
      </c>
      <c r="DX45">
        <v>499.999125</v>
      </c>
      <c r="DY45">
        <v>89.99691875</v>
      </c>
      <c r="DZ45">
        <v>0.0999403875</v>
      </c>
      <c r="EA45">
        <v>25.27144375</v>
      </c>
      <c r="EB45">
        <v>24.9968</v>
      </c>
      <c r="EC45">
        <v>999.9</v>
      </c>
      <c r="ED45">
        <v>0</v>
      </c>
      <c r="EE45">
        <v>0</v>
      </c>
      <c r="EF45">
        <v>10014.73125</v>
      </c>
      <c r="EG45">
        <v>0</v>
      </c>
      <c r="EH45">
        <v>12.4150625</v>
      </c>
      <c r="EI45">
        <v>0.2660370625</v>
      </c>
      <c r="EJ45">
        <v>203.9190625</v>
      </c>
      <c r="EK45">
        <v>203.634</v>
      </c>
      <c r="EL45">
        <v>0.06795358125</v>
      </c>
      <c r="EM45">
        <v>199.9950625</v>
      </c>
      <c r="EN45">
        <v>17.8701</v>
      </c>
      <c r="EO45">
        <v>1.614369375</v>
      </c>
      <c r="EP45">
        <v>1.608255</v>
      </c>
      <c r="EQ45">
        <v>14.09665</v>
      </c>
      <c r="ER45">
        <v>14.0381125</v>
      </c>
      <c r="ES45">
        <v>799.9991875</v>
      </c>
      <c r="ET45">
        <v>0.950003625</v>
      </c>
      <c r="EU45">
        <v>0.0499962125</v>
      </c>
      <c r="EV45">
        <v>0</v>
      </c>
      <c r="EW45">
        <v>941.11125</v>
      </c>
      <c r="EX45">
        <v>5.00016</v>
      </c>
      <c r="EY45">
        <v>7325.236875</v>
      </c>
      <c r="EZ45">
        <v>7194.678125</v>
      </c>
      <c r="FA45">
        <v>40.1210625</v>
      </c>
      <c r="FB45">
        <v>42.867125</v>
      </c>
      <c r="FC45">
        <v>41.6210625</v>
      </c>
      <c r="FD45">
        <v>42.8710625</v>
      </c>
      <c r="FE45">
        <v>42.75</v>
      </c>
      <c r="FF45">
        <v>755.2525</v>
      </c>
      <c r="FG45">
        <v>39.75</v>
      </c>
      <c r="FH45">
        <v>0</v>
      </c>
      <c r="FI45">
        <v>1765302911.5</v>
      </c>
      <c r="FJ45">
        <v>0</v>
      </c>
      <c r="FK45">
        <v>941.12636</v>
      </c>
      <c r="FL45">
        <v>-1.17776921856493</v>
      </c>
      <c r="FM45">
        <v>-11.8076922938384</v>
      </c>
      <c r="FN45">
        <v>7324.8552</v>
      </c>
      <c r="FO45">
        <v>15</v>
      </c>
      <c r="FP45">
        <v>1765302932.1</v>
      </c>
      <c r="FQ45" t="s">
        <v>530</v>
      </c>
      <c r="FR45">
        <v>1765302932.1</v>
      </c>
      <c r="FS45">
        <v>1765302929.1</v>
      </c>
      <c r="FT45">
        <v>29</v>
      </c>
      <c r="FU45">
        <v>-0.154</v>
      </c>
      <c r="FV45">
        <v>0.001</v>
      </c>
      <c r="FW45">
        <v>6.124</v>
      </c>
      <c r="FX45">
        <v>0.1</v>
      </c>
      <c r="FY45">
        <v>200</v>
      </c>
      <c r="FZ45">
        <v>18</v>
      </c>
      <c r="GA45">
        <v>0.85</v>
      </c>
      <c r="GB45">
        <v>0.19</v>
      </c>
      <c r="GC45">
        <v>0.2859665</v>
      </c>
      <c r="GD45">
        <v>-0.338855187969925</v>
      </c>
      <c r="GE45">
        <v>0.0456007492981201</v>
      </c>
      <c r="GF45">
        <v>1</v>
      </c>
      <c r="GG45">
        <v>941.257647058824</v>
      </c>
      <c r="GH45">
        <v>-1.05280366173614</v>
      </c>
      <c r="GI45">
        <v>0.199900693338543</v>
      </c>
      <c r="GJ45">
        <v>-1</v>
      </c>
      <c r="GK45">
        <v>0.06798734</v>
      </c>
      <c r="GL45">
        <v>0.000942027067669255</v>
      </c>
      <c r="GM45">
        <v>0.000807490292449388</v>
      </c>
      <c r="GN45">
        <v>1</v>
      </c>
      <c r="GO45">
        <v>2</v>
      </c>
      <c r="GP45">
        <v>2</v>
      </c>
      <c r="GQ45" t="s">
        <v>440</v>
      </c>
      <c r="GR45">
        <v>3.12478</v>
      </c>
      <c r="GS45">
        <v>2.72571</v>
      </c>
      <c r="GT45">
        <v>0.0472905</v>
      </c>
      <c r="GU45">
        <v>0.0486374</v>
      </c>
      <c r="GV45">
        <v>0.0826811</v>
      </c>
      <c r="GW45">
        <v>0.082452</v>
      </c>
      <c r="GX45">
        <v>25150.9</v>
      </c>
      <c r="GY45">
        <v>23230.6</v>
      </c>
      <c r="GZ45">
        <v>23603.4</v>
      </c>
      <c r="HA45">
        <v>23770.6</v>
      </c>
      <c r="HB45">
        <v>36871.7</v>
      </c>
      <c r="HC45">
        <v>36061.3</v>
      </c>
      <c r="HD45">
        <v>42519.6</v>
      </c>
      <c r="HE45">
        <v>42343.1</v>
      </c>
      <c r="HF45">
        <v>1.92588</v>
      </c>
      <c r="HG45">
        <v>1.8201</v>
      </c>
      <c r="HH45">
        <v>0.0914186</v>
      </c>
      <c r="HI45">
        <v>0</v>
      </c>
      <c r="HJ45">
        <v>23.489</v>
      </c>
      <c r="HK45">
        <v>999.9</v>
      </c>
      <c r="HL45">
        <v>44.891</v>
      </c>
      <c r="HM45">
        <v>30.615</v>
      </c>
      <c r="HN45">
        <v>22.0129</v>
      </c>
      <c r="HO45">
        <v>54.7131</v>
      </c>
      <c r="HP45">
        <v>46.9231</v>
      </c>
      <c r="HQ45">
        <v>1</v>
      </c>
      <c r="HR45">
        <v>-0.0490777</v>
      </c>
      <c r="HS45">
        <v>1.37517</v>
      </c>
      <c r="HT45">
        <v>20.226</v>
      </c>
      <c r="HU45">
        <v>5.23511</v>
      </c>
      <c r="HV45">
        <v>11.992</v>
      </c>
      <c r="HW45">
        <v>4.95615</v>
      </c>
      <c r="HX45">
        <v>3.304</v>
      </c>
      <c r="HY45">
        <v>999.9</v>
      </c>
      <c r="HZ45">
        <v>9999</v>
      </c>
      <c r="IA45">
        <v>9999</v>
      </c>
      <c r="IB45">
        <v>9999</v>
      </c>
      <c r="IC45">
        <v>1.86878</v>
      </c>
      <c r="ID45">
        <v>1.86451</v>
      </c>
      <c r="IE45">
        <v>1.8721</v>
      </c>
      <c r="IF45">
        <v>1.8631</v>
      </c>
      <c r="IG45">
        <v>1.86249</v>
      </c>
      <c r="IH45">
        <v>1.86887</v>
      </c>
      <c r="II45">
        <v>1.8591</v>
      </c>
      <c r="IJ45">
        <v>1.86538</v>
      </c>
      <c r="IK45">
        <v>5</v>
      </c>
      <c r="IL45">
        <v>0</v>
      </c>
      <c r="IM45">
        <v>0</v>
      </c>
      <c r="IN45">
        <v>0</v>
      </c>
      <c r="IO45" t="s">
        <v>441</v>
      </c>
      <c r="IP45" t="s">
        <v>442</v>
      </c>
      <c r="IQ45" t="s">
        <v>443</v>
      </c>
      <c r="IR45" t="s">
        <v>443</v>
      </c>
      <c r="IS45" t="s">
        <v>443</v>
      </c>
      <c r="IT45" t="s">
        <v>443</v>
      </c>
      <c r="IU45">
        <v>0</v>
      </c>
      <c r="IV45">
        <v>100</v>
      </c>
      <c r="IW45">
        <v>100</v>
      </c>
      <c r="IX45">
        <v>6.124</v>
      </c>
      <c r="IY45">
        <v>0.1</v>
      </c>
      <c r="IZ45">
        <v>5.17842864428517</v>
      </c>
      <c r="JA45">
        <v>0.0062698613543794</v>
      </c>
      <c r="JB45">
        <v>-3.23243345529816e-06</v>
      </c>
      <c r="JC45">
        <v>8.00506428382295e-10</v>
      </c>
      <c r="JD45">
        <v>-0.0602670937914204</v>
      </c>
      <c r="JE45">
        <v>-0.0018464610107002</v>
      </c>
      <c r="JF45">
        <v>0.000796540623429801</v>
      </c>
      <c r="JG45">
        <v>-1.04619914107352e-05</v>
      </c>
      <c r="JH45">
        <v>-0</v>
      </c>
      <c r="JI45">
        <v>2101</v>
      </c>
      <c r="JJ45">
        <v>1</v>
      </c>
      <c r="JK45">
        <v>23</v>
      </c>
      <c r="JL45">
        <v>1.2</v>
      </c>
      <c r="JM45">
        <v>1.4</v>
      </c>
      <c r="JN45">
        <v>0.595703</v>
      </c>
      <c r="JO45">
        <v>2.39502</v>
      </c>
      <c r="JP45">
        <v>1.4978</v>
      </c>
      <c r="JQ45">
        <v>2.33154</v>
      </c>
      <c r="JR45">
        <v>1.54419</v>
      </c>
      <c r="JS45">
        <v>2.32056</v>
      </c>
      <c r="JT45">
        <v>37.747</v>
      </c>
      <c r="JU45">
        <v>24.2714</v>
      </c>
      <c r="JV45">
        <v>18</v>
      </c>
      <c r="JW45">
        <v>549.63</v>
      </c>
      <c r="JX45">
        <v>425.779</v>
      </c>
      <c r="JY45">
        <v>21.7667</v>
      </c>
      <c r="JZ45">
        <v>26.793</v>
      </c>
      <c r="KA45">
        <v>30.0001</v>
      </c>
      <c r="KB45">
        <v>26.7796</v>
      </c>
      <c r="KC45">
        <v>26.8007</v>
      </c>
      <c r="KD45">
        <v>11.9614</v>
      </c>
      <c r="KE45">
        <v>30.5804</v>
      </c>
      <c r="KF45">
        <v>82.9767</v>
      </c>
      <c r="KG45">
        <v>21.767</v>
      </c>
      <c r="KH45">
        <v>200</v>
      </c>
      <c r="KI45">
        <v>17.8867</v>
      </c>
      <c r="KJ45">
        <v>95.3243</v>
      </c>
      <c r="KK45">
        <v>98.7225</v>
      </c>
    </row>
    <row r="46" spans="1:297">
      <c r="A46">
        <v>30</v>
      </c>
      <c r="B46">
        <v>1765303005.1</v>
      </c>
      <c r="C46">
        <v>5056.09999990463</v>
      </c>
      <c r="D46" t="s">
        <v>531</v>
      </c>
      <c r="E46" t="s">
        <v>532</v>
      </c>
      <c r="F46">
        <v>5</v>
      </c>
      <c r="G46" t="s">
        <v>523</v>
      </c>
      <c r="H46" t="s">
        <v>436</v>
      </c>
      <c r="I46">
        <v>1765302996.6</v>
      </c>
      <c r="J46">
        <f>(K46)/1000</f>
        <v>0</v>
      </c>
      <c r="K46">
        <f>IF(DP46, AN46, AH46)</f>
        <v>0</v>
      </c>
      <c r="L46">
        <f>IF(DP46, AI46, AG46)</f>
        <v>0</v>
      </c>
      <c r="M46">
        <f>DR46 - IF(AU46&gt;1, L46*DL46*100.0/(AW46), 0)</f>
        <v>0</v>
      </c>
      <c r="N46">
        <f>((T46-J46/2)*M46-L46)/(T46+J46/2)</f>
        <v>0</v>
      </c>
      <c r="O46">
        <f>N46*(DY46+DZ46)/1000.0</f>
        <v>0</v>
      </c>
      <c r="P46">
        <f>(DR46 - IF(AU46&gt;1, L46*DL46*100.0/(AW46), 0))*(DY46+DZ46)/1000.0</f>
        <v>0</v>
      </c>
      <c r="Q46">
        <f>2.0/((1/S46-1/R46)+SIGN(S46)*SQRT((1/S46-1/R46)*(1/S46-1/R46) + 4*DM46/((DM46+1)*(DM46+1))*(2*1/S46*1/R46-1/R46*1/R46)))</f>
        <v>0</v>
      </c>
      <c r="R46">
        <f>IF(LEFT(DN46,1)&lt;&gt;"0",IF(LEFT(DN46,1)="1",3.0,DO46),$D$5+$E$5*(EF46*DY46/($K$5*1000))+$F$5*(EF46*DY46/($K$5*1000))*MAX(MIN(DL46,$J$5),$I$5)*MAX(MIN(DL46,$J$5),$I$5)+$G$5*MAX(MIN(DL46,$J$5),$I$5)*(EF46*DY46/($K$5*1000))+$H$5*(EF46*DY46/($K$5*1000))*(EF46*DY46/($K$5*1000)))</f>
        <v>0</v>
      </c>
      <c r="S46">
        <f>J46*(1000-(1000*0.61365*exp(17.502*W46/(240.97+W46))/(DY46+DZ46)+DT46)/2)/(1000*0.61365*exp(17.502*W46/(240.97+W46))/(DY46+DZ46)-DT46)</f>
        <v>0</v>
      </c>
      <c r="T46">
        <f>1/((DM46+1)/(Q46/1.6)+1/(R46/1.37)) + DM46/((DM46+1)/(Q46/1.6) + DM46/(R46/1.37))</f>
        <v>0</v>
      </c>
      <c r="U46">
        <f>(DH46*DK46)</f>
        <v>0</v>
      </c>
      <c r="V46">
        <f>(EA46+(U46+2*0.95*5.67E-8*(((EA46+$B$7)+273)^4-(EA46+273)^4)-44100*J46)/(1.84*29.3*R46+8*0.95*5.67E-8*(EA46+273)^3))</f>
        <v>0</v>
      </c>
      <c r="W46">
        <f>($C$7*EB46+$D$7*EC46+$E$7*V46)</f>
        <v>0</v>
      </c>
      <c r="X46">
        <f>0.61365*exp(17.502*W46/(240.97+W46))</f>
        <v>0</v>
      </c>
      <c r="Y46">
        <f>(Z46/AA46*100)</f>
        <v>0</v>
      </c>
      <c r="Z46">
        <f>DT46*(DY46+DZ46)/1000</f>
        <v>0</v>
      </c>
      <c r="AA46">
        <f>0.61365*exp(17.502*EA46/(240.97+EA46))</f>
        <v>0</v>
      </c>
      <c r="AB46">
        <f>(X46-DT46*(DY46+DZ46)/1000)</f>
        <v>0</v>
      </c>
      <c r="AC46">
        <f>(-J46*44100)</f>
        <v>0</v>
      </c>
      <c r="AD46">
        <f>2*29.3*R46*0.92*(EA46-W46)</f>
        <v>0</v>
      </c>
      <c r="AE46">
        <f>2*0.95*5.67E-8*(((EA46+$B$7)+273)^4-(W46+273)^4)</f>
        <v>0</v>
      </c>
      <c r="AF46">
        <f>U46+AE46+AC46+AD46</f>
        <v>0</v>
      </c>
      <c r="AG46">
        <f>DX46*AU46*(DS46-DR46*(1000-AU46*DU46)/(1000-AU46*DT46))/(100*DL46)</f>
        <v>0</v>
      </c>
      <c r="AH46">
        <f>1000*DX46*AU46*(DT46-DU46)/(100*DL46*(1000-AU46*DT46))</f>
        <v>0</v>
      </c>
      <c r="AI46">
        <f>(AJ46 - AK46 - DY46*1E3/(8.314*(EA46+273.15)) * AM46/DX46 * AL46) * DX46/(100*DL46) * (1000 - DU46)/1000</f>
        <v>0</v>
      </c>
      <c r="AJ46">
        <v>101.7645939906</v>
      </c>
      <c r="AK46">
        <v>101.906054545455</v>
      </c>
      <c r="AL46">
        <v>-0.000735206122563704</v>
      </c>
      <c r="AM46">
        <v>63.7917013430911</v>
      </c>
      <c r="AN46">
        <f>(AP46 - AO46 + DY46*1E3/(8.314*(EA46+273.15)) * AR46/DX46 * AQ46) * DX46/(100*DL46) * 1000/(1000 - AP46)</f>
        <v>0</v>
      </c>
      <c r="AO46">
        <v>17.8538194076985</v>
      </c>
      <c r="AP46">
        <v>17.9247903030303</v>
      </c>
      <c r="AQ46">
        <v>4.02020788999779e-05</v>
      </c>
      <c r="AR46">
        <v>105.251672493639</v>
      </c>
      <c r="AS46">
        <v>0</v>
      </c>
      <c r="AT46">
        <v>0</v>
      </c>
      <c r="AU46">
        <f>IF(AS46*$H$13&gt;=AW46,1.0,(AW46/(AW46-AS46*$H$13)))</f>
        <v>0</v>
      </c>
      <c r="AV46">
        <f>(AU46-1)*100</f>
        <v>0</v>
      </c>
      <c r="AW46">
        <f>MAX(0,($B$13+$C$13*EF46)/(1+$D$13*EF46)*DY46/(EA46+273)*$E$13)</f>
        <v>0</v>
      </c>
      <c r="AX46" t="s">
        <v>437</v>
      </c>
      <c r="AY46" t="s">
        <v>437</v>
      </c>
      <c r="AZ46">
        <v>0</v>
      </c>
      <c r="BA46">
        <v>0</v>
      </c>
      <c r="BB46">
        <f>1-AZ46/BA46</f>
        <v>0</v>
      </c>
      <c r="BC46">
        <v>0</v>
      </c>
      <c r="BD46" t="s">
        <v>437</v>
      </c>
      <c r="BE46" t="s">
        <v>437</v>
      </c>
      <c r="BF46">
        <v>0</v>
      </c>
      <c r="BG46">
        <v>0</v>
      </c>
      <c r="BH46">
        <f>1-BF46/BG46</f>
        <v>0</v>
      </c>
      <c r="BI46">
        <v>0.5</v>
      </c>
      <c r="BJ46">
        <f>DI46</f>
        <v>0</v>
      </c>
      <c r="BK46">
        <f>L46</f>
        <v>0</v>
      </c>
      <c r="BL46">
        <f>BH46*BI46*BJ46</f>
        <v>0</v>
      </c>
      <c r="BM46">
        <f>(BK46-BC46)/BJ46</f>
        <v>0</v>
      </c>
      <c r="BN46">
        <f>(BA46-BG46)/BG46</f>
        <v>0</v>
      </c>
      <c r="BO46">
        <f>AZ46/(BB46+AZ46/BG46)</f>
        <v>0</v>
      </c>
      <c r="BP46" t="s">
        <v>437</v>
      </c>
      <c r="BQ46">
        <v>0</v>
      </c>
      <c r="BR46">
        <f>IF(BQ46&lt;&gt;0, BQ46, BO46)</f>
        <v>0</v>
      </c>
      <c r="BS46">
        <f>1-BR46/BG46</f>
        <v>0</v>
      </c>
      <c r="BT46">
        <f>(BG46-BF46)/(BG46-BR46)</f>
        <v>0</v>
      </c>
      <c r="BU46">
        <f>(BA46-BG46)/(BA46-BR46)</f>
        <v>0</v>
      </c>
      <c r="BV46">
        <f>(BG46-BF46)/(BG46-AZ46)</f>
        <v>0</v>
      </c>
      <c r="BW46">
        <f>(BA46-BG46)/(BA46-AZ46)</f>
        <v>0</v>
      </c>
      <c r="BX46">
        <f>(BT46*BR46/BF46)</f>
        <v>0</v>
      </c>
      <c r="BY46">
        <f>(1-BX46)</f>
        <v>0</v>
      </c>
      <c r="DH46">
        <f>$B$11*EG46+$C$11*EH46+$F$11*ES46*(1-EV46)</f>
        <v>0</v>
      </c>
      <c r="DI46">
        <f>DH46*DJ46</f>
        <v>0</v>
      </c>
      <c r="DJ46">
        <f>($B$11*$D$9+$C$11*$D$9+$F$11*((FF46+EX46)/MAX(FF46+EX46+FG46, 0.1)*$I$9+FG46/MAX(FF46+EX46+FG46, 0.1)*$J$9))/($B$11+$C$11+$F$11)</f>
        <v>0</v>
      </c>
      <c r="DK46">
        <f>($B$11*$K$9+$C$11*$K$9+$F$11*((FF46+EX46)/MAX(FF46+EX46+FG46, 0.1)*$P$9+FG46/MAX(FF46+EX46+FG46, 0.1)*$Q$9))/($B$11+$C$11+$F$11)</f>
        <v>0</v>
      </c>
      <c r="DL46">
        <v>6</v>
      </c>
      <c r="DM46">
        <v>0.5</v>
      </c>
      <c r="DN46" t="s">
        <v>438</v>
      </c>
      <c r="DO46">
        <v>2</v>
      </c>
      <c r="DP46" t="b">
        <v>1</v>
      </c>
      <c r="DQ46">
        <v>1765302996.6</v>
      </c>
      <c r="DR46">
        <v>100.20918125</v>
      </c>
      <c r="DS46">
        <v>100.00189375</v>
      </c>
      <c r="DT46">
        <v>17.9183125</v>
      </c>
      <c r="DU46">
        <v>17.8523625</v>
      </c>
      <c r="DV46">
        <v>94.49018125</v>
      </c>
      <c r="DW46">
        <v>17.8193125</v>
      </c>
      <c r="DX46">
        <v>500.014625</v>
      </c>
      <c r="DY46">
        <v>89.9927</v>
      </c>
      <c r="DZ46">
        <v>0.10005791875</v>
      </c>
      <c r="EA46">
        <v>25.27346875</v>
      </c>
      <c r="EB46">
        <v>25.0085625</v>
      </c>
      <c r="EC46">
        <v>999.9</v>
      </c>
      <c r="ED46">
        <v>0</v>
      </c>
      <c r="EE46">
        <v>0</v>
      </c>
      <c r="EF46">
        <v>9989.420625</v>
      </c>
      <c r="EG46">
        <v>0</v>
      </c>
      <c r="EH46">
        <v>12.40740625</v>
      </c>
      <c r="EI46">
        <v>0.0767841045625</v>
      </c>
      <c r="EJ46">
        <v>101.90475</v>
      </c>
      <c r="EK46">
        <v>101.8195</v>
      </c>
      <c r="EL46">
        <v>0.06813895625</v>
      </c>
      <c r="EM46">
        <v>100.00189375</v>
      </c>
      <c r="EN46">
        <v>17.8523625</v>
      </c>
      <c r="EO46">
        <v>1.61271375</v>
      </c>
      <c r="EP46">
        <v>1.606583125</v>
      </c>
      <c r="EQ46">
        <v>14.08081875</v>
      </c>
      <c r="ER46">
        <v>14.02206875</v>
      </c>
      <c r="ES46">
        <v>799.9845625</v>
      </c>
      <c r="ET46">
        <v>0.9500025625</v>
      </c>
      <c r="EU46">
        <v>0.04999734375</v>
      </c>
      <c r="EV46">
        <v>0</v>
      </c>
      <c r="EW46">
        <v>939.4578125</v>
      </c>
      <c r="EX46">
        <v>5.00016</v>
      </c>
      <c r="EY46">
        <v>7311.375625</v>
      </c>
      <c r="EZ46">
        <v>7194.54375</v>
      </c>
      <c r="FA46">
        <v>40.1210625</v>
      </c>
      <c r="FB46">
        <v>42.8395625</v>
      </c>
      <c r="FC46">
        <v>41.601375</v>
      </c>
      <c r="FD46">
        <v>42.8159375</v>
      </c>
      <c r="FE46">
        <v>42.742125</v>
      </c>
      <c r="FF46">
        <v>755.238125</v>
      </c>
      <c r="FG46">
        <v>39.75</v>
      </c>
      <c r="FH46">
        <v>0</v>
      </c>
      <c r="FI46">
        <v>1765303005.1</v>
      </c>
      <c r="FJ46">
        <v>0</v>
      </c>
      <c r="FK46">
        <v>939.42696</v>
      </c>
      <c r="FL46">
        <v>-0.66723076781006</v>
      </c>
      <c r="FM46">
        <v>-15.8692307421179</v>
      </c>
      <c r="FN46">
        <v>7311.3104</v>
      </c>
      <c r="FO46">
        <v>15</v>
      </c>
      <c r="FP46">
        <v>1765303029.1</v>
      </c>
      <c r="FQ46" t="s">
        <v>533</v>
      </c>
      <c r="FR46">
        <v>1765303029.1</v>
      </c>
      <c r="FS46">
        <v>1765303024.1</v>
      </c>
      <c r="FT46">
        <v>30</v>
      </c>
      <c r="FU46">
        <v>0.132</v>
      </c>
      <c r="FV46">
        <v>-0.001</v>
      </c>
      <c r="FW46">
        <v>5.719</v>
      </c>
      <c r="FX46">
        <v>0.099</v>
      </c>
      <c r="FY46">
        <v>100</v>
      </c>
      <c r="FZ46">
        <v>18</v>
      </c>
      <c r="GA46">
        <v>0.19</v>
      </c>
      <c r="GB46">
        <v>0.3</v>
      </c>
      <c r="GC46">
        <v>0.11321793365</v>
      </c>
      <c r="GD46">
        <v>-0.472386720947369</v>
      </c>
      <c r="GE46">
        <v>0.0898550401239774</v>
      </c>
      <c r="GF46">
        <v>1</v>
      </c>
      <c r="GG46">
        <v>939.511</v>
      </c>
      <c r="GH46">
        <v>-0.853109247411785</v>
      </c>
      <c r="GI46">
        <v>0.215628629551709</v>
      </c>
      <c r="GJ46">
        <v>-1</v>
      </c>
      <c r="GK46">
        <v>0.06722736</v>
      </c>
      <c r="GL46">
        <v>0.0156011187969925</v>
      </c>
      <c r="GM46">
        <v>0.00167410981581257</v>
      </c>
      <c r="GN46">
        <v>1</v>
      </c>
      <c r="GO46">
        <v>2</v>
      </c>
      <c r="GP46">
        <v>2</v>
      </c>
      <c r="GQ46" t="s">
        <v>440</v>
      </c>
      <c r="GR46">
        <v>3.12473</v>
      </c>
      <c r="GS46">
        <v>2.72548</v>
      </c>
      <c r="GT46">
        <v>0.0241923</v>
      </c>
      <c r="GU46">
        <v>0.0255926</v>
      </c>
      <c r="GV46">
        <v>0.0826206</v>
      </c>
      <c r="GW46">
        <v>0.082394</v>
      </c>
      <c r="GX46">
        <v>25758.8</v>
      </c>
      <c r="GY46">
        <v>23793.2</v>
      </c>
      <c r="GZ46">
        <v>23601.8</v>
      </c>
      <c r="HA46">
        <v>23770.6</v>
      </c>
      <c r="HB46">
        <v>36869.2</v>
      </c>
      <c r="HC46">
        <v>36062.4</v>
      </c>
      <c r="HD46">
        <v>42516.2</v>
      </c>
      <c r="HE46">
        <v>42343.8</v>
      </c>
      <c r="HF46">
        <v>1.92547</v>
      </c>
      <c r="HG46">
        <v>1.81963</v>
      </c>
      <c r="HH46">
        <v>0.0922382</v>
      </c>
      <c r="HI46">
        <v>0</v>
      </c>
      <c r="HJ46">
        <v>23.4988</v>
      </c>
      <c r="HK46">
        <v>999.9</v>
      </c>
      <c r="HL46">
        <v>44.817</v>
      </c>
      <c r="HM46">
        <v>30.615</v>
      </c>
      <c r="HN46">
        <v>21.9762</v>
      </c>
      <c r="HO46">
        <v>54.8831</v>
      </c>
      <c r="HP46">
        <v>46.9351</v>
      </c>
      <c r="HQ46">
        <v>1</v>
      </c>
      <c r="HR46">
        <v>-0.0480183</v>
      </c>
      <c r="HS46">
        <v>1.41784</v>
      </c>
      <c r="HT46">
        <v>20.226</v>
      </c>
      <c r="HU46">
        <v>5.23331</v>
      </c>
      <c r="HV46">
        <v>11.992</v>
      </c>
      <c r="HW46">
        <v>4.95685</v>
      </c>
      <c r="HX46">
        <v>3.304</v>
      </c>
      <c r="HY46">
        <v>999.9</v>
      </c>
      <c r="HZ46">
        <v>9999</v>
      </c>
      <c r="IA46">
        <v>9999</v>
      </c>
      <c r="IB46">
        <v>9999</v>
      </c>
      <c r="IC46">
        <v>1.86874</v>
      </c>
      <c r="ID46">
        <v>1.8645</v>
      </c>
      <c r="IE46">
        <v>1.87209</v>
      </c>
      <c r="IF46">
        <v>1.8631</v>
      </c>
      <c r="IG46">
        <v>1.86249</v>
      </c>
      <c r="IH46">
        <v>1.86886</v>
      </c>
      <c r="II46">
        <v>1.85904</v>
      </c>
      <c r="IJ46">
        <v>1.86535</v>
      </c>
      <c r="IK46">
        <v>5</v>
      </c>
      <c r="IL46">
        <v>0</v>
      </c>
      <c r="IM46">
        <v>0</v>
      </c>
      <c r="IN46">
        <v>0</v>
      </c>
      <c r="IO46" t="s">
        <v>441</v>
      </c>
      <c r="IP46" t="s">
        <v>442</v>
      </c>
      <c r="IQ46" t="s">
        <v>443</v>
      </c>
      <c r="IR46" t="s">
        <v>443</v>
      </c>
      <c r="IS46" t="s">
        <v>443</v>
      </c>
      <c r="IT46" t="s">
        <v>443</v>
      </c>
      <c r="IU46">
        <v>0</v>
      </c>
      <c r="IV46">
        <v>100</v>
      </c>
      <c r="IW46">
        <v>100</v>
      </c>
      <c r="IX46">
        <v>5.719</v>
      </c>
      <c r="IY46">
        <v>0.099</v>
      </c>
      <c r="IZ46">
        <v>5.0241261434424</v>
      </c>
      <c r="JA46">
        <v>0.0062698613543794</v>
      </c>
      <c r="JB46">
        <v>-3.23243345529816e-06</v>
      </c>
      <c r="JC46">
        <v>8.00506428382295e-10</v>
      </c>
      <c r="JD46">
        <v>-0.0596432314644136</v>
      </c>
      <c r="JE46">
        <v>-0.0018464610107002</v>
      </c>
      <c r="JF46">
        <v>0.000796540623429801</v>
      </c>
      <c r="JG46">
        <v>-1.04619914107352e-05</v>
      </c>
      <c r="JH46">
        <v>-0</v>
      </c>
      <c r="JI46">
        <v>2101</v>
      </c>
      <c r="JJ46">
        <v>1</v>
      </c>
      <c r="JK46">
        <v>23</v>
      </c>
      <c r="JL46">
        <v>1.2</v>
      </c>
      <c r="JM46">
        <v>1.3</v>
      </c>
      <c r="JN46">
        <v>0.375977</v>
      </c>
      <c r="JO46">
        <v>2.4292</v>
      </c>
      <c r="JP46">
        <v>1.4978</v>
      </c>
      <c r="JQ46">
        <v>2.33154</v>
      </c>
      <c r="JR46">
        <v>1.54419</v>
      </c>
      <c r="JS46">
        <v>2.28027</v>
      </c>
      <c r="JT46">
        <v>37.7228</v>
      </c>
      <c r="JU46">
        <v>24.2714</v>
      </c>
      <c r="JV46">
        <v>18</v>
      </c>
      <c r="JW46">
        <v>549.444</v>
      </c>
      <c r="JX46">
        <v>425.57</v>
      </c>
      <c r="JY46">
        <v>21.7629</v>
      </c>
      <c r="JZ46">
        <v>26.8021</v>
      </c>
      <c r="KA46">
        <v>30.0001</v>
      </c>
      <c r="KB46">
        <v>26.788</v>
      </c>
      <c r="KC46">
        <v>26.8096</v>
      </c>
      <c r="KD46">
        <v>7.55672</v>
      </c>
      <c r="KE46">
        <v>30.2899</v>
      </c>
      <c r="KF46">
        <v>82.6062</v>
      </c>
      <c r="KG46">
        <v>21.7433</v>
      </c>
      <c r="KH46">
        <v>100</v>
      </c>
      <c r="KI46">
        <v>17.8902</v>
      </c>
      <c r="KJ46">
        <v>95.317</v>
      </c>
      <c r="KK46">
        <v>98.7236</v>
      </c>
    </row>
    <row r="47" spans="1:297">
      <c r="A47">
        <v>31</v>
      </c>
      <c r="B47">
        <v>1765303098</v>
      </c>
      <c r="C47">
        <v>5149</v>
      </c>
      <c r="D47" t="s">
        <v>534</v>
      </c>
      <c r="E47" t="s">
        <v>535</v>
      </c>
      <c r="F47">
        <v>5</v>
      </c>
      <c r="G47" t="s">
        <v>523</v>
      </c>
      <c r="H47" t="s">
        <v>436</v>
      </c>
      <c r="I47">
        <v>1765303090</v>
      </c>
      <c r="J47">
        <f>(K47)/1000</f>
        <v>0</v>
      </c>
      <c r="K47">
        <f>IF(DP47, AN47, AH47)</f>
        <v>0</v>
      </c>
      <c r="L47">
        <f>IF(DP47, AI47, AG47)</f>
        <v>0</v>
      </c>
      <c r="M47">
        <f>DR47 - IF(AU47&gt;1, L47*DL47*100.0/(AW47), 0)</f>
        <v>0</v>
      </c>
      <c r="N47">
        <f>((T47-J47/2)*M47-L47)/(T47+J47/2)</f>
        <v>0</v>
      </c>
      <c r="O47">
        <f>N47*(DY47+DZ47)/1000.0</f>
        <v>0</v>
      </c>
      <c r="P47">
        <f>(DR47 - IF(AU47&gt;1, L47*DL47*100.0/(AW47), 0))*(DY47+DZ47)/1000.0</f>
        <v>0</v>
      </c>
      <c r="Q47">
        <f>2.0/((1/S47-1/R47)+SIGN(S47)*SQRT((1/S47-1/R47)*(1/S47-1/R47) + 4*DM47/((DM47+1)*(DM47+1))*(2*1/S47*1/R47-1/R47*1/R47)))</f>
        <v>0</v>
      </c>
      <c r="R47">
        <f>IF(LEFT(DN47,1)&lt;&gt;"0",IF(LEFT(DN47,1)="1",3.0,DO47),$D$5+$E$5*(EF47*DY47/($K$5*1000))+$F$5*(EF47*DY47/($K$5*1000))*MAX(MIN(DL47,$J$5),$I$5)*MAX(MIN(DL47,$J$5),$I$5)+$G$5*MAX(MIN(DL47,$J$5),$I$5)*(EF47*DY47/($K$5*1000))+$H$5*(EF47*DY47/($K$5*1000))*(EF47*DY47/($K$5*1000)))</f>
        <v>0</v>
      </c>
      <c r="S47">
        <f>J47*(1000-(1000*0.61365*exp(17.502*W47/(240.97+W47))/(DY47+DZ47)+DT47)/2)/(1000*0.61365*exp(17.502*W47/(240.97+W47))/(DY47+DZ47)-DT47)</f>
        <v>0</v>
      </c>
      <c r="T47">
        <f>1/((DM47+1)/(Q47/1.6)+1/(R47/1.37)) + DM47/((DM47+1)/(Q47/1.6) + DM47/(R47/1.37))</f>
        <v>0</v>
      </c>
      <c r="U47">
        <f>(DH47*DK47)</f>
        <v>0</v>
      </c>
      <c r="V47">
        <f>(EA47+(U47+2*0.95*5.67E-8*(((EA47+$B$7)+273)^4-(EA47+273)^4)-44100*J47)/(1.84*29.3*R47+8*0.95*5.67E-8*(EA47+273)^3))</f>
        <v>0</v>
      </c>
      <c r="W47">
        <f>($C$7*EB47+$D$7*EC47+$E$7*V47)</f>
        <v>0</v>
      </c>
      <c r="X47">
        <f>0.61365*exp(17.502*W47/(240.97+W47))</f>
        <v>0</v>
      </c>
      <c r="Y47">
        <f>(Z47/AA47*100)</f>
        <v>0</v>
      </c>
      <c r="Z47">
        <f>DT47*(DY47+DZ47)/1000</f>
        <v>0</v>
      </c>
      <c r="AA47">
        <f>0.61365*exp(17.502*EA47/(240.97+EA47))</f>
        <v>0</v>
      </c>
      <c r="AB47">
        <f>(X47-DT47*(DY47+DZ47)/1000)</f>
        <v>0</v>
      </c>
      <c r="AC47">
        <f>(-J47*44100)</f>
        <v>0</v>
      </c>
      <c r="AD47">
        <f>2*29.3*R47*0.92*(EA47-W47)</f>
        <v>0</v>
      </c>
      <c r="AE47">
        <f>2*0.95*5.67E-8*(((EA47+$B$7)+273)^4-(W47+273)^4)</f>
        <v>0</v>
      </c>
      <c r="AF47">
        <f>U47+AE47+AC47+AD47</f>
        <v>0</v>
      </c>
      <c r="AG47">
        <f>DX47*AU47*(DS47-DR47*(1000-AU47*DU47)/(1000-AU47*DT47))/(100*DL47)</f>
        <v>0</v>
      </c>
      <c r="AH47">
        <f>1000*DX47*AU47*(DT47-DU47)/(100*DL47*(1000-AU47*DT47))</f>
        <v>0</v>
      </c>
      <c r="AI47">
        <f>(AJ47 - AK47 - DY47*1E3/(8.314*(EA47+273.15)) * AM47/DX47 * AL47) * DX47/(100*DL47) * (1000 - DU47)/1000</f>
        <v>0</v>
      </c>
      <c r="AJ47">
        <v>50.9076945339735</v>
      </c>
      <c r="AK47">
        <v>50.9231933333333</v>
      </c>
      <c r="AL47">
        <v>0.00090719991084215</v>
      </c>
      <c r="AM47">
        <v>63.7500066742511</v>
      </c>
      <c r="AN47">
        <f>(AP47 - AO47 + DY47*1E3/(8.314*(EA47+273.15)) * AR47/DX47 * AQ47) * DX47/(100*DL47) * 1000/(1000 - AP47)</f>
        <v>0</v>
      </c>
      <c r="AO47">
        <v>17.8574766730941</v>
      </c>
      <c r="AP47">
        <v>17.9270739393939</v>
      </c>
      <c r="AQ47">
        <v>-2.78290726439988e-05</v>
      </c>
      <c r="AR47">
        <v>105.482558027971</v>
      </c>
      <c r="AS47">
        <v>0</v>
      </c>
      <c r="AT47">
        <v>0</v>
      </c>
      <c r="AU47">
        <f>IF(AS47*$H$13&gt;=AW47,1.0,(AW47/(AW47-AS47*$H$13)))</f>
        <v>0</v>
      </c>
      <c r="AV47">
        <f>(AU47-1)*100</f>
        <v>0</v>
      </c>
      <c r="AW47">
        <f>MAX(0,($B$13+$C$13*EF47)/(1+$D$13*EF47)*DY47/(EA47+273)*$E$13)</f>
        <v>0</v>
      </c>
      <c r="AX47" t="s">
        <v>437</v>
      </c>
      <c r="AY47" t="s">
        <v>437</v>
      </c>
      <c r="AZ47">
        <v>0</v>
      </c>
      <c r="BA47">
        <v>0</v>
      </c>
      <c r="BB47">
        <f>1-AZ47/BA47</f>
        <v>0</v>
      </c>
      <c r="BC47">
        <v>0</v>
      </c>
      <c r="BD47" t="s">
        <v>437</v>
      </c>
      <c r="BE47" t="s">
        <v>437</v>
      </c>
      <c r="BF47">
        <v>0</v>
      </c>
      <c r="BG47">
        <v>0</v>
      </c>
      <c r="BH47">
        <f>1-BF47/BG47</f>
        <v>0</v>
      </c>
      <c r="BI47">
        <v>0.5</v>
      </c>
      <c r="BJ47">
        <f>DI47</f>
        <v>0</v>
      </c>
      <c r="BK47">
        <f>L47</f>
        <v>0</v>
      </c>
      <c r="BL47">
        <f>BH47*BI47*BJ47</f>
        <v>0</v>
      </c>
      <c r="BM47">
        <f>(BK47-BC47)/BJ47</f>
        <v>0</v>
      </c>
      <c r="BN47">
        <f>(BA47-BG47)/BG47</f>
        <v>0</v>
      </c>
      <c r="BO47">
        <f>AZ47/(BB47+AZ47/BG47)</f>
        <v>0</v>
      </c>
      <c r="BP47" t="s">
        <v>437</v>
      </c>
      <c r="BQ47">
        <v>0</v>
      </c>
      <c r="BR47">
        <f>IF(BQ47&lt;&gt;0, BQ47, BO47)</f>
        <v>0</v>
      </c>
      <c r="BS47">
        <f>1-BR47/BG47</f>
        <v>0</v>
      </c>
      <c r="BT47">
        <f>(BG47-BF47)/(BG47-BR47)</f>
        <v>0</v>
      </c>
      <c r="BU47">
        <f>(BA47-BG47)/(BA47-BR47)</f>
        <v>0</v>
      </c>
      <c r="BV47">
        <f>(BG47-BF47)/(BG47-AZ47)</f>
        <v>0</v>
      </c>
      <c r="BW47">
        <f>(BA47-BG47)/(BA47-AZ47)</f>
        <v>0</v>
      </c>
      <c r="BX47">
        <f>(BT47*BR47/BF47)</f>
        <v>0</v>
      </c>
      <c r="BY47">
        <f>(1-BX47)</f>
        <v>0</v>
      </c>
      <c r="DH47">
        <f>$B$11*EG47+$C$11*EH47+$F$11*ES47*(1-EV47)</f>
        <v>0</v>
      </c>
      <c r="DI47">
        <f>DH47*DJ47</f>
        <v>0</v>
      </c>
      <c r="DJ47">
        <f>($B$11*$D$9+$C$11*$D$9+$F$11*((FF47+EX47)/MAX(FF47+EX47+FG47, 0.1)*$I$9+FG47/MAX(FF47+EX47+FG47, 0.1)*$J$9))/($B$11+$C$11+$F$11)</f>
        <v>0</v>
      </c>
      <c r="DK47">
        <f>($B$11*$K$9+$C$11*$K$9+$F$11*((FF47+EX47)/MAX(FF47+EX47+FG47, 0.1)*$P$9+FG47/MAX(FF47+EX47+FG47, 0.1)*$Q$9))/($B$11+$C$11+$F$11)</f>
        <v>0</v>
      </c>
      <c r="DL47">
        <v>6</v>
      </c>
      <c r="DM47">
        <v>0.5</v>
      </c>
      <c r="DN47" t="s">
        <v>438</v>
      </c>
      <c r="DO47">
        <v>2</v>
      </c>
      <c r="DP47" t="b">
        <v>1</v>
      </c>
      <c r="DQ47">
        <v>1765303090</v>
      </c>
      <c r="DR47">
        <v>50.27612</v>
      </c>
      <c r="DS47">
        <v>50.0031333333333</v>
      </c>
      <c r="DT47">
        <v>17.9252333333333</v>
      </c>
      <c r="DU47">
        <v>17.85742</v>
      </c>
      <c r="DV47">
        <v>44.58212</v>
      </c>
      <c r="DW47">
        <v>17.8292333333333</v>
      </c>
      <c r="DX47">
        <v>500.016066666667</v>
      </c>
      <c r="DY47">
        <v>89.9909866666667</v>
      </c>
      <c r="DZ47">
        <v>0.0999981866666667</v>
      </c>
      <c r="EA47">
        <v>25.2716533333333</v>
      </c>
      <c r="EB47">
        <v>25.0041733333333</v>
      </c>
      <c r="EC47">
        <v>999.9</v>
      </c>
      <c r="ED47">
        <v>0</v>
      </c>
      <c r="EE47">
        <v>0</v>
      </c>
      <c r="EF47">
        <v>9999.36866666667</v>
      </c>
      <c r="EG47">
        <v>0</v>
      </c>
      <c r="EH47">
        <v>14.4284866666667</v>
      </c>
      <c r="EI47">
        <v>0.00843556853333334</v>
      </c>
      <c r="EJ47">
        <v>50.9246066666667</v>
      </c>
      <c r="EK47">
        <v>50.9123133333333</v>
      </c>
      <c r="EL47">
        <v>0.0718158733333333</v>
      </c>
      <c r="EM47">
        <v>50.0031333333333</v>
      </c>
      <c r="EN47">
        <v>17.85742</v>
      </c>
      <c r="EO47">
        <v>1.61347066666667</v>
      </c>
      <c r="EP47">
        <v>1.60700666666667</v>
      </c>
      <c r="EQ47">
        <v>14.0880466666667</v>
      </c>
      <c r="ER47">
        <v>14.0261666666667</v>
      </c>
      <c r="ES47">
        <v>799.9886</v>
      </c>
      <c r="ET47">
        <v>0.950002066666667</v>
      </c>
      <c r="EU47">
        <v>0.04999788</v>
      </c>
      <c r="EV47">
        <v>0</v>
      </c>
      <c r="EW47">
        <v>938.052533333333</v>
      </c>
      <c r="EX47">
        <v>5.00016</v>
      </c>
      <c r="EY47">
        <v>7300.41533333333</v>
      </c>
      <c r="EZ47">
        <v>7194.57666666667</v>
      </c>
      <c r="FA47">
        <v>40.1166</v>
      </c>
      <c r="FB47">
        <v>42.8162</v>
      </c>
      <c r="FC47">
        <v>41.5704</v>
      </c>
      <c r="FD47">
        <v>42.812</v>
      </c>
      <c r="FE47">
        <v>42.7248</v>
      </c>
      <c r="FF47">
        <v>755.241333333334</v>
      </c>
      <c r="FG47">
        <v>39.75</v>
      </c>
      <c r="FH47">
        <v>0</v>
      </c>
      <c r="FI47">
        <v>1765303098.1</v>
      </c>
      <c r="FJ47">
        <v>0</v>
      </c>
      <c r="FK47">
        <v>938.022346153846</v>
      </c>
      <c r="FL47">
        <v>-0.785606846999316</v>
      </c>
      <c r="FM47">
        <v>-5.96615378173589</v>
      </c>
      <c r="FN47">
        <v>7300.525</v>
      </c>
      <c r="FO47">
        <v>15</v>
      </c>
      <c r="FP47">
        <v>1765303119</v>
      </c>
      <c r="FQ47" t="s">
        <v>536</v>
      </c>
      <c r="FR47">
        <v>1765303119</v>
      </c>
      <c r="FS47">
        <v>1765303116</v>
      </c>
      <c r="FT47">
        <v>31</v>
      </c>
      <c r="FU47">
        <v>0.266</v>
      </c>
      <c r="FV47">
        <v>-0.003</v>
      </c>
      <c r="FW47">
        <v>5.694</v>
      </c>
      <c r="FX47">
        <v>0.096</v>
      </c>
      <c r="FY47">
        <v>50</v>
      </c>
      <c r="FZ47">
        <v>18</v>
      </c>
      <c r="GA47">
        <v>0.3</v>
      </c>
      <c r="GB47">
        <v>0.23</v>
      </c>
      <c r="GC47">
        <v>0.0398972375238095</v>
      </c>
      <c r="GD47">
        <v>-0.425976010194639</v>
      </c>
      <c r="GE47">
        <v>0.0633623674505509</v>
      </c>
      <c r="GF47">
        <v>1</v>
      </c>
      <c r="GG47">
        <v>938.076382352941</v>
      </c>
      <c r="GH47">
        <v>-1.01477463868475</v>
      </c>
      <c r="GI47">
        <v>0.240120682244406</v>
      </c>
      <c r="GJ47">
        <v>-1</v>
      </c>
      <c r="GK47">
        <v>0.071737019047619</v>
      </c>
      <c r="GL47">
        <v>-0.00260828010590736</v>
      </c>
      <c r="GM47">
        <v>0.00129882903402919</v>
      </c>
      <c r="GN47">
        <v>1</v>
      </c>
      <c r="GO47">
        <v>2</v>
      </c>
      <c r="GP47">
        <v>2</v>
      </c>
      <c r="GQ47" t="s">
        <v>440</v>
      </c>
      <c r="GR47">
        <v>3.12476</v>
      </c>
      <c r="GS47">
        <v>2.72561</v>
      </c>
      <c r="GT47">
        <v>0.0115797</v>
      </c>
      <c r="GU47">
        <v>0.013013</v>
      </c>
      <c r="GV47">
        <v>0.0826359</v>
      </c>
      <c r="GW47">
        <v>0.0824028</v>
      </c>
      <c r="GX47">
        <v>26088.8</v>
      </c>
      <c r="GY47">
        <v>24100.7</v>
      </c>
      <c r="GZ47">
        <v>23599.1</v>
      </c>
      <c r="HA47">
        <v>23771</v>
      </c>
      <c r="HB47">
        <v>36864.2</v>
      </c>
      <c r="HC47">
        <v>36061.7</v>
      </c>
      <c r="HD47">
        <v>42512.4</v>
      </c>
      <c r="HE47">
        <v>42344.6</v>
      </c>
      <c r="HF47">
        <v>1.9252</v>
      </c>
      <c r="HG47">
        <v>1.81965</v>
      </c>
      <c r="HH47">
        <v>0.0907108</v>
      </c>
      <c r="HI47">
        <v>0</v>
      </c>
      <c r="HJ47">
        <v>23.5067</v>
      </c>
      <c r="HK47">
        <v>999.9</v>
      </c>
      <c r="HL47">
        <v>44.793</v>
      </c>
      <c r="HM47">
        <v>30.635</v>
      </c>
      <c r="HN47">
        <v>21.9934</v>
      </c>
      <c r="HO47">
        <v>54.6731</v>
      </c>
      <c r="HP47">
        <v>46.9111</v>
      </c>
      <c r="HQ47">
        <v>1</v>
      </c>
      <c r="HR47">
        <v>-0.04719</v>
      </c>
      <c r="HS47">
        <v>1.43449</v>
      </c>
      <c r="HT47">
        <v>20.2258</v>
      </c>
      <c r="HU47">
        <v>5.23511</v>
      </c>
      <c r="HV47">
        <v>11.992</v>
      </c>
      <c r="HW47">
        <v>4.9557</v>
      </c>
      <c r="HX47">
        <v>3.304</v>
      </c>
      <c r="HY47">
        <v>999.9</v>
      </c>
      <c r="HZ47">
        <v>9999</v>
      </c>
      <c r="IA47">
        <v>9999</v>
      </c>
      <c r="IB47">
        <v>9999</v>
      </c>
      <c r="IC47">
        <v>1.86874</v>
      </c>
      <c r="ID47">
        <v>1.8645</v>
      </c>
      <c r="IE47">
        <v>1.8721</v>
      </c>
      <c r="IF47">
        <v>1.8631</v>
      </c>
      <c r="IG47">
        <v>1.86248</v>
      </c>
      <c r="IH47">
        <v>1.86888</v>
      </c>
      <c r="II47">
        <v>1.85903</v>
      </c>
      <c r="IJ47">
        <v>1.86534</v>
      </c>
      <c r="IK47">
        <v>5</v>
      </c>
      <c r="IL47">
        <v>0</v>
      </c>
      <c r="IM47">
        <v>0</v>
      </c>
      <c r="IN47">
        <v>0</v>
      </c>
      <c r="IO47" t="s">
        <v>441</v>
      </c>
      <c r="IP47" t="s">
        <v>442</v>
      </c>
      <c r="IQ47" t="s">
        <v>443</v>
      </c>
      <c r="IR47" t="s">
        <v>443</v>
      </c>
      <c r="IS47" t="s">
        <v>443</v>
      </c>
      <c r="IT47" t="s">
        <v>443</v>
      </c>
      <c r="IU47">
        <v>0</v>
      </c>
      <c r="IV47">
        <v>100</v>
      </c>
      <c r="IW47">
        <v>100</v>
      </c>
      <c r="IX47">
        <v>5.694</v>
      </c>
      <c r="IY47">
        <v>0.096</v>
      </c>
      <c r="IZ47">
        <v>5.1562929620173</v>
      </c>
      <c r="JA47">
        <v>0.0062698613543794</v>
      </c>
      <c r="JB47">
        <v>-3.23243345529816e-06</v>
      </c>
      <c r="JC47">
        <v>8.00506428382295e-10</v>
      </c>
      <c r="JD47">
        <v>-0.0609811557220626</v>
      </c>
      <c r="JE47">
        <v>-0.0018464610107002</v>
      </c>
      <c r="JF47">
        <v>0.000796540623429801</v>
      </c>
      <c r="JG47">
        <v>-1.04619914107352e-05</v>
      </c>
      <c r="JH47">
        <v>-0</v>
      </c>
      <c r="JI47">
        <v>2101</v>
      </c>
      <c r="JJ47">
        <v>1</v>
      </c>
      <c r="JK47">
        <v>23</v>
      </c>
      <c r="JL47">
        <v>1.1</v>
      </c>
      <c r="JM47">
        <v>1.2</v>
      </c>
      <c r="JN47">
        <v>0.264893</v>
      </c>
      <c r="JO47">
        <v>2.43164</v>
      </c>
      <c r="JP47">
        <v>1.4978</v>
      </c>
      <c r="JQ47">
        <v>2.33154</v>
      </c>
      <c r="JR47">
        <v>1.54419</v>
      </c>
      <c r="JS47">
        <v>2.3645</v>
      </c>
      <c r="JT47">
        <v>37.6987</v>
      </c>
      <c r="JU47">
        <v>24.2801</v>
      </c>
      <c r="JV47">
        <v>18</v>
      </c>
      <c r="JW47">
        <v>549.331</v>
      </c>
      <c r="JX47">
        <v>425.638</v>
      </c>
      <c r="JY47">
        <v>21.7359</v>
      </c>
      <c r="JZ47">
        <v>26.8111</v>
      </c>
      <c r="KA47">
        <v>30.0002</v>
      </c>
      <c r="KB47">
        <v>26.7953</v>
      </c>
      <c r="KC47">
        <v>26.8169</v>
      </c>
      <c r="KD47">
        <v>5.34575</v>
      </c>
      <c r="KE47">
        <v>30.2899</v>
      </c>
      <c r="KF47">
        <v>82.6062</v>
      </c>
      <c r="KG47">
        <v>21.7364</v>
      </c>
      <c r="KH47">
        <v>50</v>
      </c>
      <c r="KI47">
        <v>17.8943</v>
      </c>
      <c r="KJ47">
        <v>95.3076</v>
      </c>
      <c r="KK47">
        <v>98.7253</v>
      </c>
    </row>
    <row r="48" spans="1:297">
      <c r="A48">
        <v>32</v>
      </c>
      <c r="B48">
        <v>1765303198</v>
      </c>
      <c r="C48">
        <v>5249</v>
      </c>
      <c r="D48" t="s">
        <v>537</v>
      </c>
      <c r="E48" t="s">
        <v>538</v>
      </c>
      <c r="F48">
        <v>5</v>
      </c>
      <c r="G48" t="s">
        <v>523</v>
      </c>
      <c r="H48" t="s">
        <v>436</v>
      </c>
      <c r="I48">
        <v>1765303189.5</v>
      </c>
      <c r="J48">
        <f>(K48)/1000</f>
        <v>0</v>
      </c>
      <c r="K48">
        <f>IF(DP48, AN48, AH48)</f>
        <v>0</v>
      </c>
      <c r="L48">
        <f>IF(DP48, AI48, AG48)</f>
        <v>0</v>
      </c>
      <c r="M48">
        <f>DR48 - IF(AU48&gt;1, L48*DL48*100.0/(AW48), 0)</f>
        <v>0</v>
      </c>
      <c r="N48">
        <f>((T48-J48/2)*M48-L48)/(T48+J48/2)</f>
        <v>0</v>
      </c>
      <c r="O48">
        <f>N48*(DY48+DZ48)/1000.0</f>
        <v>0</v>
      </c>
      <c r="P48">
        <f>(DR48 - IF(AU48&gt;1, L48*DL48*100.0/(AW48), 0))*(DY48+DZ48)/1000.0</f>
        <v>0</v>
      </c>
      <c r="Q48">
        <f>2.0/((1/S48-1/R48)+SIGN(S48)*SQRT((1/S48-1/R48)*(1/S48-1/R48) + 4*DM48/((DM48+1)*(DM48+1))*(2*1/S48*1/R48-1/R48*1/R48)))</f>
        <v>0</v>
      </c>
      <c r="R48">
        <f>IF(LEFT(DN48,1)&lt;&gt;"0",IF(LEFT(DN48,1)="1",3.0,DO48),$D$5+$E$5*(EF48*DY48/($K$5*1000))+$F$5*(EF48*DY48/($K$5*1000))*MAX(MIN(DL48,$J$5),$I$5)*MAX(MIN(DL48,$J$5),$I$5)+$G$5*MAX(MIN(DL48,$J$5),$I$5)*(EF48*DY48/($K$5*1000))+$H$5*(EF48*DY48/($K$5*1000))*(EF48*DY48/($K$5*1000)))</f>
        <v>0</v>
      </c>
      <c r="S48">
        <f>J48*(1000-(1000*0.61365*exp(17.502*W48/(240.97+W48))/(DY48+DZ48)+DT48)/2)/(1000*0.61365*exp(17.502*W48/(240.97+W48))/(DY48+DZ48)-DT48)</f>
        <v>0</v>
      </c>
      <c r="T48">
        <f>1/((DM48+1)/(Q48/1.6)+1/(R48/1.37)) + DM48/((DM48+1)/(Q48/1.6) + DM48/(R48/1.37))</f>
        <v>0</v>
      </c>
      <c r="U48">
        <f>(DH48*DK48)</f>
        <v>0</v>
      </c>
      <c r="V48">
        <f>(EA48+(U48+2*0.95*5.67E-8*(((EA48+$B$7)+273)^4-(EA48+273)^4)-44100*J48)/(1.84*29.3*R48+8*0.95*5.67E-8*(EA48+273)^3))</f>
        <v>0</v>
      </c>
      <c r="W48">
        <f>($C$7*EB48+$D$7*EC48+$E$7*V48)</f>
        <v>0</v>
      </c>
      <c r="X48">
        <f>0.61365*exp(17.502*W48/(240.97+W48))</f>
        <v>0</v>
      </c>
      <c r="Y48">
        <f>(Z48/AA48*100)</f>
        <v>0</v>
      </c>
      <c r="Z48">
        <f>DT48*(DY48+DZ48)/1000</f>
        <v>0</v>
      </c>
      <c r="AA48">
        <f>0.61365*exp(17.502*EA48/(240.97+EA48))</f>
        <v>0</v>
      </c>
      <c r="AB48">
        <f>(X48-DT48*(DY48+DZ48)/1000)</f>
        <v>0</v>
      </c>
      <c r="AC48">
        <f>(-J48*44100)</f>
        <v>0</v>
      </c>
      <c r="AD48">
        <f>2*29.3*R48*0.92*(EA48-W48)</f>
        <v>0</v>
      </c>
      <c r="AE48">
        <f>2*0.95*5.67E-8*(((EA48+$B$7)+273)^4-(W48+273)^4)</f>
        <v>0</v>
      </c>
      <c r="AF48">
        <f>U48+AE48+AC48+AD48</f>
        <v>0</v>
      </c>
      <c r="AG48">
        <f>DX48*AU48*(DS48-DR48*(1000-AU48*DU48)/(1000-AU48*DT48))/(100*DL48)</f>
        <v>0</v>
      </c>
      <c r="AH48">
        <f>1000*DX48*AU48*(DT48-DU48)/(100*DL48*(1000-AU48*DT48))</f>
        <v>0</v>
      </c>
      <c r="AI48">
        <f>(AJ48 - AK48 - DY48*1E3/(8.314*(EA48+273.15)) * AM48/DX48 * AL48) * DX48/(100*DL48) * (1000 - DU48)/1000</f>
        <v>0</v>
      </c>
      <c r="AJ48">
        <v>407.32910624732</v>
      </c>
      <c r="AK48">
        <v>406.725478787879</v>
      </c>
      <c r="AL48">
        <v>0.0224685496241326</v>
      </c>
      <c r="AM48">
        <v>63.7293141630369</v>
      </c>
      <c r="AN48">
        <f>(AP48 - AO48 + DY48*1E3/(8.314*(EA48+273.15)) * AR48/DX48 * AQ48) * DX48/(100*DL48) * 1000/(1000 - AP48)</f>
        <v>0</v>
      </c>
      <c r="AO48">
        <v>17.8544752746987</v>
      </c>
      <c r="AP48">
        <v>17.9274236363636</v>
      </c>
      <c r="AQ48">
        <v>5.2553113015565e-06</v>
      </c>
      <c r="AR48">
        <v>105.597839808708</v>
      </c>
      <c r="AS48">
        <v>0</v>
      </c>
      <c r="AT48">
        <v>0</v>
      </c>
      <c r="AU48">
        <f>IF(AS48*$H$13&gt;=AW48,1.0,(AW48/(AW48-AS48*$H$13)))</f>
        <v>0</v>
      </c>
      <c r="AV48">
        <f>(AU48-1)*100</f>
        <v>0</v>
      </c>
      <c r="AW48">
        <f>MAX(0,($B$13+$C$13*EF48)/(1+$D$13*EF48)*DY48/(EA48+273)*$E$13)</f>
        <v>0</v>
      </c>
      <c r="AX48" t="s">
        <v>437</v>
      </c>
      <c r="AY48" t="s">
        <v>437</v>
      </c>
      <c r="AZ48">
        <v>0</v>
      </c>
      <c r="BA48">
        <v>0</v>
      </c>
      <c r="BB48">
        <f>1-AZ48/BA48</f>
        <v>0</v>
      </c>
      <c r="BC48">
        <v>0</v>
      </c>
      <c r="BD48" t="s">
        <v>437</v>
      </c>
      <c r="BE48" t="s">
        <v>437</v>
      </c>
      <c r="BF48">
        <v>0</v>
      </c>
      <c r="BG48">
        <v>0</v>
      </c>
      <c r="BH48">
        <f>1-BF48/BG48</f>
        <v>0</v>
      </c>
      <c r="BI48">
        <v>0.5</v>
      </c>
      <c r="BJ48">
        <f>DI48</f>
        <v>0</v>
      </c>
      <c r="BK48">
        <f>L48</f>
        <v>0</v>
      </c>
      <c r="BL48">
        <f>BH48*BI48*BJ48</f>
        <v>0</v>
      </c>
      <c r="BM48">
        <f>(BK48-BC48)/BJ48</f>
        <v>0</v>
      </c>
      <c r="BN48">
        <f>(BA48-BG48)/BG48</f>
        <v>0</v>
      </c>
      <c r="BO48">
        <f>AZ48/(BB48+AZ48/BG48)</f>
        <v>0</v>
      </c>
      <c r="BP48" t="s">
        <v>437</v>
      </c>
      <c r="BQ48">
        <v>0</v>
      </c>
      <c r="BR48">
        <f>IF(BQ48&lt;&gt;0, BQ48, BO48)</f>
        <v>0</v>
      </c>
      <c r="BS48">
        <f>1-BR48/BG48</f>
        <v>0</v>
      </c>
      <c r="BT48">
        <f>(BG48-BF48)/(BG48-BR48)</f>
        <v>0</v>
      </c>
      <c r="BU48">
        <f>(BA48-BG48)/(BA48-BR48)</f>
        <v>0</v>
      </c>
      <c r="BV48">
        <f>(BG48-BF48)/(BG48-AZ48)</f>
        <v>0</v>
      </c>
      <c r="BW48">
        <f>(BA48-BG48)/(BA48-AZ48)</f>
        <v>0</v>
      </c>
      <c r="BX48">
        <f>(BT48*BR48/BF48)</f>
        <v>0</v>
      </c>
      <c r="BY48">
        <f>(1-BX48)</f>
        <v>0</v>
      </c>
      <c r="DH48">
        <f>$B$11*EG48+$C$11*EH48+$F$11*ES48*(1-EV48)</f>
        <v>0</v>
      </c>
      <c r="DI48">
        <f>DH48*DJ48</f>
        <v>0</v>
      </c>
      <c r="DJ48">
        <f>($B$11*$D$9+$C$11*$D$9+$F$11*((FF48+EX48)/MAX(FF48+EX48+FG48, 0.1)*$I$9+FG48/MAX(FF48+EX48+FG48, 0.1)*$J$9))/($B$11+$C$11+$F$11)</f>
        <v>0</v>
      </c>
      <c r="DK48">
        <f>($B$11*$K$9+$C$11*$K$9+$F$11*((FF48+EX48)/MAX(FF48+EX48+FG48, 0.1)*$P$9+FG48/MAX(FF48+EX48+FG48, 0.1)*$Q$9))/($B$11+$C$11+$F$11)</f>
        <v>0</v>
      </c>
      <c r="DL48">
        <v>6</v>
      </c>
      <c r="DM48">
        <v>0.5</v>
      </c>
      <c r="DN48" t="s">
        <v>438</v>
      </c>
      <c r="DO48">
        <v>2</v>
      </c>
      <c r="DP48" t="b">
        <v>1</v>
      </c>
      <c r="DQ48">
        <v>1765303189.5</v>
      </c>
      <c r="DR48">
        <v>399.5555625</v>
      </c>
      <c r="DS48">
        <v>400.0139375</v>
      </c>
      <c r="DT48">
        <v>17.929825</v>
      </c>
      <c r="DU48">
        <v>17.85510625</v>
      </c>
      <c r="DV48">
        <v>391.9605625</v>
      </c>
      <c r="DW48">
        <v>17.828825</v>
      </c>
      <c r="DX48">
        <v>500.0163125</v>
      </c>
      <c r="DY48">
        <v>89.98926875</v>
      </c>
      <c r="DZ48">
        <v>0.0999916625</v>
      </c>
      <c r="EA48">
        <v>25.26029375</v>
      </c>
      <c r="EB48">
        <v>24.9822375</v>
      </c>
      <c r="EC48">
        <v>999.9</v>
      </c>
      <c r="ED48">
        <v>0</v>
      </c>
      <c r="EE48">
        <v>0</v>
      </c>
      <c r="EF48">
        <v>10010.00375</v>
      </c>
      <c r="EG48">
        <v>0</v>
      </c>
      <c r="EH48">
        <v>12.40463125</v>
      </c>
      <c r="EI48">
        <v>-0.622142625</v>
      </c>
      <c r="EJ48">
        <v>406.682125</v>
      </c>
      <c r="EK48">
        <v>407.2861875</v>
      </c>
      <c r="EL48">
        <v>0.07115639375</v>
      </c>
      <c r="EM48">
        <v>400.0139375</v>
      </c>
      <c r="EN48">
        <v>17.85510625</v>
      </c>
      <c r="EO48">
        <v>1.613173125</v>
      </c>
      <c r="EP48">
        <v>1.606769375</v>
      </c>
      <c r="EQ48">
        <v>14.0852</v>
      </c>
      <c r="ER48">
        <v>14.0238625</v>
      </c>
      <c r="ES48">
        <v>800.0238125</v>
      </c>
      <c r="ET48">
        <v>0.950003625</v>
      </c>
      <c r="EU48">
        <v>0.04999629375</v>
      </c>
      <c r="EV48">
        <v>0</v>
      </c>
      <c r="EW48">
        <v>935.223875</v>
      </c>
      <c r="EX48">
        <v>5.00016</v>
      </c>
      <c r="EY48">
        <v>7278.214375</v>
      </c>
      <c r="EZ48">
        <v>7194.900625</v>
      </c>
      <c r="FA48">
        <v>40.0816875</v>
      </c>
      <c r="FB48">
        <v>42.8238125</v>
      </c>
      <c r="FC48">
        <v>41.562</v>
      </c>
      <c r="FD48">
        <v>42.812</v>
      </c>
      <c r="FE48">
        <v>42.7185</v>
      </c>
      <c r="FF48">
        <v>755.275625</v>
      </c>
      <c r="FG48">
        <v>39.75</v>
      </c>
      <c r="FH48">
        <v>0</v>
      </c>
      <c r="FI48">
        <v>1765303198.3</v>
      </c>
      <c r="FJ48">
        <v>0</v>
      </c>
      <c r="FK48">
        <v>935.18692</v>
      </c>
      <c r="FL48">
        <v>-1.21100000079827</v>
      </c>
      <c r="FM48">
        <v>-10.5361539225514</v>
      </c>
      <c r="FN48">
        <v>7277.9504</v>
      </c>
      <c r="FO48">
        <v>15</v>
      </c>
      <c r="FP48">
        <v>1765303218</v>
      </c>
      <c r="FQ48" t="s">
        <v>539</v>
      </c>
      <c r="FR48">
        <v>1765303217</v>
      </c>
      <c r="FS48">
        <v>1765303218</v>
      </c>
      <c r="FT48">
        <v>32</v>
      </c>
      <c r="FU48">
        <v>0.162</v>
      </c>
      <c r="FV48">
        <v>0.005</v>
      </c>
      <c r="FW48">
        <v>7.595</v>
      </c>
      <c r="FX48">
        <v>0.101</v>
      </c>
      <c r="FY48">
        <v>400</v>
      </c>
      <c r="FZ48">
        <v>18</v>
      </c>
      <c r="GA48">
        <v>0.72</v>
      </c>
      <c r="GB48">
        <v>0.15</v>
      </c>
      <c r="GC48">
        <v>-0.65110615</v>
      </c>
      <c r="GD48">
        <v>0.267699744360902</v>
      </c>
      <c r="GE48">
        <v>0.0682882063853452</v>
      </c>
      <c r="GF48">
        <v>1</v>
      </c>
      <c r="GG48">
        <v>935.290323529412</v>
      </c>
      <c r="GH48">
        <v>-1.23399541897527</v>
      </c>
      <c r="GI48">
        <v>0.211156719132033</v>
      </c>
      <c r="GJ48">
        <v>-1</v>
      </c>
      <c r="GK48">
        <v>0.07028848</v>
      </c>
      <c r="GL48">
        <v>0.0128874947368421</v>
      </c>
      <c r="GM48">
        <v>0.00152867797053533</v>
      </c>
      <c r="GN48">
        <v>1</v>
      </c>
      <c r="GO48">
        <v>2</v>
      </c>
      <c r="GP48">
        <v>2</v>
      </c>
      <c r="GQ48" t="s">
        <v>440</v>
      </c>
      <c r="GR48">
        <v>3.12482</v>
      </c>
      <c r="GS48">
        <v>2.72571</v>
      </c>
      <c r="GT48">
        <v>0.0850169</v>
      </c>
      <c r="GU48">
        <v>0.0863233</v>
      </c>
      <c r="GV48">
        <v>0.0826367</v>
      </c>
      <c r="GW48">
        <v>0.0823861</v>
      </c>
      <c r="GX48">
        <v>24149</v>
      </c>
      <c r="GY48">
        <v>22310.7</v>
      </c>
      <c r="GZ48">
        <v>23597.6</v>
      </c>
      <c r="HA48">
        <v>23770.9</v>
      </c>
      <c r="HB48">
        <v>36868.2</v>
      </c>
      <c r="HC48">
        <v>36068</v>
      </c>
      <c r="HD48">
        <v>42509.7</v>
      </c>
      <c r="HE48">
        <v>42344.5</v>
      </c>
      <c r="HF48">
        <v>1.9253</v>
      </c>
      <c r="HG48">
        <v>1.82057</v>
      </c>
      <c r="HH48">
        <v>0.0914149</v>
      </c>
      <c r="HI48">
        <v>0</v>
      </c>
      <c r="HJ48">
        <v>23.4909</v>
      </c>
      <c r="HK48">
        <v>999.9</v>
      </c>
      <c r="HL48">
        <v>44.72</v>
      </c>
      <c r="HM48">
        <v>30.645</v>
      </c>
      <c r="HN48">
        <v>21.9703</v>
      </c>
      <c r="HO48">
        <v>54.1831</v>
      </c>
      <c r="HP48">
        <v>46.8189</v>
      </c>
      <c r="HQ48">
        <v>1</v>
      </c>
      <c r="HR48">
        <v>-0.0479243</v>
      </c>
      <c r="HS48">
        <v>1.23855</v>
      </c>
      <c r="HT48">
        <v>20.2273</v>
      </c>
      <c r="HU48">
        <v>5.23481</v>
      </c>
      <c r="HV48">
        <v>11.992</v>
      </c>
      <c r="HW48">
        <v>4.95595</v>
      </c>
      <c r="HX48">
        <v>3.304</v>
      </c>
      <c r="HY48">
        <v>999.9</v>
      </c>
      <c r="HZ48">
        <v>9999</v>
      </c>
      <c r="IA48">
        <v>9999</v>
      </c>
      <c r="IB48">
        <v>9999</v>
      </c>
      <c r="IC48">
        <v>1.86874</v>
      </c>
      <c r="ID48">
        <v>1.86449</v>
      </c>
      <c r="IE48">
        <v>1.87209</v>
      </c>
      <c r="IF48">
        <v>1.8631</v>
      </c>
      <c r="IG48">
        <v>1.86247</v>
      </c>
      <c r="IH48">
        <v>1.86886</v>
      </c>
      <c r="II48">
        <v>1.85903</v>
      </c>
      <c r="IJ48">
        <v>1.8653</v>
      </c>
      <c r="IK48">
        <v>5</v>
      </c>
      <c r="IL48">
        <v>0</v>
      </c>
      <c r="IM48">
        <v>0</v>
      </c>
      <c r="IN48">
        <v>0</v>
      </c>
      <c r="IO48" t="s">
        <v>441</v>
      </c>
      <c r="IP48" t="s">
        <v>442</v>
      </c>
      <c r="IQ48" t="s">
        <v>443</v>
      </c>
      <c r="IR48" t="s">
        <v>443</v>
      </c>
      <c r="IS48" t="s">
        <v>443</v>
      </c>
      <c r="IT48" t="s">
        <v>443</v>
      </c>
      <c r="IU48">
        <v>0</v>
      </c>
      <c r="IV48">
        <v>100</v>
      </c>
      <c r="IW48">
        <v>100</v>
      </c>
      <c r="IX48">
        <v>7.595</v>
      </c>
      <c r="IY48">
        <v>0.101</v>
      </c>
      <c r="IZ48">
        <v>5.42208067811764</v>
      </c>
      <c r="JA48">
        <v>0.0062698613543794</v>
      </c>
      <c r="JB48">
        <v>-3.23243345529816e-06</v>
      </c>
      <c r="JC48">
        <v>8.00506428382295e-10</v>
      </c>
      <c r="JD48">
        <v>-0.0635427507056777</v>
      </c>
      <c r="JE48">
        <v>-0.0018464610107002</v>
      </c>
      <c r="JF48">
        <v>0.000796540623429801</v>
      </c>
      <c r="JG48">
        <v>-1.04619914107352e-05</v>
      </c>
      <c r="JH48">
        <v>-0</v>
      </c>
      <c r="JI48">
        <v>2101</v>
      </c>
      <c r="JJ48">
        <v>1</v>
      </c>
      <c r="JK48">
        <v>23</v>
      </c>
      <c r="JL48">
        <v>1.3</v>
      </c>
      <c r="JM48">
        <v>1.4</v>
      </c>
      <c r="JN48">
        <v>1.00952</v>
      </c>
      <c r="JO48">
        <v>2.38403</v>
      </c>
      <c r="JP48">
        <v>1.4978</v>
      </c>
      <c r="JQ48">
        <v>2.33154</v>
      </c>
      <c r="JR48">
        <v>1.54419</v>
      </c>
      <c r="JS48">
        <v>2.34131</v>
      </c>
      <c r="JT48">
        <v>37.6745</v>
      </c>
      <c r="JU48">
        <v>24.2801</v>
      </c>
      <c r="JV48">
        <v>18</v>
      </c>
      <c r="JW48">
        <v>549.435</v>
      </c>
      <c r="JX48">
        <v>426.207</v>
      </c>
      <c r="JY48">
        <v>21.8553</v>
      </c>
      <c r="JZ48">
        <v>26.8134</v>
      </c>
      <c r="KA48">
        <v>30</v>
      </c>
      <c r="KB48">
        <v>26.7998</v>
      </c>
      <c r="KC48">
        <v>26.8209</v>
      </c>
      <c r="KD48">
        <v>20.2689</v>
      </c>
      <c r="KE48">
        <v>30.2899</v>
      </c>
      <c r="KF48">
        <v>82.2334</v>
      </c>
      <c r="KG48">
        <v>21.857</v>
      </c>
      <c r="KH48">
        <v>400</v>
      </c>
      <c r="KI48">
        <v>17.8992</v>
      </c>
      <c r="KJ48">
        <v>95.3017</v>
      </c>
      <c r="KK48">
        <v>98.725</v>
      </c>
    </row>
    <row r="49" spans="1:297">
      <c r="A49">
        <v>33</v>
      </c>
      <c r="B49">
        <v>1765303280</v>
      </c>
      <c r="C49">
        <v>5331</v>
      </c>
      <c r="D49" t="s">
        <v>540</v>
      </c>
      <c r="E49" t="s">
        <v>541</v>
      </c>
      <c r="F49">
        <v>5</v>
      </c>
      <c r="G49" t="s">
        <v>523</v>
      </c>
      <c r="H49" t="s">
        <v>436</v>
      </c>
      <c r="I49">
        <v>1765303272</v>
      </c>
      <c r="J49">
        <f>(K49)/1000</f>
        <v>0</v>
      </c>
      <c r="K49">
        <f>IF(DP49, AN49, AH49)</f>
        <v>0</v>
      </c>
      <c r="L49">
        <f>IF(DP49, AI49, AG49)</f>
        <v>0</v>
      </c>
      <c r="M49">
        <f>DR49 - IF(AU49&gt;1, L49*DL49*100.0/(AW49), 0)</f>
        <v>0</v>
      </c>
      <c r="N49">
        <f>((T49-J49/2)*M49-L49)/(T49+J49/2)</f>
        <v>0</v>
      </c>
      <c r="O49">
        <f>N49*(DY49+DZ49)/1000.0</f>
        <v>0</v>
      </c>
      <c r="P49">
        <f>(DR49 - IF(AU49&gt;1, L49*DL49*100.0/(AW49), 0))*(DY49+DZ49)/1000.0</f>
        <v>0</v>
      </c>
      <c r="Q49">
        <f>2.0/((1/S49-1/R49)+SIGN(S49)*SQRT((1/S49-1/R49)*(1/S49-1/R49) + 4*DM49/((DM49+1)*(DM49+1))*(2*1/S49*1/R49-1/R49*1/R49)))</f>
        <v>0</v>
      </c>
      <c r="R49">
        <f>IF(LEFT(DN49,1)&lt;&gt;"0",IF(LEFT(DN49,1)="1",3.0,DO49),$D$5+$E$5*(EF49*DY49/($K$5*1000))+$F$5*(EF49*DY49/($K$5*1000))*MAX(MIN(DL49,$J$5),$I$5)*MAX(MIN(DL49,$J$5),$I$5)+$G$5*MAX(MIN(DL49,$J$5),$I$5)*(EF49*DY49/($K$5*1000))+$H$5*(EF49*DY49/($K$5*1000))*(EF49*DY49/($K$5*1000)))</f>
        <v>0</v>
      </c>
      <c r="S49">
        <f>J49*(1000-(1000*0.61365*exp(17.502*W49/(240.97+W49))/(DY49+DZ49)+DT49)/2)/(1000*0.61365*exp(17.502*W49/(240.97+W49))/(DY49+DZ49)-DT49)</f>
        <v>0</v>
      </c>
      <c r="T49">
        <f>1/((DM49+1)/(Q49/1.6)+1/(R49/1.37)) + DM49/((DM49+1)/(Q49/1.6) + DM49/(R49/1.37))</f>
        <v>0</v>
      </c>
      <c r="U49">
        <f>(DH49*DK49)</f>
        <v>0</v>
      </c>
      <c r="V49">
        <f>(EA49+(U49+2*0.95*5.67E-8*(((EA49+$B$7)+273)^4-(EA49+273)^4)-44100*J49)/(1.84*29.3*R49+8*0.95*5.67E-8*(EA49+273)^3))</f>
        <v>0</v>
      </c>
      <c r="W49">
        <f>($C$7*EB49+$D$7*EC49+$E$7*V49)</f>
        <v>0</v>
      </c>
      <c r="X49">
        <f>0.61365*exp(17.502*W49/(240.97+W49))</f>
        <v>0</v>
      </c>
      <c r="Y49">
        <f>(Z49/AA49*100)</f>
        <v>0</v>
      </c>
      <c r="Z49">
        <f>DT49*(DY49+DZ49)/1000</f>
        <v>0</v>
      </c>
      <c r="AA49">
        <f>0.61365*exp(17.502*EA49/(240.97+EA49))</f>
        <v>0</v>
      </c>
      <c r="AB49">
        <f>(X49-DT49*(DY49+DZ49)/1000)</f>
        <v>0</v>
      </c>
      <c r="AC49">
        <f>(-J49*44100)</f>
        <v>0</v>
      </c>
      <c r="AD49">
        <f>2*29.3*R49*0.92*(EA49-W49)</f>
        <v>0</v>
      </c>
      <c r="AE49">
        <f>2*0.95*5.67E-8*(((EA49+$B$7)+273)^4-(W49+273)^4)</f>
        <v>0</v>
      </c>
      <c r="AF49">
        <f>U49+AE49+AC49+AD49</f>
        <v>0</v>
      </c>
      <c r="AG49">
        <f>DX49*AU49*(DS49-DR49*(1000-AU49*DU49)/(1000-AU49*DT49))/(100*DL49)</f>
        <v>0</v>
      </c>
      <c r="AH49">
        <f>1000*DX49*AU49*(DT49-DU49)/(100*DL49*(1000-AU49*DT49))</f>
        <v>0</v>
      </c>
      <c r="AI49">
        <f>(AJ49 - AK49 - DY49*1E3/(8.314*(EA49+273.15)) * AM49/DX49 * AL49) * DX49/(100*DL49) * (1000 - DU49)/1000</f>
        <v>0</v>
      </c>
      <c r="AJ49">
        <v>407.270252119659</v>
      </c>
      <c r="AK49">
        <v>407.030418181818</v>
      </c>
      <c r="AL49">
        <v>0.0063203253282918</v>
      </c>
      <c r="AM49">
        <v>63.9611193018485</v>
      </c>
      <c r="AN49">
        <f>(AP49 - AO49 + DY49*1E3/(8.314*(EA49+273.15)) * AR49/DX49 * AQ49) * DX49/(100*DL49) * 1000/(1000 - AP49)</f>
        <v>0</v>
      </c>
      <c r="AO49">
        <v>17.8543861504379</v>
      </c>
      <c r="AP49">
        <v>17.9283454545455</v>
      </c>
      <c r="AQ49">
        <v>-2.55980105096321e-06</v>
      </c>
      <c r="AR49">
        <v>104.332900890216</v>
      </c>
      <c r="AS49">
        <v>0</v>
      </c>
      <c r="AT49">
        <v>0</v>
      </c>
      <c r="AU49">
        <f>IF(AS49*$H$13&gt;=AW49,1.0,(AW49/(AW49-AS49*$H$13)))</f>
        <v>0</v>
      </c>
      <c r="AV49">
        <f>(AU49-1)*100</f>
        <v>0</v>
      </c>
      <c r="AW49">
        <f>MAX(0,($B$13+$C$13*EF49)/(1+$D$13*EF49)*DY49/(EA49+273)*$E$13)</f>
        <v>0</v>
      </c>
      <c r="AX49" t="s">
        <v>437</v>
      </c>
      <c r="AY49" t="s">
        <v>437</v>
      </c>
      <c r="AZ49">
        <v>0</v>
      </c>
      <c r="BA49">
        <v>0</v>
      </c>
      <c r="BB49">
        <f>1-AZ49/BA49</f>
        <v>0</v>
      </c>
      <c r="BC49">
        <v>0</v>
      </c>
      <c r="BD49" t="s">
        <v>437</v>
      </c>
      <c r="BE49" t="s">
        <v>437</v>
      </c>
      <c r="BF49">
        <v>0</v>
      </c>
      <c r="BG49">
        <v>0</v>
      </c>
      <c r="BH49">
        <f>1-BF49/BG49</f>
        <v>0</v>
      </c>
      <c r="BI49">
        <v>0.5</v>
      </c>
      <c r="BJ49">
        <f>DI49</f>
        <v>0</v>
      </c>
      <c r="BK49">
        <f>L49</f>
        <v>0</v>
      </c>
      <c r="BL49">
        <f>BH49*BI49*BJ49</f>
        <v>0</v>
      </c>
      <c r="BM49">
        <f>(BK49-BC49)/BJ49</f>
        <v>0</v>
      </c>
      <c r="BN49">
        <f>(BA49-BG49)/BG49</f>
        <v>0</v>
      </c>
      <c r="BO49">
        <f>AZ49/(BB49+AZ49/BG49)</f>
        <v>0</v>
      </c>
      <c r="BP49" t="s">
        <v>437</v>
      </c>
      <c r="BQ49">
        <v>0</v>
      </c>
      <c r="BR49">
        <f>IF(BQ49&lt;&gt;0, BQ49, BO49)</f>
        <v>0</v>
      </c>
      <c r="BS49">
        <f>1-BR49/BG49</f>
        <v>0</v>
      </c>
      <c r="BT49">
        <f>(BG49-BF49)/(BG49-BR49)</f>
        <v>0</v>
      </c>
      <c r="BU49">
        <f>(BA49-BG49)/(BA49-BR49)</f>
        <v>0</v>
      </c>
      <c r="BV49">
        <f>(BG49-BF49)/(BG49-AZ49)</f>
        <v>0</v>
      </c>
      <c r="BW49">
        <f>(BA49-BG49)/(BA49-AZ49)</f>
        <v>0</v>
      </c>
      <c r="BX49">
        <f>(BT49*BR49/BF49)</f>
        <v>0</v>
      </c>
      <c r="BY49">
        <f>(1-BX49)</f>
        <v>0</v>
      </c>
      <c r="DH49">
        <f>$B$11*EG49+$C$11*EH49+$F$11*ES49*(1-EV49)</f>
        <v>0</v>
      </c>
      <c r="DI49">
        <f>DH49*DJ49</f>
        <v>0</v>
      </c>
      <c r="DJ49">
        <f>($B$11*$D$9+$C$11*$D$9+$F$11*((FF49+EX49)/MAX(FF49+EX49+FG49, 0.1)*$I$9+FG49/MAX(FF49+EX49+FG49, 0.1)*$J$9))/($B$11+$C$11+$F$11)</f>
        <v>0</v>
      </c>
      <c r="DK49">
        <f>($B$11*$K$9+$C$11*$K$9+$F$11*((FF49+EX49)/MAX(FF49+EX49+FG49, 0.1)*$P$9+FG49/MAX(FF49+EX49+FG49, 0.1)*$Q$9))/($B$11+$C$11+$F$11)</f>
        <v>0</v>
      </c>
      <c r="DL49">
        <v>6</v>
      </c>
      <c r="DM49">
        <v>0.5</v>
      </c>
      <c r="DN49" t="s">
        <v>438</v>
      </c>
      <c r="DO49">
        <v>2</v>
      </c>
      <c r="DP49" t="b">
        <v>1</v>
      </c>
      <c r="DQ49">
        <v>1765303272</v>
      </c>
      <c r="DR49">
        <v>399.645533333333</v>
      </c>
      <c r="DS49">
        <v>400.008266666667</v>
      </c>
      <c r="DT49">
        <v>17.9289066666667</v>
      </c>
      <c r="DU49">
        <v>17.8543666666667</v>
      </c>
      <c r="DV49">
        <v>392.090533333333</v>
      </c>
      <c r="DW49">
        <v>17.8259066666667</v>
      </c>
      <c r="DX49">
        <v>500.000733333333</v>
      </c>
      <c r="DY49">
        <v>89.98282</v>
      </c>
      <c r="DZ49">
        <v>0.0999579333333333</v>
      </c>
      <c r="EA49">
        <v>25.25486</v>
      </c>
      <c r="EB49">
        <v>24.99196</v>
      </c>
      <c r="EC49">
        <v>999.9</v>
      </c>
      <c r="ED49">
        <v>0</v>
      </c>
      <c r="EE49">
        <v>0</v>
      </c>
      <c r="EF49">
        <v>10009.7906666667</v>
      </c>
      <c r="EG49">
        <v>0</v>
      </c>
      <c r="EH49">
        <v>12.7167666666667</v>
      </c>
      <c r="EI49">
        <v>-0.323640933333333</v>
      </c>
      <c r="EJ49">
        <v>406.980933333333</v>
      </c>
      <c r="EK49">
        <v>407.279933333333</v>
      </c>
      <c r="EL49">
        <v>0.0736424733333333</v>
      </c>
      <c r="EM49">
        <v>400.008266666667</v>
      </c>
      <c r="EN49">
        <v>17.8543666666667</v>
      </c>
      <c r="EO49">
        <v>1.61321466666667</v>
      </c>
      <c r="EP49">
        <v>1.606588</v>
      </c>
      <c r="EQ49">
        <v>14.0856133333333</v>
      </c>
      <c r="ER49">
        <v>14.0221333333333</v>
      </c>
      <c r="ES49">
        <v>799.9744</v>
      </c>
      <c r="ET49">
        <v>0.9499998</v>
      </c>
      <c r="EU49">
        <v>0.0500001533333333</v>
      </c>
      <c r="EV49">
        <v>0</v>
      </c>
      <c r="EW49">
        <v>933.6488</v>
      </c>
      <c r="EX49">
        <v>5.00016</v>
      </c>
      <c r="EY49">
        <v>7265.43466666667</v>
      </c>
      <c r="EZ49">
        <v>7194.44333333333</v>
      </c>
      <c r="FA49">
        <v>40.062</v>
      </c>
      <c r="FB49">
        <v>42.812</v>
      </c>
      <c r="FC49">
        <v>41.562</v>
      </c>
      <c r="FD49">
        <v>42.812</v>
      </c>
      <c r="FE49">
        <v>42.6996</v>
      </c>
      <c r="FF49">
        <v>755.226</v>
      </c>
      <c r="FG49">
        <v>39.75</v>
      </c>
      <c r="FH49">
        <v>0</v>
      </c>
      <c r="FI49">
        <v>1765303280.5</v>
      </c>
      <c r="FJ49">
        <v>0</v>
      </c>
      <c r="FK49">
        <v>933.609653846154</v>
      </c>
      <c r="FL49">
        <v>-0.141709404909192</v>
      </c>
      <c r="FM49">
        <v>-7.9155554686514</v>
      </c>
      <c r="FN49">
        <v>7265.52807692308</v>
      </c>
      <c r="FO49">
        <v>15</v>
      </c>
      <c r="FP49">
        <v>1765303309</v>
      </c>
      <c r="FQ49" t="s">
        <v>542</v>
      </c>
      <c r="FR49">
        <v>1765303309</v>
      </c>
      <c r="FS49">
        <v>1765303301</v>
      </c>
      <c r="FT49">
        <v>33</v>
      </c>
      <c r="FU49">
        <v>-0.04</v>
      </c>
      <c r="FV49">
        <v>0.002</v>
      </c>
      <c r="FW49">
        <v>7.555</v>
      </c>
      <c r="FX49">
        <v>0.103</v>
      </c>
      <c r="FY49">
        <v>400</v>
      </c>
      <c r="FZ49">
        <v>18</v>
      </c>
      <c r="GA49">
        <v>0.31</v>
      </c>
      <c r="GB49">
        <v>0.2</v>
      </c>
      <c r="GC49">
        <v>-0.315172428571429</v>
      </c>
      <c r="GD49">
        <v>0.00854859740259729</v>
      </c>
      <c r="GE49">
        <v>0.0477169188469341</v>
      </c>
      <c r="GF49">
        <v>1</v>
      </c>
      <c r="GG49">
        <v>933.684970588235</v>
      </c>
      <c r="GH49">
        <v>-0.65449962197672</v>
      </c>
      <c r="GI49">
        <v>0.225746537370902</v>
      </c>
      <c r="GJ49">
        <v>-1</v>
      </c>
      <c r="GK49">
        <v>0.0724398285714286</v>
      </c>
      <c r="GL49">
        <v>0.0208983272727274</v>
      </c>
      <c r="GM49">
        <v>0.00226968494208481</v>
      </c>
      <c r="GN49">
        <v>1</v>
      </c>
      <c r="GO49">
        <v>2</v>
      </c>
      <c r="GP49">
        <v>2</v>
      </c>
      <c r="GQ49" t="s">
        <v>440</v>
      </c>
      <c r="GR49">
        <v>3.12483</v>
      </c>
      <c r="GS49">
        <v>2.72573</v>
      </c>
      <c r="GT49">
        <v>0.0850399</v>
      </c>
      <c r="GU49">
        <v>0.0863108</v>
      </c>
      <c r="GV49">
        <v>0.082625</v>
      </c>
      <c r="GW49">
        <v>0.0823809</v>
      </c>
      <c r="GX49">
        <v>24148</v>
      </c>
      <c r="GY49">
        <v>22312.4</v>
      </c>
      <c r="GZ49">
        <v>23597.1</v>
      </c>
      <c r="HA49">
        <v>23772.3</v>
      </c>
      <c r="HB49">
        <v>36867.6</v>
      </c>
      <c r="HC49">
        <v>36070.3</v>
      </c>
      <c r="HD49">
        <v>42508.5</v>
      </c>
      <c r="HE49">
        <v>42346.9</v>
      </c>
      <c r="HF49">
        <v>1.92568</v>
      </c>
      <c r="HG49">
        <v>1.8204</v>
      </c>
      <c r="HH49">
        <v>0.092864</v>
      </c>
      <c r="HI49">
        <v>0</v>
      </c>
      <c r="HJ49">
        <v>23.4748</v>
      </c>
      <c r="HK49">
        <v>999.9</v>
      </c>
      <c r="HL49">
        <v>44.695</v>
      </c>
      <c r="HM49">
        <v>30.645</v>
      </c>
      <c r="HN49">
        <v>21.961</v>
      </c>
      <c r="HO49">
        <v>54.9531</v>
      </c>
      <c r="HP49">
        <v>46.6707</v>
      </c>
      <c r="HQ49">
        <v>1</v>
      </c>
      <c r="HR49">
        <v>-0.0486255</v>
      </c>
      <c r="HS49">
        <v>1.36119</v>
      </c>
      <c r="HT49">
        <v>20.2264</v>
      </c>
      <c r="HU49">
        <v>5.23331</v>
      </c>
      <c r="HV49">
        <v>11.992</v>
      </c>
      <c r="HW49">
        <v>4.9559</v>
      </c>
      <c r="HX49">
        <v>3.304</v>
      </c>
      <c r="HY49">
        <v>999.9</v>
      </c>
      <c r="HZ49">
        <v>9999</v>
      </c>
      <c r="IA49">
        <v>9999</v>
      </c>
      <c r="IB49">
        <v>9999</v>
      </c>
      <c r="IC49">
        <v>1.86876</v>
      </c>
      <c r="ID49">
        <v>1.86451</v>
      </c>
      <c r="IE49">
        <v>1.8721</v>
      </c>
      <c r="IF49">
        <v>1.8631</v>
      </c>
      <c r="IG49">
        <v>1.86247</v>
      </c>
      <c r="IH49">
        <v>1.86888</v>
      </c>
      <c r="II49">
        <v>1.85904</v>
      </c>
      <c r="IJ49">
        <v>1.86532</v>
      </c>
      <c r="IK49">
        <v>5</v>
      </c>
      <c r="IL49">
        <v>0</v>
      </c>
      <c r="IM49">
        <v>0</v>
      </c>
      <c r="IN49">
        <v>0</v>
      </c>
      <c r="IO49" t="s">
        <v>441</v>
      </c>
      <c r="IP49" t="s">
        <v>442</v>
      </c>
      <c r="IQ49" t="s">
        <v>443</v>
      </c>
      <c r="IR49" t="s">
        <v>443</v>
      </c>
      <c r="IS49" t="s">
        <v>443</v>
      </c>
      <c r="IT49" t="s">
        <v>443</v>
      </c>
      <c r="IU49">
        <v>0</v>
      </c>
      <c r="IV49">
        <v>100</v>
      </c>
      <c r="IW49">
        <v>100</v>
      </c>
      <c r="IX49">
        <v>7.555</v>
      </c>
      <c r="IY49">
        <v>0.103</v>
      </c>
      <c r="IZ49">
        <v>5.58430821555071</v>
      </c>
      <c r="JA49">
        <v>0.0062698613543794</v>
      </c>
      <c r="JB49">
        <v>-3.23243345529816e-06</v>
      </c>
      <c r="JC49">
        <v>8.00506428382295e-10</v>
      </c>
      <c r="JD49">
        <v>-0.0588130492047887</v>
      </c>
      <c r="JE49">
        <v>-0.0018464610107002</v>
      </c>
      <c r="JF49">
        <v>0.000796540623429801</v>
      </c>
      <c r="JG49">
        <v>-1.04619914107352e-05</v>
      </c>
      <c r="JH49">
        <v>-0</v>
      </c>
      <c r="JI49">
        <v>2101</v>
      </c>
      <c r="JJ49">
        <v>1</v>
      </c>
      <c r="JK49">
        <v>23</v>
      </c>
      <c r="JL49">
        <v>1.1</v>
      </c>
      <c r="JM49">
        <v>1</v>
      </c>
      <c r="JN49">
        <v>1.01074</v>
      </c>
      <c r="JO49">
        <v>2.39502</v>
      </c>
      <c r="JP49">
        <v>1.49902</v>
      </c>
      <c r="JQ49">
        <v>2.33154</v>
      </c>
      <c r="JR49">
        <v>1.54419</v>
      </c>
      <c r="JS49">
        <v>2.30591</v>
      </c>
      <c r="JT49">
        <v>37.6263</v>
      </c>
      <c r="JU49">
        <v>24.2801</v>
      </c>
      <c r="JV49">
        <v>18</v>
      </c>
      <c r="JW49">
        <v>549.605</v>
      </c>
      <c r="JX49">
        <v>426.055</v>
      </c>
      <c r="JY49">
        <v>21.8787</v>
      </c>
      <c r="JZ49">
        <v>26.8016</v>
      </c>
      <c r="KA49">
        <v>30.0003</v>
      </c>
      <c r="KB49">
        <v>26.7915</v>
      </c>
      <c r="KC49">
        <v>26.8142</v>
      </c>
      <c r="KD49">
        <v>20.2676</v>
      </c>
      <c r="KE49">
        <v>30.2899</v>
      </c>
      <c r="KF49">
        <v>82.2334</v>
      </c>
      <c r="KG49">
        <v>21.8744</v>
      </c>
      <c r="KH49">
        <v>400</v>
      </c>
      <c r="KI49">
        <v>17.9031</v>
      </c>
      <c r="KJ49">
        <v>95.2992</v>
      </c>
      <c r="KK49">
        <v>98.7307</v>
      </c>
    </row>
    <row r="50" spans="1:297">
      <c r="A50">
        <v>34</v>
      </c>
      <c r="B50">
        <v>1765303384</v>
      </c>
      <c r="C50">
        <v>5435</v>
      </c>
      <c r="D50" t="s">
        <v>543</v>
      </c>
      <c r="E50" t="s">
        <v>544</v>
      </c>
      <c r="F50">
        <v>5</v>
      </c>
      <c r="G50" t="s">
        <v>523</v>
      </c>
      <c r="H50" t="s">
        <v>436</v>
      </c>
      <c r="I50">
        <v>1765303375.5</v>
      </c>
      <c r="J50">
        <f>(K50)/1000</f>
        <v>0</v>
      </c>
      <c r="K50">
        <f>IF(DP50, AN50, AH50)</f>
        <v>0</v>
      </c>
      <c r="L50">
        <f>IF(DP50, AI50, AG50)</f>
        <v>0</v>
      </c>
      <c r="M50">
        <f>DR50 - IF(AU50&gt;1, L50*DL50*100.0/(AW50), 0)</f>
        <v>0</v>
      </c>
      <c r="N50">
        <f>((T50-J50/2)*M50-L50)/(T50+J50/2)</f>
        <v>0</v>
      </c>
      <c r="O50">
        <f>N50*(DY50+DZ50)/1000.0</f>
        <v>0</v>
      </c>
      <c r="P50">
        <f>(DR50 - IF(AU50&gt;1, L50*DL50*100.0/(AW50), 0))*(DY50+DZ50)/1000.0</f>
        <v>0</v>
      </c>
      <c r="Q50">
        <f>2.0/((1/S50-1/R50)+SIGN(S50)*SQRT((1/S50-1/R50)*(1/S50-1/R50) + 4*DM50/((DM50+1)*(DM50+1))*(2*1/S50*1/R50-1/R50*1/R50)))</f>
        <v>0</v>
      </c>
      <c r="R50">
        <f>IF(LEFT(DN50,1)&lt;&gt;"0",IF(LEFT(DN50,1)="1",3.0,DO50),$D$5+$E$5*(EF50*DY50/($K$5*1000))+$F$5*(EF50*DY50/($K$5*1000))*MAX(MIN(DL50,$J$5),$I$5)*MAX(MIN(DL50,$J$5),$I$5)+$G$5*MAX(MIN(DL50,$J$5),$I$5)*(EF50*DY50/($K$5*1000))+$H$5*(EF50*DY50/($K$5*1000))*(EF50*DY50/($K$5*1000)))</f>
        <v>0</v>
      </c>
      <c r="S50">
        <f>J50*(1000-(1000*0.61365*exp(17.502*W50/(240.97+W50))/(DY50+DZ50)+DT50)/2)/(1000*0.61365*exp(17.502*W50/(240.97+W50))/(DY50+DZ50)-DT50)</f>
        <v>0</v>
      </c>
      <c r="T50">
        <f>1/((DM50+1)/(Q50/1.6)+1/(R50/1.37)) + DM50/((DM50+1)/(Q50/1.6) + DM50/(R50/1.37))</f>
        <v>0</v>
      </c>
      <c r="U50">
        <f>(DH50*DK50)</f>
        <v>0</v>
      </c>
      <c r="V50">
        <f>(EA50+(U50+2*0.95*5.67E-8*(((EA50+$B$7)+273)^4-(EA50+273)^4)-44100*J50)/(1.84*29.3*R50+8*0.95*5.67E-8*(EA50+273)^3))</f>
        <v>0</v>
      </c>
      <c r="W50">
        <f>($C$7*EB50+$D$7*EC50+$E$7*V50)</f>
        <v>0</v>
      </c>
      <c r="X50">
        <f>0.61365*exp(17.502*W50/(240.97+W50))</f>
        <v>0</v>
      </c>
      <c r="Y50">
        <f>(Z50/AA50*100)</f>
        <v>0</v>
      </c>
      <c r="Z50">
        <f>DT50*(DY50+DZ50)/1000</f>
        <v>0</v>
      </c>
      <c r="AA50">
        <f>0.61365*exp(17.502*EA50/(240.97+EA50))</f>
        <v>0</v>
      </c>
      <c r="AB50">
        <f>(X50-DT50*(DY50+DZ50)/1000)</f>
        <v>0</v>
      </c>
      <c r="AC50">
        <f>(-J50*44100)</f>
        <v>0</v>
      </c>
      <c r="AD50">
        <f>2*29.3*R50*0.92*(EA50-W50)</f>
        <v>0</v>
      </c>
      <c r="AE50">
        <f>2*0.95*5.67E-8*(((EA50+$B$7)+273)^4-(W50+273)^4)</f>
        <v>0</v>
      </c>
      <c r="AF50">
        <f>U50+AE50+AC50+AD50</f>
        <v>0</v>
      </c>
      <c r="AG50">
        <f>DX50*AU50*(DS50-DR50*(1000-AU50*DU50)/(1000-AU50*DT50))/(100*DL50)</f>
        <v>0</v>
      </c>
      <c r="AH50">
        <f>1000*DX50*AU50*(DT50-DU50)/(100*DL50*(1000-AU50*DT50))</f>
        <v>0</v>
      </c>
      <c r="AI50">
        <f>(AJ50 - AK50 - DY50*1E3/(8.314*(EA50+273.15)) * AM50/DX50 * AL50) * DX50/(100*DL50) * (1000 - DU50)/1000</f>
        <v>0</v>
      </c>
      <c r="AJ50">
        <v>610.925552753686</v>
      </c>
      <c r="AK50">
        <v>610.34656969697</v>
      </c>
      <c r="AL50">
        <v>-0.0474033207667739</v>
      </c>
      <c r="AM50">
        <v>64.4088547490774</v>
      </c>
      <c r="AN50">
        <f>(AP50 - AO50 + DY50*1E3/(8.314*(EA50+273.15)) * AR50/DX50 * AQ50) * DX50/(100*DL50) * 1000/(1000 - AP50)</f>
        <v>0</v>
      </c>
      <c r="AO50">
        <v>17.8909462962651</v>
      </c>
      <c r="AP50">
        <v>17.9522769230769</v>
      </c>
      <c r="AQ50">
        <v>7.72653560664219e-05</v>
      </c>
      <c r="AR50">
        <v>102.04818676928</v>
      </c>
      <c r="AS50">
        <v>0</v>
      </c>
      <c r="AT50">
        <v>0</v>
      </c>
      <c r="AU50">
        <f>IF(AS50*$H$13&gt;=AW50,1.0,(AW50/(AW50-AS50*$H$13)))</f>
        <v>0</v>
      </c>
      <c r="AV50">
        <f>(AU50-1)*100</f>
        <v>0</v>
      </c>
      <c r="AW50">
        <f>MAX(0,($B$13+$C$13*EF50)/(1+$D$13*EF50)*DY50/(EA50+273)*$E$13)</f>
        <v>0</v>
      </c>
      <c r="AX50" t="s">
        <v>437</v>
      </c>
      <c r="AY50" t="s">
        <v>437</v>
      </c>
      <c r="AZ50">
        <v>0</v>
      </c>
      <c r="BA50">
        <v>0</v>
      </c>
      <c r="BB50">
        <f>1-AZ50/BA50</f>
        <v>0</v>
      </c>
      <c r="BC50">
        <v>0</v>
      </c>
      <c r="BD50" t="s">
        <v>437</v>
      </c>
      <c r="BE50" t="s">
        <v>437</v>
      </c>
      <c r="BF50">
        <v>0</v>
      </c>
      <c r="BG50">
        <v>0</v>
      </c>
      <c r="BH50">
        <f>1-BF50/BG50</f>
        <v>0</v>
      </c>
      <c r="BI50">
        <v>0.5</v>
      </c>
      <c r="BJ50">
        <f>DI50</f>
        <v>0</v>
      </c>
      <c r="BK50">
        <f>L50</f>
        <v>0</v>
      </c>
      <c r="BL50">
        <f>BH50*BI50*BJ50</f>
        <v>0</v>
      </c>
      <c r="BM50">
        <f>(BK50-BC50)/BJ50</f>
        <v>0</v>
      </c>
      <c r="BN50">
        <f>(BA50-BG50)/BG50</f>
        <v>0</v>
      </c>
      <c r="BO50">
        <f>AZ50/(BB50+AZ50/BG50)</f>
        <v>0</v>
      </c>
      <c r="BP50" t="s">
        <v>437</v>
      </c>
      <c r="BQ50">
        <v>0</v>
      </c>
      <c r="BR50">
        <f>IF(BQ50&lt;&gt;0, BQ50, BO50)</f>
        <v>0</v>
      </c>
      <c r="BS50">
        <f>1-BR50/BG50</f>
        <v>0</v>
      </c>
      <c r="BT50">
        <f>(BG50-BF50)/(BG50-BR50)</f>
        <v>0</v>
      </c>
      <c r="BU50">
        <f>(BA50-BG50)/(BA50-BR50)</f>
        <v>0</v>
      </c>
      <c r="BV50">
        <f>(BG50-BF50)/(BG50-AZ50)</f>
        <v>0</v>
      </c>
      <c r="BW50">
        <f>(BA50-BG50)/(BA50-AZ50)</f>
        <v>0</v>
      </c>
      <c r="BX50">
        <f>(BT50*BR50/BF50)</f>
        <v>0</v>
      </c>
      <c r="BY50">
        <f>(1-BX50)</f>
        <v>0</v>
      </c>
      <c r="DH50">
        <f>$B$11*EG50+$C$11*EH50+$F$11*ES50*(1-EV50)</f>
        <v>0</v>
      </c>
      <c r="DI50">
        <f>DH50*DJ50</f>
        <v>0</v>
      </c>
      <c r="DJ50">
        <f>($B$11*$D$9+$C$11*$D$9+$F$11*((FF50+EX50)/MAX(FF50+EX50+FG50, 0.1)*$I$9+FG50/MAX(FF50+EX50+FG50, 0.1)*$J$9))/($B$11+$C$11+$F$11)</f>
        <v>0</v>
      </c>
      <c r="DK50">
        <f>($B$11*$K$9+$C$11*$K$9+$F$11*((FF50+EX50)/MAX(FF50+EX50+FG50, 0.1)*$P$9+FG50/MAX(FF50+EX50+FG50, 0.1)*$Q$9))/($B$11+$C$11+$F$11)</f>
        <v>0</v>
      </c>
      <c r="DL50">
        <v>6</v>
      </c>
      <c r="DM50">
        <v>0.5</v>
      </c>
      <c r="DN50" t="s">
        <v>438</v>
      </c>
      <c r="DO50">
        <v>2</v>
      </c>
      <c r="DP50" t="b">
        <v>1</v>
      </c>
      <c r="DQ50">
        <v>1765303375.5</v>
      </c>
      <c r="DR50">
        <v>599.337125</v>
      </c>
      <c r="DS50">
        <v>600.0145</v>
      </c>
      <c r="DT50">
        <v>17.94181875</v>
      </c>
      <c r="DU50">
        <v>17.8896625</v>
      </c>
      <c r="DV50">
        <v>591.133125</v>
      </c>
      <c r="DW50">
        <v>17.83781875</v>
      </c>
      <c r="DX50">
        <v>500.007625</v>
      </c>
      <c r="DY50">
        <v>89.9779</v>
      </c>
      <c r="DZ50">
        <v>0.09996648125</v>
      </c>
      <c r="EA50">
        <v>25.27133125</v>
      </c>
      <c r="EB50">
        <v>25.00686875</v>
      </c>
      <c r="EC50">
        <v>999.9</v>
      </c>
      <c r="ED50">
        <v>0</v>
      </c>
      <c r="EE50">
        <v>0</v>
      </c>
      <c r="EF50">
        <v>10015</v>
      </c>
      <c r="EG50">
        <v>0</v>
      </c>
      <c r="EH50">
        <v>12.4638</v>
      </c>
      <c r="EI50">
        <v>-0.5949288125</v>
      </c>
      <c r="EJ50">
        <v>610.370625</v>
      </c>
      <c r="EK50">
        <v>610.943875</v>
      </c>
      <c r="EL50">
        <v>0.0522219</v>
      </c>
      <c r="EM50">
        <v>600.0145</v>
      </c>
      <c r="EN50">
        <v>17.8896625</v>
      </c>
      <c r="EO50">
        <v>1.614374375</v>
      </c>
      <c r="EP50">
        <v>1.609675</v>
      </c>
      <c r="EQ50">
        <v>14.0966875</v>
      </c>
      <c r="ER50">
        <v>14.051725</v>
      </c>
      <c r="ES50">
        <v>800.0376875</v>
      </c>
      <c r="ET50">
        <v>0.9500025625</v>
      </c>
      <c r="EU50">
        <v>0.04999735</v>
      </c>
      <c r="EV50">
        <v>0</v>
      </c>
      <c r="EW50">
        <v>931.406375</v>
      </c>
      <c r="EX50">
        <v>5.00016</v>
      </c>
      <c r="EY50">
        <v>7248.465625</v>
      </c>
      <c r="EZ50">
        <v>7195.024375</v>
      </c>
      <c r="FA50">
        <v>40.03875</v>
      </c>
      <c r="FB50">
        <v>42.75</v>
      </c>
      <c r="FC50">
        <v>41.531</v>
      </c>
      <c r="FD50">
        <v>42.73425</v>
      </c>
      <c r="FE50">
        <v>42.687</v>
      </c>
      <c r="FF50">
        <v>755.288125</v>
      </c>
      <c r="FG50">
        <v>39.75</v>
      </c>
      <c r="FH50">
        <v>0</v>
      </c>
      <c r="FI50">
        <v>1765303384.3</v>
      </c>
      <c r="FJ50">
        <v>0</v>
      </c>
      <c r="FK50">
        <v>931.3394</v>
      </c>
      <c r="FL50">
        <v>-1.5203846193278</v>
      </c>
      <c r="FM50">
        <v>-10.0100000310042</v>
      </c>
      <c r="FN50">
        <v>7247.8796</v>
      </c>
      <c r="FO50">
        <v>15</v>
      </c>
      <c r="FP50">
        <v>1765303412</v>
      </c>
      <c r="FQ50" t="s">
        <v>545</v>
      </c>
      <c r="FR50">
        <v>1765303412</v>
      </c>
      <c r="FS50">
        <v>1765303402</v>
      </c>
      <c r="FT50">
        <v>34</v>
      </c>
      <c r="FU50">
        <v>-0.085</v>
      </c>
      <c r="FV50">
        <v>0.001</v>
      </c>
      <c r="FW50">
        <v>8.204</v>
      </c>
      <c r="FX50">
        <v>0.104</v>
      </c>
      <c r="FY50">
        <v>600</v>
      </c>
      <c r="FZ50">
        <v>18</v>
      </c>
      <c r="GA50">
        <v>0.51</v>
      </c>
      <c r="GB50">
        <v>0.2</v>
      </c>
      <c r="GC50">
        <v>-0.59280405</v>
      </c>
      <c r="GD50">
        <v>0.495915383458646</v>
      </c>
      <c r="GE50">
        <v>0.0877342231238614</v>
      </c>
      <c r="GF50">
        <v>1</v>
      </c>
      <c r="GG50">
        <v>931.4445</v>
      </c>
      <c r="GH50">
        <v>-1.37639419420938</v>
      </c>
      <c r="GI50">
        <v>0.213026959078228</v>
      </c>
      <c r="GJ50">
        <v>-1</v>
      </c>
      <c r="GK50">
        <v>0.05542908</v>
      </c>
      <c r="GL50">
        <v>-0.017412577443609</v>
      </c>
      <c r="GM50">
        <v>0.0107101689624207</v>
      </c>
      <c r="GN50">
        <v>1</v>
      </c>
      <c r="GO50">
        <v>2</v>
      </c>
      <c r="GP50">
        <v>2</v>
      </c>
      <c r="GQ50" t="s">
        <v>440</v>
      </c>
      <c r="GR50">
        <v>3.12494</v>
      </c>
      <c r="GS50">
        <v>2.72573</v>
      </c>
      <c r="GT50">
        <v>0.115287</v>
      </c>
      <c r="GU50">
        <v>0.116382</v>
      </c>
      <c r="GV50">
        <v>0.082696</v>
      </c>
      <c r="GW50">
        <v>0.0825025</v>
      </c>
      <c r="GX50">
        <v>23350.5</v>
      </c>
      <c r="GY50">
        <v>21580.3</v>
      </c>
      <c r="GZ50">
        <v>23597.6</v>
      </c>
      <c r="HA50">
        <v>23774.4</v>
      </c>
      <c r="HB50">
        <v>36867.8</v>
      </c>
      <c r="HC50">
        <v>36071.2</v>
      </c>
      <c r="HD50">
        <v>42509.1</v>
      </c>
      <c r="HE50">
        <v>42350.8</v>
      </c>
      <c r="HF50">
        <v>1.92645</v>
      </c>
      <c r="HG50">
        <v>1.8215</v>
      </c>
      <c r="HH50">
        <v>0.0948757</v>
      </c>
      <c r="HI50">
        <v>0</v>
      </c>
      <c r="HJ50">
        <v>23.4402</v>
      </c>
      <c r="HK50">
        <v>999.9</v>
      </c>
      <c r="HL50">
        <v>44.598</v>
      </c>
      <c r="HM50">
        <v>30.665</v>
      </c>
      <c r="HN50">
        <v>21.9381</v>
      </c>
      <c r="HO50">
        <v>54.7231</v>
      </c>
      <c r="HP50">
        <v>46.6306</v>
      </c>
      <c r="HQ50">
        <v>1</v>
      </c>
      <c r="HR50">
        <v>-0.0517988</v>
      </c>
      <c r="HS50">
        <v>1.27486</v>
      </c>
      <c r="HT50">
        <v>20.2267</v>
      </c>
      <c r="HU50">
        <v>5.23451</v>
      </c>
      <c r="HV50">
        <v>11.992</v>
      </c>
      <c r="HW50">
        <v>4.956</v>
      </c>
      <c r="HX50">
        <v>3.304</v>
      </c>
      <c r="HY50">
        <v>999.9</v>
      </c>
      <c r="HZ50">
        <v>9999</v>
      </c>
      <c r="IA50">
        <v>9999</v>
      </c>
      <c r="IB50">
        <v>9999</v>
      </c>
      <c r="IC50">
        <v>1.86873</v>
      </c>
      <c r="ID50">
        <v>1.86447</v>
      </c>
      <c r="IE50">
        <v>1.87199</v>
      </c>
      <c r="IF50">
        <v>1.86302</v>
      </c>
      <c r="IG50">
        <v>1.86235</v>
      </c>
      <c r="IH50">
        <v>1.86875</v>
      </c>
      <c r="II50">
        <v>1.85898</v>
      </c>
      <c r="IJ50">
        <v>1.86523</v>
      </c>
      <c r="IK50">
        <v>5</v>
      </c>
      <c r="IL50">
        <v>0</v>
      </c>
      <c r="IM50">
        <v>0</v>
      </c>
      <c r="IN50">
        <v>0</v>
      </c>
      <c r="IO50" t="s">
        <v>441</v>
      </c>
      <c r="IP50" t="s">
        <v>442</v>
      </c>
      <c r="IQ50" t="s">
        <v>443</v>
      </c>
      <c r="IR50" t="s">
        <v>443</v>
      </c>
      <c r="IS50" t="s">
        <v>443</v>
      </c>
      <c r="IT50" t="s">
        <v>443</v>
      </c>
      <c r="IU50">
        <v>0</v>
      </c>
      <c r="IV50">
        <v>100</v>
      </c>
      <c r="IW50">
        <v>100</v>
      </c>
      <c r="IX50">
        <v>8.204</v>
      </c>
      <c r="IY50">
        <v>0.104</v>
      </c>
      <c r="IZ50">
        <v>5.54416145155405</v>
      </c>
      <c r="JA50">
        <v>0.0062698613543794</v>
      </c>
      <c r="JB50">
        <v>-3.23243345529816e-06</v>
      </c>
      <c r="JC50">
        <v>8.00506428382295e-10</v>
      </c>
      <c r="JD50">
        <v>-0.057052931682338</v>
      </c>
      <c r="JE50">
        <v>-0.0018464610107002</v>
      </c>
      <c r="JF50">
        <v>0.000796540623429801</v>
      </c>
      <c r="JG50">
        <v>-1.04619914107352e-05</v>
      </c>
      <c r="JH50">
        <v>-0</v>
      </c>
      <c r="JI50">
        <v>2101</v>
      </c>
      <c r="JJ50">
        <v>1</v>
      </c>
      <c r="JK50">
        <v>23</v>
      </c>
      <c r="JL50">
        <v>1.2</v>
      </c>
      <c r="JM50">
        <v>1.4</v>
      </c>
      <c r="JN50">
        <v>1.39404</v>
      </c>
      <c r="JO50">
        <v>2.36572</v>
      </c>
      <c r="JP50">
        <v>1.4978</v>
      </c>
      <c r="JQ50">
        <v>2.33154</v>
      </c>
      <c r="JR50">
        <v>1.54419</v>
      </c>
      <c r="JS50">
        <v>2.36816</v>
      </c>
      <c r="JT50">
        <v>37.6022</v>
      </c>
      <c r="JU50">
        <v>24.3327</v>
      </c>
      <c r="JV50">
        <v>18</v>
      </c>
      <c r="JW50">
        <v>549.93</v>
      </c>
      <c r="JX50">
        <v>426.554</v>
      </c>
      <c r="JY50">
        <v>21.9028</v>
      </c>
      <c r="JZ50">
        <v>26.771</v>
      </c>
      <c r="KA50">
        <v>29.9999</v>
      </c>
      <c r="KB50">
        <v>26.7713</v>
      </c>
      <c r="KC50">
        <v>26.7952</v>
      </c>
      <c r="KD50">
        <v>27.9557</v>
      </c>
      <c r="KE50">
        <v>30.0161</v>
      </c>
      <c r="KF50">
        <v>81.8602</v>
      </c>
      <c r="KG50">
        <v>21.9024</v>
      </c>
      <c r="KH50">
        <v>600</v>
      </c>
      <c r="KI50">
        <v>17.9067</v>
      </c>
      <c r="KJ50">
        <v>95.3007</v>
      </c>
      <c r="KK50">
        <v>98.7398</v>
      </c>
    </row>
    <row r="51" spans="1:297">
      <c r="A51">
        <v>35</v>
      </c>
      <c r="B51">
        <v>1765303487</v>
      </c>
      <c r="C51">
        <v>5538</v>
      </c>
      <c r="D51" t="s">
        <v>546</v>
      </c>
      <c r="E51" t="s">
        <v>547</v>
      </c>
      <c r="F51">
        <v>5</v>
      </c>
      <c r="G51" t="s">
        <v>523</v>
      </c>
      <c r="H51" t="s">
        <v>436</v>
      </c>
      <c r="I51">
        <v>1765303478.5</v>
      </c>
      <c r="J51">
        <f>(K51)/1000</f>
        <v>0</v>
      </c>
      <c r="K51">
        <f>IF(DP51, AN51, AH51)</f>
        <v>0</v>
      </c>
      <c r="L51">
        <f>IF(DP51, AI51, AG51)</f>
        <v>0</v>
      </c>
      <c r="M51">
        <f>DR51 - IF(AU51&gt;1, L51*DL51*100.0/(AW51), 0)</f>
        <v>0</v>
      </c>
      <c r="N51">
        <f>((T51-J51/2)*M51-L51)/(T51+J51/2)</f>
        <v>0</v>
      </c>
      <c r="O51">
        <f>N51*(DY51+DZ51)/1000.0</f>
        <v>0</v>
      </c>
      <c r="P51">
        <f>(DR51 - IF(AU51&gt;1, L51*DL51*100.0/(AW51), 0))*(DY51+DZ51)/1000.0</f>
        <v>0</v>
      </c>
      <c r="Q51">
        <f>2.0/((1/S51-1/R51)+SIGN(S51)*SQRT((1/S51-1/R51)*(1/S51-1/R51) + 4*DM51/((DM51+1)*(DM51+1))*(2*1/S51*1/R51-1/R51*1/R51)))</f>
        <v>0</v>
      </c>
      <c r="R51">
        <f>IF(LEFT(DN51,1)&lt;&gt;"0",IF(LEFT(DN51,1)="1",3.0,DO51),$D$5+$E$5*(EF51*DY51/($K$5*1000))+$F$5*(EF51*DY51/($K$5*1000))*MAX(MIN(DL51,$J$5),$I$5)*MAX(MIN(DL51,$J$5),$I$5)+$G$5*MAX(MIN(DL51,$J$5),$I$5)*(EF51*DY51/($K$5*1000))+$H$5*(EF51*DY51/($K$5*1000))*(EF51*DY51/($K$5*1000)))</f>
        <v>0</v>
      </c>
      <c r="S51">
        <f>J51*(1000-(1000*0.61365*exp(17.502*W51/(240.97+W51))/(DY51+DZ51)+DT51)/2)/(1000*0.61365*exp(17.502*W51/(240.97+W51))/(DY51+DZ51)-DT51)</f>
        <v>0</v>
      </c>
      <c r="T51">
        <f>1/((DM51+1)/(Q51/1.6)+1/(R51/1.37)) + DM51/((DM51+1)/(Q51/1.6) + DM51/(R51/1.37))</f>
        <v>0</v>
      </c>
      <c r="U51">
        <f>(DH51*DK51)</f>
        <v>0</v>
      </c>
      <c r="V51">
        <f>(EA51+(U51+2*0.95*5.67E-8*(((EA51+$B$7)+273)^4-(EA51+273)^4)-44100*J51)/(1.84*29.3*R51+8*0.95*5.67E-8*(EA51+273)^3))</f>
        <v>0</v>
      </c>
      <c r="W51">
        <f>($C$7*EB51+$D$7*EC51+$E$7*V51)</f>
        <v>0</v>
      </c>
      <c r="X51">
        <f>0.61365*exp(17.502*W51/(240.97+W51))</f>
        <v>0</v>
      </c>
      <c r="Y51">
        <f>(Z51/AA51*100)</f>
        <v>0</v>
      </c>
      <c r="Z51">
        <f>DT51*(DY51+DZ51)/1000</f>
        <v>0</v>
      </c>
      <c r="AA51">
        <f>0.61365*exp(17.502*EA51/(240.97+EA51))</f>
        <v>0</v>
      </c>
      <c r="AB51">
        <f>(X51-DT51*(DY51+DZ51)/1000)</f>
        <v>0</v>
      </c>
      <c r="AC51">
        <f>(-J51*44100)</f>
        <v>0</v>
      </c>
      <c r="AD51">
        <f>2*29.3*R51*0.92*(EA51-W51)</f>
        <v>0</v>
      </c>
      <c r="AE51">
        <f>2*0.95*5.67E-8*(((EA51+$B$7)+273)^4-(W51+273)^4)</f>
        <v>0</v>
      </c>
      <c r="AF51">
        <f>U51+AE51+AC51+AD51</f>
        <v>0</v>
      </c>
      <c r="AG51">
        <f>DX51*AU51*(DS51-DR51*(1000-AU51*DU51)/(1000-AU51*DT51))/(100*DL51)</f>
        <v>0</v>
      </c>
      <c r="AH51">
        <f>1000*DX51*AU51*(DT51-DU51)/(100*DL51*(1000-AU51*DT51))</f>
        <v>0</v>
      </c>
      <c r="AI51">
        <f>(AJ51 - AK51 - DY51*1E3/(8.314*(EA51+273.15)) * AM51/DX51 * AL51) * DX51/(100*DL51) * (1000 - DU51)/1000</f>
        <v>0</v>
      </c>
      <c r="AJ51">
        <v>814.606432409371</v>
      </c>
      <c r="AK51">
        <v>813.893678787879</v>
      </c>
      <c r="AL51">
        <v>0.0278045534638914</v>
      </c>
      <c r="AM51">
        <v>64.3808739736776</v>
      </c>
      <c r="AN51">
        <f>(AP51 - AO51 + DY51*1E3/(8.314*(EA51+273.15)) * AR51/DX51 * AQ51) * DX51/(100*DL51) * 1000/(1000 - AP51)</f>
        <v>0</v>
      </c>
      <c r="AO51">
        <v>17.891033170961</v>
      </c>
      <c r="AP51">
        <v>17.9632755244755</v>
      </c>
      <c r="AQ51">
        <v>-2.66989043718092e-05</v>
      </c>
      <c r="AR51">
        <v>102.749315787633</v>
      </c>
      <c r="AS51">
        <v>0</v>
      </c>
      <c r="AT51">
        <v>0</v>
      </c>
      <c r="AU51">
        <f>IF(AS51*$H$13&gt;=AW51,1.0,(AW51/(AW51-AS51*$H$13)))</f>
        <v>0</v>
      </c>
      <c r="AV51">
        <f>(AU51-1)*100</f>
        <v>0</v>
      </c>
      <c r="AW51">
        <f>MAX(0,($B$13+$C$13*EF51)/(1+$D$13*EF51)*DY51/(EA51+273)*$E$13)</f>
        <v>0</v>
      </c>
      <c r="AX51" t="s">
        <v>437</v>
      </c>
      <c r="AY51" t="s">
        <v>437</v>
      </c>
      <c r="AZ51">
        <v>0</v>
      </c>
      <c r="BA51">
        <v>0</v>
      </c>
      <c r="BB51">
        <f>1-AZ51/BA51</f>
        <v>0</v>
      </c>
      <c r="BC51">
        <v>0</v>
      </c>
      <c r="BD51" t="s">
        <v>437</v>
      </c>
      <c r="BE51" t="s">
        <v>437</v>
      </c>
      <c r="BF51">
        <v>0</v>
      </c>
      <c r="BG51">
        <v>0</v>
      </c>
      <c r="BH51">
        <f>1-BF51/BG51</f>
        <v>0</v>
      </c>
      <c r="BI51">
        <v>0.5</v>
      </c>
      <c r="BJ51">
        <f>DI51</f>
        <v>0</v>
      </c>
      <c r="BK51">
        <f>L51</f>
        <v>0</v>
      </c>
      <c r="BL51">
        <f>BH51*BI51*BJ51</f>
        <v>0</v>
      </c>
      <c r="BM51">
        <f>(BK51-BC51)/BJ51</f>
        <v>0</v>
      </c>
      <c r="BN51">
        <f>(BA51-BG51)/BG51</f>
        <v>0</v>
      </c>
      <c r="BO51">
        <f>AZ51/(BB51+AZ51/BG51)</f>
        <v>0</v>
      </c>
      <c r="BP51" t="s">
        <v>437</v>
      </c>
      <c r="BQ51">
        <v>0</v>
      </c>
      <c r="BR51">
        <f>IF(BQ51&lt;&gt;0, BQ51, BO51)</f>
        <v>0</v>
      </c>
      <c r="BS51">
        <f>1-BR51/BG51</f>
        <v>0</v>
      </c>
      <c r="BT51">
        <f>(BG51-BF51)/(BG51-BR51)</f>
        <v>0</v>
      </c>
      <c r="BU51">
        <f>(BA51-BG51)/(BA51-BR51)</f>
        <v>0</v>
      </c>
      <c r="BV51">
        <f>(BG51-BF51)/(BG51-AZ51)</f>
        <v>0</v>
      </c>
      <c r="BW51">
        <f>(BA51-BG51)/(BA51-AZ51)</f>
        <v>0</v>
      </c>
      <c r="BX51">
        <f>(BT51*BR51/BF51)</f>
        <v>0</v>
      </c>
      <c r="BY51">
        <f>(1-BX51)</f>
        <v>0</v>
      </c>
      <c r="DH51">
        <f>$B$11*EG51+$C$11*EH51+$F$11*ES51*(1-EV51)</f>
        <v>0</v>
      </c>
      <c r="DI51">
        <f>DH51*DJ51</f>
        <v>0</v>
      </c>
      <c r="DJ51">
        <f>($B$11*$D$9+$C$11*$D$9+$F$11*((FF51+EX51)/MAX(FF51+EX51+FG51, 0.1)*$I$9+FG51/MAX(FF51+EX51+FG51, 0.1)*$J$9))/($B$11+$C$11+$F$11)</f>
        <v>0</v>
      </c>
      <c r="DK51">
        <f>($B$11*$K$9+$C$11*$K$9+$F$11*((FF51+EX51)/MAX(FF51+EX51+FG51, 0.1)*$P$9+FG51/MAX(FF51+EX51+FG51, 0.1)*$Q$9))/($B$11+$C$11+$F$11)</f>
        <v>0</v>
      </c>
      <c r="DL51">
        <v>6</v>
      </c>
      <c r="DM51">
        <v>0.5</v>
      </c>
      <c r="DN51" t="s">
        <v>438</v>
      </c>
      <c r="DO51">
        <v>2</v>
      </c>
      <c r="DP51" t="b">
        <v>1</v>
      </c>
      <c r="DQ51">
        <v>1765303478.5</v>
      </c>
      <c r="DR51">
        <v>799.0959375</v>
      </c>
      <c r="DS51">
        <v>800.0065</v>
      </c>
      <c r="DT51">
        <v>17.9752</v>
      </c>
      <c r="DU51">
        <v>17.89296875</v>
      </c>
      <c r="DV51">
        <v>790.4229375</v>
      </c>
      <c r="DW51">
        <v>17.8612</v>
      </c>
      <c r="DX51">
        <v>500.012625</v>
      </c>
      <c r="DY51">
        <v>89.97035625</v>
      </c>
      <c r="DZ51">
        <v>0.09999386875</v>
      </c>
      <c r="EA51">
        <v>25.289025</v>
      </c>
      <c r="EB51">
        <v>24.99344375</v>
      </c>
      <c r="EC51">
        <v>999.9</v>
      </c>
      <c r="ED51">
        <v>0</v>
      </c>
      <c r="EE51">
        <v>0</v>
      </c>
      <c r="EF51">
        <v>10012.854375</v>
      </c>
      <c r="EG51">
        <v>0</v>
      </c>
      <c r="EH51">
        <v>12.4638</v>
      </c>
      <c r="EI51">
        <v>-0.7921790625</v>
      </c>
      <c r="EJ51">
        <v>813.83625</v>
      </c>
      <c r="EK51">
        <v>814.58175</v>
      </c>
      <c r="EL51">
        <v>0.07375395</v>
      </c>
      <c r="EM51">
        <v>800.0065</v>
      </c>
      <c r="EN51">
        <v>17.89296875</v>
      </c>
      <c r="EO51">
        <v>1.6164725</v>
      </c>
      <c r="EP51">
        <v>1.609835625</v>
      </c>
      <c r="EQ51">
        <v>14.11673125</v>
      </c>
      <c r="ER51">
        <v>14.05326875</v>
      </c>
      <c r="ES51">
        <v>799.999375</v>
      </c>
      <c r="ET51">
        <v>0.9499983125</v>
      </c>
      <c r="EU51">
        <v>0.05000178125</v>
      </c>
      <c r="EV51">
        <v>0</v>
      </c>
      <c r="EW51">
        <v>929.5971875</v>
      </c>
      <c r="EX51">
        <v>5.00016</v>
      </c>
      <c r="EY51">
        <v>7232.863125</v>
      </c>
      <c r="EZ51">
        <v>7194.665625</v>
      </c>
      <c r="FA51">
        <v>40</v>
      </c>
      <c r="FB51">
        <v>42.75</v>
      </c>
      <c r="FC51">
        <v>41.5</v>
      </c>
      <c r="FD51">
        <v>42.687</v>
      </c>
      <c r="FE51">
        <v>42.625</v>
      </c>
      <c r="FF51">
        <v>755.2475</v>
      </c>
      <c r="FG51">
        <v>39.75</v>
      </c>
      <c r="FH51">
        <v>0</v>
      </c>
      <c r="FI51">
        <v>1765303487.5</v>
      </c>
      <c r="FJ51">
        <v>0</v>
      </c>
      <c r="FK51">
        <v>929.55836</v>
      </c>
      <c r="FL51">
        <v>-1.34184615837323</v>
      </c>
      <c r="FM51">
        <v>-7.88230770412934</v>
      </c>
      <c r="FN51">
        <v>7232.5304</v>
      </c>
      <c r="FO51">
        <v>15</v>
      </c>
      <c r="FP51">
        <v>1765303514</v>
      </c>
      <c r="FQ51" t="s">
        <v>548</v>
      </c>
      <c r="FR51">
        <v>1765303514</v>
      </c>
      <c r="FS51">
        <v>1765303510</v>
      </c>
      <c r="FT51">
        <v>35</v>
      </c>
      <c r="FU51">
        <v>-0.12</v>
      </c>
      <c r="FV51">
        <v>0.01</v>
      </c>
      <c r="FW51">
        <v>8.673</v>
      </c>
      <c r="FX51">
        <v>0.114</v>
      </c>
      <c r="FY51">
        <v>800</v>
      </c>
      <c r="FZ51">
        <v>18</v>
      </c>
      <c r="GA51">
        <v>0.73</v>
      </c>
      <c r="GB51">
        <v>0.38</v>
      </c>
      <c r="GC51">
        <v>-0.827070047619048</v>
      </c>
      <c r="GD51">
        <v>0.343193922077921</v>
      </c>
      <c r="GE51">
        <v>0.0678937333137857</v>
      </c>
      <c r="GF51">
        <v>1</v>
      </c>
      <c r="GG51">
        <v>929.6285</v>
      </c>
      <c r="GH51">
        <v>-1.10653934112038</v>
      </c>
      <c r="GI51">
        <v>0.207213622366195</v>
      </c>
      <c r="GJ51">
        <v>-1</v>
      </c>
      <c r="GK51">
        <v>0.0734781523809524</v>
      </c>
      <c r="GL51">
        <v>0.00704206753246768</v>
      </c>
      <c r="GM51">
        <v>0.00122104645035433</v>
      </c>
      <c r="GN51">
        <v>1</v>
      </c>
      <c r="GO51">
        <v>2</v>
      </c>
      <c r="GP51">
        <v>2</v>
      </c>
      <c r="GQ51" t="s">
        <v>440</v>
      </c>
      <c r="GR51">
        <v>3.1249</v>
      </c>
      <c r="GS51">
        <v>2.72547</v>
      </c>
      <c r="GT51">
        <v>0.140935</v>
      </c>
      <c r="GU51">
        <v>0.141851</v>
      </c>
      <c r="GV51">
        <v>0.0827298</v>
      </c>
      <c r="GW51">
        <v>0.0825036</v>
      </c>
      <c r="GX51">
        <v>22676.1</v>
      </c>
      <c r="GY51">
        <v>20961.4</v>
      </c>
      <c r="GZ51">
        <v>23599.9</v>
      </c>
      <c r="HA51">
        <v>23777.5</v>
      </c>
      <c r="HB51">
        <v>36871.2</v>
      </c>
      <c r="HC51">
        <v>36077.8</v>
      </c>
      <c r="HD51">
        <v>42512</v>
      </c>
      <c r="HE51">
        <v>42356.2</v>
      </c>
      <c r="HF51">
        <v>1.92695</v>
      </c>
      <c r="HG51">
        <v>1.82278</v>
      </c>
      <c r="HH51">
        <v>0.100024</v>
      </c>
      <c r="HI51">
        <v>0</v>
      </c>
      <c r="HJ51">
        <v>23.353</v>
      </c>
      <c r="HK51">
        <v>999.9</v>
      </c>
      <c r="HL51">
        <v>44.549</v>
      </c>
      <c r="HM51">
        <v>30.665</v>
      </c>
      <c r="HN51">
        <v>21.915</v>
      </c>
      <c r="HO51">
        <v>54.8331</v>
      </c>
      <c r="HP51">
        <v>46.6026</v>
      </c>
      <c r="HQ51">
        <v>1</v>
      </c>
      <c r="HR51">
        <v>-0.0573679</v>
      </c>
      <c r="HS51">
        <v>1.01201</v>
      </c>
      <c r="HT51">
        <v>20.2288</v>
      </c>
      <c r="HU51">
        <v>5.23331</v>
      </c>
      <c r="HV51">
        <v>11.992</v>
      </c>
      <c r="HW51">
        <v>4.9557</v>
      </c>
      <c r="HX51">
        <v>3.304</v>
      </c>
      <c r="HY51">
        <v>999.9</v>
      </c>
      <c r="HZ51">
        <v>9999</v>
      </c>
      <c r="IA51">
        <v>9999</v>
      </c>
      <c r="IB51">
        <v>9999</v>
      </c>
      <c r="IC51">
        <v>1.86875</v>
      </c>
      <c r="ID51">
        <v>1.86449</v>
      </c>
      <c r="IE51">
        <v>1.87208</v>
      </c>
      <c r="IF51">
        <v>1.8631</v>
      </c>
      <c r="IG51">
        <v>1.86245</v>
      </c>
      <c r="IH51">
        <v>1.86879</v>
      </c>
      <c r="II51">
        <v>1.85901</v>
      </c>
      <c r="IJ51">
        <v>1.86531</v>
      </c>
      <c r="IK51">
        <v>5</v>
      </c>
      <c r="IL51">
        <v>0</v>
      </c>
      <c r="IM51">
        <v>0</v>
      </c>
      <c r="IN51">
        <v>0</v>
      </c>
      <c r="IO51" t="s">
        <v>441</v>
      </c>
      <c r="IP51" t="s">
        <v>442</v>
      </c>
      <c r="IQ51" t="s">
        <v>443</v>
      </c>
      <c r="IR51" t="s">
        <v>443</v>
      </c>
      <c r="IS51" t="s">
        <v>443</v>
      </c>
      <c r="IT51" t="s">
        <v>443</v>
      </c>
      <c r="IU51">
        <v>0</v>
      </c>
      <c r="IV51">
        <v>100</v>
      </c>
      <c r="IW51">
        <v>100</v>
      </c>
      <c r="IX51">
        <v>8.673</v>
      </c>
      <c r="IY51">
        <v>0.114</v>
      </c>
      <c r="IZ51">
        <v>5.4595771135082</v>
      </c>
      <c r="JA51">
        <v>0.0062698613543794</v>
      </c>
      <c r="JB51">
        <v>-3.23243345529816e-06</v>
      </c>
      <c r="JC51">
        <v>8.00506428382295e-10</v>
      </c>
      <c r="JD51">
        <v>-0.0560085825068717</v>
      </c>
      <c r="JE51">
        <v>-0.0018464610107002</v>
      </c>
      <c r="JF51">
        <v>0.000796540623429801</v>
      </c>
      <c r="JG51">
        <v>-1.04619914107352e-05</v>
      </c>
      <c r="JH51">
        <v>-0</v>
      </c>
      <c r="JI51">
        <v>2101</v>
      </c>
      <c r="JJ51">
        <v>1</v>
      </c>
      <c r="JK51">
        <v>23</v>
      </c>
      <c r="JL51">
        <v>1.2</v>
      </c>
      <c r="JM51">
        <v>1.4</v>
      </c>
      <c r="JN51">
        <v>1.75781</v>
      </c>
      <c r="JO51">
        <v>2.36206</v>
      </c>
      <c r="JP51">
        <v>1.49902</v>
      </c>
      <c r="JQ51">
        <v>2.33154</v>
      </c>
      <c r="JR51">
        <v>1.54419</v>
      </c>
      <c r="JS51">
        <v>2.33276</v>
      </c>
      <c r="JT51">
        <v>37.554</v>
      </c>
      <c r="JU51">
        <v>24.2976</v>
      </c>
      <c r="JV51">
        <v>18</v>
      </c>
      <c r="JW51">
        <v>549.952</v>
      </c>
      <c r="JX51">
        <v>427.049</v>
      </c>
      <c r="JY51">
        <v>22.1518</v>
      </c>
      <c r="JZ51">
        <v>26.7232</v>
      </c>
      <c r="KA51">
        <v>29.9998</v>
      </c>
      <c r="KB51">
        <v>26.7371</v>
      </c>
      <c r="KC51">
        <v>26.7623</v>
      </c>
      <c r="KD51">
        <v>35.2055</v>
      </c>
      <c r="KE51">
        <v>30.0161</v>
      </c>
      <c r="KF51">
        <v>81.8602</v>
      </c>
      <c r="KG51">
        <v>22.156</v>
      </c>
      <c r="KH51">
        <v>800</v>
      </c>
      <c r="KI51">
        <v>17.8784</v>
      </c>
      <c r="KJ51">
        <v>95.3083</v>
      </c>
      <c r="KK51">
        <v>98.7524</v>
      </c>
    </row>
    <row r="52" spans="1:297">
      <c r="A52">
        <v>36</v>
      </c>
      <c r="B52">
        <v>1765303585</v>
      </c>
      <c r="C52">
        <v>5636</v>
      </c>
      <c r="D52" t="s">
        <v>549</v>
      </c>
      <c r="E52" t="s">
        <v>550</v>
      </c>
      <c r="F52">
        <v>5</v>
      </c>
      <c r="G52" t="s">
        <v>523</v>
      </c>
      <c r="H52" t="s">
        <v>436</v>
      </c>
      <c r="I52">
        <v>1765303576.5</v>
      </c>
      <c r="J52">
        <f>(K52)/1000</f>
        <v>0</v>
      </c>
      <c r="K52">
        <f>IF(DP52, AN52, AH52)</f>
        <v>0</v>
      </c>
      <c r="L52">
        <f>IF(DP52, AI52, AG52)</f>
        <v>0</v>
      </c>
      <c r="M52">
        <f>DR52 - IF(AU52&gt;1, L52*DL52*100.0/(AW52), 0)</f>
        <v>0</v>
      </c>
      <c r="N52">
        <f>((T52-J52/2)*M52-L52)/(T52+J52/2)</f>
        <v>0</v>
      </c>
      <c r="O52">
        <f>N52*(DY52+DZ52)/1000.0</f>
        <v>0</v>
      </c>
      <c r="P52">
        <f>(DR52 - IF(AU52&gt;1, L52*DL52*100.0/(AW52), 0))*(DY52+DZ52)/1000.0</f>
        <v>0</v>
      </c>
      <c r="Q52">
        <f>2.0/((1/S52-1/R52)+SIGN(S52)*SQRT((1/S52-1/R52)*(1/S52-1/R52) + 4*DM52/((DM52+1)*(DM52+1))*(2*1/S52*1/R52-1/R52*1/R52)))</f>
        <v>0</v>
      </c>
      <c r="R52">
        <f>IF(LEFT(DN52,1)&lt;&gt;"0",IF(LEFT(DN52,1)="1",3.0,DO52),$D$5+$E$5*(EF52*DY52/($K$5*1000))+$F$5*(EF52*DY52/($K$5*1000))*MAX(MIN(DL52,$J$5),$I$5)*MAX(MIN(DL52,$J$5),$I$5)+$G$5*MAX(MIN(DL52,$J$5),$I$5)*(EF52*DY52/($K$5*1000))+$H$5*(EF52*DY52/($K$5*1000))*(EF52*DY52/($K$5*1000)))</f>
        <v>0</v>
      </c>
      <c r="S52">
        <f>J52*(1000-(1000*0.61365*exp(17.502*W52/(240.97+W52))/(DY52+DZ52)+DT52)/2)/(1000*0.61365*exp(17.502*W52/(240.97+W52))/(DY52+DZ52)-DT52)</f>
        <v>0</v>
      </c>
      <c r="T52">
        <f>1/((DM52+1)/(Q52/1.6)+1/(R52/1.37)) + DM52/((DM52+1)/(Q52/1.6) + DM52/(R52/1.37))</f>
        <v>0</v>
      </c>
      <c r="U52">
        <f>(DH52*DK52)</f>
        <v>0</v>
      </c>
      <c r="V52">
        <f>(EA52+(U52+2*0.95*5.67E-8*(((EA52+$B$7)+273)^4-(EA52+273)^4)-44100*J52)/(1.84*29.3*R52+8*0.95*5.67E-8*(EA52+273)^3))</f>
        <v>0</v>
      </c>
      <c r="W52">
        <f>($C$7*EB52+$D$7*EC52+$E$7*V52)</f>
        <v>0</v>
      </c>
      <c r="X52">
        <f>0.61365*exp(17.502*W52/(240.97+W52))</f>
        <v>0</v>
      </c>
      <c r="Y52">
        <f>(Z52/AA52*100)</f>
        <v>0</v>
      </c>
      <c r="Z52">
        <f>DT52*(DY52+DZ52)/1000</f>
        <v>0</v>
      </c>
      <c r="AA52">
        <f>0.61365*exp(17.502*EA52/(240.97+EA52))</f>
        <v>0</v>
      </c>
      <c r="AB52">
        <f>(X52-DT52*(DY52+DZ52)/1000)</f>
        <v>0</v>
      </c>
      <c r="AC52">
        <f>(-J52*44100)</f>
        <v>0</v>
      </c>
      <c r="AD52">
        <f>2*29.3*R52*0.92*(EA52-W52)</f>
        <v>0</v>
      </c>
      <c r="AE52">
        <f>2*0.95*5.67E-8*(((EA52+$B$7)+273)^4-(W52+273)^4)</f>
        <v>0</v>
      </c>
      <c r="AF52">
        <f>U52+AE52+AC52+AD52</f>
        <v>0</v>
      </c>
      <c r="AG52">
        <f>DX52*AU52*(DS52-DR52*(1000-AU52*DU52)/(1000-AU52*DT52))/(100*DL52)</f>
        <v>0</v>
      </c>
      <c r="AH52">
        <f>1000*DX52*AU52*(DT52-DU52)/(100*DL52*(1000-AU52*DT52))</f>
        <v>0</v>
      </c>
      <c r="AI52">
        <f>(AJ52 - AK52 - DY52*1E3/(8.314*(EA52+273.15)) * AM52/DX52 * AL52) * DX52/(100*DL52) * (1000 - DU52)/1000</f>
        <v>0</v>
      </c>
      <c r="AJ52">
        <v>1018.21054035511</v>
      </c>
      <c r="AK52">
        <v>1017.34242424242</v>
      </c>
      <c r="AL52">
        <v>0.0378036861805486</v>
      </c>
      <c r="AM52">
        <v>64.3217892399562</v>
      </c>
      <c r="AN52">
        <f>(AP52 - AO52 + DY52*1E3/(8.314*(EA52+273.15)) * AR52/DX52 * AQ52) * DX52/(100*DL52) * 1000/(1000 - AP52)</f>
        <v>0</v>
      </c>
      <c r="AO52">
        <v>17.865977340123</v>
      </c>
      <c r="AP52">
        <v>17.9479286713287</v>
      </c>
      <c r="AQ52">
        <v>-2.32162918939225e-05</v>
      </c>
      <c r="AR52">
        <v>103.04684669635</v>
      </c>
      <c r="AS52">
        <v>0</v>
      </c>
      <c r="AT52">
        <v>0</v>
      </c>
      <c r="AU52">
        <f>IF(AS52*$H$13&gt;=AW52,1.0,(AW52/(AW52-AS52*$H$13)))</f>
        <v>0</v>
      </c>
      <c r="AV52">
        <f>(AU52-1)*100</f>
        <v>0</v>
      </c>
      <c r="AW52">
        <f>MAX(0,($B$13+$C$13*EF52)/(1+$D$13*EF52)*DY52/(EA52+273)*$E$13)</f>
        <v>0</v>
      </c>
      <c r="AX52" t="s">
        <v>437</v>
      </c>
      <c r="AY52" t="s">
        <v>437</v>
      </c>
      <c r="AZ52">
        <v>0</v>
      </c>
      <c r="BA52">
        <v>0</v>
      </c>
      <c r="BB52">
        <f>1-AZ52/BA52</f>
        <v>0</v>
      </c>
      <c r="BC52">
        <v>0</v>
      </c>
      <c r="BD52" t="s">
        <v>437</v>
      </c>
      <c r="BE52" t="s">
        <v>437</v>
      </c>
      <c r="BF52">
        <v>0</v>
      </c>
      <c r="BG52">
        <v>0</v>
      </c>
      <c r="BH52">
        <f>1-BF52/BG52</f>
        <v>0</v>
      </c>
      <c r="BI52">
        <v>0.5</v>
      </c>
      <c r="BJ52">
        <f>DI52</f>
        <v>0</v>
      </c>
      <c r="BK52">
        <f>L52</f>
        <v>0</v>
      </c>
      <c r="BL52">
        <f>BH52*BI52*BJ52</f>
        <v>0</v>
      </c>
      <c r="BM52">
        <f>(BK52-BC52)/BJ52</f>
        <v>0</v>
      </c>
      <c r="BN52">
        <f>(BA52-BG52)/BG52</f>
        <v>0</v>
      </c>
      <c r="BO52">
        <f>AZ52/(BB52+AZ52/BG52)</f>
        <v>0</v>
      </c>
      <c r="BP52" t="s">
        <v>437</v>
      </c>
      <c r="BQ52">
        <v>0</v>
      </c>
      <c r="BR52">
        <f>IF(BQ52&lt;&gt;0, BQ52, BO52)</f>
        <v>0</v>
      </c>
      <c r="BS52">
        <f>1-BR52/BG52</f>
        <v>0</v>
      </c>
      <c r="BT52">
        <f>(BG52-BF52)/(BG52-BR52)</f>
        <v>0</v>
      </c>
      <c r="BU52">
        <f>(BA52-BG52)/(BA52-BR52)</f>
        <v>0</v>
      </c>
      <c r="BV52">
        <f>(BG52-BF52)/(BG52-AZ52)</f>
        <v>0</v>
      </c>
      <c r="BW52">
        <f>(BA52-BG52)/(BA52-AZ52)</f>
        <v>0</v>
      </c>
      <c r="BX52">
        <f>(BT52*BR52/BF52)</f>
        <v>0</v>
      </c>
      <c r="BY52">
        <f>(1-BX52)</f>
        <v>0</v>
      </c>
      <c r="DH52">
        <f>$B$11*EG52+$C$11*EH52+$F$11*ES52*(1-EV52)</f>
        <v>0</v>
      </c>
      <c r="DI52">
        <f>DH52*DJ52</f>
        <v>0</v>
      </c>
      <c r="DJ52">
        <f>($B$11*$D$9+$C$11*$D$9+$F$11*((FF52+EX52)/MAX(FF52+EX52+FG52, 0.1)*$I$9+FG52/MAX(FF52+EX52+FG52, 0.1)*$J$9))/($B$11+$C$11+$F$11)</f>
        <v>0</v>
      </c>
      <c r="DK52">
        <f>($B$11*$K$9+$C$11*$K$9+$F$11*((FF52+EX52)/MAX(FF52+EX52+FG52, 0.1)*$P$9+FG52/MAX(FF52+EX52+FG52, 0.1)*$Q$9))/($B$11+$C$11+$F$11)</f>
        <v>0</v>
      </c>
      <c r="DL52">
        <v>6</v>
      </c>
      <c r="DM52">
        <v>0.5</v>
      </c>
      <c r="DN52" t="s">
        <v>438</v>
      </c>
      <c r="DO52">
        <v>2</v>
      </c>
      <c r="DP52" t="b">
        <v>1</v>
      </c>
      <c r="DQ52">
        <v>1765303576.5</v>
      </c>
      <c r="DR52">
        <v>998.78375</v>
      </c>
      <c r="DS52">
        <v>1000.029375</v>
      </c>
      <c r="DT52">
        <v>17.94940625</v>
      </c>
      <c r="DU52">
        <v>17.86876875</v>
      </c>
      <c r="DV52">
        <v>989.82375</v>
      </c>
      <c r="DW52">
        <v>17.83540625</v>
      </c>
      <c r="DX52">
        <v>500.0305625</v>
      </c>
      <c r="DY52">
        <v>89.96695625</v>
      </c>
      <c r="DZ52">
        <v>0.10000185625</v>
      </c>
      <c r="EA52">
        <v>25.28824375</v>
      </c>
      <c r="EB52">
        <v>24.97721875</v>
      </c>
      <c r="EC52">
        <v>999.9</v>
      </c>
      <c r="ED52">
        <v>0</v>
      </c>
      <c r="EE52">
        <v>0</v>
      </c>
      <c r="EF52">
        <v>9997.608125</v>
      </c>
      <c r="EG52">
        <v>0</v>
      </c>
      <c r="EH52">
        <v>12.4638</v>
      </c>
      <c r="EI52">
        <v>-1.0510144375</v>
      </c>
      <c r="EJ52">
        <v>1017.236875</v>
      </c>
      <c r="EK52">
        <v>1018.225</v>
      </c>
      <c r="EL52">
        <v>0.08125650625</v>
      </c>
      <c r="EM52">
        <v>1000.029375</v>
      </c>
      <c r="EN52">
        <v>17.86876875</v>
      </c>
      <c r="EO52">
        <v>1.614909375</v>
      </c>
      <c r="EP52">
        <v>1.607598125</v>
      </c>
      <c r="EQ52">
        <v>14.1018</v>
      </c>
      <c r="ER52">
        <v>14.0318375</v>
      </c>
      <c r="ES52">
        <v>800.0206875</v>
      </c>
      <c r="ET52">
        <v>0.9499983125</v>
      </c>
      <c r="EU52">
        <v>0.05000178125</v>
      </c>
      <c r="EV52">
        <v>0</v>
      </c>
      <c r="EW52">
        <v>928.067</v>
      </c>
      <c r="EX52">
        <v>5.00016</v>
      </c>
      <c r="EY52">
        <v>7220.9575</v>
      </c>
      <c r="EZ52">
        <v>7194.859375</v>
      </c>
      <c r="FA52">
        <v>39.9566875</v>
      </c>
      <c r="FB52">
        <v>42.7303125</v>
      </c>
      <c r="FC52">
        <v>41.4881875</v>
      </c>
      <c r="FD52">
        <v>42.6131875</v>
      </c>
      <c r="FE52">
        <v>42.562</v>
      </c>
      <c r="FF52">
        <v>755.268125</v>
      </c>
      <c r="FG52">
        <v>39.75</v>
      </c>
      <c r="FH52">
        <v>0</v>
      </c>
      <c r="FI52">
        <v>1765303585.3</v>
      </c>
      <c r="FJ52">
        <v>0</v>
      </c>
      <c r="FK52">
        <v>928.122076923077</v>
      </c>
      <c r="FL52">
        <v>-0.850735030647432</v>
      </c>
      <c r="FM52">
        <v>-6.2584616457658</v>
      </c>
      <c r="FN52">
        <v>7220.59153846154</v>
      </c>
      <c r="FO52">
        <v>15</v>
      </c>
      <c r="FP52">
        <v>1765303626</v>
      </c>
      <c r="FQ52" t="s">
        <v>551</v>
      </c>
      <c r="FR52">
        <v>1765303626</v>
      </c>
      <c r="FS52">
        <v>1765303603</v>
      </c>
      <c r="FT52">
        <v>36</v>
      </c>
      <c r="FU52">
        <v>-0.197</v>
      </c>
      <c r="FV52">
        <v>0.001</v>
      </c>
      <c r="FW52">
        <v>8.96</v>
      </c>
      <c r="FX52">
        <v>0.114</v>
      </c>
      <c r="FY52">
        <v>1000</v>
      </c>
      <c r="FZ52">
        <v>18</v>
      </c>
      <c r="GA52">
        <v>1.41</v>
      </c>
      <c r="GB52">
        <v>0.18</v>
      </c>
      <c r="GC52">
        <v>-1.06991157142857</v>
      </c>
      <c r="GD52">
        <v>0.223941194805194</v>
      </c>
      <c r="GE52">
        <v>0.0904541501964874</v>
      </c>
      <c r="GF52">
        <v>1</v>
      </c>
      <c r="GG52">
        <v>928.117882352941</v>
      </c>
      <c r="GH52">
        <v>-0.540259734752004</v>
      </c>
      <c r="GI52">
        <v>0.195913511035424</v>
      </c>
      <c r="GJ52">
        <v>-1</v>
      </c>
      <c r="GK52">
        <v>0.0815550476190476</v>
      </c>
      <c r="GL52">
        <v>-0.0041790623376625</v>
      </c>
      <c r="GM52">
        <v>0.000975370865055491</v>
      </c>
      <c r="GN52">
        <v>1</v>
      </c>
      <c r="GO52">
        <v>2</v>
      </c>
      <c r="GP52">
        <v>2</v>
      </c>
      <c r="GQ52" t="s">
        <v>440</v>
      </c>
      <c r="GR52">
        <v>3.12481</v>
      </c>
      <c r="GS52">
        <v>2.72554</v>
      </c>
      <c r="GT52">
        <v>0.163484</v>
      </c>
      <c r="GU52">
        <v>0.164267</v>
      </c>
      <c r="GV52">
        <v>0.0826544</v>
      </c>
      <c r="GW52">
        <v>0.0824242</v>
      </c>
      <c r="GX52">
        <v>22083.1</v>
      </c>
      <c r="GY52">
        <v>20417.1</v>
      </c>
      <c r="GZ52">
        <v>23601.7</v>
      </c>
      <c r="HA52">
        <v>23780.7</v>
      </c>
      <c r="HB52">
        <v>36878.8</v>
      </c>
      <c r="HC52">
        <v>36087.6</v>
      </c>
      <c r="HD52">
        <v>42515.1</v>
      </c>
      <c r="HE52">
        <v>42361.9</v>
      </c>
      <c r="HF52">
        <v>1.92795</v>
      </c>
      <c r="HG52">
        <v>1.82395</v>
      </c>
      <c r="HH52">
        <v>0.102296</v>
      </c>
      <c r="HI52">
        <v>0</v>
      </c>
      <c r="HJ52">
        <v>23.2949</v>
      </c>
      <c r="HK52">
        <v>999.9</v>
      </c>
      <c r="HL52">
        <v>44.47</v>
      </c>
      <c r="HM52">
        <v>30.675</v>
      </c>
      <c r="HN52">
        <v>21.8885</v>
      </c>
      <c r="HO52">
        <v>54.6331</v>
      </c>
      <c r="HP52">
        <v>46.7188</v>
      </c>
      <c r="HQ52">
        <v>1</v>
      </c>
      <c r="HR52">
        <v>-0.0616184</v>
      </c>
      <c r="HS52">
        <v>0.878222</v>
      </c>
      <c r="HT52">
        <v>20.2295</v>
      </c>
      <c r="HU52">
        <v>5.23436</v>
      </c>
      <c r="HV52">
        <v>11.992</v>
      </c>
      <c r="HW52">
        <v>4.95625</v>
      </c>
      <c r="HX52">
        <v>3.30398</v>
      </c>
      <c r="HY52">
        <v>999.9</v>
      </c>
      <c r="HZ52">
        <v>9999</v>
      </c>
      <c r="IA52">
        <v>9999</v>
      </c>
      <c r="IB52">
        <v>9999</v>
      </c>
      <c r="IC52">
        <v>1.86875</v>
      </c>
      <c r="ID52">
        <v>1.86447</v>
      </c>
      <c r="IE52">
        <v>1.87207</v>
      </c>
      <c r="IF52">
        <v>1.86307</v>
      </c>
      <c r="IG52">
        <v>1.86244</v>
      </c>
      <c r="IH52">
        <v>1.86881</v>
      </c>
      <c r="II52">
        <v>1.85898</v>
      </c>
      <c r="IJ52">
        <v>1.86528</v>
      </c>
      <c r="IK52">
        <v>5</v>
      </c>
      <c r="IL52">
        <v>0</v>
      </c>
      <c r="IM52">
        <v>0</v>
      </c>
      <c r="IN52">
        <v>0</v>
      </c>
      <c r="IO52" t="s">
        <v>441</v>
      </c>
      <c r="IP52" t="s">
        <v>442</v>
      </c>
      <c r="IQ52" t="s">
        <v>443</v>
      </c>
      <c r="IR52" t="s">
        <v>443</v>
      </c>
      <c r="IS52" t="s">
        <v>443</v>
      </c>
      <c r="IT52" t="s">
        <v>443</v>
      </c>
      <c r="IU52">
        <v>0</v>
      </c>
      <c r="IV52">
        <v>100</v>
      </c>
      <c r="IW52">
        <v>100</v>
      </c>
      <c r="IX52">
        <v>8.96</v>
      </c>
      <c r="IY52">
        <v>0.114</v>
      </c>
      <c r="IZ52">
        <v>5.3394397338928</v>
      </c>
      <c r="JA52">
        <v>0.0062698613543794</v>
      </c>
      <c r="JB52">
        <v>-3.23243345529816e-06</v>
      </c>
      <c r="JC52">
        <v>8.00506428382295e-10</v>
      </c>
      <c r="JD52">
        <v>-0.0464628892326362</v>
      </c>
      <c r="JE52">
        <v>-0.0018464610107002</v>
      </c>
      <c r="JF52">
        <v>0.000796540623429801</v>
      </c>
      <c r="JG52">
        <v>-1.04619914107352e-05</v>
      </c>
      <c r="JH52">
        <v>-0</v>
      </c>
      <c r="JI52">
        <v>2101</v>
      </c>
      <c r="JJ52">
        <v>1</v>
      </c>
      <c r="JK52">
        <v>23</v>
      </c>
      <c r="JL52">
        <v>1.2</v>
      </c>
      <c r="JM52">
        <v>1.2</v>
      </c>
      <c r="JN52">
        <v>2.10327</v>
      </c>
      <c r="JO52">
        <v>2.34985</v>
      </c>
      <c r="JP52">
        <v>1.4978</v>
      </c>
      <c r="JQ52">
        <v>2.33154</v>
      </c>
      <c r="JR52">
        <v>1.54419</v>
      </c>
      <c r="JS52">
        <v>2.35962</v>
      </c>
      <c r="JT52">
        <v>37.53</v>
      </c>
      <c r="JU52">
        <v>24.3064</v>
      </c>
      <c r="JV52">
        <v>18</v>
      </c>
      <c r="JW52">
        <v>550.224</v>
      </c>
      <c r="JX52">
        <v>427.417</v>
      </c>
      <c r="JY52">
        <v>22.2521</v>
      </c>
      <c r="JZ52">
        <v>26.6662</v>
      </c>
      <c r="KA52">
        <v>29.9999</v>
      </c>
      <c r="KB52">
        <v>26.6943</v>
      </c>
      <c r="KC52">
        <v>26.7203</v>
      </c>
      <c r="KD52">
        <v>42.1254</v>
      </c>
      <c r="KE52">
        <v>30.0161</v>
      </c>
      <c r="KF52">
        <v>81.8602</v>
      </c>
      <c r="KG52">
        <v>22.267</v>
      </c>
      <c r="KH52">
        <v>1000</v>
      </c>
      <c r="KI52">
        <v>17.8812</v>
      </c>
      <c r="KJ52">
        <v>95.3153</v>
      </c>
      <c r="KK52">
        <v>98.7657</v>
      </c>
    </row>
    <row r="53" spans="1:297">
      <c r="A53">
        <v>37</v>
      </c>
      <c r="B53">
        <v>1765303701</v>
      </c>
      <c r="C53">
        <v>5752</v>
      </c>
      <c r="D53" t="s">
        <v>552</v>
      </c>
      <c r="E53" t="s">
        <v>553</v>
      </c>
      <c r="F53">
        <v>5</v>
      </c>
      <c r="G53" t="s">
        <v>523</v>
      </c>
      <c r="H53" t="s">
        <v>436</v>
      </c>
      <c r="I53">
        <v>1765303692.5</v>
      </c>
      <c r="J53">
        <f>(K53)/1000</f>
        <v>0</v>
      </c>
      <c r="K53">
        <f>IF(DP53, AN53, AH53)</f>
        <v>0</v>
      </c>
      <c r="L53">
        <f>IF(DP53, AI53, AG53)</f>
        <v>0</v>
      </c>
      <c r="M53">
        <f>DR53 - IF(AU53&gt;1, L53*DL53*100.0/(AW53), 0)</f>
        <v>0</v>
      </c>
      <c r="N53">
        <f>((T53-J53/2)*M53-L53)/(T53+J53/2)</f>
        <v>0</v>
      </c>
      <c r="O53">
        <f>N53*(DY53+DZ53)/1000.0</f>
        <v>0</v>
      </c>
      <c r="P53">
        <f>(DR53 - IF(AU53&gt;1, L53*DL53*100.0/(AW53), 0))*(DY53+DZ53)/1000.0</f>
        <v>0</v>
      </c>
      <c r="Q53">
        <f>2.0/((1/S53-1/R53)+SIGN(S53)*SQRT((1/S53-1/R53)*(1/S53-1/R53) + 4*DM53/((DM53+1)*(DM53+1))*(2*1/S53*1/R53-1/R53*1/R53)))</f>
        <v>0</v>
      </c>
      <c r="R53">
        <f>IF(LEFT(DN53,1)&lt;&gt;"0",IF(LEFT(DN53,1)="1",3.0,DO53),$D$5+$E$5*(EF53*DY53/($K$5*1000))+$F$5*(EF53*DY53/($K$5*1000))*MAX(MIN(DL53,$J$5),$I$5)*MAX(MIN(DL53,$J$5),$I$5)+$G$5*MAX(MIN(DL53,$J$5),$I$5)*(EF53*DY53/($K$5*1000))+$H$5*(EF53*DY53/($K$5*1000))*(EF53*DY53/($K$5*1000)))</f>
        <v>0</v>
      </c>
      <c r="S53">
        <f>J53*(1000-(1000*0.61365*exp(17.502*W53/(240.97+W53))/(DY53+DZ53)+DT53)/2)/(1000*0.61365*exp(17.502*W53/(240.97+W53))/(DY53+DZ53)-DT53)</f>
        <v>0</v>
      </c>
      <c r="T53">
        <f>1/((DM53+1)/(Q53/1.6)+1/(R53/1.37)) + DM53/((DM53+1)/(Q53/1.6) + DM53/(R53/1.37))</f>
        <v>0</v>
      </c>
      <c r="U53">
        <f>(DH53*DK53)</f>
        <v>0</v>
      </c>
      <c r="V53">
        <f>(EA53+(U53+2*0.95*5.67E-8*(((EA53+$B$7)+273)^4-(EA53+273)^4)-44100*J53)/(1.84*29.3*R53+8*0.95*5.67E-8*(EA53+273)^3))</f>
        <v>0</v>
      </c>
      <c r="W53">
        <f>($C$7*EB53+$D$7*EC53+$E$7*V53)</f>
        <v>0</v>
      </c>
      <c r="X53">
        <f>0.61365*exp(17.502*W53/(240.97+W53))</f>
        <v>0</v>
      </c>
      <c r="Y53">
        <f>(Z53/AA53*100)</f>
        <v>0</v>
      </c>
      <c r="Z53">
        <f>DT53*(DY53+DZ53)/1000</f>
        <v>0</v>
      </c>
      <c r="AA53">
        <f>0.61365*exp(17.502*EA53/(240.97+EA53))</f>
        <v>0</v>
      </c>
      <c r="AB53">
        <f>(X53-DT53*(DY53+DZ53)/1000)</f>
        <v>0</v>
      </c>
      <c r="AC53">
        <f>(-J53*44100)</f>
        <v>0</v>
      </c>
      <c r="AD53">
        <f>2*29.3*R53*0.92*(EA53-W53)</f>
        <v>0</v>
      </c>
      <c r="AE53">
        <f>2*0.95*5.67E-8*(((EA53+$B$7)+273)^4-(W53+273)^4)</f>
        <v>0</v>
      </c>
      <c r="AF53">
        <f>U53+AE53+AC53+AD53</f>
        <v>0</v>
      </c>
      <c r="AG53">
        <f>DX53*AU53*(DS53-DR53*(1000-AU53*DU53)/(1000-AU53*DT53))/(100*DL53)</f>
        <v>0</v>
      </c>
      <c r="AH53">
        <f>1000*DX53*AU53*(DT53-DU53)/(100*DL53*(1000-AU53*DT53))</f>
        <v>0</v>
      </c>
      <c r="AI53">
        <f>(AJ53 - AK53 - DY53*1E3/(8.314*(EA53+273.15)) * AM53/DX53 * AL53) * DX53/(100*DL53) * (1000 - DU53)/1000</f>
        <v>0</v>
      </c>
      <c r="AJ53">
        <v>1221.91155890031</v>
      </c>
      <c r="AK53">
        <v>1220.04</v>
      </c>
      <c r="AL53">
        <v>-0.00168073611820076</v>
      </c>
      <c r="AM53">
        <v>64.354810027285</v>
      </c>
      <c r="AN53">
        <f>(AP53 - AO53 + DY53*1E3/(8.314*(EA53+273.15)) * AR53/DX53 * AQ53) * DX53/(100*DL53) * 1000/(1000 - AP53)</f>
        <v>0</v>
      </c>
      <c r="AO53">
        <v>17.9038836484388</v>
      </c>
      <c r="AP53">
        <v>17.9793832167832</v>
      </c>
      <c r="AQ53">
        <v>7.16830525331779e-05</v>
      </c>
      <c r="AR53">
        <v>102.312422736</v>
      </c>
      <c r="AS53">
        <v>0</v>
      </c>
      <c r="AT53">
        <v>0</v>
      </c>
      <c r="AU53">
        <f>IF(AS53*$H$13&gt;=AW53,1.0,(AW53/(AW53-AS53*$H$13)))</f>
        <v>0</v>
      </c>
      <c r="AV53">
        <f>(AU53-1)*100</f>
        <v>0</v>
      </c>
      <c r="AW53">
        <f>MAX(0,($B$13+$C$13*EF53)/(1+$D$13*EF53)*DY53/(EA53+273)*$E$13)</f>
        <v>0</v>
      </c>
      <c r="AX53" t="s">
        <v>437</v>
      </c>
      <c r="AY53" t="s">
        <v>437</v>
      </c>
      <c r="AZ53">
        <v>0</v>
      </c>
      <c r="BA53">
        <v>0</v>
      </c>
      <c r="BB53">
        <f>1-AZ53/BA53</f>
        <v>0</v>
      </c>
      <c r="BC53">
        <v>0</v>
      </c>
      <c r="BD53" t="s">
        <v>437</v>
      </c>
      <c r="BE53" t="s">
        <v>437</v>
      </c>
      <c r="BF53">
        <v>0</v>
      </c>
      <c r="BG53">
        <v>0</v>
      </c>
      <c r="BH53">
        <f>1-BF53/BG53</f>
        <v>0</v>
      </c>
      <c r="BI53">
        <v>0.5</v>
      </c>
      <c r="BJ53">
        <f>DI53</f>
        <v>0</v>
      </c>
      <c r="BK53">
        <f>L53</f>
        <v>0</v>
      </c>
      <c r="BL53">
        <f>BH53*BI53*BJ53</f>
        <v>0</v>
      </c>
      <c r="BM53">
        <f>(BK53-BC53)/BJ53</f>
        <v>0</v>
      </c>
      <c r="BN53">
        <f>(BA53-BG53)/BG53</f>
        <v>0</v>
      </c>
      <c r="BO53">
        <f>AZ53/(BB53+AZ53/BG53)</f>
        <v>0</v>
      </c>
      <c r="BP53" t="s">
        <v>437</v>
      </c>
      <c r="BQ53">
        <v>0</v>
      </c>
      <c r="BR53">
        <f>IF(BQ53&lt;&gt;0, BQ53, BO53)</f>
        <v>0</v>
      </c>
      <c r="BS53">
        <f>1-BR53/BG53</f>
        <v>0</v>
      </c>
      <c r="BT53">
        <f>(BG53-BF53)/(BG53-BR53)</f>
        <v>0</v>
      </c>
      <c r="BU53">
        <f>(BA53-BG53)/(BA53-BR53)</f>
        <v>0</v>
      </c>
      <c r="BV53">
        <f>(BG53-BF53)/(BG53-AZ53)</f>
        <v>0</v>
      </c>
      <c r="BW53">
        <f>(BA53-BG53)/(BA53-AZ53)</f>
        <v>0</v>
      </c>
      <c r="BX53">
        <f>(BT53*BR53/BF53)</f>
        <v>0</v>
      </c>
      <c r="BY53">
        <f>(1-BX53)</f>
        <v>0</v>
      </c>
      <c r="DH53">
        <f>$B$11*EG53+$C$11*EH53+$F$11*ES53*(1-EV53)</f>
        <v>0</v>
      </c>
      <c r="DI53">
        <f>DH53*DJ53</f>
        <v>0</v>
      </c>
      <c r="DJ53">
        <f>($B$11*$D$9+$C$11*$D$9+$F$11*((FF53+EX53)/MAX(FF53+EX53+FG53, 0.1)*$I$9+FG53/MAX(FF53+EX53+FG53, 0.1)*$J$9))/($B$11+$C$11+$F$11)</f>
        <v>0</v>
      </c>
      <c r="DK53">
        <f>($B$11*$K$9+$C$11*$K$9+$F$11*((FF53+EX53)/MAX(FF53+EX53+FG53, 0.1)*$P$9+FG53/MAX(FF53+EX53+FG53, 0.1)*$Q$9))/($B$11+$C$11+$F$11)</f>
        <v>0</v>
      </c>
      <c r="DL53">
        <v>6</v>
      </c>
      <c r="DM53">
        <v>0.5</v>
      </c>
      <c r="DN53" t="s">
        <v>438</v>
      </c>
      <c r="DO53">
        <v>2</v>
      </c>
      <c r="DP53" t="b">
        <v>1</v>
      </c>
      <c r="DQ53">
        <v>1765303692.5</v>
      </c>
      <c r="DR53">
        <v>1198.849875</v>
      </c>
      <c r="DS53">
        <v>1200.000625</v>
      </c>
      <c r="DT53">
        <v>17.968475</v>
      </c>
      <c r="DU53">
        <v>17.90333125</v>
      </c>
      <c r="DV53">
        <v>1188.746875</v>
      </c>
      <c r="DW53">
        <v>17.853475</v>
      </c>
      <c r="DX53">
        <v>500.0025625</v>
      </c>
      <c r="DY53">
        <v>89.972875</v>
      </c>
      <c r="DZ53">
        <v>0.10000248125</v>
      </c>
      <c r="EA53">
        <v>25.3193625</v>
      </c>
      <c r="EB53">
        <v>24.98575625</v>
      </c>
      <c r="EC53">
        <v>999.9</v>
      </c>
      <c r="ED53">
        <v>0</v>
      </c>
      <c r="EE53">
        <v>0</v>
      </c>
      <c r="EF53">
        <v>9992.14</v>
      </c>
      <c r="EG53">
        <v>0</v>
      </c>
      <c r="EH53">
        <v>12.46614375</v>
      </c>
      <c r="EI53">
        <v>-1.880493125</v>
      </c>
      <c r="EJ53">
        <v>1220.043125</v>
      </c>
      <c r="EK53">
        <v>1221.875625</v>
      </c>
      <c r="EL53">
        <v>0.066231725</v>
      </c>
      <c r="EM53">
        <v>1200.000625</v>
      </c>
      <c r="EN53">
        <v>17.90333125</v>
      </c>
      <c r="EO53">
        <v>1.6167725</v>
      </c>
      <c r="EP53">
        <v>1.610815</v>
      </c>
      <c r="EQ53">
        <v>14.1196125</v>
      </c>
      <c r="ER53">
        <v>14.06265</v>
      </c>
      <c r="ES53">
        <v>799.9915</v>
      </c>
      <c r="ET53">
        <v>0.9499940625</v>
      </c>
      <c r="EU53">
        <v>0.05000618125</v>
      </c>
      <c r="EV53">
        <v>0</v>
      </c>
      <c r="EW53">
        <v>926.677125</v>
      </c>
      <c r="EX53">
        <v>5.00016</v>
      </c>
      <c r="EY53">
        <v>7208.423125</v>
      </c>
      <c r="EZ53">
        <v>7194.584375</v>
      </c>
      <c r="FA53">
        <v>39.875</v>
      </c>
      <c r="FB53">
        <v>42.625</v>
      </c>
      <c r="FC53">
        <v>41.417625</v>
      </c>
      <c r="FD53">
        <v>42.5</v>
      </c>
      <c r="FE53">
        <v>42.5</v>
      </c>
      <c r="FF53">
        <v>755.238125</v>
      </c>
      <c r="FG53">
        <v>39.75</v>
      </c>
      <c r="FH53">
        <v>0</v>
      </c>
      <c r="FI53">
        <v>1765303701.1</v>
      </c>
      <c r="FJ53">
        <v>0</v>
      </c>
      <c r="FK53">
        <v>926.61272</v>
      </c>
      <c r="FL53">
        <v>-0.600769243358906</v>
      </c>
      <c r="FM53">
        <v>-5.62769229446855</v>
      </c>
      <c r="FN53">
        <v>7208.4012</v>
      </c>
      <c r="FO53">
        <v>15</v>
      </c>
      <c r="FP53">
        <v>1765303736</v>
      </c>
      <c r="FQ53" t="s">
        <v>554</v>
      </c>
      <c r="FR53">
        <v>1765303736</v>
      </c>
      <c r="FS53">
        <v>1765303719</v>
      </c>
      <c r="FT53">
        <v>37</v>
      </c>
      <c r="FU53">
        <v>0.728</v>
      </c>
      <c r="FV53">
        <v>0</v>
      </c>
      <c r="FW53">
        <v>10.103</v>
      </c>
      <c r="FX53">
        <v>0.115</v>
      </c>
      <c r="FY53">
        <v>1200</v>
      </c>
      <c r="FZ53">
        <v>18</v>
      </c>
      <c r="GA53">
        <v>0.75</v>
      </c>
      <c r="GB53">
        <v>0.08</v>
      </c>
      <c r="GC53">
        <v>-1.89632714285714</v>
      </c>
      <c r="GD53">
        <v>0.449877662337662</v>
      </c>
      <c r="GE53">
        <v>0.0947476904677871</v>
      </c>
      <c r="GF53">
        <v>1</v>
      </c>
      <c r="GG53">
        <v>926.660117647059</v>
      </c>
      <c r="GH53">
        <v>-0.744048898827158</v>
      </c>
      <c r="GI53">
        <v>0.182855739459521</v>
      </c>
      <c r="GJ53">
        <v>-1</v>
      </c>
      <c r="GK53">
        <v>0.0643143333333333</v>
      </c>
      <c r="GL53">
        <v>0.0396863766233767</v>
      </c>
      <c r="GM53">
        <v>0.00471278156651152</v>
      </c>
      <c r="GN53">
        <v>1</v>
      </c>
      <c r="GO53">
        <v>2</v>
      </c>
      <c r="GP53">
        <v>2</v>
      </c>
      <c r="GQ53" t="s">
        <v>440</v>
      </c>
      <c r="GR53">
        <v>3.12483</v>
      </c>
      <c r="GS53">
        <v>2.72549</v>
      </c>
      <c r="GT53">
        <v>0.183754</v>
      </c>
      <c r="GU53">
        <v>0.184488</v>
      </c>
      <c r="GV53">
        <v>0.082776</v>
      </c>
      <c r="GW53">
        <v>0.0825715</v>
      </c>
      <c r="GX53">
        <v>21551.5</v>
      </c>
      <c r="GY53">
        <v>19928.2</v>
      </c>
      <c r="GZ53">
        <v>23604.8</v>
      </c>
      <c r="HA53">
        <v>23786</v>
      </c>
      <c r="HB53">
        <v>36880.5</v>
      </c>
      <c r="HC53">
        <v>36090.5</v>
      </c>
      <c r="HD53">
        <v>42520.8</v>
      </c>
      <c r="HE53">
        <v>42370.2</v>
      </c>
      <c r="HF53">
        <v>1.92895</v>
      </c>
      <c r="HG53">
        <v>1.82617</v>
      </c>
      <c r="HH53">
        <v>0.106376</v>
      </c>
      <c r="HI53">
        <v>0</v>
      </c>
      <c r="HJ53">
        <v>23.2454</v>
      </c>
      <c r="HK53">
        <v>999.9</v>
      </c>
      <c r="HL53">
        <v>44.347</v>
      </c>
      <c r="HM53">
        <v>30.665</v>
      </c>
      <c r="HN53">
        <v>21.8138</v>
      </c>
      <c r="HO53">
        <v>54.4031</v>
      </c>
      <c r="HP53">
        <v>46.6466</v>
      </c>
      <c r="HQ53">
        <v>1</v>
      </c>
      <c r="HR53">
        <v>-0.0702998</v>
      </c>
      <c r="HS53">
        <v>0.713652</v>
      </c>
      <c r="HT53">
        <v>20.2302</v>
      </c>
      <c r="HU53">
        <v>5.23436</v>
      </c>
      <c r="HV53">
        <v>11.992</v>
      </c>
      <c r="HW53">
        <v>4.9559</v>
      </c>
      <c r="HX53">
        <v>3.30398</v>
      </c>
      <c r="HY53">
        <v>999.9</v>
      </c>
      <c r="HZ53">
        <v>9999</v>
      </c>
      <c r="IA53">
        <v>9999</v>
      </c>
      <c r="IB53">
        <v>9999</v>
      </c>
      <c r="IC53">
        <v>1.86874</v>
      </c>
      <c r="ID53">
        <v>1.86447</v>
      </c>
      <c r="IE53">
        <v>1.87208</v>
      </c>
      <c r="IF53">
        <v>1.86308</v>
      </c>
      <c r="IG53">
        <v>1.86238</v>
      </c>
      <c r="IH53">
        <v>1.86877</v>
      </c>
      <c r="II53">
        <v>1.85898</v>
      </c>
      <c r="IJ53">
        <v>1.86527</v>
      </c>
      <c r="IK53">
        <v>5</v>
      </c>
      <c r="IL53">
        <v>0</v>
      </c>
      <c r="IM53">
        <v>0</v>
      </c>
      <c r="IN53">
        <v>0</v>
      </c>
      <c r="IO53" t="s">
        <v>441</v>
      </c>
      <c r="IP53" t="s">
        <v>442</v>
      </c>
      <c r="IQ53" t="s">
        <v>443</v>
      </c>
      <c r="IR53" t="s">
        <v>443</v>
      </c>
      <c r="IS53" t="s">
        <v>443</v>
      </c>
      <c r="IT53" t="s">
        <v>443</v>
      </c>
      <c r="IU53">
        <v>0</v>
      </c>
      <c r="IV53">
        <v>100</v>
      </c>
      <c r="IW53">
        <v>100</v>
      </c>
      <c r="IX53">
        <v>10.103</v>
      </c>
      <c r="IY53">
        <v>0.115</v>
      </c>
      <c r="IZ53">
        <v>5.14176656408815</v>
      </c>
      <c r="JA53">
        <v>0.0062698613543794</v>
      </c>
      <c r="JB53">
        <v>-3.23243345529816e-06</v>
      </c>
      <c r="JC53">
        <v>8.00506428382295e-10</v>
      </c>
      <c r="JD53">
        <v>-0.045305044124816</v>
      </c>
      <c r="JE53">
        <v>-0.0018464610107002</v>
      </c>
      <c r="JF53">
        <v>0.000796540623429801</v>
      </c>
      <c r="JG53">
        <v>-1.04619914107352e-05</v>
      </c>
      <c r="JH53">
        <v>-0</v>
      </c>
      <c r="JI53">
        <v>2101</v>
      </c>
      <c r="JJ53">
        <v>1</v>
      </c>
      <c r="JK53">
        <v>23</v>
      </c>
      <c r="JL53">
        <v>1.2</v>
      </c>
      <c r="JM53">
        <v>1.6</v>
      </c>
      <c r="JN53">
        <v>2.43774</v>
      </c>
      <c r="JO53">
        <v>2.3584</v>
      </c>
      <c r="JP53">
        <v>1.4978</v>
      </c>
      <c r="JQ53">
        <v>2.33032</v>
      </c>
      <c r="JR53">
        <v>1.54419</v>
      </c>
      <c r="JS53">
        <v>2.26807</v>
      </c>
      <c r="JT53">
        <v>37.4819</v>
      </c>
      <c r="JU53">
        <v>24.2976</v>
      </c>
      <c r="JV53">
        <v>18</v>
      </c>
      <c r="JW53">
        <v>550.226</v>
      </c>
      <c r="JX53">
        <v>428.177</v>
      </c>
      <c r="JY53">
        <v>22.5072</v>
      </c>
      <c r="JZ53">
        <v>26.5748</v>
      </c>
      <c r="KA53">
        <v>29.9997</v>
      </c>
      <c r="KB53">
        <v>26.621</v>
      </c>
      <c r="KC53">
        <v>26.6492</v>
      </c>
      <c r="KD53">
        <v>48.7731</v>
      </c>
      <c r="KE53">
        <v>28.8982</v>
      </c>
      <c r="KF53">
        <v>81.4891</v>
      </c>
      <c r="KG53">
        <v>22.5101</v>
      </c>
      <c r="KH53">
        <v>1200</v>
      </c>
      <c r="KI53">
        <v>17.9504</v>
      </c>
      <c r="KJ53">
        <v>95.3279</v>
      </c>
      <c r="KK53">
        <v>98.7859</v>
      </c>
    </row>
    <row r="54" spans="1:297">
      <c r="A54">
        <v>38</v>
      </c>
      <c r="B54">
        <v>1765303820</v>
      </c>
      <c r="C54">
        <v>5871</v>
      </c>
      <c r="D54" t="s">
        <v>555</v>
      </c>
      <c r="E54" t="s">
        <v>556</v>
      </c>
      <c r="F54">
        <v>5</v>
      </c>
      <c r="G54" t="s">
        <v>523</v>
      </c>
      <c r="H54" t="s">
        <v>436</v>
      </c>
      <c r="I54">
        <v>1765303812</v>
      </c>
      <c r="J54">
        <f>(K54)/1000</f>
        <v>0</v>
      </c>
      <c r="K54">
        <f>IF(DP54, AN54, AH54)</f>
        <v>0</v>
      </c>
      <c r="L54">
        <f>IF(DP54, AI54, AG54)</f>
        <v>0</v>
      </c>
      <c r="M54">
        <f>DR54 - IF(AU54&gt;1, L54*DL54*100.0/(AW54), 0)</f>
        <v>0</v>
      </c>
      <c r="N54">
        <f>((T54-J54/2)*M54-L54)/(T54+J54/2)</f>
        <v>0</v>
      </c>
      <c r="O54">
        <f>N54*(DY54+DZ54)/1000.0</f>
        <v>0</v>
      </c>
      <c r="P54">
        <f>(DR54 - IF(AU54&gt;1, L54*DL54*100.0/(AW54), 0))*(DY54+DZ54)/1000.0</f>
        <v>0</v>
      </c>
      <c r="Q54">
        <f>2.0/((1/S54-1/R54)+SIGN(S54)*SQRT((1/S54-1/R54)*(1/S54-1/R54) + 4*DM54/((DM54+1)*(DM54+1))*(2*1/S54*1/R54-1/R54*1/R54)))</f>
        <v>0</v>
      </c>
      <c r="R54">
        <f>IF(LEFT(DN54,1)&lt;&gt;"0",IF(LEFT(DN54,1)="1",3.0,DO54),$D$5+$E$5*(EF54*DY54/($K$5*1000))+$F$5*(EF54*DY54/($K$5*1000))*MAX(MIN(DL54,$J$5),$I$5)*MAX(MIN(DL54,$J$5),$I$5)+$G$5*MAX(MIN(DL54,$J$5),$I$5)*(EF54*DY54/($K$5*1000))+$H$5*(EF54*DY54/($K$5*1000))*(EF54*DY54/($K$5*1000)))</f>
        <v>0</v>
      </c>
      <c r="S54">
        <f>J54*(1000-(1000*0.61365*exp(17.502*W54/(240.97+W54))/(DY54+DZ54)+DT54)/2)/(1000*0.61365*exp(17.502*W54/(240.97+W54))/(DY54+DZ54)-DT54)</f>
        <v>0</v>
      </c>
      <c r="T54">
        <f>1/((DM54+1)/(Q54/1.6)+1/(R54/1.37)) + DM54/((DM54+1)/(Q54/1.6) + DM54/(R54/1.37))</f>
        <v>0</v>
      </c>
      <c r="U54">
        <f>(DH54*DK54)</f>
        <v>0</v>
      </c>
      <c r="V54">
        <f>(EA54+(U54+2*0.95*5.67E-8*(((EA54+$B$7)+273)^4-(EA54+273)^4)-44100*J54)/(1.84*29.3*R54+8*0.95*5.67E-8*(EA54+273)^3))</f>
        <v>0</v>
      </c>
      <c r="W54">
        <f>($C$7*EB54+$D$7*EC54+$E$7*V54)</f>
        <v>0</v>
      </c>
      <c r="X54">
        <f>0.61365*exp(17.502*W54/(240.97+W54))</f>
        <v>0</v>
      </c>
      <c r="Y54">
        <f>(Z54/AA54*100)</f>
        <v>0</v>
      </c>
      <c r="Z54">
        <f>DT54*(DY54+DZ54)/1000</f>
        <v>0</v>
      </c>
      <c r="AA54">
        <f>0.61365*exp(17.502*EA54/(240.97+EA54))</f>
        <v>0</v>
      </c>
      <c r="AB54">
        <f>(X54-DT54*(DY54+DZ54)/1000)</f>
        <v>0</v>
      </c>
      <c r="AC54">
        <f>(-J54*44100)</f>
        <v>0</v>
      </c>
      <c r="AD54">
        <f>2*29.3*R54*0.92*(EA54-W54)</f>
        <v>0</v>
      </c>
      <c r="AE54">
        <f>2*0.95*5.67E-8*(((EA54+$B$7)+273)^4-(W54+273)^4)</f>
        <v>0</v>
      </c>
      <c r="AF54">
        <f>U54+AE54+AC54+AD54</f>
        <v>0</v>
      </c>
      <c r="AG54">
        <f>DX54*AU54*(DS54-DR54*(1000-AU54*DU54)/(1000-AU54*DT54))/(100*DL54)</f>
        <v>0</v>
      </c>
      <c r="AH54">
        <f>1000*DX54*AU54*(DT54-DU54)/(100*DL54*(1000-AU54*DT54))</f>
        <v>0</v>
      </c>
      <c r="AI54">
        <f>(AJ54 - AK54 - DY54*1E3/(8.314*(EA54+273.15)) * AM54/DX54 * AL54) * DX54/(100*DL54) * (1000 - DU54)/1000</f>
        <v>0</v>
      </c>
      <c r="AJ54">
        <v>1527.32367157352</v>
      </c>
      <c r="AK54">
        <v>1525.91084848485</v>
      </c>
      <c r="AL54">
        <v>-0.00248045786715848</v>
      </c>
      <c r="AM54">
        <v>64.2767590726372</v>
      </c>
      <c r="AN54">
        <f>(AP54 - AO54 + DY54*1E3/(8.314*(EA54+273.15)) * AR54/DX54 * AQ54) * DX54/(100*DL54) * 1000/(1000 - AP54)</f>
        <v>0</v>
      </c>
      <c r="AO54">
        <v>17.9113061885048</v>
      </c>
      <c r="AP54">
        <v>17.9893377622378</v>
      </c>
      <c r="AQ54">
        <v>-1.7257266423606e-05</v>
      </c>
      <c r="AR54">
        <v>103.274869164573</v>
      </c>
      <c r="AS54">
        <v>0</v>
      </c>
      <c r="AT54">
        <v>0</v>
      </c>
      <c r="AU54">
        <f>IF(AS54*$H$13&gt;=AW54,1.0,(AW54/(AW54-AS54*$H$13)))</f>
        <v>0</v>
      </c>
      <c r="AV54">
        <f>(AU54-1)*100</f>
        <v>0</v>
      </c>
      <c r="AW54">
        <f>MAX(0,($B$13+$C$13*EF54)/(1+$D$13*EF54)*DY54/(EA54+273)*$E$13)</f>
        <v>0</v>
      </c>
      <c r="AX54" t="s">
        <v>437</v>
      </c>
      <c r="AY54" t="s">
        <v>437</v>
      </c>
      <c r="AZ54">
        <v>0</v>
      </c>
      <c r="BA54">
        <v>0</v>
      </c>
      <c r="BB54">
        <f>1-AZ54/BA54</f>
        <v>0</v>
      </c>
      <c r="BC54">
        <v>0</v>
      </c>
      <c r="BD54" t="s">
        <v>437</v>
      </c>
      <c r="BE54" t="s">
        <v>437</v>
      </c>
      <c r="BF54">
        <v>0</v>
      </c>
      <c r="BG54">
        <v>0</v>
      </c>
      <c r="BH54">
        <f>1-BF54/BG54</f>
        <v>0</v>
      </c>
      <c r="BI54">
        <v>0.5</v>
      </c>
      <c r="BJ54">
        <f>DI54</f>
        <v>0</v>
      </c>
      <c r="BK54">
        <f>L54</f>
        <v>0</v>
      </c>
      <c r="BL54">
        <f>BH54*BI54*BJ54</f>
        <v>0</v>
      </c>
      <c r="BM54">
        <f>(BK54-BC54)/BJ54</f>
        <v>0</v>
      </c>
      <c r="BN54">
        <f>(BA54-BG54)/BG54</f>
        <v>0</v>
      </c>
      <c r="BO54">
        <f>AZ54/(BB54+AZ54/BG54)</f>
        <v>0</v>
      </c>
      <c r="BP54" t="s">
        <v>437</v>
      </c>
      <c r="BQ54">
        <v>0</v>
      </c>
      <c r="BR54">
        <f>IF(BQ54&lt;&gt;0, BQ54, BO54)</f>
        <v>0</v>
      </c>
      <c r="BS54">
        <f>1-BR54/BG54</f>
        <v>0</v>
      </c>
      <c r="BT54">
        <f>(BG54-BF54)/(BG54-BR54)</f>
        <v>0</v>
      </c>
      <c r="BU54">
        <f>(BA54-BG54)/(BA54-BR54)</f>
        <v>0</v>
      </c>
      <c r="BV54">
        <f>(BG54-BF54)/(BG54-AZ54)</f>
        <v>0</v>
      </c>
      <c r="BW54">
        <f>(BA54-BG54)/(BA54-AZ54)</f>
        <v>0</v>
      </c>
      <c r="BX54">
        <f>(BT54*BR54/BF54)</f>
        <v>0</v>
      </c>
      <c r="BY54">
        <f>(1-BX54)</f>
        <v>0</v>
      </c>
      <c r="DH54">
        <f>$B$11*EG54+$C$11*EH54+$F$11*ES54*(1-EV54)</f>
        <v>0</v>
      </c>
      <c r="DI54">
        <f>DH54*DJ54</f>
        <v>0</v>
      </c>
      <c r="DJ54">
        <f>($B$11*$D$9+$C$11*$D$9+$F$11*((FF54+EX54)/MAX(FF54+EX54+FG54, 0.1)*$I$9+FG54/MAX(FF54+EX54+FG54, 0.1)*$J$9))/($B$11+$C$11+$F$11)</f>
        <v>0</v>
      </c>
      <c r="DK54">
        <f>($B$11*$K$9+$C$11*$K$9+$F$11*((FF54+EX54)/MAX(FF54+EX54+FG54, 0.1)*$P$9+FG54/MAX(FF54+EX54+FG54, 0.1)*$Q$9))/($B$11+$C$11+$F$11)</f>
        <v>0</v>
      </c>
      <c r="DL54">
        <v>6</v>
      </c>
      <c r="DM54">
        <v>0.5</v>
      </c>
      <c r="DN54" t="s">
        <v>438</v>
      </c>
      <c r="DO54">
        <v>2</v>
      </c>
      <c r="DP54" t="b">
        <v>1</v>
      </c>
      <c r="DQ54">
        <v>1765303812</v>
      </c>
      <c r="DR54">
        <v>1498.181</v>
      </c>
      <c r="DS54">
        <v>1499.97466666667</v>
      </c>
      <c r="DT54">
        <v>17.9867733333333</v>
      </c>
      <c r="DU54">
        <v>17.9134333333333</v>
      </c>
      <c r="DV54">
        <v>1487.8</v>
      </c>
      <c r="DW54">
        <v>17.8747733333333</v>
      </c>
      <c r="DX54">
        <v>500.0036</v>
      </c>
      <c r="DY54">
        <v>89.9624533333333</v>
      </c>
      <c r="DZ54">
        <v>0.09999226</v>
      </c>
      <c r="EA54">
        <v>25.3118866666667</v>
      </c>
      <c r="EB54">
        <v>24.9800933333333</v>
      </c>
      <c r="EC54">
        <v>999.9</v>
      </c>
      <c r="ED54">
        <v>0</v>
      </c>
      <c r="EE54">
        <v>0</v>
      </c>
      <c r="EF54">
        <v>9990.496</v>
      </c>
      <c r="EG54">
        <v>0</v>
      </c>
      <c r="EH54">
        <v>12.4081</v>
      </c>
      <c r="EI54">
        <v>-1.49432</v>
      </c>
      <c r="EJ54">
        <v>1525.93466666667</v>
      </c>
      <c r="EK54">
        <v>1527.33466666667</v>
      </c>
      <c r="EL54">
        <v>0.07791176</v>
      </c>
      <c r="EM54">
        <v>1499.97466666667</v>
      </c>
      <c r="EN54">
        <v>17.9134333333333</v>
      </c>
      <c r="EO54">
        <v>1.61854533333333</v>
      </c>
      <c r="EP54">
        <v>1.61153533333333</v>
      </c>
      <c r="EQ54">
        <v>14.1365</v>
      </c>
      <c r="ER54">
        <v>14.0695466666667</v>
      </c>
      <c r="ES54">
        <v>800.009466666667</v>
      </c>
      <c r="ET54">
        <v>0.949993</v>
      </c>
      <c r="EU54">
        <v>0.0500073</v>
      </c>
      <c r="EV54">
        <v>0</v>
      </c>
      <c r="EW54">
        <v>925.780466666667</v>
      </c>
      <c r="EX54">
        <v>5.00016</v>
      </c>
      <c r="EY54">
        <v>7199.596</v>
      </c>
      <c r="EZ54">
        <v>7194.744</v>
      </c>
      <c r="FA54">
        <v>39.812</v>
      </c>
      <c r="FB54">
        <v>42.562</v>
      </c>
      <c r="FC54">
        <v>41.312</v>
      </c>
      <c r="FD54">
        <v>42.4328666666667</v>
      </c>
      <c r="FE54">
        <v>42.437</v>
      </c>
      <c r="FF54">
        <v>755.251333333333</v>
      </c>
      <c r="FG54">
        <v>39.76</v>
      </c>
      <c r="FH54">
        <v>0</v>
      </c>
      <c r="FI54">
        <v>1765303820.5</v>
      </c>
      <c r="FJ54">
        <v>0</v>
      </c>
      <c r="FK54">
        <v>925.744230769231</v>
      </c>
      <c r="FL54">
        <v>-0.543794873516551</v>
      </c>
      <c r="FM54">
        <v>-5.79589743411228</v>
      </c>
      <c r="FN54">
        <v>7199.52038461538</v>
      </c>
      <c r="FO54">
        <v>15</v>
      </c>
      <c r="FP54">
        <v>1765303861</v>
      </c>
      <c r="FQ54" t="s">
        <v>557</v>
      </c>
      <c r="FR54">
        <v>1765303861</v>
      </c>
      <c r="FS54">
        <v>1765303838</v>
      </c>
      <c r="FT54">
        <v>38</v>
      </c>
      <c r="FU54">
        <v>-0.302</v>
      </c>
      <c r="FV54">
        <v>-0.004</v>
      </c>
      <c r="FW54">
        <v>10.381</v>
      </c>
      <c r="FX54">
        <v>0.112</v>
      </c>
      <c r="FY54">
        <v>1500</v>
      </c>
      <c r="FZ54">
        <v>18</v>
      </c>
      <c r="GA54">
        <v>1.53</v>
      </c>
      <c r="GB54">
        <v>0.12</v>
      </c>
      <c r="GC54">
        <v>-1.514563</v>
      </c>
      <c r="GD54">
        <v>0.484454436090227</v>
      </c>
      <c r="GE54">
        <v>0.0631050972663857</v>
      </c>
      <c r="GF54">
        <v>1</v>
      </c>
      <c r="GG54">
        <v>925.770735294118</v>
      </c>
      <c r="GH54">
        <v>0.176271964946684</v>
      </c>
      <c r="GI54">
        <v>0.17408319661174</v>
      </c>
      <c r="GJ54">
        <v>-1</v>
      </c>
      <c r="GK54">
        <v>0.077211185</v>
      </c>
      <c r="GL54">
        <v>0.00931212180451127</v>
      </c>
      <c r="GM54">
        <v>0.0011830139383266</v>
      </c>
      <c r="GN54">
        <v>1</v>
      </c>
      <c r="GO54">
        <v>2</v>
      </c>
      <c r="GP54">
        <v>2</v>
      </c>
      <c r="GQ54" t="s">
        <v>440</v>
      </c>
      <c r="GR54">
        <v>3.12496</v>
      </c>
      <c r="GS54">
        <v>2.7256</v>
      </c>
      <c r="GT54">
        <v>0.211021</v>
      </c>
      <c r="GU54">
        <v>0.211596</v>
      </c>
      <c r="GV54">
        <v>0.0828175</v>
      </c>
      <c r="GW54">
        <v>0.0826016</v>
      </c>
      <c r="GX54">
        <v>20837.8</v>
      </c>
      <c r="GY54">
        <v>19271.7</v>
      </c>
      <c r="GZ54">
        <v>23610.8</v>
      </c>
      <c r="HA54">
        <v>23792.1</v>
      </c>
      <c r="HB54">
        <v>36888.3</v>
      </c>
      <c r="HC54">
        <v>36099.8</v>
      </c>
      <c r="HD54">
        <v>42529</v>
      </c>
      <c r="HE54">
        <v>42379.9</v>
      </c>
      <c r="HF54">
        <v>1.93058</v>
      </c>
      <c r="HG54">
        <v>1.82843</v>
      </c>
      <c r="HH54">
        <v>0.110567</v>
      </c>
      <c r="HI54">
        <v>0</v>
      </c>
      <c r="HJ54">
        <v>23.1656</v>
      </c>
      <c r="HK54">
        <v>999.9</v>
      </c>
      <c r="HL54">
        <v>44.25</v>
      </c>
      <c r="HM54">
        <v>30.645</v>
      </c>
      <c r="HN54">
        <v>21.7441</v>
      </c>
      <c r="HO54">
        <v>54.7731</v>
      </c>
      <c r="HP54">
        <v>46.5745</v>
      </c>
      <c r="HQ54">
        <v>1</v>
      </c>
      <c r="HR54">
        <v>-0.0803074</v>
      </c>
      <c r="HS54">
        <v>0.71546</v>
      </c>
      <c r="HT54">
        <v>20.2303</v>
      </c>
      <c r="HU54">
        <v>5.23406</v>
      </c>
      <c r="HV54">
        <v>11.992</v>
      </c>
      <c r="HW54">
        <v>4.95635</v>
      </c>
      <c r="HX54">
        <v>3.304</v>
      </c>
      <c r="HY54">
        <v>999.9</v>
      </c>
      <c r="HZ54">
        <v>9999</v>
      </c>
      <c r="IA54">
        <v>9999</v>
      </c>
      <c r="IB54">
        <v>9999</v>
      </c>
      <c r="IC54">
        <v>1.86874</v>
      </c>
      <c r="ID54">
        <v>1.86447</v>
      </c>
      <c r="IE54">
        <v>1.87206</v>
      </c>
      <c r="IF54">
        <v>1.86307</v>
      </c>
      <c r="IG54">
        <v>1.86239</v>
      </c>
      <c r="IH54">
        <v>1.86879</v>
      </c>
      <c r="II54">
        <v>1.859</v>
      </c>
      <c r="IJ54">
        <v>1.86531</v>
      </c>
      <c r="IK54">
        <v>5</v>
      </c>
      <c r="IL54">
        <v>0</v>
      </c>
      <c r="IM54">
        <v>0</v>
      </c>
      <c r="IN54">
        <v>0</v>
      </c>
      <c r="IO54" t="s">
        <v>441</v>
      </c>
      <c r="IP54" t="s">
        <v>442</v>
      </c>
      <c r="IQ54" t="s">
        <v>443</v>
      </c>
      <c r="IR54" t="s">
        <v>443</v>
      </c>
      <c r="IS54" t="s">
        <v>443</v>
      </c>
      <c r="IT54" t="s">
        <v>443</v>
      </c>
      <c r="IU54">
        <v>0</v>
      </c>
      <c r="IV54">
        <v>100</v>
      </c>
      <c r="IW54">
        <v>100</v>
      </c>
      <c r="IX54">
        <v>10.381</v>
      </c>
      <c r="IY54">
        <v>0.112</v>
      </c>
      <c r="IZ54">
        <v>5.87012538203011</v>
      </c>
      <c r="JA54">
        <v>0.0062698613543794</v>
      </c>
      <c r="JB54">
        <v>-3.23243345529816e-06</v>
      </c>
      <c r="JC54">
        <v>8.00506428382295e-10</v>
      </c>
      <c r="JD54">
        <v>-0.0451895675691508</v>
      </c>
      <c r="JE54">
        <v>-0.0018464610107002</v>
      </c>
      <c r="JF54">
        <v>0.000796540623429801</v>
      </c>
      <c r="JG54">
        <v>-1.04619914107352e-05</v>
      </c>
      <c r="JH54">
        <v>-0</v>
      </c>
      <c r="JI54">
        <v>2101</v>
      </c>
      <c r="JJ54">
        <v>1</v>
      </c>
      <c r="JK54">
        <v>23</v>
      </c>
      <c r="JL54">
        <v>1.4</v>
      </c>
      <c r="JM54">
        <v>1.7</v>
      </c>
      <c r="JN54">
        <v>2.9126</v>
      </c>
      <c r="JO54">
        <v>2.33032</v>
      </c>
      <c r="JP54">
        <v>1.49902</v>
      </c>
      <c r="JQ54">
        <v>2.33154</v>
      </c>
      <c r="JR54">
        <v>1.54419</v>
      </c>
      <c r="JS54">
        <v>2.31201</v>
      </c>
      <c r="JT54">
        <v>37.3858</v>
      </c>
      <c r="JU54">
        <v>24.3064</v>
      </c>
      <c r="JV54">
        <v>18</v>
      </c>
      <c r="JW54">
        <v>550.469</v>
      </c>
      <c r="JX54">
        <v>428.805</v>
      </c>
      <c r="JY54">
        <v>22.3748</v>
      </c>
      <c r="JZ54">
        <v>26.464</v>
      </c>
      <c r="KA54">
        <v>29.9993</v>
      </c>
      <c r="KB54">
        <v>26.5294</v>
      </c>
      <c r="KC54">
        <v>26.5588</v>
      </c>
      <c r="KD54">
        <v>58.2916</v>
      </c>
      <c r="KE54">
        <v>28.6215</v>
      </c>
      <c r="KF54">
        <v>81.4891</v>
      </c>
      <c r="KG54">
        <v>22.3928</v>
      </c>
      <c r="KH54">
        <v>1500</v>
      </c>
      <c r="KI54">
        <v>17.956</v>
      </c>
      <c r="KJ54">
        <v>95.3485</v>
      </c>
      <c r="KK54">
        <v>98.8095</v>
      </c>
    </row>
    <row r="55" spans="1:297">
      <c r="A55">
        <v>39</v>
      </c>
      <c r="B55">
        <v>1765303952</v>
      </c>
      <c r="C55">
        <v>6003</v>
      </c>
      <c r="D55" t="s">
        <v>558</v>
      </c>
      <c r="E55" t="s">
        <v>559</v>
      </c>
      <c r="F55">
        <v>5</v>
      </c>
      <c r="G55" t="s">
        <v>523</v>
      </c>
      <c r="H55" t="s">
        <v>436</v>
      </c>
      <c r="I55">
        <v>1765303943.5</v>
      </c>
      <c r="J55">
        <f>(K55)/1000</f>
        <v>0</v>
      </c>
      <c r="K55">
        <f>IF(DP55, AN55, AH55)</f>
        <v>0</v>
      </c>
      <c r="L55">
        <f>IF(DP55, AI55, AG55)</f>
        <v>0</v>
      </c>
      <c r="M55">
        <f>DR55 - IF(AU55&gt;1, L55*DL55*100.0/(AW55), 0)</f>
        <v>0</v>
      </c>
      <c r="N55">
        <f>((T55-J55/2)*M55-L55)/(T55+J55/2)</f>
        <v>0</v>
      </c>
      <c r="O55">
        <f>N55*(DY55+DZ55)/1000.0</f>
        <v>0</v>
      </c>
      <c r="P55">
        <f>(DR55 - IF(AU55&gt;1, L55*DL55*100.0/(AW55), 0))*(DY55+DZ55)/1000.0</f>
        <v>0</v>
      </c>
      <c r="Q55">
        <f>2.0/((1/S55-1/R55)+SIGN(S55)*SQRT((1/S55-1/R55)*(1/S55-1/R55) + 4*DM55/((DM55+1)*(DM55+1))*(2*1/S55*1/R55-1/R55*1/R55)))</f>
        <v>0</v>
      </c>
      <c r="R55">
        <f>IF(LEFT(DN55,1)&lt;&gt;"0",IF(LEFT(DN55,1)="1",3.0,DO55),$D$5+$E$5*(EF55*DY55/($K$5*1000))+$F$5*(EF55*DY55/($K$5*1000))*MAX(MIN(DL55,$J$5),$I$5)*MAX(MIN(DL55,$J$5),$I$5)+$G$5*MAX(MIN(DL55,$J$5),$I$5)*(EF55*DY55/($K$5*1000))+$H$5*(EF55*DY55/($K$5*1000))*(EF55*DY55/($K$5*1000)))</f>
        <v>0</v>
      </c>
      <c r="S55">
        <f>J55*(1000-(1000*0.61365*exp(17.502*W55/(240.97+W55))/(DY55+DZ55)+DT55)/2)/(1000*0.61365*exp(17.502*W55/(240.97+W55))/(DY55+DZ55)-DT55)</f>
        <v>0</v>
      </c>
      <c r="T55">
        <f>1/((DM55+1)/(Q55/1.6)+1/(R55/1.37)) + DM55/((DM55+1)/(Q55/1.6) + DM55/(R55/1.37))</f>
        <v>0</v>
      </c>
      <c r="U55">
        <f>(DH55*DK55)</f>
        <v>0</v>
      </c>
      <c r="V55">
        <f>(EA55+(U55+2*0.95*5.67E-8*(((EA55+$B$7)+273)^4-(EA55+273)^4)-44100*J55)/(1.84*29.3*R55+8*0.95*5.67E-8*(EA55+273)^3))</f>
        <v>0</v>
      </c>
      <c r="W55">
        <f>($C$7*EB55+$D$7*EC55+$E$7*V55)</f>
        <v>0</v>
      </c>
      <c r="X55">
        <f>0.61365*exp(17.502*W55/(240.97+W55))</f>
        <v>0</v>
      </c>
      <c r="Y55">
        <f>(Z55/AA55*100)</f>
        <v>0</v>
      </c>
      <c r="Z55">
        <f>DT55*(DY55+DZ55)/1000</f>
        <v>0</v>
      </c>
      <c r="AA55">
        <f>0.61365*exp(17.502*EA55/(240.97+EA55))</f>
        <v>0</v>
      </c>
      <c r="AB55">
        <f>(X55-DT55*(DY55+DZ55)/1000)</f>
        <v>0</v>
      </c>
      <c r="AC55">
        <f>(-J55*44100)</f>
        <v>0</v>
      </c>
      <c r="AD55">
        <f>2*29.3*R55*0.92*(EA55-W55)</f>
        <v>0</v>
      </c>
      <c r="AE55">
        <f>2*0.95*5.67E-8*(((EA55+$B$7)+273)^4-(W55+273)^4)</f>
        <v>0</v>
      </c>
      <c r="AF55">
        <f>U55+AE55+AC55+AD55</f>
        <v>0</v>
      </c>
      <c r="AG55">
        <f>DX55*AU55*(DS55-DR55*(1000-AU55*DU55)/(1000-AU55*DT55))/(100*DL55)</f>
        <v>0</v>
      </c>
      <c r="AH55">
        <f>1000*DX55*AU55*(DT55-DU55)/(100*DL55*(1000-AU55*DT55))</f>
        <v>0</v>
      </c>
      <c r="AI55">
        <f>(AJ55 - AK55 - DY55*1E3/(8.314*(EA55+273.15)) * AM55/DX55 * AL55) * DX55/(100*DL55) * (1000 - DU55)/1000</f>
        <v>0</v>
      </c>
      <c r="AJ55">
        <v>407.264176821805</v>
      </c>
      <c r="AK55">
        <v>407.469351515151</v>
      </c>
      <c r="AL55">
        <v>-0.0221779741329201</v>
      </c>
      <c r="AM55">
        <v>64.4219492746821</v>
      </c>
      <c r="AN55">
        <f>(AP55 - AO55 + DY55*1E3/(8.314*(EA55+273.15)) * AR55/DX55 * AQ55) * DX55/(100*DL55) * 1000/(1000 - AP55)</f>
        <v>0</v>
      </c>
      <c r="AO55">
        <v>17.9274788688565</v>
      </c>
      <c r="AP55">
        <v>18.0025804195804</v>
      </c>
      <c r="AQ55">
        <v>-1.26226593866817e-05</v>
      </c>
      <c r="AR55">
        <v>101.984700811249</v>
      </c>
      <c r="AS55">
        <v>0</v>
      </c>
      <c r="AT55">
        <v>0</v>
      </c>
      <c r="AU55">
        <f>IF(AS55*$H$13&gt;=AW55,1.0,(AW55/(AW55-AS55*$H$13)))</f>
        <v>0</v>
      </c>
      <c r="AV55">
        <f>(AU55-1)*100</f>
        <v>0</v>
      </c>
      <c r="AW55">
        <f>MAX(0,($B$13+$C$13*EF55)/(1+$D$13*EF55)*DY55/(EA55+273)*$E$13)</f>
        <v>0</v>
      </c>
      <c r="AX55" t="s">
        <v>437</v>
      </c>
      <c r="AY55" t="s">
        <v>437</v>
      </c>
      <c r="AZ55">
        <v>0</v>
      </c>
      <c r="BA55">
        <v>0</v>
      </c>
      <c r="BB55">
        <f>1-AZ55/BA55</f>
        <v>0</v>
      </c>
      <c r="BC55">
        <v>0</v>
      </c>
      <c r="BD55" t="s">
        <v>437</v>
      </c>
      <c r="BE55" t="s">
        <v>437</v>
      </c>
      <c r="BF55">
        <v>0</v>
      </c>
      <c r="BG55">
        <v>0</v>
      </c>
      <c r="BH55">
        <f>1-BF55/BG55</f>
        <v>0</v>
      </c>
      <c r="BI55">
        <v>0.5</v>
      </c>
      <c r="BJ55">
        <f>DI55</f>
        <v>0</v>
      </c>
      <c r="BK55">
        <f>L55</f>
        <v>0</v>
      </c>
      <c r="BL55">
        <f>BH55*BI55*BJ55</f>
        <v>0</v>
      </c>
      <c r="BM55">
        <f>(BK55-BC55)/BJ55</f>
        <v>0</v>
      </c>
      <c r="BN55">
        <f>(BA55-BG55)/BG55</f>
        <v>0</v>
      </c>
      <c r="BO55">
        <f>AZ55/(BB55+AZ55/BG55)</f>
        <v>0</v>
      </c>
      <c r="BP55" t="s">
        <v>437</v>
      </c>
      <c r="BQ55">
        <v>0</v>
      </c>
      <c r="BR55">
        <f>IF(BQ55&lt;&gt;0, BQ55, BO55)</f>
        <v>0</v>
      </c>
      <c r="BS55">
        <f>1-BR55/BG55</f>
        <v>0</v>
      </c>
      <c r="BT55">
        <f>(BG55-BF55)/(BG55-BR55)</f>
        <v>0</v>
      </c>
      <c r="BU55">
        <f>(BA55-BG55)/(BA55-BR55)</f>
        <v>0</v>
      </c>
      <c r="BV55">
        <f>(BG55-BF55)/(BG55-AZ55)</f>
        <v>0</v>
      </c>
      <c r="BW55">
        <f>(BA55-BG55)/(BA55-AZ55)</f>
        <v>0</v>
      </c>
      <c r="BX55">
        <f>(BT55*BR55/BF55)</f>
        <v>0</v>
      </c>
      <c r="BY55">
        <f>(1-BX55)</f>
        <v>0</v>
      </c>
      <c r="DH55">
        <f>$B$11*EG55+$C$11*EH55+$F$11*ES55*(1-EV55)</f>
        <v>0</v>
      </c>
      <c r="DI55">
        <f>DH55*DJ55</f>
        <v>0</v>
      </c>
      <c r="DJ55">
        <f>($B$11*$D$9+$C$11*$D$9+$F$11*((FF55+EX55)/MAX(FF55+EX55+FG55, 0.1)*$I$9+FG55/MAX(FF55+EX55+FG55, 0.1)*$J$9))/($B$11+$C$11+$F$11)</f>
        <v>0</v>
      </c>
      <c r="DK55">
        <f>($B$11*$K$9+$C$11*$K$9+$F$11*((FF55+EX55)/MAX(FF55+EX55+FG55, 0.1)*$P$9+FG55/MAX(FF55+EX55+FG55, 0.1)*$Q$9))/($B$11+$C$11+$F$11)</f>
        <v>0</v>
      </c>
      <c r="DL55">
        <v>6</v>
      </c>
      <c r="DM55">
        <v>0.5</v>
      </c>
      <c r="DN55" t="s">
        <v>438</v>
      </c>
      <c r="DO55">
        <v>2</v>
      </c>
      <c r="DP55" t="b">
        <v>1</v>
      </c>
      <c r="DQ55">
        <v>1765303943.5</v>
      </c>
      <c r="DR55">
        <v>400.2011875</v>
      </c>
      <c r="DS55">
        <v>399.981125</v>
      </c>
      <c r="DT55">
        <v>18.00065625</v>
      </c>
      <c r="DU55">
        <v>17.9294875</v>
      </c>
      <c r="DV55">
        <v>392.6581875</v>
      </c>
      <c r="DW55">
        <v>17.89165625</v>
      </c>
      <c r="DX55">
        <v>499.9976875</v>
      </c>
      <c r="DY55">
        <v>89.95215625</v>
      </c>
      <c r="DZ55">
        <v>0.09996573125</v>
      </c>
      <c r="EA55">
        <v>25.32710625</v>
      </c>
      <c r="EB55">
        <v>24.991525</v>
      </c>
      <c r="EC55">
        <v>999.9</v>
      </c>
      <c r="ED55">
        <v>0</v>
      </c>
      <c r="EE55">
        <v>0</v>
      </c>
      <c r="EF55">
        <v>10009.335625</v>
      </c>
      <c r="EG55">
        <v>0</v>
      </c>
      <c r="EH55">
        <v>12.4638</v>
      </c>
      <c r="EI55">
        <v>0.2566986875</v>
      </c>
      <c r="EJ55">
        <v>407.5761875</v>
      </c>
      <c r="EK55">
        <v>407.2835</v>
      </c>
      <c r="EL55">
        <v>0.0753496875</v>
      </c>
      <c r="EM55">
        <v>399.981125</v>
      </c>
      <c r="EN55">
        <v>17.9294875</v>
      </c>
      <c r="EO55">
        <v>1.619574375</v>
      </c>
      <c r="EP55">
        <v>1.6127975</v>
      </c>
      <c r="EQ55">
        <v>14.14630625</v>
      </c>
      <c r="ER55">
        <v>14.0816</v>
      </c>
      <c r="ES55">
        <v>800.0083125</v>
      </c>
      <c r="ET55">
        <v>0.949991875</v>
      </c>
      <c r="EU55">
        <v>0.05000840625</v>
      </c>
      <c r="EV55">
        <v>0</v>
      </c>
      <c r="EW55">
        <v>925.4516875</v>
      </c>
      <c r="EX55">
        <v>5.00016</v>
      </c>
      <c r="EY55">
        <v>7194.4725</v>
      </c>
      <c r="EZ55">
        <v>7194.7325</v>
      </c>
      <c r="FA55">
        <v>39.6909375</v>
      </c>
      <c r="FB55">
        <v>42.5</v>
      </c>
      <c r="FC55">
        <v>41.210625</v>
      </c>
      <c r="FD55">
        <v>42.375</v>
      </c>
      <c r="FE55">
        <v>42.375</v>
      </c>
      <c r="FF55">
        <v>755.251875</v>
      </c>
      <c r="FG55">
        <v>39.76</v>
      </c>
      <c r="FH55">
        <v>0</v>
      </c>
      <c r="FI55">
        <v>1765303952.5</v>
      </c>
      <c r="FJ55">
        <v>0</v>
      </c>
      <c r="FK55">
        <v>925.495307692308</v>
      </c>
      <c r="FL55">
        <v>-0.0237264821875089</v>
      </c>
      <c r="FM55">
        <v>-3.0294017141118</v>
      </c>
      <c r="FN55">
        <v>7194.37730769231</v>
      </c>
      <c r="FO55">
        <v>15</v>
      </c>
      <c r="FP55">
        <v>1765303981</v>
      </c>
      <c r="FQ55" t="s">
        <v>560</v>
      </c>
      <c r="FR55">
        <v>1765303981</v>
      </c>
      <c r="FS55">
        <v>1765303970</v>
      </c>
      <c r="FT55">
        <v>39</v>
      </c>
      <c r="FU55">
        <v>-0.036</v>
      </c>
      <c r="FV55">
        <v>-0.002</v>
      </c>
      <c r="FW55">
        <v>7.543</v>
      </c>
      <c r="FX55">
        <v>0.109</v>
      </c>
      <c r="FY55">
        <v>400</v>
      </c>
      <c r="FZ55">
        <v>18</v>
      </c>
      <c r="GA55">
        <v>0.62</v>
      </c>
      <c r="GB55">
        <v>0.19</v>
      </c>
      <c r="GC55">
        <v>0.29022835</v>
      </c>
      <c r="GD55">
        <v>-0.47925992481203</v>
      </c>
      <c r="GE55">
        <v>0.0623889955106467</v>
      </c>
      <c r="GF55">
        <v>1</v>
      </c>
      <c r="GG55">
        <v>925.486764705882</v>
      </c>
      <c r="GH55">
        <v>-0.0656684468008702</v>
      </c>
      <c r="GI55">
        <v>0.185261827251802</v>
      </c>
      <c r="GJ55">
        <v>-1</v>
      </c>
      <c r="GK55">
        <v>0.075024505</v>
      </c>
      <c r="GL55">
        <v>0.00772032631578943</v>
      </c>
      <c r="GM55">
        <v>0.0011425623337372</v>
      </c>
      <c r="GN55">
        <v>1</v>
      </c>
      <c r="GO55">
        <v>2</v>
      </c>
      <c r="GP55">
        <v>2</v>
      </c>
      <c r="GQ55" t="s">
        <v>440</v>
      </c>
      <c r="GR55">
        <v>3.12485</v>
      </c>
      <c r="GS55">
        <v>2.72538</v>
      </c>
      <c r="GT55">
        <v>0.0851698</v>
      </c>
      <c r="GU55">
        <v>0.0863694</v>
      </c>
      <c r="GV55">
        <v>0.0828905</v>
      </c>
      <c r="GW55">
        <v>0.082675</v>
      </c>
      <c r="GX55">
        <v>24164.9</v>
      </c>
      <c r="GY55">
        <v>22338.2</v>
      </c>
      <c r="GZ55">
        <v>23615</v>
      </c>
      <c r="HA55">
        <v>23799.2</v>
      </c>
      <c r="HB55">
        <v>36880.3</v>
      </c>
      <c r="HC55">
        <v>36096.9</v>
      </c>
      <c r="HD55">
        <v>42535.5</v>
      </c>
      <c r="HE55">
        <v>42391.1</v>
      </c>
      <c r="HF55">
        <v>1.9312</v>
      </c>
      <c r="HG55">
        <v>1.8277</v>
      </c>
      <c r="HH55">
        <v>0.11551</v>
      </c>
      <c r="HI55">
        <v>0</v>
      </c>
      <c r="HJ55">
        <v>23.09</v>
      </c>
      <c r="HK55">
        <v>999.9</v>
      </c>
      <c r="HL55">
        <v>44.128</v>
      </c>
      <c r="HM55">
        <v>30.635</v>
      </c>
      <c r="HN55">
        <v>21.6754</v>
      </c>
      <c r="HO55">
        <v>54.6831</v>
      </c>
      <c r="HP55">
        <v>46.883</v>
      </c>
      <c r="HQ55">
        <v>1</v>
      </c>
      <c r="HR55">
        <v>-0.0914278</v>
      </c>
      <c r="HS55">
        <v>0.704044</v>
      </c>
      <c r="HT55">
        <v>20.2303</v>
      </c>
      <c r="HU55">
        <v>5.23496</v>
      </c>
      <c r="HV55">
        <v>11.992</v>
      </c>
      <c r="HW55">
        <v>4.9557</v>
      </c>
      <c r="HX55">
        <v>3.304</v>
      </c>
      <c r="HY55">
        <v>999.9</v>
      </c>
      <c r="HZ55">
        <v>9999</v>
      </c>
      <c r="IA55">
        <v>9999</v>
      </c>
      <c r="IB55">
        <v>9999</v>
      </c>
      <c r="IC55">
        <v>1.86874</v>
      </c>
      <c r="ID55">
        <v>1.86447</v>
      </c>
      <c r="IE55">
        <v>1.87202</v>
      </c>
      <c r="IF55">
        <v>1.86304</v>
      </c>
      <c r="IG55">
        <v>1.86237</v>
      </c>
      <c r="IH55">
        <v>1.86878</v>
      </c>
      <c r="II55">
        <v>1.85898</v>
      </c>
      <c r="IJ55">
        <v>1.86525</v>
      </c>
      <c r="IK55">
        <v>5</v>
      </c>
      <c r="IL55">
        <v>0</v>
      </c>
      <c r="IM55">
        <v>0</v>
      </c>
      <c r="IN55">
        <v>0</v>
      </c>
      <c r="IO55" t="s">
        <v>441</v>
      </c>
      <c r="IP55" t="s">
        <v>442</v>
      </c>
      <c r="IQ55" t="s">
        <v>443</v>
      </c>
      <c r="IR55" t="s">
        <v>443</v>
      </c>
      <c r="IS55" t="s">
        <v>443</v>
      </c>
      <c r="IT55" t="s">
        <v>443</v>
      </c>
      <c r="IU55">
        <v>0</v>
      </c>
      <c r="IV55">
        <v>100</v>
      </c>
      <c r="IW55">
        <v>100</v>
      </c>
      <c r="IX55">
        <v>7.543</v>
      </c>
      <c r="IY55">
        <v>0.109</v>
      </c>
      <c r="IZ55">
        <v>5.56760251114654</v>
      </c>
      <c r="JA55">
        <v>0.0062698613543794</v>
      </c>
      <c r="JB55">
        <v>-3.23243345529816e-06</v>
      </c>
      <c r="JC55">
        <v>8.00506428382295e-10</v>
      </c>
      <c r="JD55">
        <v>-0.0488366473338445</v>
      </c>
      <c r="JE55">
        <v>-0.0018464610107002</v>
      </c>
      <c r="JF55">
        <v>0.000796540623429801</v>
      </c>
      <c r="JG55">
        <v>-1.04619914107352e-05</v>
      </c>
      <c r="JH55">
        <v>-0</v>
      </c>
      <c r="JI55">
        <v>2101</v>
      </c>
      <c r="JJ55">
        <v>1</v>
      </c>
      <c r="JK55">
        <v>23</v>
      </c>
      <c r="JL55">
        <v>1.5</v>
      </c>
      <c r="JM55">
        <v>1.9</v>
      </c>
      <c r="JN55">
        <v>1.00952</v>
      </c>
      <c r="JO55">
        <v>2.37061</v>
      </c>
      <c r="JP55">
        <v>1.49902</v>
      </c>
      <c r="JQ55">
        <v>2.33154</v>
      </c>
      <c r="JR55">
        <v>1.54419</v>
      </c>
      <c r="JS55">
        <v>2.2876</v>
      </c>
      <c r="JT55">
        <v>37.3138</v>
      </c>
      <c r="JU55">
        <v>24.3152</v>
      </c>
      <c r="JV55">
        <v>18</v>
      </c>
      <c r="JW55">
        <v>549.873</v>
      </c>
      <c r="JX55">
        <v>427.527</v>
      </c>
      <c r="JY55">
        <v>22.4346</v>
      </c>
      <c r="JZ55">
        <v>26.336</v>
      </c>
      <c r="KA55">
        <v>29.9993</v>
      </c>
      <c r="KB55">
        <v>26.4164</v>
      </c>
      <c r="KC55">
        <v>26.4464</v>
      </c>
      <c r="KD55">
        <v>20.2571</v>
      </c>
      <c r="KE55">
        <v>27.7592</v>
      </c>
      <c r="KF55">
        <v>81.4891</v>
      </c>
      <c r="KG55">
        <v>22.4431</v>
      </c>
      <c r="KH55">
        <v>400</v>
      </c>
      <c r="KI55">
        <v>17.9673</v>
      </c>
      <c r="KJ55">
        <v>95.364</v>
      </c>
      <c r="KK55">
        <v>98.8369</v>
      </c>
    </row>
    <row r="56" spans="1:297">
      <c r="A56">
        <v>40</v>
      </c>
      <c r="B56">
        <v>1765304592</v>
      </c>
      <c r="C56">
        <v>6643</v>
      </c>
      <c r="D56" t="s">
        <v>561</v>
      </c>
      <c r="E56" t="s">
        <v>562</v>
      </c>
      <c r="F56">
        <v>5</v>
      </c>
      <c r="G56" t="s">
        <v>523</v>
      </c>
      <c r="H56" t="s">
        <v>436</v>
      </c>
      <c r="I56">
        <v>1765304583.5</v>
      </c>
      <c r="J56">
        <f>(K56)/1000</f>
        <v>0</v>
      </c>
      <c r="K56">
        <f>IF(DP56, AN56, AH56)</f>
        <v>0</v>
      </c>
      <c r="L56">
        <f>IF(DP56, AI56, AG56)</f>
        <v>0</v>
      </c>
      <c r="M56">
        <f>DR56 - IF(AU56&gt;1, L56*DL56*100.0/(AW56), 0)</f>
        <v>0</v>
      </c>
      <c r="N56">
        <f>((T56-J56/2)*M56-L56)/(T56+J56/2)</f>
        <v>0</v>
      </c>
      <c r="O56">
        <f>N56*(DY56+DZ56)/1000.0</f>
        <v>0</v>
      </c>
      <c r="P56">
        <f>(DR56 - IF(AU56&gt;1, L56*DL56*100.0/(AW56), 0))*(DY56+DZ56)/1000.0</f>
        <v>0</v>
      </c>
      <c r="Q56">
        <f>2.0/((1/S56-1/R56)+SIGN(S56)*SQRT((1/S56-1/R56)*(1/S56-1/R56) + 4*DM56/((DM56+1)*(DM56+1))*(2*1/S56*1/R56-1/R56*1/R56)))</f>
        <v>0</v>
      </c>
      <c r="R56">
        <f>IF(LEFT(DN56,1)&lt;&gt;"0",IF(LEFT(DN56,1)="1",3.0,DO56),$D$5+$E$5*(EF56*DY56/($K$5*1000))+$F$5*(EF56*DY56/($K$5*1000))*MAX(MIN(DL56,$J$5),$I$5)*MAX(MIN(DL56,$J$5),$I$5)+$G$5*MAX(MIN(DL56,$J$5),$I$5)*(EF56*DY56/($K$5*1000))+$H$5*(EF56*DY56/($K$5*1000))*(EF56*DY56/($K$5*1000)))</f>
        <v>0</v>
      </c>
      <c r="S56">
        <f>J56*(1000-(1000*0.61365*exp(17.502*W56/(240.97+W56))/(DY56+DZ56)+DT56)/2)/(1000*0.61365*exp(17.502*W56/(240.97+W56))/(DY56+DZ56)-DT56)</f>
        <v>0</v>
      </c>
      <c r="T56">
        <f>1/((DM56+1)/(Q56/1.6)+1/(R56/1.37)) + DM56/((DM56+1)/(Q56/1.6) + DM56/(R56/1.37))</f>
        <v>0</v>
      </c>
      <c r="U56">
        <f>(DH56*DK56)</f>
        <v>0</v>
      </c>
      <c r="V56">
        <f>(EA56+(U56+2*0.95*5.67E-8*(((EA56+$B$7)+273)^4-(EA56+273)^4)-44100*J56)/(1.84*29.3*R56+8*0.95*5.67E-8*(EA56+273)^3))</f>
        <v>0</v>
      </c>
      <c r="W56">
        <f>($C$7*EB56+$D$7*EC56+$E$7*V56)</f>
        <v>0</v>
      </c>
      <c r="X56">
        <f>0.61365*exp(17.502*W56/(240.97+W56))</f>
        <v>0</v>
      </c>
      <c r="Y56">
        <f>(Z56/AA56*100)</f>
        <v>0</v>
      </c>
      <c r="Z56">
        <f>DT56*(DY56+DZ56)/1000</f>
        <v>0</v>
      </c>
      <c r="AA56">
        <f>0.61365*exp(17.502*EA56/(240.97+EA56))</f>
        <v>0</v>
      </c>
      <c r="AB56">
        <f>(X56-DT56*(DY56+DZ56)/1000)</f>
        <v>0</v>
      </c>
      <c r="AC56">
        <f>(-J56*44100)</f>
        <v>0</v>
      </c>
      <c r="AD56">
        <f>2*29.3*R56*0.92*(EA56-W56)</f>
        <v>0</v>
      </c>
      <c r="AE56">
        <f>2*0.95*5.67E-8*(((EA56+$B$7)+273)^4-(W56+273)^4)</f>
        <v>0</v>
      </c>
      <c r="AF56">
        <f>U56+AE56+AC56+AD56</f>
        <v>0</v>
      </c>
      <c r="AG56">
        <f>DX56*AU56*(DS56-DR56*(1000-AU56*DU56)/(1000-AU56*DT56))/(100*DL56)</f>
        <v>0</v>
      </c>
      <c r="AH56">
        <f>1000*DX56*AU56*(DT56-DU56)/(100*DL56*(1000-AU56*DT56))</f>
        <v>0</v>
      </c>
      <c r="AI56">
        <f>(AJ56 - AK56 - DY56*1E3/(8.314*(EA56+273.15)) * AM56/DX56 * AL56) * DX56/(100*DL56) * (1000 - DU56)/1000</f>
        <v>0</v>
      </c>
      <c r="AJ56">
        <v>407.301687917601</v>
      </c>
      <c r="AK56">
        <v>407.232975757576</v>
      </c>
      <c r="AL56">
        <v>0.000650770709538255</v>
      </c>
      <c r="AM56">
        <v>64.3635768709721</v>
      </c>
      <c r="AN56">
        <f>(AP56 - AO56 + DY56*1E3/(8.314*(EA56+273.15)) * AR56/DX56 * AQ56) * DX56/(100*DL56) * 1000/(1000 - AP56)</f>
        <v>0</v>
      </c>
      <c r="AO56">
        <v>17.9593151541637</v>
      </c>
      <c r="AP56">
        <v>18.0278811188811</v>
      </c>
      <c r="AQ56">
        <v>1.63866196460016e-06</v>
      </c>
      <c r="AR56">
        <v>102.836135344744</v>
      </c>
      <c r="AS56">
        <v>0</v>
      </c>
      <c r="AT56">
        <v>0</v>
      </c>
      <c r="AU56">
        <f>IF(AS56*$H$13&gt;=AW56,1.0,(AW56/(AW56-AS56*$H$13)))</f>
        <v>0</v>
      </c>
      <c r="AV56">
        <f>(AU56-1)*100</f>
        <v>0</v>
      </c>
      <c r="AW56">
        <f>MAX(0,($B$13+$C$13*EF56)/(1+$D$13*EF56)*DY56/(EA56+273)*$E$13)</f>
        <v>0</v>
      </c>
      <c r="AX56" t="s">
        <v>437</v>
      </c>
      <c r="AY56" t="s">
        <v>437</v>
      </c>
      <c r="AZ56">
        <v>0</v>
      </c>
      <c r="BA56">
        <v>0</v>
      </c>
      <c r="BB56">
        <f>1-AZ56/BA56</f>
        <v>0</v>
      </c>
      <c r="BC56">
        <v>0</v>
      </c>
      <c r="BD56" t="s">
        <v>437</v>
      </c>
      <c r="BE56" t="s">
        <v>437</v>
      </c>
      <c r="BF56">
        <v>0</v>
      </c>
      <c r="BG56">
        <v>0</v>
      </c>
      <c r="BH56">
        <f>1-BF56/BG56</f>
        <v>0</v>
      </c>
      <c r="BI56">
        <v>0.5</v>
      </c>
      <c r="BJ56">
        <f>DI56</f>
        <v>0</v>
      </c>
      <c r="BK56">
        <f>L56</f>
        <v>0</v>
      </c>
      <c r="BL56">
        <f>BH56*BI56*BJ56</f>
        <v>0</v>
      </c>
      <c r="BM56">
        <f>(BK56-BC56)/BJ56</f>
        <v>0</v>
      </c>
      <c r="BN56">
        <f>(BA56-BG56)/BG56</f>
        <v>0</v>
      </c>
      <c r="BO56">
        <f>AZ56/(BB56+AZ56/BG56)</f>
        <v>0</v>
      </c>
      <c r="BP56" t="s">
        <v>437</v>
      </c>
      <c r="BQ56">
        <v>0</v>
      </c>
      <c r="BR56">
        <f>IF(BQ56&lt;&gt;0, BQ56, BO56)</f>
        <v>0</v>
      </c>
      <c r="BS56">
        <f>1-BR56/BG56</f>
        <v>0</v>
      </c>
      <c r="BT56">
        <f>(BG56-BF56)/(BG56-BR56)</f>
        <v>0</v>
      </c>
      <c r="BU56">
        <f>(BA56-BG56)/(BA56-BR56)</f>
        <v>0</v>
      </c>
      <c r="BV56">
        <f>(BG56-BF56)/(BG56-AZ56)</f>
        <v>0</v>
      </c>
      <c r="BW56">
        <f>(BA56-BG56)/(BA56-AZ56)</f>
        <v>0</v>
      </c>
      <c r="BX56">
        <f>(BT56*BR56/BF56)</f>
        <v>0</v>
      </c>
      <c r="BY56">
        <f>(1-BX56)</f>
        <v>0</v>
      </c>
      <c r="DH56">
        <f>$B$11*EG56+$C$11*EH56+$F$11*ES56*(1-EV56)</f>
        <v>0</v>
      </c>
      <c r="DI56">
        <f>DH56*DJ56</f>
        <v>0</v>
      </c>
      <c r="DJ56">
        <f>($B$11*$D$9+$C$11*$D$9+$F$11*((FF56+EX56)/MAX(FF56+EX56+FG56, 0.1)*$I$9+FG56/MAX(FF56+EX56+FG56, 0.1)*$J$9))/($B$11+$C$11+$F$11)</f>
        <v>0</v>
      </c>
      <c r="DK56">
        <f>($B$11*$K$9+$C$11*$K$9+$F$11*((FF56+EX56)/MAX(FF56+EX56+FG56, 0.1)*$P$9+FG56/MAX(FF56+EX56+FG56, 0.1)*$Q$9))/($B$11+$C$11+$F$11)</f>
        <v>0</v>
      </c>
      <c r="DL56">
        <v>6</v>
      </c>
      <c r="DM56">
        <v>0.5</v>
      </c>
      <c r="DN56" t="s">
        <v>438</v>
      </c>
      <c r="DO56">
        <v>2</v>
      </c>
      <c r="DP56" t="b">
        <v>1</v>
      </c>
      <c r="DQ56">
        <v>1765304583.5</v>
      </c>
      <c r="DR56">
        <v>399.7640625</v>
      </c>
      <c r="DS56">
        <v>399.9986875</v>
      </c>
      <c r="DT56">
        <v>18.02936875</v>
      </c>
      <c r="DU56">
        <v>17.95786875</v>
      </c>
      <c r="DV56">
        <v>392.3260625</v>
      </c>
      <c r="DW56">
        <v>17.91436875</v>
      </c>
      <c r="DX56">
        <v>500.00975</v>
      </c>
      <c r="DY56">
        <v>89.89944375</v>
      </c>
      <c r="DZ56">
        <v>0.0999873</v>
      </c>
      <c r="EA56">
        <v>25.29756875</v>
      </c>
      <c r="EB56">
        <v>25.00676875</v>
      </c>
      <c r="EC56">
        <v>999.9</v>
      </c>
      <c r="ED56">
        <v>0</v>
      </c>
      <c r="EE56">
        <v>0</v>
      </c>
      <c r="EF56">
        <v>9996.09875</v>
      </c>
      <c r="EG56">
        <v>0</v>
      </c>
      <c r="EH56">
        <v>12.4865625</v>
      </c>
      <c r="EI56">
        <v>-0.1302661125</v>
      </c>
      <c r="EJ56">
        <v>407.2086875</v>
      </c>
      <c r="EK56">
        <v>407.31325</v>
      </c>
      <c r="EL56">
        <v>0.06767929375</v>
      </c>
      <c r="EM56">
        <v>399.9986875</v>
      </c>
      <c r="EN56">
        <v>17.95786875</v>
      </c>
      <c r="EO56">
        <v>1.620485625</v>
      </c>
      <c r="EP56">
        <v>1.61440125</v>
      </c>
      <c r="EQ56">
        <v>14.155</v>
      </c>
      <c r="ER56">
        <v>14.0969625</v>
      </c>
      <c r="ES56">
        <v>800.0040625</v>
      </c>
      <c r="ET56">
        <v>0.9500015</v>
      </c>
      <c r="EU56">
        <v>0.0499984125</v>
      </c>
      <c r="EV56">
        <v>0</v>
      </c>
      <c r="EW56">
        <v>924.8836875</v>
      </c>
      <c r="EX56">
        <v>5.00016</v>
      </c>
      <c r="EY56">
        <v>7183.596875</v>
      </c>
      <c r="EZ56">
        <v>7194.71625</v>
      </c>
      <c r="FA56">
        <v>39.5</v>
      </c>
      <c r="FB56">
        <v>42.25</v>
      </c>
      <c r="FC56">
        <v>40.937</v>
      </c>
      <c r="FD56">
        <v>42.308125</v>
      </c>
      <c r="FE56">
        <v>42.17925</v>
      </c>
      <c r="FF56">
        <v>755.255</v>
      </c>
      <c r="FG56">
        <v>39.745</v>
      </c>
      <c r="FH56">
        <v>0</v>
      </c>
      <c r="FI56">
        <v>1765304592.1</v>
      </c>
      <c r="FJ56">
        <v>0</v>
      </c>
      <c r="FK56">
        <v>924.885384615385</v>
      </c>
      <c r="FL56">
        <v>-0.0624273493571007</v>
      </c>
      <c r="FM56">
        <v>-1.04136750352857</v>
      </c>
      <c r="FN56">
        <v>7183.58846153846</v>
      </c>
      <c r="FO56">
        <v>15</v>
      </c>
      <c r="FP56">
        <v>1765304630</v>
      </c>
      <c r="FQ56" t="s">
        <v>563</v>
      </c>
      <c r="FR56">
        <v>1765304630</v>
      </c>
      <c r="FS56">
        <v>1765304611</v>
      </c>
      <c r="FT56">
        <v>40</v>
      </c>
      <c r="FU56">
        <v>-0.106</v>
      </c>
      <c r="FV56">
        <v>0.005</v>
      </c>
      <c r="FW56">
        <v>7.438</v>
      </c>
      <c r="FX56">
        <v>0.115</v>
      </c>
      <c r="FY56">
        <v>400</v>
      </c>
      <c r="FZ56">
        <v>18</v>
      </c>
      <c r="GA56">
        <v>0.37</v>
      </c>
      <c r="GB56">
        <v>0.14</v>
      </c>
      <c r="GC56">
        <v>-0.12831717</v>
      </c>
      <c r="GD56">
        <v>0.171979073684211</v>
      </c>
      <c r="GE56">
        <v>0.0460254591310407</v>
      </c>
      <c r="GF56">
        <v>1</v>
      </c>
      <c r="GG56">
        <v>924.889294117647</v>
      </c>
      <c r="GH56">
        <v>0.222276547571422</v>
      </c>
      <c r="GI56">
        <v>0.161735355626148</v>
      </c>
      <c r="GJ56">
        <v>-1</v>
      </c>
      <c r="GK56">
        <v>0.06815072</v>
      </c>
      <c r="GL56">
        <v>-0.0108541894736843</v>
      </c>
      <c r="GM56">
        <v>0.00148734372207637</v>
      </c>
      <c r="GN56">
        <v>1</v>
      </c>
      <c r="GO56">
        <v>2</v>
      </c>
      <c r="GP56">
        <v>2</v>
      </c>
      <c r="GQ56" t="s">
        <v>440</v>
      </c>
      <c r="GR56">
        <v>3.12493</v>
      </c>
      <c r="GS56">
        <v>2.72585</v>
      </c>
      <c r="GT56">
        <v>0.0852086</v>
      </c>
      <c r="GU56">
        <v>0.0864483</v>
      </c>
      <c r="GV56">
        <v>0.0830426</v>
      </c>
      <c r="GW56">
        <v>0.08285</v>
      </c>
      <c r="GX56">
        <v>24187.8</v>
      </c>
      <c r="GY56">
        <v>22364</v>
      </c>
      <c r="GZ56">
        <v>23636.1</v>
      </c>
      <c r="HA56">
        <v>23826.3</v>
      </c>
      <c r="HB56">
        <v>36900.5</v>
      </c>
      <c r="HC56">
        <v>36128.3</v>
      </c>
      <c r="HD56">
        <v>42565.8</v>
      </c>
      <c r="HE56">
        <v>42435.3</v>
      </c>
      <c r="HF56">
        <v>1.9374</v>
      </c>
      <c r="HG56">
        <v>1.83705</v>
      </c>
      <c r="HH56">
        <v>0.107214</v>
      </c>
      <c r="HI56">
        <v>0</v>
      </c>
      <c r="HJ56">
        <v>23.2372</v>
      </c>
      <c r="HK56">
        <v>999.9</v>
      </c>
      <c r="HL56">
        <v>43.957</v>
      </c>
      <c r="HM56">
        <v>30.484</v>
      </c>
      <c r="HN56">
        <v>21.4171</v>
      </c>
      <c r="HO56">
        <v>54.643</v>
      </c>
      <c r="HP56">
        <v>46.8349</v>
      </c>
      <c r="HQ56">
        <v>1</v>
      </c>
      <c r="HR56">
        <v>-0.135132</v>
      </c>
      <c r="HS56">
        <v>0.768559</v>
      </c>
      <c r="HT56">
        <v>20.2303</v>
      </c>
      <c r="HU56">
        <v>5.23346</v>
      </c>
      <c r="HV56">
        <v>11.992</v>
      </c>
      <c r="HW56">
        <v>4.95575</v>
      </c>
      <c r="HX56">
        <v>3.304</v>
      </c>
      <c r="HY56">
        <v>999.9</v>
      </c>
      <c r="HZ56">
        <v>9999</v>
      </c>
      <c r="IA56">
        <v>9999</v>
      </c>
      <c r="IB56">
        <v>9999</v>
      </c>
      <c r="IC56">
        <v>1.86871</v>
      </c>
      <c r="ID56">
        <v>1.86447</v>
      </c>
      <c r="IE56">
        <v>1.87195</v>
      </c>
      <c r="IF56">
        <v>1.86297</v>
      </c>
      <c r="IG56">
        <v>1.86234</v>
      </c>
      <c r="IH56">
        <v>1.86874</v>
      </c>
      <c r="II56">
        <v>1.85896</v>
      </c>
      <c r="IJ56">
        <v>1.86523</v>
      </c>
      <c r="IK56">
        <v>5</v>
      </c>
      <c r="IL56">
        <v>0</v>
      </c>
      <c r="IM56">
        <v>0</v>
      </c>
      <c r="IN56">
        <v>0</v>
      </c>
      <c r="IO56" t="s">
        <v>441</v>
      </c>
      <c r="IP56" t="s">
        <v>442</v>
      </c>
      <c r="IQ56" t="s">
        <v>443</v>
      </c>
      <c r="IR56" t="s">
        <v>443</v>
      </c>
      <c r="IS56" t="s">
        <v>443</v>
      </c>
      <c r="IT56" t="s">
        <v>443</v>
      </c>
      <c r="IU56">
        <v>0</v>
      </c>
      <c r="IV56">
        <v>100</v>
      </c>
      <c r="IW56">
        <v>100</v>
      </c>
      <c r="IX56">
        <v>7.438</v>
      </c>
      <c r="IY56">
        <v>0.115</v>
      </c>
      <c r="IZ56">
        <v>5.53182077787437</v>
      </c>
      <c r="JA56">
        <v>0.0062698613543794</v>
      </c>
      <c r="JB56">
        <v>-3.23243345529816e-06</v>
      </c>
      <c r="JC56">
        <v>8.00506428382295e-10</v>
      </c>
      <c r="JD56">
        <v>-0.0512351553283657</v>
      </c>
      <c r="JE56">
        <v>-0.0018464610107002</v>
      </c>
      <c r="JF56">
        <v>0.000796540623429801</v>
      </c>
      <c r="JG56">
        <v>-1.04619914107352e-05</v>
      </c>
      <c r="JH56">
        <v>-0</v>
      </c>
      <c r="JI56">
        <v>2101</v>
      </c>
      <c r="JJ56">
        <v>1</v>
      </c>
      <c r="JK56">
        <v>23</v>
      </c>
      <c r="JL56">
        <v>10.2</v>
      </c>
      <c r="JM56">
        <v>10.4</v>
      </c>
      <c r="JN56">
        <v>1.01074</v>
      </c>
      <c r="JO56">
        <v>2.35352</v>
      </c>
      <c r="JP56">
        <v>1.4978</v>
      </c>
      <c r="JQ56">
        <v>2.33154</v>
      </c>
      <c r="JR56">
        <v>1.54419</v>
      </c>
      <c r="JS56">
        <v>2.36816</v>
      </c>
      <c r="JT56">
        <v>36.8129</v>
      </c>
      <c r="JU56">
        <v>24.3502</v>
      </c>
      <c r="JV56">
        <v>18</v>
      </c>
      <c r="JW56">
        <v>548.907</v>
      </c>
      <c r="JX56">
        <v>428.676</v>
      </c>
      <c r="JY56">
        <v>22.3302</v>
      </c>
      <c r="JZ56">
        <v>25.7925</v>
      </c>
      <c r="KA56">
        <v>30</v>
      </c>
      <c r="KB56">
        <v>25.8579</v>
      </c>
      <c r="KC56">
        <v>25.8857</v>
      </c>
      <c r="KD56">
        <v>20.2815</v>
      </c>
      <c r="KE56">
        <v>26.385</v>
      </c>
      <c r="KF56">
        <v>81.4891</v>
      </c>
      <c r="KG56">
        <v>22.3284</v>
      </c>
      <c r="KH56">
        <v>400</v>
      </c>
      <c r="KI56">
        <v>17.9102</v>
      </c>
      <c r="KJ56">
        <v>95.4381</v>
      </c>
      <c r="KK56">
        <v>98.9435</v>
      </c>
    </row>
    <row r="57" spans="1:297">
      <c r="A57">
        <v>41</v>
      </c>
      <c r="B57">
        <v>1765304700.1</v>
      </c>
      <c r="C57">
        <v>6751.09999990463</v>
      </c>
      <c r="D57" t="s">
        <v>564</v>
      </c>
      <c r="E57" t="s">
        <v>565</v>
      </c>
      <c r="F57">
        <v>5</v>
      </c>
      <c r="G57" t="s">
        <v>523</v>
      </c>
      <c r="H57" t="s">
        <v>436</v>
      </c>
      <c r="I57">
        <v>1765304692.10625</v>
      </c>
      <c r="J57">
        <f>(K57)/1000</f>
        <v>0</v>
      </c>
      <c r="K57">
        <f>IF(DP57, AN57, AH57)</f>
        <v>0</v>
      </c>
      <c r="L57">
        <f>IF(DP57, AI57, AG57)</f>
        <v>0</v>
      </c>
      <c r="M57">
        <f>DR57 - IF(AU57&gt;1, L57*DL57*100.0/(AW57), 0)</f>
        <v>0</v>
      </c>
      <c r="N57">
        <f>((T57-J57/2)*M57-L57)/(T57+J57/2)</f>
        <v>0</v>
      </c>
      <c r="O57">
        <f>N57*(DY57+DZ57)/1000.0</f>
        <v>0</v>
      </c>
      <c r="P57">
        <f>(DR57 - IF(AU57&gt;1, L57*DL57*100.0/(AW57), 0))*(DY57+DZ57)/1000.0</f>
        <v>0</v>
      </c>
      <c r="Q57">
        <f>2.0/((1/S57-1/R57)+SIGN(S57)*SQRT((1/S57-1/R57)*(1/S57-1/R57) + 4*DM57/((DM57+1)*(DM57+1))*(2*1/S57*1/R57-1/R57*1/R57)))</f>
        <v>0</v>
      </c>
      <c r="R57">
        <f>IF(LEFT(DN57,1)&lt;&gt;"0",IF(LEFT(DN57,1)="1",3.0,DO57),$D$5+$E$5*(EF57*DY57/($K$5*1000))+$F$5*(EF57*DY57/($K$5*1000))*MAX(MIN(DL57,$J$5),$I$5)*MAX(MIN(DL57,$J$5),$I$5)+$G$5*MAX(MIN(DL57,$J$5),$I$5)*(EF57*DY57/($K$5*1000))+$H$5*(EF57*DY57/($K$5*1000))*(EF57*DY57/($K$5*1000)))</f>
        <v>0</v>
      </c>
      <c r="S57">
        <f>J57*(1000-(1000*0.61365*exp(17.502*W57/(240.97+W57))/(DY57+DZ57)+DT57)/2)/(1000*0.61365*exp(17.502*W57/(240.97+W57))/(DY57+DZ57)-DT57)</f>
        <v>0</v>
      </c>
      <c r="T57">
        <f>1/((DM57+1)/(Q57/1.6)+1/(R57/1.37)) + DM57/((DM57+1)/(Q57/1.6) + DM57/(R57/1.37))</f>
        <v>0</v>
      </c>
      <c r="U57">
        <f>(DH57*DK57)</f>
        <v>0</v>
      </c>
      <c r="V57">
        <f>(EA57+(U57+2*0.95*5.67E-8*(((EA57+$B$7)+273)^4-(EA57+273)^4)-44100*J57)/(1.84*29.3*R57+8*0.95*5.67E-8*(EA57+273)^3))</f>
        <v>0</v>
      </c>
      <c r="W57">
        <f>($C$7*EB57+$D$7*EC57+$E$7*V57)</f>
        <v>0</v>
      </c>
      <c r="X57">
        <f>0.61365*exp(17.502*W57/(240.97+W57))</f>
        <v>0</v>
      </c>
      <c r="Y57">
        <f>(Z57/AA57*100)</f>
        <v>0</v>
      </c>
      <c r="Z57">
        <f>DT57*(DY57+DZ57)/1000</f>
        <v>0</v>
      </c>
      <c r="AA57">
        <f>0.61365*exp(17.502*EA57/(240.97+EA57))</f>
        <v>0</v>
      </c>
      <c r="AB57">
        <f>(X57-DT57*(DY57+DZ57)/1000)</f>
        <v>0</v>
      </c>
      <c r="AC57">
        <f>(-J57*44100)</f>
        <v>0</v>
      </c>
      <c r="AD57">
        <f>2*29.3*R57*0.92*(EA57-W57)</f>
        <v>0</v>
      </c>
      <c r="AE57">
        <f>2*0.95*5.67E-8*(((EA57+$B$7)+273)^4-(W57+273)^4)</f>
        <v>0</v>
      </c>
      <c r="AF57">
        <f>U57+AE57+AC57+AD57</f>
        <v>0</v>
      </c>
      <c r="AG57">
        <f>DX57*AU57*(DS57-DR57*(1000-AU57*DU57)/(1000-AU57*DT57))/(100*DL57)</f>
        <v>0</v>
      </c>
      <c r="AH57">
        <f>1000*DX57*AU57*(DT57-DU57)/(100*DL57*(1000-AU57*DT57))</f>
        <v>0</v>
      </c>
      <c r="AI57">
        <f>(AJ57 - AK57 - DY57*1E3/(8.314*(EA57+273.15)) * AM57/DX57 * AL57) * DX57/(100*DL57) * (1000 - DU57)/1000</f>
        <v>0</v>
      </c>
      <c r="AJ57">
        <v>305.468912280396</v>
      </c>
      <c r="AK57">
        <v>305.775732063944</v>
      </c>
      <c r="AL57">
        <v>-0.00247411730588014</v>
      </c>
      <c r="AM57">
        <v>63.7221315010183</v>
      </c>
      <c r="AN57">
        <f>(AP57 - AO57 + DY57*1E3/(8.314*(EA57+273.15)) * AR57/DX57 * AQ57) * DX57/(100*DL57) * 1000/(1000 - AP57)</f>
        <v>0</v>
      </c>
      <c r="AO57">
        <v>17.8787666666428</v>
      </c>
      <c r="AP57">
        <v>17.9619199764775</v>
      </c>
      <c r="AQ57">
        <v>-2.51329370346843e-05</v>
      </c>
      <c r="AR57">
        <v>105.6379358109</v>
      </c>
      <c r="AS57">
        <v>0</v>
      </c>
      <c r="AT57">
        <v>0</v>
      </c>
      <c r="AU57">
        <f>IF(AS57*$H$13&gt;=AW57,1.0,(AW57/(AW57-AS57*$H$13)))</f>
        <v>0</v>
      </c>
      <c r="AV57">
        <f>(AU57-1)*100</f>
        <v>0</v>
      </c>
      <c r="AW57">
        <f>MAX(0,($B$13+$C$13*EF57)/(1+$D$13*EF57)*DY57/(EA57+273)*$E$13)</f>
        <v>0</v>
      </c>
      <c r="AX57" t="s">
        <v>437</v>
      </c>
      <c r="AY57" t="s">
        <v>437</v>
      </c>
      <c r="AZ57">
        <v>0</v>
      </c>
      <c r="BA57">
        <v>0</v>
      </c>
      <c r="BB57">
        <f>1-AZ57/BA57</f>
        <v>0</v>
      </c>
      <c r="BC57">
        <v>0</v>
      </c>
      <c r="BD57" t="s">
        <v>437</v>
      </c>
      <c r="BE57" t="s">
        <v>437</v>
      </c>
      <c r="BF57">
        <v>0</v>
      </c>
      <c r="BG57">
        <v>0</v>
      </c>
      <c r="BH57">
        <f>1-BF57/BG57</f>
        <v>0</v>
      </c>
      <c r="BI57">
        <v>0.5</v>
      </c>
      <c r="BJ57">
        <f>DI57</f>
        <v>0</v>
      </c>
      <c r="BK57">
        <f>L57</f>
        <v>0</v>
      </c>
      <c r="BL57">
        <f>BH57*BI57*BJ57</f>
        <v>0</v>
      </c>
      <c r="BM57">
        <f>(BK57-BC57)/BJ57</f>
        <v>0</v>
      </c>
      <c r="BN57">
        <f>(BA57-BG57)/BG57</f>
        <v>0</v>
      </c>
      <c r="BO57">
        <f>AZ57/(BB57+AZ57/BG57)</f>
        <v>0</v>
      </c>
      <c r="BP57" t="s">
        <v>437</v>
      </c>
      <c r="BQ57">
        <v>0</v>
      </c>
      <c r="BR57">
        <f>IF(BQ57&lt;&gt;0, BQ57, BO57)</f>
        <v>0</v>
      </c>
      <c r="BS57">
        <f>1-BR57/BG57</f>
        <v>0</v>
      </c>
      <c r="BT57">
        <f>(BG57-BF57)/(BG57-BR57)</f>
        <v>0</v>
      </c>
      <c r="BU57">
        <f>(BA57-BG57)/(BA57-BR57)</f>
        <v>0</v>
      </c>
      <c r="BV57">
        <f>(BG57-BF57)/(BG57-AZ57)</f>
        <v>0</v>
      </c>
      <c r="BW57">
        <f>(BA57-BG57)/(BA57-AZ57)</f>
        <v>0</v>
      </c>
      <c r="BX57">
        <f>(BT57*BR57/BF57)</f>
        <v>0</v>
      </c>
      <c r="BY57">
        <f>(1-BX57)</f>
        <v>0</v>
      </c>
      <c r="DH57">
        <f>$B$11*EG57+$C$11*EH57+$F$11*ES57*(1-EV57)</f>
        <v>0</v>
      </c>
      <c r="DI57">
        <f>DH57*DJ57</f>
        <v>0</v>
      </c>
      <c r="DJ57">
        <f>($B$11*$D$9+$C$11*$D$9+$F$11*((FF57+EX57)/MAX(FF57+EX57+FG57, 0.1)*$I$9+FG57/MAX(FF57+EX57+FG57, 0.1)*$J$9))/($B$11+$C$11+$F$11)</f>
        <v>0</v>
      </c>
      <c r="DK57">
        <f>($B$11*$K$9+$C$11*$K$9+$F$11*((FF57+EX57)/MAX(FF57+EX57+FG57, 0.1)*$P$9+FG57/MAX(FF57+EX57+FG57, 0.1)*$Q$9))/($B$11+$C$11+$F$11)</f>
        <v>0</v>
      </c>
      <c r="DL57">
        <v>6</v>
      </c>
      <c r="DM57">
        <v>0.5</v>
      </c>
      <c r="DN57" t="s">
        <v>438</v>
      </c>
      <c r="DO57">
        <v>2</v>
      </c>
      <c r="DP57" t="b">
        <v>1</v>
      </c>
      <c r="DQ57">
        <v>1765304692.10625</v>
      </c>
      <c r="DR57">
        <v>299.8973125</v>
      </c>
      <c r="DS57">
        <v>299.991125</v>
      </c>
      <c r="DT57">
        <v>17.96326875</v>
      </c>
      <c r="DU57">
        <v>17.881175</v>
      </c>
      <c r="DV57">
        <v>293.2833125</v>
      </c>
      <c r="DW57">
        <v>17.85026875</v>
      </c>
      <c r="DX57">
        <v>500.018</v>
      </c>
      <c r="DY57">
        <v>89.891325</v>
      </c>
      <c r="DZ57">
        <v>0.10000504375</v>
      </c>
      <c r="EA57">
        <v>25.28564375</v>
      </c>
      <c r="EB57">
        <v>24.988</v>
      </c>
      <c r="EC57">
        <v>999.9</v>
      </c>
      <c r="ED57">
        <v>0</v>
      </c>
      <c r="EE57">
        <v>0</v>
      </c>
      <c r="EF57">
        <v>9991.096875</v>
      </c>
      <c r="EG57">
        <v>0</v>
      </c>
      <c r="EH57">
        <v>12.4638</v>
      </c>
      <c r="EI57">
        <v>0.2994651875</v>
      </c>
      <c r="EJ57">
        <v>305.7839375</v>
      </c>
      <c r="EK57">
        <v>305.4529375</v>
      </c>
      <c r="EL57">
        <v>0.084234475</v>
      </c>
      <c r="EM57">
        <v>299.991125</v>
      </c>
      <c r="EN57">
        <v>17.881175</v>
      </c>
      <c r="EO57">
        <v>1.61493375</v>
      </c>
      <c r="EP57">
        <v>1.607361875</v>
      </c>
      <c r="EQ57">
        <v>14.10204375</v>
      </c>
      <c r="ER57">
        <v>14.0295625</v>
      </c>
      <c r="ES57">
        <v>799.999125</v>
      </c>
      <c r="ET57">
        <v>0.9500015</v>
      </c>
      <c r="EU57">
        <v>0.0499984375</v>
      </c>
      <c r="EV57">
        <v>0</v>
      </c>
      <c r="EW57">
        <v>924.8165625</v>
      </c>
      <c r="EX57">
        <v>5.00016</v>
      </c>
      <c r="EY57">
        <v>7183.42875</v>
      </c>
      <c r="EZ57">
        <v>7194.6725</v>
      </c>
      <c r="FA57">
        <v>39.5</v>
      </c>
      <c r="FB57">
        <v>42.25</v>
      </c>
      <c r="FC57">
        <v>40.9409375</v>
      </c>
      <c r="FD57">
        <v>42.312</v>
      </c>
      <c r="FE57">
        <v>42.1715</v>
      </c>
      <c r="FF57">
        <v>755.249375</v>
      </c>
      <c r="FG57">
        <v>39.745</v>
      </c>
      <c r="FH57">
        <v>0</v>
      </c>
      <c r="FI57">
        <v>1765304700.7</v>
      </c>
      <c r="FJ57">
        <v>0</v>
      </c>
      <c r="FK57">
        <v>924.83444</v>
      </c>
      <c r="FL57">
        <v>-0.199461536836463</v>
      </c>
      <c r="FM57">
        <v>2.17384621181234</v>
      </c>
      <c r="FN57">
        <v>7183.5032</v>
      </c>
      <c r="FO57">
        <v>15</v>
      </c>
      <c r="FP57">
        <v>1765304718.1</v>
      </c>
      <c r="FQ57" t="s">
        <v>566</v>
      </c>
      <c r="FR57">
        <v>1765304714.1</v>
      </c>
      <c r="FS57">
        <v>1765304718.1</v>
      </c>
      <c r="FT57">
        <v>41</v>
      </c>
      <c r="FU57">
        <v>-0.393</v>
      </c>
      <c r="FV57">
        <v>-0.001</v>
      </c>
      <c r="FW57">
        <v>6.614</v>
      </c>
      <c r="FX57">
        <v>0.113</v>
      </c>
      <c r="FY57">
        <v>300</v>
      </c>
      <c r="FZ57">
        <v>18</v>
      </c>
      <c r="GA57">
        <v>1.01</v>
      </c>
      <c r="GB57">
        <v>0.17</v>
      </c>
      <c r="GC57">
        <v>0.328157</v>
      </c>
      <c r="GD57">
        <v>-0.355298722642862</v>
      </c>
      <c r="GE57">
        <v>0.0510168397156412</v>
      </c>
      <c r="GF57">
        <v>1</v>
      </c>
      <c r="GG57">
        <v>924.816235294118</v>
      </c>
      <c r="GH57">
        <v>0.23306340904461</v>
      </c>
      <c r="GI57">
        <v>0.216693746865935</v>
      </c>
      <c r="GJ57">
        <v>-1</v>
      </c>
      <c r="GK57">
        <v>0.0841150714285714</v>
      </c>
      <c r="GL57">
        <v>-0.000355577204108624</v>
      </c>
      <c r="GM57">
        <v>0.000917077110089627</v>
      </c>
      <c r="GN57">
        <v>1</v>
      </c>
      <c r="GO57">
        <v>2</v>
      </c>
      <c r="GP57">
        <v>2</v>
      </c>
      <c r="GQ57" t="s">
        <v>440</v>
      </c>
      <c r="GR57">
        <v>3.12502</v>
      </c>
      <c r="GS57">
        <v>2.72512</v>
      </c>
      <c r="GT57">
        <v>0.0675391</v>
      </c>
      <c r="GU57">
        <v>0.0688106</v>
      </c>
      <c r="GV57">
        <v>0.0828116</v>
      </c>
      <c r="GW57">
        <v>0.0825854</v>
      </c>
      <c r="GX57">
        <v>24654.2</v>
      </c>
      <c r="GY57">
        <v>22797.1</v>
      </c>
      <c r="GZ57">
        <v>23635.4</v>
      </c>
      <c r="HA57">
        <v>23827.7</v>
      </c>
      <c r="HB57">
        <v>36907.1</v>
      </c>
      <c r="HC57">
        <v>36138.9</v>
      </c>
      <c r="HD57">
        <v>42564.4</v>
      </c>
      <c r="HE57">
        <v>42437.1</v>
      </c>
      <c r="HF57">
        <v>1.9378</v>
      </c>
      <c r="HG57">
        <v>1.83705</v>
      </c>
      <c r="HH57">
        <v>0.106446</v>
      </c>
      <c r="HI57">
        <v>0</v>
      </c>
      <c r="HJ57">
        <v>23.2392</v>
      </c>
      <c r="HK57">
        <v>999.9</v>
      </c>
      <c r="HL57">
        <v>44.054</v>
      </c>
      <c r="HM57">
        <v>30.454</v>
      </c>
      <c r="HN57">
        <v>21.4317</v>
      </c>
      <c r="HO57">
        <v>55.2076</v>
      </c>
      <c r="HP57">
        <v>46.7628</v>
      </c>
      <c r="HQ57">
        <v>1</v>
      </c>
      <c r="HR57">
        <v>-0.137157</v>
      </c>
      <c r="HS57">
        <v>0.64018</v>
      </c>
      <c r="HT57">
        <v>20.2309</v>
      </c>
      <c r="HU57">
        <v>5.23451</v>
      </c>
      <c r="HV57">
        <v>11.992</v>
      </c>
      <c r="HW57">
        <v>4.95635</v>
      </c>
      <c r="HX57">
        <v>3.304</v>
      </c>
      <c r="HY57">
        <v>999.9</v>
      </c>
      <c r="HZ57">
        <v>9999</v>
      </c>
      <c r="IA57">
        <v>9999</v>
      </c>
      <c r="IB57">
        <v>9999</v>
      </c>
      <c r="IC57">
        <v>1.86871</v>
      </c>
      <c r="ID57">
        <v>1.86442</v>
      </c>
      <c r="IE57">
        <v>1.87195</v>
      </c>
      <c r="IF57">
        <v>1.86295</v>
      </c>
      <c r="IG57">
        <v>1.86234</v>
      </c>
      <c r="IH57">
        <v>1.86874</v>
      </c>
      <c r="II57">
        <v>1.85896</v>
      </c>
      <c r="IJ57">
        <v>1.86523</v>
      </c>
      <c r="IK57">
        <v>5</v>
      </c>
      <c r="IL57">
        <v>0</v>
      </c>
      <c r="IM57">
        <v>0</v>
      </c>
      <c r="IN57">
        <v>0</v>
      </c>
      <c r="IO57" t="s">
        <v>441</v>
      </c>
      <c r="IP57" t="s">
        <v>442</v>
      </c>
      <c r="IQ57" t="s">
        <v>443</v>
      </c>
      <c r="IR57" t="s">
        <v>443</v>
      </c>
      <c r="IS57" t="s">
        <v>443</v>
      </c>
      <c r="IT57" t="s">
        <v>443</v>
      </c>
      <c r="IU57">
        <v>0</v>
      </c>
      <c r="IV57">
        <v>100</v>
      </c>
      <c r="IW57">
        <v>100</v>
      </c>
      <c r="IX57">
        <v>6.614</v>
      </c>
      <c r="IY57">
        <v>0.113</v>
      </c>
      <c r="IZ57">
        <v>5.4261888496734</v>
      </c>
      <c r="JA57">
        <v>0.0062698613543794</v>
      </c>
      <c r="JB57">
        <v>-3.23243345529816e-06</v>
      </c>
      <c r="JC57">
        <v>8.00506428382295e-10</v>
      </c>
      <c r="JD57">
        <v>-0.0462045560675525</v>
      </c>
      <c r="JE57">
        <v>-0.0018464610107002</v>
      </c>
      <c r="JF57">
        <v>0.000796540623429801</v>
      </c>
      <c r="JG57">
        <v>-1.04619914107352e-05</v>
      </c>
      <c r="JH57">
        <v>-0</v>
      </c>
      <c r="JI57">
        <v>2101</v>
      </c>
      <c r="JJ57">
        <v>1</v>
      </c>
      <c r="JK57">
        <v>23</v>
      </c>
      <c r="JL57">
        <v>1.2</v>
      </c>
      <c r="JM57">
        <v>1.5</v>
      </c>
      <c r="JN57">
        <v>0.808105</v>
      </c>
      <c r="JO57">
        <v>2.36938</v>
      </c>
      <c r="JP57">
        <v>1.4978</v>
      </c>
      <c r="JQ57">
        <v>2.33032</v>
      </c>
      <c r="JR57">
        <v>1.54419</v>
      </c>
      <c r="JS57">
        <v>2.35962</v>
      </c>
      <c r="JT57">
        <v>36.6943</v>
      </c>
      <c r="JU57">
        <v>24.3502</v>
      </c>
      <c r="JV57">
        <v>18</v>
      </c>
      <c r="JW57">
        <v>548.784</v>
      </c>
      <c r="JX57">
        <v>428.342</v>
      </c>
      <c r="JY57">
        <v>22.39</v>
      </c>
      <c r="JZ57">
        <v>25.7643</v>
      </c>
      <c r="KA57">
        <v>29.9999</v>
      </c>
      <c r="KB57">
        <v>25.8153</v>
      </c>
      <c r="KC57">
        <v>25.8424</v>
      </c>
      <c r="KD57">
        <v>16.2159</v>
      </c>
      <c r="KE57">
        <v>26.9509</v>
      </c>
      <c r="KF57">
        <v>81.4891</v>
      </c>
      <c r="KG57">
        <v>22.4041</v>
      </c>
      <c r="KH57">
        <v>300</v>
      </c>
      <c r="KI57">
        <v>17.8686</v>
      </c>
      <c r="KJ57">
        <v>95.4349</v>
      </c>
      <c r="KK57">
        <v>98.9483</v>
      </c>
    </row>
    <row r="58" spans="1:297">
      <c r="A58">
        <v>42</v>
      </c>
      <c r="B58">
        <v>1765304789.1</v>
      </c>
      <c r="C58">
        <v>6840.09999990463</v>
      </c>
      <c r="D58" t="s">
        <v>567</v>
      </c>
      <c r="E58" t="s">
        <v>568</v>
      </c>
      <c r="F58">
        <v>5</v>
      </c>
      <c r="G58" t="s">
        <v>523</v>
      </c>
      <c r="H58" t="s">
        <v>436</v>
      </c>
      <c r="I58">
        <v>1765304780.6</v>
      </c>
      <c r="J58">
        <f>(K58)/1000</f>
        <v>0</v>
      </c>
      <c r="K58">
        <f>IF(DP58, AN58, AH58)</f>
        <v>0</v>
      </c>
      <c r="L58">
        <f>IF(DP58, AI58, AG58)</f>
        <v>0</v>
      </c>
      <c r="M58">
        <f>DR58 - IF(AU58&gt;1, L58*DL58*100.0/(AW58), 0)</f>
        <v>0</v>
      </c>
      <c r="N58">
        <f>((T58-J58/2)*M58-L58)/(T58+J58/2)</f>
        <v>0</v>
      </c>
      <c r="O58">
        <f>N58*(DY58+DZ58)/1000.0</f>
        <v>0</v>
      </c>
      <c r="P58">
        <f>(DR58 - IF(AU58&gt;1, L58*DL58*100.0/(AW58), 0))*(DY58+DZ58)/1000.0</f>
        <v>0</v>
      </c>
      <c r="Q58">
        <f>2.0/((1/S58-1/R58)+SIGN(S58)*SQRT((1/S58-1/R58)*(1/S58-1/R58) + 4*DM58/((DM58+1)*(DM58+1))*(2*1/S58*1/R58-1/R58*1/R58)))</f>
        <v>0</v>
      </c>
      <c r="R58">
        <f>IF(LEFT(DN58,1)&lt;&gt;"0",IF(LEFT(DN58,1)="1",3.0,DO58),$D$5+$E$5*(EF58*DY58/($K$5*1000))+$F$5*(EF58*DY58/($K$5*1000))*MAX(MIN(DL58,$J$5),$I$5)*MAX(MIN(DL58,$J$5),$I$5)+$G$5*MAX(MIN(DL58,$J$5),$I$5)*(EF58*DY58/($K$5*1000))+$H$5*(EF58*DY58/($K$5*1000))*(EF58*DY58/($K$5*1000)))</f>
        <v>0</v>
      </c>
      <c r="S58">
        <f>J58*(1000-(1000*0.61365*exp(17.502*W58/(240.97+W58))/(DY58+DZ58)+DT58)/2)/(1000*0.61365*exp(17.502*W58/(240.97+W58))/(DY58+DZ58)-DT58)</f>
        <v>0</v>
      </c>
      <c r="T58">
        <f>1/((DM58+1)/(Q58/1.6)+1/(R58/1.37)) + DM58/((DM58+1)/(Q58/1.6) + DM58/(R58/1.37))</f>
        <v>0</v>
      </c>
      <c r="U58">
        <f>(DH58*DK58)</f>
        <v>0</v>
      </c>
      <c r="V58">
        <f>(EA58+(U58+2*0.95*5.67E-8*(((EA58+$B$7)+273)^4-(EA58+273)^4)-44100*J58)/(1.84*29.3*R58+8*0.95*5.67E-8*(EA58+273)^3))</f>
        <v>0</v>
      </c>
      <c r="W58">
        <f>($C$7*EB58+$D$7*EC58+$E$7*V58)</f>
        <v>0</v>
      </c>
      <c r="X58">
        <f>0.61365*exp(17.502*W58/(240.97+W58))</f>
        <v>0</v>
      </c>
      <c r="Y58">
        <f>(Z58/AA58*100)</f>
        <v>0</v>
      </c>
      <c r="Z58">
        <f>DT58*(DY58+DZ58)/1000</f>
        <v>0</v>
      </c>
      <c r="AA58">
        <f>0.61365*exp(17.502*EA58/(240.97+EA58))</f>
        <v>0</v>
      </c>
      <c r="AB58">
        <f>(X58-DT58*(DY58+DZ58)/1000)</f>
        <v>0</v>
      </c>
      <c r="AC58">
        <f>(-J58*44100)</f>
        <v>0</v>
      </c>
      <c r="AD58">
        <f>2*29.3*R58*0.92*(EA58-W58)</f>
        <v>0</v>
      </c>
      <c r="AE58">
        <f>2*0.95*5.67E-8*(((EA58+$B$7)+273)^4-(W58+273)^4)</f>
        <v>0</v>
      </c>
      <c r="AF58">
        <f>U58+AE58+AC58+AD58</f>
        <v>0</v>
      </c>
      <c r="AG58">
        <f>DX58*AU58*(DS58-DR58*(1000-AU58*DU58)/(1000-AU58*DT58))/(100*DL58)</f>
        <v>0</v>
      </c>
      <c r="AH58">
        <f>1000*DX58*AU58*(DT58-DU58)/(100*DL58*(1000-AU58*DT58))</f>
        <v>0</v>
      </c>
      <c r="AI58">
        <f>(AJ58 - AK58 - DY58*1E3/(8.314*(EA58+273.15)) * AM58/DX58 * AL58) * DX58/(100*DL58) * (1000 - DU58)/1000</f>
        <v>0</v>
      </c>
      <c r="AJ58">
        <v>203.619105361511</v>
      </c>
      <c r="AK58">
        <v>203.784612121212</v>
      </c>
      <c r="AL58">
        <v>-0.0203412542707404</v>
      </c>
      <c r="AM58">
        <v>64.2987782145289</v>
      </c>
      <c r="AN58">
        <f>(AP58 - AO58 + DY58*1E3/(8.314*(EA58+273.15)) * AR58/DX58 * AQ58) * DX58/(100*DL58) * 1000/(1000 - AP58)</f>
        <v>0</v>
      </c>
      <c r="AO58">
        <v>17.8573265123237</v>
      </c>
      <c r="AP58">
        <v>17.9416699300699</v>
      </c>
      <c r="AQ58">
        <v>1.79289267887641e-05</v>
      </c>
      <c r="AR58">
        <v>102.589892163136</v>
      </c>
      <c r="AS58">
        <v>0</v>
      </c>
      <c r="AT58">
        <v>0</v>
      </c>
      <c r="AU58">
        <f>IF(AS58*$H$13&gt;=AW58,1.0,(AW58/(AW58-AS58*$H$13)))</f>
        <v>0</v>
      </c>
      <c r="AV58">
        <f>(AU58-1)*100</f>
        <v>0</v>
      </c>
      <c r="AW58">
        <f>MAX(0,($B$13+$C$13*EF58)/(1+$D$13*EF58)*DY58/(EA58+273)*$E$13)</f>
        <v>0</v>
      </c>
      <c r="AX58" t="s">
        <v>437</v>
      </c>
      <c r="AY58" t="s">
        <v>437</v>
      </c>
      <c r="AZ58">
        <v>0</v>
      </c>
      <c r="BA58">
        <v>0</v>
      </c>
      <c r="BB58">
        <f>1-AZ58/BA58</f>
        <v>0</v>
      </c>
      <c r="BC58">
        <v>0</v>
      </c>
      <c r="BD58" t="s">
        <v>437</v>
      </c>
      <c r="BE58" t="s">
        <v>437</v>
      </c>
      <c r="BF58">
        <v>0</v>
      </c>
      <c r="BG58">
        <v>0</v>
      </c>
      <c r="BH58">
        <f>1-BF58/BG58</f>
        <v>0</v>
      </c>
      <c r="BI58">
        <v>0.5</v>
      </c>
      <c r="BJ58">
        <f>DI58</f>
        <v>0</v>
      </c>
      <c r="BK58">
        <f>L58</f>
        <v>0</v>
      </c>
      <c r="BL58">
        <f>BH58*BI58*BJ58</f>
        <v>0</v>
      </c>
      <c r="BM58">
        <f>(BK58-BC58)/BJ58</f>
        <v>0</v>
      </c>
      <c r="BN58">
        <f>(BA58-BG58)/BG58</f>
        <v>0</v>
      </c>
      <c r="BO58">
        <f>AZ58/(BB58+AZ58/BG58)</f>
        <v>0</v>
      </c>
      <c r="BP58" t="s">
        <v>437</v>
      </c>
      <c r="BQ58">
        <v>0</v>
      </c>
      <c r="BR58">
        <f>IF(BQ58&lt;&gt;0, BQ58, BO58)</f>
        <v>0</v>
      </c>
      <c r="BS58">
        <f>1-BR58/BG58</f>
        <v>0</v>
      </c>
      <c r="BT58">
        <f>(BG58-BF58)/(BG58-BR58)</f>
        <v>0</v>
      </c>
      <c r="BU58">
        <f>(BA58-BG58)/(BA58-BR58)</f>
        <v>0</v>
      </c>
      <c r="BV58">
        <f>(BG58-BF58)/(BG58-AZ58)</f>
        <v>0</v>
      </c>
      <c r="BW58">
        <f>(BA58-BG58)/(BA58-AZ58)</f>
        <v>0</v>
      </c>
      <c r="BX58">
        <f>(BT58*BR58/BF58)</f>
        <v>0</v>
      </c>
      <c r="BY58">
        <f>(1-BX58)</f>
        <v>0</v>
      </c>
      <c r="DH58">
        <f>$B$11*EG58+$C$11*EH58+$F$11*ES58*(1-EV58)</f>
        <v>0</v>
      </c>
      <c r="DI58">
        <f>DH58*DJ58</f>
        <v>0</v>
      </c>
      <c r="DJ58">
        <f>($B$11*$D$9+$C$11*$D$9+$F$11*((FF58+EX58)/MAX(FF58+EX58+FG58, 0.1)*$I$9+FG58/MAX(FF58+EX58+FG58, 0.1)*$J$9))/($B$11+$C$11+$F$11)</f>
        <v>0</v>
      </c>
      <c r="DK58">
        <f>($B$11*$K$9+$C$11*$K$9+$F$11*((FF58+EX58)/MAX(FF58+EX58+FG58, 0.1)*$P$9+FG58/MAX(FF58+EX58+FG58, 0.1)*$Q$9))/($B$11+$C$11+$F$11)</f>
        <v>0</v>
      </c>
      <c r="DL58">
        <v>6</v>
      </c>
      <c r="DM58">
        <v>0.5</v>
      </c>
      <c r="DN58" t="s">
        <v>438</v>
      </c>
      <c r="DO58">
        <v>2</v>
      </c>
      <c r="DP58" t="b">
        <v>1</v>
      </c>
      <c r="DQ58">
        <v>1765304780.6</v>
      </c>
      <c r="DR58">
        <v>200.104125</v>
      </c>
      <c r="DS58">
        <v>199.9816875</v>
      </c>
      <c r="DT58">
        <v>17.9385</v>
      </c>
      <c r="DU58">
        <v>17.85743125</v>
      </c>
      <c r="DV58">
        <v>194.072125</v>
      </c>
      <c r="DW58">
        <v>17.8265</v>
      </c>
      <c r="DX58">
        <v>500.010875</v>
      </c>
      <c r="DY58">
        <v>89.887625</v>
      </c>
      <c r="DZ58">
        <v>0.0999722625</v>
      </c>
      <c r="EA58">
        <v>25.3242125</v>
      </c>
      <c r="EB58">
        <v>24.991675</v>
      </c>
      <c r="EC58">
        <v>999.9</v>
      </c>
      <c r="ED58">
        <v>0</v>
      </c>
      <c r="EE58">
        <v>0</v>
      </c>
      <c r="EF58">
        <v>9998.518125</v>
      </c>
      <c r="EG58">
        <v>0</v>
      </c>
      <c r="EH58">
        <v>12.4638</v>
      </c>
      <c r="EI58">
        <v>0.2241620625</v>
      </c>
      <c r="EJ58">
        <v>203.8633125</v>
      </c>
      <c r="EK58">
        <v>203.6179375</v>
      </c>
      <c r="EL58">
        <v>0.0828683375</v>
      </c>
      <c r="EM58">
        <v>199.9816875</v>
      </c>
      <c r="EN58">
        <v>17.85743125</v>
      </c>
      <c r="EO58">
        <v>1.612611875</v>
      </c>
      <c r="EP58">
        <v>1.605163125</v>
      </c>
      <c r="EQ58">
        <v>14.07985</v>
      </c>
      <c r="ER58">
        <v>14.00845</v>
      </c>
      <c r="ES58">
        <v>800.04625</v>
      </c>
      <c r="ET58">
        <v>0.94999725</v>
      </c>
      <c r="EU58">
        <v>0.05000280625</v>
      </c>
      <c r="EV58">
        <v>0</v>
      </c>
      <c r="EW58">
        <v>924.82675</v>
      </c>
      <c r="EX58">
        <v>5.00016</v>
      </c>
      <c r="EY58">
        <v>7183.87375</v>
      </c>
      <c r="EZ58">
        <v>7195.08875</v>
      </c>
      <c r="FA58">
        <v>39.5</v>
      </c>
      <c r="FB58">
        <v>42.25</v>
      </c>
      <c r="FC58">
        <v>40.937</v>
      </c>
      <c r="FD58">
        <v>42.312</v>
      </c>
      <c r="FE58">
        <v>42.187</v>
      </c>
      <c r="FF58">
        <v>755.290625</v>
      </c>
      <c r="FG58">
        <v>39.750625</v>
      </c>
      <c r="FH58">
        <v>0</v>
      </c>
      <c r="FI58">
        <v>1765304789.5</v>
      </c>
      <c r="FJ58">
        <v>0</v>
      </c>
      <c r="FK58">
        <v>924.82056</v>
      </c>
      <c r="FL58">
        <v>-0.0334615383877674</v>
      </c>
      <c r="FM58">
        <v>-0.843077029154553</v>
      </c>
      <c r="FN58">
        <v>7183.4276</v>
      </c>
      <c r="FO58">
        <v>15</v>
      </c>
      <c r="FP58">
        <v>1765304811.1</v>
      </c>
      <c r="FQ58" t="s">
        <v>569</v>
      </c>
      <c r="FR58">
        <v>1765304811.1</v>
      </c>
      <c r="FS58">
        <v>1765304808.1</v>
      </c>
      <c r="FT58">
        <v>42</v>
      </c>
      <c r="FU58">
        <v>-0.102</v>
      </c>
      <c r="FV58">
        <v>0</v>
      </c>
      <c r="FW58">
        <v>6.032</v>
      </c>
      <c r="FX58">
        <v>0.112</v>
      </c>
      <c r="FY58">
        <v>200</v>
      </c>
      <c r="FZ58">
        <v>18</v>
      </c>
      <c r="GA58">
        <v>0.38</v>
      </c>
      <c r="GB58">
        <v>0.21</v>
      </c>
      <c r="GC58">
        <v>0.2449775</v>
      </c>
      <c r="GD58">
        <v>-0.432401503759399</v>
      </c>
      <c r="GE58">
        <v>0.050330967713228</v>
      </c>
      <c r="GF58">
        <v>1</v>
      </c>
      <c r="GG58">
        <v>924.839294117647</v>
      </c>
      <c r="GH58">
        <v>-0.138915200445098</v>
      </c>
      <c r="GI58">
        <v>0.198270689805604</v>
      </c>
      <c r="GJ58">
        <v>-1</v>
      </c>
      <c r="GK58">
        <v>0.083187105</v>
      </c>
      <c r="GL58">
        <v>-0.00508942105263162</v>
      </c>
      <c r="GM58">
        <v>0.00133800556406728</v>
      </c>
      <c r="GN58">
        <v>1</v>
      </c>
      <c r="GO58">
        <v>2</v>
      </c>
      <c r="GP58">
        <v>2</v>
      </c>
      <c r="GQ58" t="s">
        <v>440</v>
      </c>
      <c r="GR58">
        <v>3.1249</v>
      </c>
      <c r="GS58">
        <v>2.72561</v>
      </c>
      <c r="GT58">
        <v>0.0473949</v>
      </c>
      <c r="GU58">
        <v>0.0487236</v>
      </c>
      <c r="GV58">
        <v>0.0827469</v>
      </c>
      <c r="GW58">
        <v>0.0825085</v>
      </c>
      <c r="GX58">
        <v>25185.8</v>
      </c>
      <c r="GY58">
        <v>23289.1</v>
      </c>
      <c r="GZ58">
        <v>23634.4</v>
      </c>
      <c r="HA58">
        <v>23827.9</v>
      </c>
      <c r="HB58">
        <v>36906.2</v>
      </c>
      <c r="HC58">
        <v>36140.9</v>
      </c>
      <c r="HD58">
        <v>42562.3</v>
      </c>
      <c r="HE58">
        <v>42437.7</v>
      </c>
      <c r="HF58">
        <v>1.9378</v>
      </c>
      <c r="HG58">
        <v>1.83742</v>
      </c>
      <c r="HH58">
        <v>0.106581</v>
      </c>
      <c r="HI58">
        <v>0</v>
      </c>
      <c r="HJ58">
        <v>23.249</v>
      </c>
      <c r="HK58">
        <v>999.9</v>
      </c>
      <c r="HL58">
        <v>44.079</v>
      </c>
      <c r="HM58">
        <v>30.414</v>
      </c>
      <c r="HN58">
        <v>21.395</v>
      </c>
      <c r="HO58">
        <v>54.5276</v>
      </c>
      <c r="HP58">
        <v>46.7829</v>
      </c>
      <c r="HQ58">
        <v>1</v>
      </c>
      <c r="HR58">
        <v>-0.137182</v>
      </c>
      <c r="HS58">
        <v>0.545275</v>
      </c>
      <c r="HT58">
        <v>20.2312</v>
      </c>
      <c r="HU58">
        <v>5.23301</v>
      </c>
      <c r="HV58">
        <v>11.992</v>
      </c>
      <c r="HW58">
        <v>4.9567</v>
      </c>
      <c r="HX58">
        <v>3.304</v>
      </c>
      <c r="HY58">
        <v>999.9</v>
      </c>
      <c r="HZ58">
        <v>9999</v>
      </c>
      <c r="IA58">
        <v>9999</v>
      </c>
      <c r="IB58">
        <v>9999</v>
      </c>
      <c r="IC58">
        <v>1.86868</v>
      </c>
      <c r="ID58">
        <v>1.86441</v>
      </c>
      <c r="IE58">
        <v>1.87195</v>
      </c>
      <c r="IF58">
        <v>1.86295</v>
      </c>
      <c r="IG58">
        <v>1.86234</v>
      </c>
      <c r="IH58">
        <v>1.86873</v>
      </c>
      <c r="II58">
        <v>1.85889</v>
      </c>
      <c r="IJ58">
        <v>1.86523</v>
      </c>
      <c r="IK58">
        <v>5</v>
      </c>
      <c r="IL58">
        <v>0</v>
      </c>
      <c r="IM58">
        <v>0</v>
      </c>
      <c r="IN58">
        <v>0</v>
      </c>
      <c r="IO58" t="s">
        <v>441</v>
      </c>
      <c r="IP58" t="s">
        <v>442</v>
      </c>
      <c r="IQ58" t="s">
        <v>443</v>
      </c>
      <c r="IR58" t="s">
        <v>443</v>
      </c>
      <c r="IS58" t="s">
        <v>443</v>
      </c>
      <c r="IT58" t="s">
        <v>443</v>
      </c>
      <c r="IU58">
        <v>0</v>
      </c>
      <c r="IV58">
        <v>100</v>
      </c>
      <c r="IW58">
        <v>100</v>
      </c>
      <c r="IX58">
        <v>6.032</v>
      </c>
      <c r="IY58">
        <v>0.112</v>
      </c>
      <c r="IZ58">
        <v>5.03284189197139</v>
      </c>
      <c r="JA58">
        <v>0.0062698613543794</v>
      </c>
      <c r="JB58">
        <v>-3.23243345529816e-06</v>
      </c>
      <c r="JC58">
        <v>8.00506428382295e-10</v>
      </c>
      <c r="JD58">
        <v>-0.047147796788171</v>
      </c>
      <c r="JE58">
        <v>-0.0018464610107002</v>
      </c>
      <c r="JF58">
        <v>0.000796540623429801</v>
      </c>
      <c r="JG58">
        <v>-1.04619914107352e-05</v>
      </c>
      <c r="JH58">
        <v>-0</v>
      </c>
      <c r="JI58">
        <v>2101</v>
      </c>
      <c r="JJ58">
        <v>1</v>
      </c>
      <c r="JK58">
        <v>23</v>
      </c>
      <c r="JL58">
        <v>1.2</v>
      </c>
      <c r="JM58">
        <v>1.2</v>
      </c>
      <c r="JN58">
        <v>0.595703</v>
      </c>
      <c r="JO58">
        <v>2.38159</v>
      </c>
      <c r="JP58">
        <v>1.4978</v>
      </c>
      <c r="JQ58">
        <v>2.33154</v>
      </c>
      <c r="JR58">
        <v>1.54419</v>
      </c>
      <c r="JS58">
        <v>2.38892</v>
      </c>
      <c r="JT58">
        <v>36.6233</v>
      </c>
      <c r="JU58">
        <v>24.3502</v>
      </c>
      <c r="JV58">
        <v>18</v>
      </c>
      <c r="JW58">
        <v>548.573</v>
      </c>
      <c r="JX58">
        <v>428.36</v>
      </c>
      <c r="JY58">
        <v>22.6156</v>
      </c>
      <c r="JZ58">
        <v>25.7534</v>
      </c>
      <c r="KA58">
        <v>30.0001</v>
      </c>
      <c r="KB58">
        <v>25.7918</v>
      </c>
      <c r="KC58">
        <v>25.8165</v>
      </c>
      <c r="KD58">
        <v>11.9744</v>
      </c>
      <c r="KE58">
        <v>26.9509</v>
      </c>
      <c r="KF58">
        <v>81.4891</v>
      </c>
      <c r="KG58">
        <v>22.6227</v>
      </c>
      <c r="KH58">
        <v>200</v>
      </c>
      <c r="KI58">
        <v>17.8754</v>
      </c>
      <c r="KJ58">
        <v>95.4304</v>
      </c>
      <c r="KK58">
        <v>98.9493</v>
      </c>
    </row>
    <row r="59" spans="1:297">
      <c r="A59">
        <v>43</v>
      </c>
      <c r="B59">
        <v>1765304889.1</v>
      </c>
      <c r="C59">
        <v>6940.09999990463</v>
      </c>
      <c r="D59" t="s">
        <v>570</v>
      </c>
      <c r="E59" t="s">
        <v>571</v>
      </c>
      <c r="F59">
        <v>5</v>
      </c>
      <c r="G59" t="s">
        <v>572</v>
      </c>
      <c r="H59" t="s">
        <v>436</v>
      </c>
      <c r="I59">
        <v>1765304881.1</v>
      </c>
      <c r="J59">
        <f>(K59)/1000</f>
        <v>0</v>
      </c>
      <c r="K59">
        <f>IF(DP59, AN59, AH59)</f>
        <v>0</v>
      </c>
      <c r="L59">
        <f>IF(DP59, AI59, AG59)</f>
        <v>0</v>
      </c>
      <c r="M59">
        <f>DR59 - IF(AU59&gt;1, L59*DL59*100.0/(AW59), 0)</f>
        <v>0</v>
      </c>
      <c r="N59">
        <f>((T59-J59/2)*M59-L59)/(T59+J59/2)</f>
        <v>0</v>
      </c>
      <c r="O59">
        <f>N59*(DY59+DZ59)/1000.0</f>
        <v>0</v>
      </c>
      <c r="P59">
        <f>(DR59 - IF(AU59&gt;1, L59*DL59*100.0/(AW59), 0))*(DY59+DZ59)/1000.0</f>
        <v>0</v>
      </c>
      <c r="Q59">
        <f>2.0/((1/S59-1/R59)+SIGN(S59)*SQRT((1/S59-1/R59)*(1/S59-1/R59) + 4*DM59/((DM59+1)*(DM59+1))*(2*1/S59*1/R59-1/R59*1/R59)))</f>
        <v>0</v>
      </c>
      <c r="R59">
        <f>IF(LEFT(DN59,1)&lt;&gt;"0",IF(LEFT(DN59,1)="1",3.0,DO59),$D$5+$E$5*(EF59*DY59/($K$5*1000))+$F$5*(EF59*DY59/($K$5*1000))*MAX(MIN(DL59,$J$5),$I$5)*MAX(MIN(DL59,$J$5),$I$5)+$G$5*MAX(MIN(DL59,$J$5),$I$5)*(EF59*DY59/($K$5*1000))+$H$5*(EF59*DY59/($K$5*1000))*(EF59*DY59/($K$5*1000)))</f>
        <v>0</v>
      </c>
      <c r="S59">
        <f>J59*(1000-(1000*0.61365*exp(17.502*W59/(240.97+W59))/(DY59+DZ59)+DT59)/2)/(1000*0.61365*exp(17.502*W59/(240.97+W59))/(DY59+DZ59)-DT59)</f>
        <v>0</v>
      </c>
      <c r="T59">
        <f>1/((DM59+1)/(Q59/1.6)+1/(R59/1.37)) + DM59/((DM59+1)/(Q59/1.6) + DM59/(R59/1.37))</f>
        <v>0</v>
      </c>
      <c r="U59">
        <f>(DH59*DK59)</f>
        <v>0</v>
      </c>
      <c r="V59">
        <f>(EA59+(U59+2*0.95*5.67E-8*(((EA59+$B$7)+273)^4-(EA59+273)^4)-44100*J59)/(1.84*29.3*R59+8*0.95*5.67E-8*(EA59+273)^3))</f>
        <v>0</v>
      </c>
      <c r="W59">
        <f>($C$7*EB59+$D$7*EC59+$E$7*V59)</f>
        <v>0</v>
      </c>
      <c r="X59">
        <f>0.61365*exp(17.502*W59/(240.97+W59))</f>
        <v>0</v>
      </c>
      <c r="Y59">
        <f>(Z59/AA59*100)</f>
        <v>0</v>
      </c>
      <c r="Z59">
        <f>DT59*(DY59+DZ59)/1000</f>
        <v>0</v>
      </c>
      <c r="AA59">
        <f>0.61365*exp(17.502*EA59/(240.97+EA59))</f>
        <v>0</v>
      </c>
      <c r="AB59">
        <f>(X59-DT59*(DY59+DZ59)/1000)</f>
        <v>0</v>
      </c>
      <c r="AC59">
        <f>(-J59*44100)</f>
        <v>0</v>
      </c>
      <c r="AD59">
        <f>2*29.3*R59*0.92*(EA59-W59)</f>
        <v>0</v>
      </c>
      <c r="AE59">
        <f>2*0.95*5.67E-8*(((EA59+$B$7)+273)^4-(W59+273)^4)</f>
        <v>0</v>
      </c>
      <c r="AF59">
        <f>U59+AE59+AC59+AD59</f>
        <v>0</v>
      </c>
      <c r="AG59">
        <f>DX59*AU59*(DS59-DR59*(1000-AU59*DU59)/(1000-AU59*DT59))/(100*DL59)</f>
        <v>0</v>
      </c>
      <c r="AH59">
        <f>1000*DX59*AU59*(DT59-DU59)/(100*DL59*(1000-AU59*DT59))</f>
        <v>0</v>
      </c>
      <c r="AI59">
        <f>(AJ59 - AK59 - DY59*1E3/(8.314*(EA59+273.15)) * AM59/DX59 * AL59) * DX59/(100*DL59) * (1000 - DU59)/1000</f>
        <v>0</v>
      </c>
      <c r="AJ59">
        <v>101.826151215371</v>
      </c>
      <c r="AK59">
        <v>101.842406060606</v>
      </c>
      <c r="AL59">
        <v>-0.000115656076852157</v>
      </c>
      <c r="AM59">
        <v>64.3320804149315</v>
      </c>
      <c r="AN59">
        <f>(AP59 - AO59 + DY59*1E3/(8.314*(EA59+273.15)) * AR59/DX59 * AQ59) * DX59/(100*DL59) * 1000/(1000 - AP59)</f>
        <v>0</v>
      </c>
      <c r="AO59">
        <v>17.9256695648307</v>
      </c>
      <c r="AP59">
        <v>17.9991615384616</v>
      </c>
      <c r="AQ59">
        <v>-1.40502288560789e-06</v>
      </c>
      <c r="AR59">
        <v>102.994851272763</v>
      </c>
      <c r="AS59">
        <v>0</v>
      </c>
      <c r="AT59">
        <v>0</v>
      </c>
      <c r="AU59">
        <f>IF(AS59*$H$13&gt;=AW59,1.0,(AW59/(AW59-AS59*$H$13)))</f>
        <v>0</v>
      </c>
      <c r="AV59">
        <f>(AU59-1)*100</f>
        <v>0</v>
      </c>
      <c r="AW59">
        <f>MAX(0,($B$13+$C$13*EF59)/(1+$D$13*EF59)*DY59/(EA59+273)*$E$13)</f>
        <v>0</v>
      </c>
      <c r="AX59" t="s">
        <v>437</v>
      </c>
      <c r="AY59" t="s">
        <v>437</v>
      </c>
      <c r="AZ59">
        <v>0</v>
      </c>
      <c r="BA59">
        <v>0</v>
      </c>
      <c r="BB59">
        <f>1-AZ59/BA59</f>
        <v>0</v>
      </c>
      <c r="BC59">
        <v>0</v>
      </c>
      <c r="BD59" t="s">
        <v>437</v>
      </c>
      <c r="BE59" t="s">
        <v>437</v>
      </c>
      <c r="BF59">
        <v>0</v>
      </c>
      <c r="BG59">
        <v>0</v>
      </c>
      <c r="BH59">
        <f>1-BF59/BG59</f>
        <v>0</v>
      </c>
      <c r="BI59">
        <v>0.5</v>
      </c>
      <c r="BJ59">
        <f>DI59</f>
        <v>0</v>
      </c>
      <c r="BK59">
        <f>L59</f>
        <v>0</v>
      </c>
      <c r="BL59">
        <f>BH59*BI59*BJ59</f>
        <v>0</v>
      </c>
      <c r="BM59">
        <f>(BK59-BC59)/BJ59</f>
        <v>0</v>
      </c>
      <c r="BN59">
        <f>(BA59-BG59)/BG59</f>
        <v>0</v>
      </c>
      <c r="BO59">
        <f>AZ59/(BB59+AZ59/BG59)</f>
        <v>0</v>
      </c>
      <c r="BP59" t="s">
        <v>437</v>
      </c>
      <c r="BQ59">
        <v>0</v>
      </c>
      <c r="BR59">
        <f>IF(BQ59&lt;&gt;0, BQ59, BO59)</f>
        <v>0</v>
      </c>
      <c r="BS59">
        <f>1-BR59/BG59</f>
        <v>0</v>
      </c>
      <c r="BT59">
        <f>(BG59-BF59)/(BG59-BR59)</f>
        <v>0</v>
      </c>
      <c r="BU59">
        <f>(BA59-BG59)/(BA59-BR59)</f>
        <v>0</v>
      </c>
      <c r="BV59">
        <f>(BG59-BF59)/(BG59-AZ59)</f>
        <v>0</v>
      </c>
      <c r="BW59">
        <f>(BA59-BG59)/(BA59-AZ59)</f>
        <v>0</v>
      </c>
      <c r="BX59">
        <f>(BT59*BR59/BF59)</f>
        <v>0</v>
      </c>
      <c r="BY59">
        <f>(1-BX59)</f>
        <v>0</v>
      </c>
      <c r="DH59">
        <f>$B$11*EG59+$C$11*EH59+$F$11*ES59*(1-EV59)</f>
        <v>0</v>
      </c>
      <c r="DI59">
        <f>DH59*DJ59</f>
        <v>0</v>
      </c>
      <c r="DJ59">
        <f>($B$11*$D$9+$C$11*$D$9+$F$11*((FF59+EX59)/MAX(FF59+EX59+FG59, 0.1)*$I$9+FG59/MAX(FF59+EX59+FG59, 0.1)*$J$9))/($B$11+$C$11+$F$11)</f>
        <v>0</v>
      </c>
      <c r="DK59">
        <f>($B$11*$K$9+$C$11*$K$9+$F$11*((FF59+EX59)/MAX(FF59+EX59+FG59, 0.1)*$P$9+FG59/MAX(FF59+EX59+FG59, 0.1)*$Q$9))/($B$11+$C$11+$F$11)</f>
        <v>0</v>
      </c>
      <c r="DL59">
        <v>6</v>
      </c>
      <c r="DM59">
        <v>0.5</v>
      </c>
      <c r="DN59" t="s">
        <v>438</v>
      </c>
      <c r="DO59">
        <v>2</v>
      </c>
      <c r="DP59" t="b">
        <v>1</v>
      </c>
      <c r="DQ59">
        <v>1765304881.1</v>
      </c>
      <c r="DR59">
        <v>100.22494</v>
      </c>
      <c r="DS59">
        <v>100.008146666667</v>
      </c>
      <c r="DT59">
        <v>17.9971466666667</v>
      </c>
      <c r="DU59">
        <v>17.9260866666667</v>
      </c>
      <c r="DV59">
        <v>94.52394</v>
      </c>
      <c r="DW59">
        <v>17.8851466666667</v>
      </c>
      <c r="DX59">
        <v>500.002333333333</v>
      </c>
      <c r="DY59">
        <v>89.89222</v>
      </c>
      <c r="DZ59">
        <v>0.100007373333333</v>
      </c>
      <c r="EA59">
        <v>25.3286466666667</v>
      </c>
      <c r="EB59">
        <v>25.0248533333333</v>
      </c>
      <c r="EC59">
        <v>999.9</v>
      </c>
      <c r="ED59">
        <v>0</v>
      </c>
      <c r="EE59">
        <v>0</v>
      </c>
      <c r="EF59">
        <v>9985.248</v>
      </c>
      <c r="EG59">
        <v>0</v>
      </c>
      <c r="EH59">
        <v>12.4638</v>
      </c>
      <c r="EI59">
        <v>0.01151935868</v>
      </c>
      <c r="EJ59">
        <v>101.853</v>
      </c>
      <c r="EK59">
        <v>101.833733333333</v>
      </c>
      <c r="EL59">
        <v>0.07384008</v>
      </c>
      <c r="EM59">
        <v>100.008146666667</v>
      </c>
      <c r="EN59">
        <v>17.9260866666667</v>
      </c>
      <c r="EO59">
        <v>1.618054</v>
      </c>
      <c r="EP59">
        <v>1.61141666666667</v>
      </c>
      <c r="EQ59">
        <v>14.1318266666667</v>
      </c>
      <c r="ER59">
        <v>14.0684</v>
      </c>
      <c r="ES59">
        <v>800.050533333333</v>
      </c>
      <c r="ET59">
        <v>0.949998666666666</v>
      </c>
      <c r="EU59">
        <v>0.0500014133333333</v>
      </c>
      <c r="EV59">
        <v>0</v>
      </c>
      <c r="EW59">
        <v>925.071533333333</v>
      </c>
      <c r="EX59">
        <v>5.00016</v>
      </c>
      <c r="EY59">
        <v>7185.28133333333</v>
      </c>
      <c r="EZ59">
        <v>7195.13133333333</v>
      </c>
      <c r="FA59">
        <v>39.5041333333333</v>
      </c>
      <c r="FB59">
        <v>42.25</v>
      </c>
      <c r="FC59">
        <v>40.9832</v>
      </c>
      <c r="FD59">
        <v>42.312</v>
      </c>
      <c r="FE59">
        <v>42.187</v>
      </c>
      <c r="FF59">
        <v>755.295333333333</v>
      </c>
      <c r="FG59">
        <v>39.75</v>
      </c>
      <c r="FH59">
        <v>0</v>
      </c>
      <c r="FI59">
        <v>1765304889.7</v>
      </c>
      <c r="FJ59">
        <v>0</v>
      </c>
      <c r="FK59">
        <v>925.047961538462</v>
      </c>
      <c r="FL59">
        <v>-0.863487172093078</v>
      </c>
      <c r="FM59">
        <v>2.97811972523698</v>
      </c>
      <c r="FN59">
        <v>7184.99269230769</v>
      </c>
      <c r="FO59">
        <v>15</v>
      </c>
      <c r="FP59">
        <v>1765304919.1</v>
      </c>
      <c r="FQ59" t="s">
        <v>573</v>
      </c>
      <c r="FR59">
        <v>1765304919.1</v>
      </c>
      <c r="FS59">
        <v>1765304912.1</v>
      </c>
      <c r="FT59">
        <v>43</v>
      </c>
      <c r="FU59">
        <v>0.206</v>
      </c>
      <c r="FV59">
        <v>-0.001</v>
      </c>
      <c r="FW59">
        <v>5.701</v>
      </c>
      <c r="FX59">
        <v>0.112</v>
      </c>
      <c r="FY59">
        <v>100</v>
      </c>
      <c r="FZ59">
        <v>18</v>
      </c>
      <c r="GA59">
        <v>0.41</v>
      </c>
      <c r="GB59">
        <v>0.18</v>
      </c>
      <c r="GC59">
        <v>0.03978879901</v>
      </c>
      <c r="GD59">
        <v>-0.452460933049624</v>
      </c>
      <c r="GE59">
        <v>0.0573741576453759</v>
      </c>
      <c r="GF59">
        <v>1</v>
      </c>
      <c r="GG59">
        <v>925.050852941176</v>
      </c>
      <c r="GH59">
        <v>-0.0958747136315009</v>
      </c>
      <c r="GI59">
        <v>0.172977919766204</v>
      </c>
      <c r="GJ59">
        <v>-1</v>
      </c>
      <c r="GK59">
        <v>0.074380305</v>
      </c>
      <c r="GL59">
        <v>-0.00413553834586459</v>
      </c>
      <c r="GM59">
        <v>0.000892985263302256</v>
      </c>
      <c r="GN59">
        <v>1</v>
      </c>
      <c r="GO59">
        <v>2</v>
      </c>
      <c r="GP59">
        <v>2</v>
      </c>
      <c r="GQ59" t="s">
        <v>440</v>
      </c>
      <c r="GR59">
        <v>3.12497</v>
      </c>
      <c r="GS59">
        <v>2.72544</v>
      </c>
      <c r="GT59">
        <v>0.0242503</v>
      </c>
      <c r="GU59">
        <v>0.0256539</v>
      </c>
      <c r="GV59">
        <v>0.0829477</v>
      </c>
      <c r="GW59">
        <v>0.0827539</v>
      </c>
      <c r="GX59">
        <v>25795.3</v>
      </c>
      <c r="GY59">
        <v>23854</v>
      </c>
      <c r="GZ59">
        <v>23632.1</v>
      </c>
      <c r="HA59">
        <v>23828</v>
      </c>
      <c r="HB59">
        <v>36892.5</v>
      </c>
      <c r="HC59">
        <v>36129.4</v>
      </c>
      <c r="HD59">
        <v>42558.2</v>
      </c>
      <c r="HE59">
        <v>42437.7</v>
      </c>
      <c r="HF59">
        <v>1.93775</v>
      </c>
      <c r="HG59">
        <v>1.83768</v>
      </c>
      <c r="HH59">
        <v>0.107192</v>
      </c>
      <c r="HI59">
        <v>0</v>
      </c>
      <c r="HJ59">
        <v>23.2627</v>
      </c>
      <c r="HK59">
        <v>999.9</v>
      </c>
      <c r="HL59">
        <v>44.152</v>
      </c>
      <c r="HM59">
        <v>30.383</v>
      </c>
      <c r="HN59">
        <v>21.3916</v>
      </c>
      <c r="HO59">
        <v>54.9076</v>
      </c>
      <c r="HP59">
        <v>46.887</v>
      </c>
      <c r="HQ59">
        <v>1</v>
      </c>
      <c r="HR59">
        <v>-0.136466</v>
      </c>
      <c r="HS59">
        <v>0.876688</v>
      </c>
      <c r="HT59">
        <v>20.2295</v>
      </c>
      <c r="HU59">
        <v>5.23436</v>
      </c>
      <c r="HV59">
        <v>11.992</v>
      </c>
      <c r="HW59">
        <v>4.95605</v>
      </c>
      <c r="HX59">
        <v>3.304</v>
      </c>
      <c r="HY59">
        <v>999.9</v>
      </c>
      <c r="HZ59">
        <v>9999</v>
      </c>
      <c r="IA59">
        <v>9999</v>
      </c>
      <c r="IB59">
        <v>9999</v>
      </c>
      <c r="IC59">
        <v>1.86873</v>
      </c>
      <c r="ID59">
        <v>1.86446</v>
      </c>
      <c r="IE59">
        <v>1.87197</v>
      </c>
      <c r="IF59">
        <v>1.86296</v>
      </c>
      <c r="IG59">
        <v>1.86234</v>
      </c>
      <c r="IH59">
        <v>1.86874</v>
      </c>
      <c r="II59">
        <v>1.85895</v>
      </c>
      <c r="IJ59">
        <v>1.86523</v>
      </c>
      <c r="IK59">
        <v>5</v>
      </c>
      <c r="IL59">
        <v>0</v>
      </c>
      <c r="IM59">
        <v>0</v>
      </c>
      <c r="IN59">
        <v>0</v>
      </c>
      <c r="IO59" t="s">
        <v>441</v>
      </c>
      <c r="IP59" t="s">
        <v>442</v>
      </c>
      <c r="IQ59" t="s">
        <v>443</v>
      </c>
      <c r="IR59" t="s">
        <v>443</v>
      </c>
      <c r="IS59" t="s">
        <v>443</v>
      </c>
      <c r="IT59" t="s">
        <v>443</v>
      </c>
      <c r="IU59">
        <v>0</v>
      </c>
      <c r="IV59">
        <v>100</v>
      </c>
      <c r="IW59">
        <v>100</v>
      </c>
      <c r="IX59">
        <v>5.701</v>
      </c>
      <c r="IY59">
        <v>0.112</v>
      </c>
      <c r="IZ59">
        <v>4.93134731485636</v>
      </c>
      <c r="JA59">
        <v>0.0062698613543794</v>
      </c>
      <c r="JB59">
        <v>-3.23243345529816e-06</v>
      </c>
      <c r="JC59">
        <v>8.00506428382295e-10</v>
      </c>
      <c r="JD59">
        <v>-0.0471302232627607</v>
      </c>
      <c r="JE59">
        <v>-0.0018464610107002</v>
      </c>
      <c r="JF59">
        <v>0.000796540623429801</v>
      </c>
      <c r="JG59">
        <v>-1.04619914107352e-05</v>
      </c>
      <c r="JH59">
        <v>-0</v>
      </c>
      <c r="JI59">
        <v>2101</v>
      </c>
      <c r="JJ59">
        <v>1</v>
      </c>
      <c r="JK59">
        <v>23</v>
      </c>
      <c r="JL59">
        <v>1.3</v>
      </c>
      <c r="JM59">
        <v>1.4</v>
      </c>
      <c r="JN59">
        <v>0.375977</v>
      </c>
      <c r="JO59">
        <v>2.4231</v>
      </c>
      <c r="JP59">
        <v>1.49902</v>
      </c>
      <c r="JQ59">
        <v>2.33154</v>
      </c>
      <c r="JR59">
        <v>1.54419</v>
      </c>
      <c r="JS59">
        <v>2.29004</v>
      </c>
      <c r="JT59">
        <v>36.5523</v>
      </c>
      <c r="JU59">
        <v>24.3414</v>
      </c>
      <c r="JV59">
        <v>18</v>
      </c>
      <c r="JW59">
        <v>548.387</v>
      </c>
      <c r="JX59">
        <v>428.372</v>
      </c>
      <c r="JY59">
        <v>22.361</v>
      </c>
      <c r="JZ59">
        <v>25.7513</v>
      </c>
      <c r="KA59">
        <v>30.0001</v>
      </c>
      <c r="KB59">
        <v>25.7745</v>
      </c>
      <c r="KC59">
        <v>25.7993</v>
      </c>
      <c r="KD59">
        <v>7.56401</v>
      </c>
      <c r="KE59">
        <v>26.3709</v>
      </c>
      <c r="KF59">
        <v>81.4891</v>
      </c>
      <c r="KG59">
        <v>22.3361</v>
      </c>
      <c r="KH59">
        <v>100</v>
      </c>
      <c r="KI59">
        <v>17.9662</v>
      </c>
      <c r="KJ59">
        <v>95.4212</v>
      </c>
      <c r="KK59">
        <v>98.9495</v>
      </c>
    </row>
    <row r="60" spans="1:297">
      <c r="A60">
        <v>44</v>
      </c>
      <c r="B60">
        <v>1765304989.1</v>
      </c>
      <c r="C60">
        <v>7040.09999990463</v>
      </c>
      <c r="D60" t="s">
        <v>574</v>
      </c>
      <c r="E60" t="s">
        <v>575</v>
      </c>
      <c r="F60">
        <v>5</v>
      </c>
      <c r="G60" t="s">
        <v>572</v>
      </c>
      <c r="H60" t="s">
        <v>436</v>
      </c>
      <c r="I60">
        <v>1765304981.1</v>
      </c>
      <c r="J60">
        <f>(K60)/1000</f>
        <v>0</v>
      </c>
      <c r="K60">
        <f>IF(DP60, AN60, AH60)</f>
        <v>0</v>
      </c>
      <c r="L60">
        <f>IF(DP60, AI60, AG60)</f>
        <v>0</v>
      </c>
      <c r="M60">
        <f>DR60 - IF(AU60&gt;1, L60*DL60*100.0/(AW60), 0)</f>
        <v>0</v>
      </c>
      <c r="N60">
        <f>((T60-J60/2)*M60-L60)/(T60+J60/2)</f>
        <v>0</v>
      </c>
      <c r="O60">
        <f>N60*(DY60+DZ60)/1000.0</f>
        <v>0</v>
      </c>
      <c r="P60">
        <f>(DR60 - IF(AU60&gt;1, L60*DL60*100.0/(AW60), 0))*(DY60+DZ60)/1000.0</f>
        <v>0</v>
      </c>
      <c r="Q60">
        <f>2.0/((1/S60-1/R60)+SIGN(S60)*SQRT((1/S60-1/R60)*(1/S60-1/R60) + 4*DM60/((DM60+1)*(DM60+1))*(2*1/S60*1/R60-1/R60*1/R60)))</f>
        <v>0</v>
      </c>
      <c r="R60">
        <f>IF(LEFT(DN60,1)&lt;&gt;"0",IF(LEFT(DN60,1)="1",3.0,DO60),$D$5+$E$5*(EF60*DY60/($K$5*1000))+$F$5*(EF60*DY60/($K$5*1000))*MAX(MIN(DL60,$J$5),$I$5)*MAX(MIN(DL60,$J$5),$I$5)+$G$5*MAX(MIN(DL60,$J$5),$I$5)*(EF60*DY60/($K$5*1000))+$H$5*(EF60*DY60/($K$5*1000))*(EF60*DY60/($K$5*1000)))</f>
        <v>0</v>
      </c>
      <c r="S60">
        <f>J60*(1000-(1000*0.61365*exp(17.502*W60/(240.97+W60))/(DY60+DZ60)+DT60)/2)/(1000*0.61365*exp(17.502*W60/(240.97+W60))/(DY60+DZ60)-DT60)</f>
        <v>0</v>
      </c>
      <c r="T60">
        <f>1/((DM60+1)/(Q60/1.6)+1/(R60/1.37)) + DM60/((DM60+1)/(Q60/1.6) + DM60/(R60/1.37))</f>
        <v>0</v>
      </c>
      <c r="U60">
        <f>(DH60*DK60)</f>
        <v>0</v>
      </c>
      <c r="V60">
        <f>(EA60+(U60+2*0.95*5.67E-8*(((EA60+$B$7)+273)^4-(EA60+273)^4)-44100*J60)/(1.84*29.3*R60+8*0.95*5.67E-8*(EA60+273)^3))</f>
        <v>0</v>
      </c>
      <c r="W60">
        <f>($C$7*EB60+$D$7*EC60+$E$7*V60)</f>
        <v>0</v>
      </c>
      <c r="X60">
        <f>0.61365*exp(17.502*W60/(240.97+W60))</f>
        <v>0</v>
      </c>
      <c r="Y60">
        <f>(Z60/AA60*100)</f>
        <v>0</v>
      </c>
      <c r="Z60">
        <f>DT60*(DY60+DZ60)/1000</f>
        <v>0</v>
      </c>
      <c r="AA60">
        <f>0.61365*exp(17.502*EA60/(240.97+EA60))</f>
        <v>0</v>
      </c>
      <c r="AB60">
        <f>(X60-DT60*(DY60+DZ60)/1000)</f>
        <v>0</v>
      </c>
      <c r="AC60">
        <f>(-J60*44100)</f>
        <v>0</v>
      </c>
      <c r="AD60">
        <f>2*29.3*R60*0.92*(EA60-W60)</f>
        <v>0</v>
      </c>
      <c r="AE60">
        <f>2*0.95*5.67E-8*(((EA60+$B$7)+273)^4-(W60+273)^4)</f>
        <v>0</v>
      </c>
      <c r="AF60">
        <f>U60+AE60+AC60+AD60</f>
        <v>0</v>
      </c>
      <c r="AG60">
        <f>DX60*AU60*(DS60-DR60*(1000-AU60*DU60)/(1000-AU60*DT60))/(100*DL60)</f>
        <v>0</v>
      </c>
      <c r="AH60">
        <f>1000*DX60*AU60*(DT60-DU60)/(100*DL60*(1000-AU60*DT60))</f>
        <v>0</v>
      </c>
      <c r="AI60">
        <f>(AJ60 - AK60 - DY60*1E3/(8.314*(EA60+273.15)) * AM60/DX60 * AL60) * DX60/(100*DL60) * (1000 - DU60)/1000</f>
        <v>0</v>
      </c>
      <c r="AJ60">
        <v>50.9216436903624</v>
      </c>
      <c r="AK60">
        <v>50.9338133333333</v>
      </c>
      <c r="AL60">
        <v>-0.000674049687981984</v>
      </c>
      <c r="AM60">
        <v>64.2736683459268</v>
      </c>
      <c r="AN60">
        <f>(AP60 - AO60 + DY60*1E3/(8.314*(EA60+273.15)) * AR60/DX60 * AQ60) * DX60/(100*DL60) * 1000/(1000 - AP60)</f>
        <v>0</v>
      </c>
      <c r="AO60">
        <v>17.9370066498479</v>
      </c>
      <c r="AP60">
        <v>18.0073202797203</v>
      </c>
      <c r="AQ60">
        <v>1.2410927862753e-05</v>
      </c>
      <c r="AR60">
        <v>103.290628446521</v>
      </c>
      <c r="AS60">
        <v>0</v>
      </c>
      <c r="AT60">
        <v>0</v>
      </c>
      <c r="AU60">
        <f>IF(AS60*$H$13&gt;=AW60,1.0,(AW60/(AW60-AS60*$H$13)))</f>
        <v>0</v>
      </c>
      <c r="AV60">
        <f>(AU60-1)*100</f>
        <v>0</v>
      </c>
      <c r="AW60">
        <f>MAX(0,($B$13+$C$13*EF60)/(1+$D$13*EF60)*DY60/(EA60+273)*$E$13)</f>
        <v>0</v>
      </c>
      <c r="AX60" t="s">
        <v>437</v>
      </c>
      <c r="AY60" t="s">
        <v>437</v>
      </c>
      <c r="AZ60">
        <v>0</v>
      </c>
      <c r="BA60">
        <v>0</v>
      </c>
      <c r="BB60">
        <f>1-AZ60/BA60</f>
        <v>0</v>
      </c>
      <c r="BC60">
        <v>0</v>
      </c>
      <c r="BD60" t="s">
        <v>437</v>
      </c>
      <c r="BE60" t="s">
        <v>437</v>
      </c>
      <c r="BF60">
        <v>0</v>
      </c>
      <c r="BG60">
        <v>0</v>
      </c>
      <c r="BH60">
        <f>1-BF60/BG60</f>
        <v>0</v>
      </c>
      <c r="BI60">
        <v>0.5</v>
      </c>
      <c r="BJ60">
        <f>DI60</f>
        <v>0</v>
      </c>
      <c r="BK60">
        <f>L60</f>
        <v>0</v>
      </c>
      <c r="BL60">
        <f>BH60*BI60*BJ60</f>
        <v>0</v>
      </c>
      <c r="BM60">
        <f>(BK60-BC60)/BJ60</f>
        <v>0</v>
      </c>
      <c r="BN60">
        <f>(BA60-BG60)/BG60</f>
        <v>0</v>
      </c>
      <c r="BO60">
        <f>AZ60/(BB60+AZ60/BG60)</f>
        <v>0</v>
      </c>
      <c r="BP60" t="s">
        <v>437</v>
      </c>
      <c r="BQ60">
        <v>0</v>
      </c>
      <c r="BR60">
        <f>IF(BQ60&lt;&gt;0, BQ60, BO60)</f>
        <v>0</v>
      </c>
      <c r="BS60">
        <f>1-BR60/BG60</f>
        <v>0</v>
      </c>
      <c r="BT60">
        <f>(BG60-BF60)/(BG60-BR60)</f>
        <v>0</v>
      </c>
      <c r="BU60">
        <f>(BA60-BG60)/(BA60-BR60)</f>
        <v>0</v>
      </c>
      <c r="BV60">
        <f>(BG60-BF60)/(BG60-AZ60)</f>
        <v>0</v>
      </c>
      <c r="BW60">
        <f>(BA60-BG60)/(BA60-AZ60)</f>
        <v>0</v>
      </c>
      <c r="BX60">
        <f>(BT60*BR60/BF60)</f>
        <v>0</v>
      </c>
      <c r="BY60">
        <f>(1-BX60)</f>
        <v>0</v>
      </c>
      <c r="DH60">
        <f>$B$11*EG60+$C$11*EH60+$F$11*ES60*(1-EV60)</f>
        <v>0</v>
      </c>
      <c r="DI60">
        <f>DH60*DJ60</f>
        <v>0</v>
      </c>
      <c r="DJ60">
        <f>($B$11*$D$9+$C$11*$D$9+$F$11*((FF60+EX60)/MAX(FF60+EX60+FG60, 0.1)*$I$9+FG60/MAX(FF60+EX60+FG60, 0.1)*$J$9))/($B$11+$C$11+$F$11)</f>
        <v>0</v>
      </c>
      <c r="DK60">
        <f>($B$11*$K$9+$C$11*$K$9+$F$11*((FF60+EX60)/MAX(FF60+EX60+FG60, 0.1)*$P$9+FG60/MAX(FF60+EX60+FG60, 0.1)*$Q$9))/($B$11+$C$11+$F$11)</f>
        <v>0</v>
      </c>
      <c r="DL60">
        <v>6</v>
      </c>
      <c r="DM60">
        <v>0.5</v>
      </c>
      <c r="DN60" t="s">
        <v>438</v>
      </c>
      <c r="DO60">
        <v>2</v>
      </c>
      <c r="DP60" t="b">
        <v>1</v>
      </c>
      <c r="DQ60">
        <v>1765304981.1</v>
      </c>
      <c r="DR60">
        <v>50.2192</v>
      </c>
      <c r="DS60">
        <v>49.9924866666667</v>
      </c>
      <c r="DT60">
        <v>18.0041066666667</v>
      </c>
      <c r="DU60">
        <v>17.93608</v>
      </c>
      <c r="DV60">
        <v>44.6042</v>
      </c>
      <c r="DW60">
        <v>17.8921066666667</v>
      </c>
      <c r="DX60">
        <v>500.0068</v>
      </c>
      <c r="DY60">
        <v>89.89722</v>
      </c>
      <c r="DZ60">
        <v>0.0999536133333333</v>
      </c>
      <c r="EA60">
        <v>25.2911333333333</v>
      </c>
      <c r="EB60">
        <v>24.9954466666667</v>
      </c>
      <c r="EC60">
        <v>999.9</v>
      </c>
      <c r="ED60">
        <v>0</v>
      </c>
      <c r="EE60">
        <v>0</v>
      </c>
      <c r="EF60">
        <v>9998.998</v>
      </c>
      <c r="EG60">
        <v>0</v>
      </c>
      <c r="EH60">
        <v>12.4638</v>
      </c>
      <c r="EI60">
        <v>0.0224426301333333</v>
      </c>
      <c r="EJ60">
        <v>50.93198</v>
      </c>
      <c r="EK60">
        <v>50.90552</v>
      </c>
      <c r="EL60">
        <v>0.0695213333333333</v>
      </c>
      <c r="EM60">
        <v>49.9924866666667</v>
      </c>
      <c r="EN60">
        <v>17.93608</v>
      </c>
      <c r="EO60">
        <v>1.61865333333333</v>
      </c>
      <c r="EP60">
        <v>1.61240466666667</v>
      </c>
      <c r="EQ60">
        <v>14.13754</v>
      </c>
      <c r="ER60">
        <v>14.0778533333333</v>
      </c>
      <c r="ES60">
        <v>799.946666666667</v>
      </c>
      <c r="ET60">
        <v>0.9499856</v>
      </c>
      <c r="EU60">
        <v>0.05001438</v>
      </c>
      <c r="EV60">
        <v>0</v>
      </c>
      <c r="EW60">
        <v>925.2518</v>
      </c>
      <c r="EX60">
        <v>5.00016</v>
      </c>
      <c r="EY60">
        <v>7186.63</v>
      </c>
      <c r="EZ60">
        <v>7194.16066666667</v>
      </c>
      <c r="FA60">
        <v>39.562</v>
      </c>
      <c r="FB60">
        <v>42.25</v>
      </c>
      <c r="FC60">
        <v>41</v>
      </c>
      <c r="FD60">
        <v>42.3246</v>
      </c>
      <c r="FE60">
        <v>42.2122</v>
      </c>
      <c r="FF60">
        <v>755.188</v>
      </c>
      <c r="FG60">
        <v>39.756</v>
      </c>
      <c r="FH60">
        <v>0</v>
      </c>
      <c r="FI60">
        <v>1765304989.3</v>
      </c>
      <c r="FJ60">
        <v>0</v>
      </c>
      <c r="FK60">
        <v>925.251807692308</v>
      </c>
      <c r="FL60">
        <v>0.171179482996281</v>
      </c>
      <c r="FM60">
        <v>-1.69675217890042</v>
      </c>
      <c r="FN60">
        <v>7187.06423076923</v>
      </c>
      <c r="FO60">
        <v>15</v>
      </c>
      <c r="FP60">
        <v>1765305014.1</v>
      </c>
      <c r="FQ60" t="s">
        <v>576</v>
      </c>
      <c r="FR60">
        <v>1765305014.1</v>
      </c>
      <c r="FS60">
        <v>1765305007.1</v>
      </c>
      <c r="FT60">
        <v>44</v>
      </c>
      <c r="FU60">
        <v>0.206</v>
      </c>
      <c r="FV60">
        <v>-0.001</v>
      </c>
      <c r="FW60">
        <v>5.615</v>
      </c>
      <c r="FX60">
        <v>0.112</v>
      </c>
      <c r="FY60">
        <v>50</v>
      </c>
      <c r="FZ60">
        <v>18</v>
      </c>
      <c r="GA60">
        <v>0.4</v>
      </c>
      <c r="GB60">
        <v>0.16</v>
      </c>
      <c r="GC60">
        <v>0.040248312</v>
      </c>
      <c r="GD60">
        <v>-0.305535846701298</v>
      </c>
      <c r="GE60">
        <v>0.0419156303952285</v>
      </c>
      <c r="GF60">
        <v>1</v>
      </c>
      <c r="GG60">
        <v>925.252088235294</v>
      </c>
      <c r="GH60">
        <v>0.25614972638302</v>
      </c>
      <c r="GI60">
        <v>0.169937249257251</v>
      </c>
      <c r="GJ60">
        <v>-1</v>
      </c>
      <c r="GK60">
        <v>0.0703535523809524</v>
      </c>
      <c r="GL60">
        <v>-0.0179722831168832</v>
      </c>
      <c r="GM60">
        <v>0.0019367735110153</v>
      </c>
      <c r="GN60">
        <v>1</v>
      </c>
      <c r="GO60">
        <v>2</v>
      </c>
      <c r="GP60">
        <v>2</v>
      </c>
      <c r="GQ60" t="s">
        <v>440</v>
      </c>
      <c r="GR60">
        <v>3.12498</v>
      </c>
      <c r="GS60">
        <v>2.72566</v>
      </c>
      <c r="GT60">
        <v>0.0116141</v>
      </c>
      <c r="GU60">
        <v>0.0130482</v>
      </c>
      <c r="GV60">
        <v>0.0829885</v>
      </c>
      <c r="GW60">
        <v>0.0827972</v>
      </c>
      <c r="GX60">
        <v>26126.5</v>
      </c>
      <c r="GY60">
        <v>24161.6</v>
      </c>
      <c r="GZ60">
        <v>23629.4</v>
      </c>
      <c r="HA60">
        <v>23827</v>
      </c>
      <c r="HB60">
        <v>36886</v>
      </c>
      <c r="HC60">
        <v>36125.8</v>
      </c>
      <c r="HD60">
        <v>42553.8</v>
      </c>
      <c r="HE60">
        <v>42436.6</v>
      </c>
      <c r="HF60">
        <v>1.93727</v>
      </c>
      <c r="HG60">
        <v>1.83823</v>
      </c>
      <c r="HH60">
        <v>0.105754</v>
      </c>
      <c r="HI60">
        <v>0</v>
      </c>
      <c r="HJ60">
        <v>23.2529</v>
      </c>
      <c r="HK60">
        <v>999.9</v>
      </c>
      <c r="HL60">
        <v>44.25</v>
      </c>
      <c r="HM60">
        <v>30.343</v>
      </c>
      <c r="HN60">
        <v>21.3857</v>
      </c>
      <c r="HO60">
        <v>54.5076</v>
      </c>
      <c r="HP60">
        <v>46.6506</v>
      </c>
      <c r="HQ60">
        <v>1</v>
      </c>
      <c r="HR60">
        <v>-0.135785</v>
      </c>
      <c r="HS60">
        <v>0.763592</v>
      </c>
      <c r="HT60">
        <v>20.2303</v>
      </c>
      <c r="HU60">
        <v>5.23301</v>
      </c>
      <c r="HV60">
        <v>11.992</v>
      </c>
      <c r="HW60">
        <v>4.9563</v>
      </c>
      <c r="HX60">
        <v>3.304</v>
      </c>
      <c r="HY60">
        <v>999.9</v>
      </c>
      <c r="HZ60">
        <v>9999</v>
      </c>
      <c r="IA60">
        <v>9999</v>
      </c>
      <c r="IB60">
        <v>9999</v>
      </c>
      <c r="IC60">
        <v>1.86873</v>
      </c>
      <c r="ID60">
        <v>1.86445</v>
      </c>
      <c r="IE60">
        <v>1.87196</v>
      </c>
      <c r="IF60">
        <v>1.86295</v>
      </c>
      <c r="IG60">
        <v>1.86234</v>
      </c>
      <c r="IH60">
        <v>1.86874</v>
      </c>
      <c r="II60">
        <v>1.85896</v>
      </c>
      <c r="IJ60">
        <v>1.86523</v>
      </c>
      <c r="IK60">
        <v>5</v>
      </c>
      <c r="IL60">
        <v>0</v>
      </c>
      <c r="IM60">
        <v>0</v>
      </c>
      <c r="IN60">
        <v>0</v>
      </c>
      <c r="IO60" t="s">
        <v>441</v>
      </c>
      <c r="IP60" t="s">
        <v>442</v>
      </c>
      <c r="IQ60" t="s">
        <v>443</v>
      </c>
      <c r="IR60" t="s">
        <v>443</v>
      </c>
      <c r="IS60" t="s">
        <v>443</v>
      </c>
      <c r="IT60" t="s">
        <v>443</v>
      </c>
      <c r="IU60">
        <v>0</v>
      </c>
      <c r="IV60">
        <v>100</v>
      </c>
      <c r="IW60">
        <v>100</v>
      </c>
      <c r="IX60">
        <v>5.615</v>
      </c>
      <c r="IY60">
        <v>0.112</v>
      </c>
      <c r="IZ60">
        <v>5.13743086180707</v>
      </c>
      <c r="JA60">
        <v>0.0062698613543794</v>
      </c>
      <c r="JB60">
        <v>-3.23243345529816e-06</v>
      </c>
      <c r="JC60">
        <v>8.00506428382295e-10</v>
      </c>
      <c r="JD60">
        <v>-0.0485303221714814</v>
      </c>
      <c r="JE60">
        <v>-0.0018464610107002</v>
      </c>
      <c r="JF60">
        <v>0.000796540623429801</v>
      </c>
      <c r="JG60">
        <v>-1.04619914107352e-05</v>
      </c>
      <c r="JH60">
        <v>-0</v>
      </c>
      <c r="JI60">
        <v>2101</v>
      </c>
      <c r="JJ60">
        <v>1</v>
      </c>
      <c r="JK60">
        <v>23</v>
      </c>
      <c r="JL60">
        <v>1.2</v>
      </c>
      <c r="JM60">
        <v>1.3</v>
      </c>
      <c r="JN60">
        <v>0.266113</v>
      </c>
      <c r="JO60">
        <v>2.45239</v>
      </c>
      <c r="JP60">
        <v>1.4978</v>
      </c>
      <c r="JQ60">
        <v>2.33032</v>
      </c>
      <c r="JR60">
        <v>1.54419</v>
      </c>
      <c r="JS60">
        <v>2.26196</v>
      </c>
      <c r="JT60">
        <v>36.4343</v>
      </c>
      <c r="JU60">
        <v>24.3414</v>
      </c>
      <c r="JV60">
        <v>18</v>
      </c>
      <c r="JW60">
        <v>548.025</v>
      </c>
      <c r="JX60">
        <v>428.642</v>
      </c>
      <c r="JY60">
        <v>22.2993</v>
      </c>
      <c r="JZ60">
        <v>25.7599</v>
      </c>
      <c r="KA60">
        <v>30.0001</v>
      </c>
      <c r="KB60">
        <v>25.7681</v>
      </c>
      <c r="KC60">
        <v>25.7928</v>
      </c>
      <c r="KD60">
        <v>5.35045</v>
      </c>
      <c r="KE60">
        <v>26.3709</v>
      </c>
      <c r="KF60">
        <v>81.4891</v>
      </c>
      <c r="KG60">
        <v>22.3105</v>
      </c>
      <c r="KH60">
        <v>50</v>
      </c>
      <c r="KI60">
        <v>17.9689</v>
      </c>
      <c r="KJ60">
        <v>95.4111</v>
      </c>
      <c r="KK60">
        <v>98.9465</v>
      </c>
    </row>
    <row r="61" spans="1:297">
      <c r="A61">
        <v>45</v>
      </c>
      <c r="B61">
        <v>1765305093.1</v>
      </c>
      <c r="C61">
        <v>7144.09999990463</v>
      </c>
      <c r="D61" t="s">
        <v>577</v>
      </c>
      <c r="E61" t="s">
        <v>578</v>
      </c>
      <c r="F61">
        <v>5</v>
      </c>
      <c r="G61" t="s">
        <v>572</v>
      </c>
      <c r="H61" t="s">
        <v>436</v>
      </c>
      <c r="I61">
        <v>1765305084.6</v>
      </c>
      <c r="J61">
        <f>(K61)/1000</f>
        <v>0</v>
      </c>
      <c r="K61">
        <f>IF(DP61, AN61, AH61)</f>
        <v>0</v>
      </c>
      <c r="L61">
        <f>IF(DP61, AI61, AG61)</f>
        <v>0</v>
      </c>
      <c r="M61">
        <f>DR61 - IF(AU61&gt;1, L61*DL61*100.0/(AW61), 0)</f>
        <v>0</v>
      </c>
      <c r="N61">
        <f>((T61-J61/2)*M61-L61)/(T61+J61/2)</f>
        <v>0</v>
      </c>
      <c r="O61">
        <f>N61*(DY61+DZ61)/1000.0</f>
        <v>0</v>
      </c>
      <c r="P61">
        <f>(DR61 - IF(AU61&gt;1, L61*DL61*100.0/(AW61), 0))*(DY61+DZ61)/1000.0</f>
        <v>0</v>
      </c>
      <c r="Q61">
        <f>2.0/((1/S61-1/R61)+SIGN(S61)*SQRT((1/S61-1/R61)*(1/S61-1/R61) + 4*DM61/((DM61+1)*(DM61+1))*(2*1/S61*1/R61-1/R61*1/R61)))</f>
        <v>0</v>
      </c>
      <c r="R61">
        <f>IF(LEFT(DN61,1)&lt;&gt;"0",IF(LEFT(DN61,1)="1",3.0,DO61),$D$5+$E$5*(EF61*DY61/($K$5*1000))+$F$5*(EF61*DY61/($K$5*1000))*MAX(MIN(DL61,$J$5),$I$5)*MAX(MIN(DL61,$J$5),$I$5)+$G$5*MAX(MIN(DL61,$J$5),$I$5)*(EF61*DY61/($K$5*1000))+$H$5*(EF61*DY61/($K$5*1000))*(EF61*DY61/($K$5*1000)))</f>
        <v>0</v>
      </c>
      <c r="S61">
        <f>J61*(1000-(1000*0.61365*exp(17.502*W61/(240.97+W61))/(DY61+DZ61)+DT61)/2)/(1000*0.61365*exp(17.502*W61/(240.97+W61))/(DY61+DZ61)-DT61)</f>
        <v>0</v>
      </c>
      <c r="T61">
        <f>1/((DM61+1)/(Q61/1.6)+1/(R61/1.37)) + DM61/((DM61+1)/(Q61/1.6) + DM61/(R61/1.37))</f>
        <v>0</v>
      </c>
      <c r="U61">
        <f>(DH61*DK61)</f>
        <v>0</v>
      </c>
      <c r="V61">
        <f>(EA61+(U61+2*0.95*5.67E-8*(((EA61+$B$7)+273)^4-(EA61+273)^4)-44100*J61)/(1.84*29.3*R61+8*0.95*5.67E-8*(EA61+273)^3))</f>
        <v>0</v>
      </c>
      <c r="W61">
        <f>($C$7*EB61+$D$7*EC61+$E$7*V61)</f>
        <v>0</v>
      </c>
      <c r="X61">
        <f>0.61365*exp(17.502*W61/(240.97+W61))</f>
        <v>0</v>
      </c>
      <c r="Y61">
        <f>(Z61/AA61*100)</f>
        <v>0</v>
      </c>
      <c r="Z61">
        <f>DT61*(DY61+DZ61)/1000</f>
        <v>0</v>
      </c>
      <c r="AA61">
        <f>0.61365*exp(17.502*EA61/(240.97+EA61))</f>
        <v>0</v>
      </c>
      <c r="AB61">
        <f>(X61-DT61*(DY61+DZ61)/1000)</f>
        <v>0</v>
      </c>
      <c r="AC61">
        <f>(-J61*44100)</f>
        <v>0</v>
      </c>
      <c r="AD61">
        <f>2*29.3*R61*0.92*(EA61-W61)</f>
        <v>0</v>
      </c>
      <c r="AE61">
        <f>2*0.95*5.67E-8*(((EA61+$B$7)+273)^4-(W61+273)^4)</f>
        <v>0</v>
      </c>
      <c r="AF61">
        <f>U61+AE61+AC61+AD61</f>
        <v>0</v>
      </c>
      <c r="AG61">
        <f>DX61*AU61*(DS61-DR61*(1000-AU61*DU61)/(1000-AU61*DT61))/(100*DL61)</f>
        <v>0</v>
      </c>
      <c r="AH61">
        <f>1000*DX61*AU61*(DT61-DU61)/(100*DL61*(1000-AU61*DT61))</f>
        <v>0</v>
      </c>
      <c r="AI61">
        <f>(AJ61 - AK61 - DY61*1E3/(8.314*(EA61+273.15)) * AM61/DX61 * AL61) * DX61/(100*DL61) * (1000 - DU61)/1000</f>
        <v>0</v>
      </c>
      <c r="AJ61">
        <v>407.304788555576</v>
      </c>
      <c r="AK61">
        <v>406.606121212121</v>
      </c>
      <c r="AL61">
        <v>-0.00196099755823099</v>
      </c>
      <c r="AM61">
        <v>64.3482302820077</v>
      </c>
      <c r="AN61">
        <f>(AP61 - AO61 + DY61*1E3/(8.314*(EA61+273.15)) * AR61/DX61 * AQ61) * DX61/(100*DL61) * 1000/(1000 - AP61)</f>
        <v>0</v>
      </c>
      <c r="AO61">
        <v>17.8892919229879</v>
      </c>
      <c r="AP61">
        <v>17.9688748251748</v>
      </c>
      <c r="AQ61">
        <v>-4.18270708013959e-06</v>
      </c>
      <c r="AR61">
        <v>102.913512769189</v>
      </c>
      <c r="AS61">
        <v>0</v>
      </c>
      <c r="AT61">
        <v>0</v>
      </c>
      <c r="AU61">
        <f>IF(AS61*$H$13&gt;=AW61,1.0,(AW61/(AW61-AS61*$H$13)))</f>
        <v>0</v>
      </c>
      <c r="AV61">
        <f>(AU61-1)*100</f>
        <v>0</v>
      </c>
      <c r="AW61">
        <f>MAX(0,($B$13+$C$13*EF61)/(1+$D$13*EF61)*DY61/(EA61+273)*$E$13)</f>
        <v>0</v>
      </c>
      <c r="AX61" t="s">
        <v>437</v>
      </c>
      <c r="AY61" t="s">
        <v>437</v>
      </c>
      <c r="AZ61">
        <v>0</v>
      </c>
      <c r="BA61">
        <v>0</v>
      </c>
      <c r="BB61">
        <f>1-AZ61/BA61</f>
        <v>0</v>
      </c>
      <c r="BC61">
        <v>0</v>
      </c>
      <c r="BD61" t="s">
        <v>437</v>
      </c>
      <c r="BE61" t="s">
        <v>437</v>
      </c>
      <c r="BF61">
        <v>0</v>
      </c>
      <c r="BG61">
        <v>0</v>
      </c>
      <c r="BH61">
        <f>1-BF61/BG61</f>
        <v>0</v>
      </c>
      <c r="BI61">
        <v>0.5</v>
      </c>
      <c r="BJ61">
        <f>DI61</f>
        <v>0</v>
      </c>
      <c r="BK61">
        <f>L61</f>
        <v>0</v>
      </c>
      <c r="BL61">
        <f>BH61*BI61*BJ61</f>
        <v>0</v>
      </c>
      <c r="BM61">
        <f>(BK61-BC61)/BJ61</f>
        <v>0</v>
      </c>
      <c r="BN61">
        <f>(BA61-BG61)/BG61</f>
        <v>0</v>
      </c>
      <c r="BO61">
        <f>AZ61/(BB61+AZ61/BG61)</f>
        <v>0</v>
      </c>
      <c r="BP61" t="s">
        <v>437</v>
      </c>
      <c r="BQ61">
        <v>0</v>
      </c>
      <c r="BR61">
        <f>IF(BQ61&lt;&gt;0, BQ61, BO61)</f>
        <v>0</v>
      </c>
      <c r="BS61">
        <f>1-BR61/BG61</f>
        <v>0</v>
      </c>
      <c r="BT61">
        <f>(BG61-BF61)/(BG61-BR61)</f>
        <v>0</v>
      </c>
      <c r="BU61">
        <f>(BA61-BG61)/(BA61-BR61)</f>
        <v>0</v>
      </c>
      <c r="BV61">
        <f>(BG61-BF61)/(BG61-AZ61)</f>
        <v>0</v>
      </c>
      <c r="BW61">
        <f>(BA61-BG61)/(BA61-AZ61)</f>
        <v>0</v>
      </c>
      <c r="BX61">
        <f>(BT61*BR61/BF61)</f>
        <v>0</v>
      </c>
      <c r="BY61">
        <f>(1-BX61)</f>
        <v>0</v>
      </c>
      <c r="DH61">
        <f>$B$11*EG61+$C$11*EH61+$F$11*ES61*(1-EV61)</f>
        <v>0</v>
      </c>
      <c r="DI61">
        <f>DH61*DJ61</f>
        <v>0</v>
      </c>
      <c r="DJ61">
        <f>($B$11*$D$9+$C$11*$D$9+$F$11*((FF61+EX61)/MAX(FF61+EX61+FG61, 0.1)*$I$9+FG61/MAX(FF61+EX61+FG61, 0.1)*$J$9))/($B$11+$C$11+$F$11)</f>
        <v>0</v>
      </c>
      <c r="DK61">
        <f>($B$11*$K$9+$C$11*$K$9+$F$11*((FF61+EX61)/MAX(FF61+EX61+FG61, 0.1)*$P$9+FG61/MAX(FF61+EX61+FG61, 0.1)*$Q$9))/($B$11+$C$11+$F$11)</f>
        <v>0</v>
      </c>
      <c r="DL61">
        <v>6</v>
      </c>
      <c r="DM61">
        <v>0.5</v>
      </c>
      <c r="DN61" t="s">
        <v>438</v>
      </c>
      <c r="DO61">
        <v>2</v>
      </c>
      <c r="DP61" t="b">
        <v>1</v>
      </c>
      <c r="DQ61">
        <v>1765305084.6</v>
      </c>
      <c r="DR61">
        <v>399.560375</v>
      </c>
      <c r="DS61">
        <v>400.0198125</v>
      </c>
      <c r="DT61">
        <v>17.9741625</v>
      </c>
      <c r="DU61">
        <v>17.8891375</v>
      </c>
      <c r="DV61">
        <v>391.989375</v>
      </c>
      <c r="DW61">
        <v>17.8571625</v>
      </c>
      <c r="DX61">
        <v>500.0209375</v>
      </c>
      <c r="DY61">
        <v>89.898575</v>
      </c>
      <c r="DZ61">
        <v>0.100018125</v>
      </c>
      <c r="EA61">
        <v>25.30199375</v>
      </c>
      <c r="EB61">
        <v>24.99935625</v>
      </c>
      <c r="EC61">
        <v>999.9</v>
      </c>
      <c r="ED61">
        <v>0</v>
      </c>
      <c r="EE61">
        <v>0</v>
      </c>
      <c r="EF61">
        <v>9996.0975</v>
      </c>
      <c r="EG61">
        <v>0</v>
      </c>
      <c r="EH61">
        <v>12.4638</v>
      </c>
      <c r="EI61">
        <v>-0.6778544375</v>
      </c>
      <c r="EJ61">
        <v>406.6490625</v>
      </c>
      <c r="EK61">
        <v>407.3060625</v>
      </c>
      <c r="EL61">
        <v>0.08009945625</v>
      </c>
      <c r="EM61">
        <v>400.0198125</v>
      </c>
      <c r="EN61">
        <v>17.8891375</v>
      </c>
      <c r="EO61">
        <v>1.61541125</v>
      </c>
      <c r="EP61">
        <v>1.60821</v>
      </c>
      <c r="EQ61">
        <v>14.10659375</v>
      </c>
      <c r="ER61">
        <v>14.03768125</v>
      </c>
      <c r="ES61">
        <v>799.9616875</v>
      </c>
      <c r="ET61">
        <v>0.949992625</v>
      </c>
      <c r="EU61">
        <v>0.0500073625</v>
      </c>
      <c r="EV61">
        <v>0</v>
      </c>
      <c r="EW61">
        <v>923.9305</v>
      </c>
      <c r="EX61">
        <v>5.00016</v>
      </c>
      <c r="EY61">
        <v>7177.753125</v>
      </c>
      <c r="EZ61">
        <v>7194.310625</v>
      </c>
      <c r="FA61">
        <v>39.562</v>
      </c>
      <c r="FB61">
        <v>42.253875</v>
      </c>
      <c r="FC61">
        <v>41.011625</v>
      </c>
      <c r="FD61">
        <v>42.375</v>
      </c>
      <c r="FE61">
        <v>42.25</v>
      </c>
      <c r="FF61">
        <v>755.20875</v>
      </c>
      <c r="FG61">
        <v>39.750625</v>
      </c>
      <c r="FH61">
        <v>0</v>
      </c>
      <c r="FI61">
        <v>1765305093.7</v>
      </c>
      <c r="FJ61">
        <v>0</v>
      </c>
      <c r="FK61">
        <v>923.931</v>
      </c>
      <c r="FL61">
        <v>0.282598299072513</v>
      </c>
      <c r="FM61">
        <v>-5.33948722406655</v>
      </c>
      <c r="FN61">
        <v>7178.16</v>
      </c>
      <c r="FO61">
        <v>15</v>
      </c>
      <c r="FP61">
        <v>1765305117.1</v>
      </c>
      <c r="FQ61" t="s">
        <v>579</v>
      </c>
      <c r="FR61">
        <v>1765305117.1</v>
      </c>
      <c r="FS61">
        <v>1765305111.1</v>
      </c>
      <c r="FT61">
        <v>45</v>
      </c>
      <c r="FU61">
        <v>0.217</v>
      </c>
      <c r="FV61">
        <v>0.007</v>
      </c>
      <c r="FW61">
        <v>7.571</v>
      </c>
      <c r="FX61">
        <v>0.117</v>
      </c>
      <c r="FY61">
        <v>400</v>
      </c>
      <c r="FZ61">
        <v>18</v>
      </c>
      <c r="GA61">
        <v>0.73</v>
      </c>
      <c r="GB61">
        <v>0.09</v>
      </c>
      <c r="GC61">
        <v>-0.6929641</v>
      </c>
      <c r="GD61">
        <v>0.319373323308271</v>
      </c>
      <c r="GE61">
        <v>0.0470882702526861</v>
      </c>
      <c r="GF61">
        <v>1</v>
      </c>
      <c r="GG61">
        <v>923.948058823529</v>
      </c>
      <c r="GH61">
        <v>-0.555110769043501</v>
      </c>
      <c r="GI61">
        <v>0.148977088877371</v>
      </c>
      <c r="GJ61">
        <v>-1</v>
      </c>
      <c r="GK61">
        <v>0.08115635</v>
      </c>
      <c r="GL61">
        <v>-0.0186269503759398</v>
      </c>
      <c r="GM61">
        <v>0.00198122835041799</v>
      </c>
      <c r="GN61">
        <v>1</v>
      </c>
      <c r="GO61">
        <v>2</v>
      </c>
      <c r="GP61">
        <v>2</v>
      </c>
      <c r="GQ61" t="s">
        <v>440</v>
      </c>
      <c r="GR61">
        <v>3.12498</v>
      </c>
      <c r="GS61">
        <v>2.72567</v>
      </c>
      <c r="GT61">
        <v>0.0851682</v>
      </c>
      <c r="GU61">
        <v>0.0864709</v>
      </c>
      <c r="GV61">
        <v>0.0828581</v>
      </c>
      <c r="GW61">
        <v>0.0826302</v>
      </c>
      <c r="GX61">
        <v>24180.5</v>
      </c>
      <c r="GY61">
        <v>22364</v>
      </c>
      <c r="GZ61">
        <v>23627.9</v>
      </c>
      <c r="HA61">
        <v>23826.9</v>
      </c>
      <c r="HB61">
        <v>36895.4</v>
      </c>
      <c r="HC61">
        <v>36137.9</v>
      </c>
      <c r="HD61">
        <v>42551.3</v>
      </c>
      <c r="HE61">
        <v>42436.4</v>
      </c>
      <c r="HF61">
        <v>1.93782</v>
      </c>
      <c r="HG61">
        <v>1.8392</v>
      </c>
      <c r="HH61">
        <v>0.106178</v>
      </c>
      <c r="HI61">
        <v>0</v>
      </c>
      <c r="HJ61">
        <v>23.2588</v>
      </c>
      <c r="HK61">
        <v>999.9</v>
      </c>
      <c r="HL61">
        <v>44.347</v>
      </c>
      <c r="HM61">
        <v>30.313</v>
      </c>
      <c r="HN61">
        <v>21.3979</v>
      </c>
      <c r="HO61">
        <v>53.9776</v>
      </c>
      <c r="HP61">
        <v>46.6386</v>
      </c>
      <c r="HQ61">
        <v>1</v>
      </c>
      <c r="HR61">
        <v>-0.135213</v>
      </c>
      <c r="HS61">
        <v>0.725959</v>
      </c>
      <c r="HT61">
        <v>20.2304</v>
      </c>
      <c r="HU61">
        <v>5.23511</v>
      </c>
      <c r="HV61">
        <v>11.992</v>
      </c>
      <c r="HW61">
        <v>4.95655</v>
      </c>
      <c r="HX61">
        <v>3.304</v>
      </c>
      <c r="HY61">
        <v>999.9</v>
      </c>
      <c r="HZ61">
        <v>9999</v>
      </c>
      <c r="IA61">
        <v>9999</v>
      </c>
      <c r="IB61">
        <v>9999</v>
      </c>
      <c r="IC61">
        <v>1.86868</v>
      </c>
      <c r="ID61">
        <v>1.86443</v>
      </c>
      <c r="IE61">
        <v>1.87195</v>
      </c>
      <c r="IF61">
        <v>1.86295</v>
      </c>
      <c r="IG61">
        <v>1.86232</v>
      </c>
      <c r="IH61">
        <v>1.86874</v>
      </c>
      <c r="II61">
        <v>1.85894</v>
      </c>
      <c r="IJ61">
        <v>1.86523</v>
      </c>
      <c r="IK61">
        <v>5</v>
      </c>
      <c r="IL61">
        <v>0</v>
      </c>
      <c r="IM61">
        <v>0</v>
      </c>
      <c r="IN61">
        <v>0</v>
      </c>
      <c r="IO61" t="s">
        <v>441</v>
      </c>
      <c r="IP61" t="s">
        <v>442</v>
      </c>
      <c r="IQ61" t="s">
        <v>443</v>
      </c>
      <c r="IR61" t="s">
        <v>443</v>
      </c>
      <c r="IS61" t="s">
        <v>443</v>
      </c>
      <c r="IT61" t="s">
        <v>443</v>
      </c>
      <c r="IU61">
        <v>0</v>
      </c>
      <c r="IV61">
        <v>100</v>
      </c>
      <c r="IW61">
        <v>100</v>
      </c>
      <c r="IX61">
        <v>7.571</v>
      </c>
      <c r="IY61">
        <v>0.117</v>
      </c>
      <c r="IZ61">
        <v>5.34302558857834</v>
      </c>
      <c r="JA61">
        <v>0.0062698613543794</v>
      </c>
      <c r="JB61">
        <v>-3.23243345529816e-06</v>
      </c>
      <c r="JC61">
        <v>8.00506428382295e-10</v>
      </c>
      <c r="JD61">
        <v>-0.0493606484588388</v>
      </c>
      <c r="JE61">
        <v>-0.0018464610107002</v>
      </c>
      <c r="JF61">
        <v>0.000796540623429801</v>
      </c>
      <c r="JG61">
        <v>-1.04619914107352e-05</v>
      </c>
      <c r="JH61">
        <v>-0</v>
      </c>
      <c r="JI61">
        <v>2101</v>
      </c>
      <c r="JJ61">
        <v>1</v>
      </c>
      <c r="JK61">
        <v>23</v>
      </c>
      <c r="JL61">
        <v>1.3</v>
      </c>
      <c r="JM61">
        <v>1.4</v>
      </c>
      <c r="JN61">
        <v>1.01196</v>
      </c>
      <c r="JO61">
        <v>2.38647</v>
      </c>
      <c r="JP61">
        <v>1.4978</v>
      </c>
      <c r="JQ61">
        <v>2.33154</v>
      </c>
      <c r="JR61">
        <v>1.54419</v>
      </c>
      <c r="JS61">
        <v>2.33154</v>
      </c>
      <c r="JT61">
        <v>36.3871</v>
      </c>
      <c r="JU61">
        <v>24.3414</v>
      </c>
      <c r="JV61">
        <v>18</v>
      </c>
      <c r="JW61">
        <v>548.359</v>
      </c>
      <c r="JX61">
        <v>429.176</v>
      </c>
      <c r="JY61">
        <v>22.3854</v>
      </c>
      <c r="JZ61">
        <v>25.7664</v>
      </c>
      <c r="KA61">
        <v>30.0001</v>
      </c>
      <c r="KB61">
        <v>25.766</v>
      </c>
      <c r="KC61">
        <v>25.7885</v>
      </c>
      <c r="KD61">
        <v>20.2925</v>
      </c>
      <c r="KE61">
        <v>27.2491</v>
      </c>
      <c r="KF61">
        <v>81.4891</v>
      </c>
      <c r="KG61">
        <v>22.386</v>
      </c>
      <c r="KH61">
        <v>400</v>
      </c>
      <c r="KI61">
        <v>17.8574</v>
      </c>
      <c r="KJ61">
        <v>95.4053</v>
      </c>
      <c r="KK61">
        <v>98.9459</v>
      </c>
    </row>
    <row r="62" spans="1:297">
      <c r="A62">
        <v>46</v>
      </c>
      <c r="B62">
        <v>1765305179.1</v>
      </c>
      <c r="C62">
        <v>7230.09999990463</v>
      </c>
      <c r="D62" t="s">
        <v>580</v>
      </c>
      <c r="E62" t="s">
        <v>581</v>
      </c>
      <c r="F62">
        <v>5</v>
      </c>
      <c r="G62" t="s">
        <v>572</v>
      </c>
      <c r="H62" t="s">
        <v>436</v>
      </c>
      <c r="I62">
        <v>1765305171.1</v>
      </c>
      <c r="J62">
        <f>(K62)/1000</f>
        <v>0</v>
      </c>
      <c r="K62">
        <f>IF(DP62, AN62, AH62)</f>
        <v>0</v>
      </c>
      <c r="L62">
        <f>IF(DP62, AI62, AG62)</f>
        <v>0</v>
      </c>
      <c r="M62">
        <f>DR62 - IF(AU62&gt;1, L62*DL62*100.0/(AW62), 0)</f>
        <v>0</v>
      </c>
      <c r="N62">
        <f>((T62-J62/2)*M62-L62)/(T62+J62/2)</f>
        <v>0</v>
      </c>
      <c r="O62">
        <f>N62*(DY62+DZ62)/1000.0</f>
        <v>0</v>
      </c>
      <c r="P62">
        <f>(DR62 - IF(AU62&gt;1, L62*DL62*100.0/(AW62), 0))*(DY62+DZ62)/1000.0</f>
        <v>0</v>
      </c>
      <c r="Q62">
        <f>2.0/((1/S62-1/R62)+SIGN(S62)*SQRT((1/S62-1/R62)*(1/S62-1/R62) + 4*DM62/((DM62+1)*(DM62+1))*(2*1/S62*1/R62-1/R62*1/R62)))</f>
        <v>0</v>
      </c>
      <c r="R62">
        <f>IF(LEFT(DN62,1)&lt;&gt;"0",IF(LEFT(DN62,1)="1",3.0,DO62),$D$5+$E$5*(EF62*DY62/($K$5*1000))+$F$5*(EF62*DY62/($K$5*1000))*MAX(MIN(DL62,$J$5),$I$5)*MAX(MIN(DL62,$J$5),$I$5)+$G$5*MAX(MIN(DL62,$J$5),$I$5)*(EF62*DY62/($K$5*1000))+$H$5*(EF62*DY62/($K$5*1000))*(EF62*DY62/($K$5*1000)))</f>
        <v>0</v>
      </c>
      <c r="S62">
        <f>J62*(1000-(1000*0.61365*exp(17.502*W62/(240.97+W62))/(DY62+DZ62)+DT62)/2)/(1000*0.61365*exp(17.502*W62/(240.97+W62))/(DY62+DZ62)-DT62)</f>
        <v>0</v>
      </c>
      <c r="T62">
        <f>1/((DM62+1)/(Q62/1.6)+1/(R62/1.37)) + DM62/((DM62+1)/(Q62/1.6) + DM62/(R62/1.37))</f>
        <v>0</v>
      </c>
      <c r="U62">
        <f>(DH62*DK62)</f>
        <v>0</v>
      </c>
      <c r="V62">
        <f>(EA62+(U62+2*0.95*5.67E-8*(((EA62+$B$7)+273)^4-(EA62+273)^4)-44100*J62)/(1.84*29.3*R62+8*0.95*5.67E-8*(EA62+273)^3))</f>
        <v>0</v>
      </c>
      <c r="W62">
        <f>($C$7*EB62+$D$7*EC62+$E$7*V62)</f>
        <v>0</v>
      </c>
      <c r="X62">
        <f>0.61365*exp(17.502*W62/(240.97+W62))</f>
        <v>0</v>
      </c>
      <c r="Y62">
        <f>(Z62/AA62*100)</f>
        <v>0</v>
      </c>
      <c r="Z62">
        <f>DT62*(DY62+DZ62)/1000</f>
        <v>0</v>
      </c>
      <c r="AA62">
        <f>0.61365*exp(17.502*EA62/(240.97+EA62))</f>
        <v>0</v>
      </c>
      <c r="AB62">
        <f>(X62-DT62*(DY62+DZ62)/1000)</f>
        <v>0</v>
      </c>
      <c r="AC62">
        <f>(-J62*44100)</f>
        <v>0</v>
      </c>
      <c r="AD62">
        <f>2*29.3*R62*0.92*(EA62-W62)</f>
        <v>0</v>
      </c>
      <c r="AE62">
        <f>2*0.95*5.67E-8*(((EA62+$B$7)+273)^4-(W62+273)^4)</f>
        <v>0</v>
      </c>
      <c r="AF62">
        <f>U62+AE62+AC62+AD62</f>
        <v>0</v>
      </c>
      <c r="AG62">
        <f>DX62*AU62*(DS62-DR62*(1000-AU62*DU62)/(1000-AU62*DT62))/(100*DL62)</f>
        <v>0</v>
      </c>
      <c r="AH62">
        <f>1000*DX62*AU62*(DT62-DU62)/(100*DL62*(1000-AU62*DT62))</f>
        <v>0</v>
      </c>
      <c r="AI62">
        <f>(AJ62 - AK62 - DY62*1E3/(8.314*(EA62+273.15)) * AM62/DX62 * AL62) * DX62/(100*DL62) * (1000 - DU62)/1000</f>
        <v>0</v>
      </c>
      <c r="AJ62">
        <v>407.312142920598</v>
      </c>
      <c r="AK62">
        <v>406.977375757576</v>
      </c>
      <c r="AL62">
        <v>0.0130994389496773</v>
      </c>
      <c r="AM62">
        <v>64.2563533553462</v>
      </c>
      <c r="AN62">
        <f>(AP62 - AO62 + DY62*1E3/(8.314*(EA62+273.15)) * AR62/DX62 * AQ62) * DX62/(100*DL62) * 1000/(1000 - AP62)</f>
        <v>0</v>
      </c>
      <c r="AO62">
        <v>17.8857708618417</v>
      </c>
      <c r="AP62">
        <v>17.9675951048951</v>
      </c>
      <c r="AQ62">
        <v>7.09253811551541e-06</v>
      </c>
      <c r="AR62">
        <v>102.802325473268</v>
      </c>
      <c r="AS62">
        <v>0</v>
      </c>
      <c r="AT62">
        <v>0</v>
      </c>
      <c r="AU62">
        <f>IF(AS62*$H$13&gt;=AW62,1.0,(AW62/(AW62-AS62*$H$13)))</f>
        <v>0</v>
      </c>
      <c r="AV62">
        <f>(AU62-1)*100</f>
        <v>0</v>
      </c>
      <c r="AW62">
        <f>MAX(0,($B$13+$C$13*EF62)/(1+$D$13*EF62)*DY62/(EA62+273)*$E$13)</f>
        <v>0</v>
      </c>
      <c r="AX62" t="s">
        <v>437</v>
      </c>
      <c r="AY62" t="s">
        <v>437</v>
      </c>
      <c r="AZ62">
        <v>0</v>
      </c>
      <c r="BA62">
        <v>0</v>
      </c>
      <c r="BB62">
        <f>1-AZ62/BA62</f>
        <v>0</v>
      </c>
      <c r="BC62">
        <v>0</v>
      </c>
      <c r="BD62" t="s">
        <v>437</v>
      </c>
      <c r="BE62" t="s">
        <v>437</v>
      </c>
      <c r="BF62">
        <v>0</v>
      </c>
      <c r="BG62">
        <v>0</v>
      </c>
      <c r="BH62">
        <f>1-BF62/BG62</f>
        <v>0</v>
      </c>
      <c r="BI62">
        <v>0.5</v>
      </c>
      <c r="BJ62">
        <f>DI62</f>
        <v>0</v>
      </c>
      <c r="BK62">
        <f>L62</f>
        <v>0</v>
      </c>
      <c r="BL62">
        <f>BH62*BI62*BJ62</f>
        <v>0</v>
      </c>
      <c r="BM62">
        <f>(BK62-BC62)/BJ62</f>
        <v>0</v>
      </c>
      <c r="BN62">
        <f>(BA62-BG62)/BG62</f>
        <v>0</v>
      </c>
      <c r="BO62">
        <f>AZ62/(BB62+AZ62/BG62)</f>
        <v>0</v>
      </c>
      <c r="BP62" t="s">
        <v>437</v>
      </c>
      <c r="BQ62">
        <v>0</v>
      </c>
      <c r="BR62">
        <f>IF(BQ62&lt;&gt;0, BQ62, BO62)</f>
        <v>0</v>
      </c>
      <c r="BS62">
        <f>1-BR62/BG62</f>
        <v>0</v>
      </c>
      <c r="BT62">
        <f>(BG62-BF62)/(BG62-BR62)</f>
        <v>0</v>
      </c>
      <c r="BU62">
        <f>(BA62-BG62)/(BA62-BR62)</f>
        <v>0</v>
      </c>
      <c r="BV62">
        <f>(BG62-BF62)/(BG62-AZ62)</f>
        <v>0</v>
      </c>
      <c r="BW62">
        <f>(BA62-BG62)/(BA62-AZ62)</f>
        <v>0</v>
      </c>
      <c r="BX62">
        <f>(BT62*BR62/BF62)</f>
        <v>0</v>
      </c>
      <c r="BY62">
        <f>(1-BX62)</f>
        <v>0</v>
      </c>
      <c r="DH62">
        <f>$B$11*EG62+$C$11*EH62+$F$11*ES62*(1-EV62)</f>
        <v>0</v>
      </c>
      <c r="DI62">
        <f>DH62*DJ62</f>
        <v>0</v>
      </c>
      <c r="DJ62">
        <f>($B$11*$D$9+$C$11*$D$9+$F$11*((FF62+EX62)/MAX(FF62+EX62+FG62, 0.1)*$I$9+FG62/MAX(FF62+EX62+FG62, 0.1)*$J$9))/($B$11+$C$11+$F$11)</f>
        <v>0</v>
      </c>
      <c r="DK62">
        <f>($B$11*$K$9+$C$11*$K$9+$F$11*((FF62+EX62)/MAX(FF62+EX62+FG62, 0.1)*$P$9+FG62/MAX(FF62+EX62+FG62, 0.1)*$Q$9))/($B$11+$C$11+$F$11)</f>
        <v>0</v>
      </c>
      <c r="DL62">
        <v>6</v>
      </c>
      <c r="DM62">
        <v>0.5</v>
      </c>
      <c r="DN62" t="s">
        <v>438</v>
      </c>
      <c r="DO62">
        <v>2</v>
      </c>
      <c r="DP62" t="b">
        <v>1</v>
      </c>
      <c r="DQ62">
        <v>1765305171.1</v>
      </c>
      <c r="DR62">
        <v>399.6718</v>
      </c>
      <c r="DS62">
        <v>400.017933333333</v>
      </c>
      <c r="DT62">
        <v>17.9641</v>
      </c>
      <c r="DU62">
        <v>17.8860733333333</v>
      </c>
      <c r="DV62">
        <v>392.0588</v>
      </c>
      <c r="DW62">
        <v>17.8481</v>
      </c>
      <c r="DX62">
        <v>499.982466666667</v>
      </c>
      <c r="DY62">
        <v>89.89732</v>
      </c>
      <c r="DZ62">
        <v>0.0999290133333333</v>
      </c>
      <c r="EA62">
        <v>25.2991466666667</v>
      </c>
      <c r="EB62">
        <v>25.0042466666667</v>
      </c>
      <c r="EC62">
        <v>999.9</v>
      </c>
      <c r="ED62">
        <v>0</v>
      </c>
      <c r="EE62">
        <v>0</v>
      </c>
      <c r="EF62">
        <v>10011.2753333333</v>
      </c>
      <c r="EG62">
        <v>0</v>
      </c>
      <c r="EH62">
        <v>12.4638</v>
      </c>
      <c r="EI62">
        <v>-0.389206933333333</v>
      </c>
      <c r="EJ62">
        <v>406.940133333333</v>
      </c>
      <c r="EK62">
        <v>407.302933333333</v>
      </c>
      <c r="EL62">
        <v>0.08047358</v>
      </c>
      <c r="EM62">
        <v>400.017933333333</v>
      </c>
      <c r="EN62">
        <v>17.8860733333333</v>
      </c>
      <c r="EO62">
        <v>1.61514466666667</v>
      </c>
      <c r="EP62">
        <v>1.60790933333333</v>
      </c>
      <c r="EQ62">
        <v>14.1040533333333</v>
      </c>
      <c r="ER62">
        <v>14.03482</v>
      </c>
      <c r="ES62">
        <v>800.047933333333</v>
      </c>
      <c r="ET62">
        <v>0.949991666666666</v>
      </c>
      <c r="EU62">
        <v>0.0500084933333333</v>
      </c>
      <c r="EV62">
        <v>0</v>
      </c>
      <c r="EW62">
        <v>923.649466666667</v>
      </c>
      <c r="EX62">
        <v>5.00016</v>
      </c>
      <c r="EY62">
        <v>7176.35266666667</v>
      </c>
      <c r="EZ62">
        <v>7195.08933333333</v>
      </c>
      <c r="FA62">
        <v>39.6166</v>
      </c>
      <c r="FB62">
        <v>42.312</v>
      </c>
      <c r="FC62">
        <v>41.062</v>
      </c>
      <c r="FD62">
        <v>42.375</v>
      </c>
      <c r="FE62">
        <v>42.25</v>
      </c>
      <c r="FF62">
        <v>755.287333333333</v>
      </c>
      <c r="FG62">
        <v>39.756</v>
      </c>
      <c r="FH62">
        <v>0</v>
      </c>
      <c r="FI62">
        <v>1765305179.5</v>
      </c>
      <c r="FJ62">
        <v>0</v>
      </c>
      <c r="FK62">
        <v>923.60332</v>
      </c>
      <c r="FL62">
        <v>-0.0908461436174899</v>
      </c>
      <c r="FM62">
        <v>-4.20692308568113</v>
      </c>
      <c r="FN62">
        <v>7175.8584</v>
      </c>
      <c r="FO62">
        <v>15</v>
      </c>
      <c r="FP62">
        <v>1765305199.1</v>
      </c>
      <c r="FQ62" t="s">
        <v>582</v>
      </c>
      <c r="FR62">
        <v>1765305199.1</v>
      </c>
      <c r="FS62">
        <v>1765305197.1</v>
      </c>
      <c r="FT62">
        <v>46</v>
      </c>
      <c r="FU62">
        <v>0.041</v>
      </c>
      <c r="FV62">
        <v>-0.001</v>
      </c>
      <c r="FW62">
        <v>7.613</v>
      </c>
      <c r="FX62">
        <v>0.116</v>
      </c>
      <c r="FY62">
        <v>400</v>
      </c>
      <c r="FZ62">
        <v>18</v>
      </c>
      <c r="GA62">
        <v>0.46</v>
      </c>
      <c r="GB62">
        <v>0.17</v>
      </c>
      <c r="GC62">
        <v>-0.375456380952381</v>
      </c>
      <c r="GD62">
        <v>-0.187007064935065</v>
      </c>
      <c r="GE62">
        <v>0.0349187669264595</v>
      </c>
      <c r="GF62">
        <v>1</v>
      </c>
      <c r="GG62">
        <v>923.616264705882</v>
      </c>
      <c r="GH62">
        <v>0.0877158173049277</v>
      </c>
      <c r="GI62">
        <v>0.159831401763299</v>
      </c>
      <c r="GJ62">
        <v>-1</v>
      </c>
      <c r="GK62">
        <v>0.0806773</v>
      </c>
      <c r="GL62">
        <v>-0.00110636883116878</v>
      </c>
      <c r="GM62">
        <v>0.000663687168849329</v>
      </c>
      <c r="GN62">
        <v>1</v>
      </c>
      <c r="GO62">
        <v>2</v>
      </c>
      <c r="GP62">
        <v>2</v>
      </c>
      <c r="GQ62" t="s">
        <v>440</v>
      </c>
      <c r="GR62">
        <v>3.12497</v>
      </c>
      <c r="GS62">
        <v>2.72575</v>
      </c>
      <c r="GT62">
        <v>0.085186</v>
      </c>
      <c r="GU62">
        <v>0.0864642</v>
      </c>
      <c r="GV62">
        <v>0.0828326</v>
      </c>
      <c r="GW62">
        <v>0.0826214</v>
      </c>
      <c r="GX62">
        <v>24178.2</v>
      </c>
      <c r="GY62">
        <v>22363.6</v>
      </c>
      <c r="GZ62">
        <v>23626.1</v>
      </c>
      <c r="HA62">
        <v>23826.3</v>
      </c>
      <c r="HB62">
        <v>36893.7</v>
      </c>
      <c r="HC62">
        <v>36137.4</v>
      </c>
      <c r="HD62">
        <v>42548.1</v>
      </c>
      <c r="HE62">
        <v>42435.4</v>
      </c>
      <c r="HF62">
        <v>1.9377</v>
      </c>
      <c r="HG62">
        <v>1.83902</v>
      </c>
      <c r="HH62">
        <v>0.106208</v>
      </c>
      <c r="HI62">
        <v>0</v>
      </c>
      <c r="HJ62">
        <v>23.2534</v>
      </c>
      <c r="HK62">
        <v>999.9</v>
      </c>
      <c r="HL62">
        <v>44.396</v>
      </c>
      <c r="HM62">
        <v>30.283</v>
      </c>
      <c r="HN62">
        <v>21.3847</v>
      </c>
      <c r="HO62">
        <v>53.8676</v>
      </c>
      <c r="HP62">
        <v>46.851</v>
      </c>
      <c r="HQ62">
        <v>1</v>
      </c>
      <c r="HR62">
        <v>-0.134667</v>
      </c>
      <c r="HS62">
        <v>0.749638</v>
      </c>
      <c r="HT62">
        <v>20.2303</v>
      </c>
      <c r="HU62">
        <v>5.23256</v>
      </c>
      <c r="HV62">
        <v>11.992</v>
      </c>
      <c r="HW62">
        <v>4.95615</v>
      </c>
      <c r="HX62">
        <v>3.304</v>
      </c>
      <c r="HY62">
        <v>999.9</v>
      </c>
      <c r="HZ62">
        <v>9999</v>
      </c>
      <c r="IA62">
        <v>9999</v>
      </c>
      <c r="IB62">
        <v>9999</v>
      </c>
      <c r="IC62">
        <v>1.86868</v>
      </c>
      <c r="ID62">
        <v>1.86444</v>
      </c>
      <c r="IE62">
        <v>1.87195</v>
      </c>
      <c r="IF62">
        <v>1.86295</v>
      </c>
      <c r="IG62">
        <v>1.86233</v>
      </c>
      <c r="IH62">
        <v>1.86874</v>
      </c>
      <c r="II62">
        <v>1.85893</v>
      </c>
      <c r="IJ62">
        <v>1.86523</v>
      </c>
      <c r="IK62">
        <v>5</v>
      </c>
      <c r="IL62">
        <v>0</v>
      </c>
      <c r="IM62">
        <v>0</v>
      </c>
      <c r="IN62">
        <v>0</v>
      </c>
      <c r="IO62" t="s">
        <v>441</v>
      </c>
      <c r="IP62" t="s">
        <v>442</v>
      </c>
      <c r="IQ62" t="s">
        <v>443</v>
      </c>
      <c r="IR62" t="s">
        <v>443</v>
      </c>
      <c r="IS62" t="s">
        <v>443</v>
      </c>
      <c r="IT62" t="s">
        <v>443</v>
      </c>
      <c r="IU62">
        <v>0</v>
      </c>
      <c r="IV62">
        <v>100</v>
      </c>
      <c r="IW62">
        <v>100</v>
      </c>
      <c r="IX62">
        <v>7.613</v>
      </c>
      <c r="IY62">
        <v>0.116</v>
      </c>
      <c r="IZ62">
        <v>5.56040617203413</v>
      </c>
      <c r="JA62">
        <v>0.0062698613543794</v>
      </c>
      <c r="JB62">
        <v>-3.23243345529816e-06</v>
      </c>
      <c r="JC62">
        <v>8.00506428382295e-10</v>
      </c>
      <c r="JD62">
        <v>-0.042850901172219</v>
      </c>
      <c r="JE62">
        <v>-0.0018464610107002</v>
      </c>
      <c r="JF62">
        <v>0.000796540623429801</v>
      </c>
      <c r="JG62">
        <v>-1.04619914107352e-05</v>
      </c>
      <c r="JH62">
        <v>-0</v>
      </c>
      <c r="JI62">
        <v>2101</v>
      </c>
      <c r="JJ62">
        <v>1</v>
      </c>
      <c r="JK62">
        <v>23</v>
      </c>
      <c r="JL62">
        <v>1</v>
      </c>
      <c r="JM62">
        <v>1.1</v>
      </c>
      <c r="JN62">
        <v>1.01196</v>
      </c>
      <c r="JO62">
        <v>2.39624</v>
      </c>
      <c r="JP62">
        <v>1.49902</v>
      </c>
      <c r="JQ62">
        <v>2.33032</v>
      </c>
      <c r="JR62">
        <v>1.54419</v>
      </c>
      <c r="JS62">
        <v>2.2583</v>
      </c>
      <c r="JT62">
        <v>36.34</v>
      </c>
      <c r="JU62">
        <v>24.3414</v>
      </c>
      <c r="JV62">
        <v>18</v>
      </c>
      <c r="JW62">
        <v>548.292</v>
      </c>
      <c r="JX62">
        <v>429.091</v>
      </c>
      <c r="JY62">
        <v>22.3396</v>
      </c>
      <c r="JZ62">
        <v>25.7751</v>
      </c>
      <c r="KA62">
        <v>29.9999</v>
      </c>
      <c r="KB62">
        <v>25.7675</v>
      </c>
      <c r="KC62">
        <v>25.7907</v>
      </c>
      <c r="KD62">
        <v>20.2882</v>
      </c>
      <c r="KE62">
        <v>27.2491</v>
      </c>
      <c r="KF62">
        <v>81.4891</v>
      </c>
      <c r="KG62">
        <v>22.3322</v>
      </c>
      <c r="KH62">
        <v>400</v>
      </c>
      <c r="KI62">
        <v>17.863</v>
      </c>
      <c r="KJ62">
        <v>95.3981</v>
      </c>
      <c r="KK62">
        <v>98.9435</v>
      </c>
    </row>
    <row r="63" spans="1:297">
      <c r="A63">
        <v>47</v>
      </c>
      <c r="B63">
        <v>1765305279.1</v>
      </c>
      <c r="C63">
        <v>7330.09999990463</v>
      </c>
      <c r="D63" t="s">
        <v>583</v>
      </c>
      <c r="E63" t="s">
        <v>584</v>
      </c>
      <c r="F63">
        <v>5</v>
      </c>
      <c r="G63" t="s">
        <v>572</v>
      </c>
      <c r="H63" t="s">
        <v>436</v>
      </c>
      <c r="I63">
        <v>1765305271.1</v>
      </c>
      <c r="J63">
        <f>(K63)/1000</f>
        <v>0</v>
      </c>
      <c r="K63">
        <f>IF(DP63, AN63, AH63)</f>
        <v>0</v>
      </c>
      <c r="L63">
        <f>IF(DP63, AI63, AG63)</f>
        <v>0</v>
      </c>
      <c r="M63">
        <f>DR63 - IF(AU63&gt;1, L63*DL63*100.0/(AW63), 0)</f>
        <v>0</v>
      </c>
      <c r="N63">
        <f>((T63-J63/2)*M63-L63)/(T63+J63/2)</f>
        <v>0</v>
      </c>
      <c r="O63">
        <f>N63*(DY63+DZ63)/1000.0</f>
        <v>0</v>
      </c>
      <c r="P63">
        <f>(DR63 - IF(AU63&gt;1, L63*DL63*100.0/(AW63), 0))*(DY63+DZ63)/1000.0</f>
        <v>0</v>
      </c>
      <c r="Q63">
        <f>2.0/((1/S63-1/R63)+SIGN(S63)*SQRT((1/S63-1/R63)*(1/S63-1/R63) + 4*DM63/((DM63+1)*(DM63+1))*(2*1/S63*1/R63-1/R63*1/R63)))</f>
        <v>0</v>
      </c>
      <c r="R63">
        <f>IF(LEFT(DN63,1)&lt;&gt;"0",IF(LEFT(DN63,1)="1",3.0,DO63),$D$5+$E$5*(EF63*DY63/($K$5*1000))+$F$5*(EF63*DY63/($K$5*1000))*MAX(MIN(DL63,$J$5),$I$5)*MAX(MIN(DL63,$J$5),$I$5)+$G$5*MAX(MIN(DL63,$J$5),$I$5)*(EF63*DY63/($K$5*1000))+$H$5*(EF63*DY63/($K$5*1000))*(EF63*DY63/($K$5*1000)))</f>
        <v>0</v>
      </c>
      <c r="S63">
        <f>J63*(1000-(1000*0.61365*exp(17.502*W63/(240.97+W63))/(DY63+DZ63)+DT63)/2)/(1000*0.61365*exp(17.502*W63/(240.97+W63))/(DY63+DZ63)-DT63)</f>
        <v>0</v>
      </c>
      <c r="T63">
        <f>1/((DM63+1)/(Q63/1.6)+1/(R63/1.37)) + DM63/((DM63+1)/(Q63/1.6) + DM63/(R63/1.37))</f>
        <v>0</v>
      </c>
      <c r="U63">
        <f>(DH63*DK63)</f>
        <v>0</v>
      </c>
      <c r="V63">
        <f>(EA63+(U63+2*0.95*5.67E-8*(((EA63+$B$7)+273)^4-(EA63+273)^4)-44100*J63)/(1.84*29.3*R63+8*0.95*5.67E-8*(EA63+273)^3))</f>
        <v>0</v>
      </c>
      <c r="W63">
        <f>($C$7*EB63+$D$7*EC63+$E$7*V63)</f>
        <v>0</v>
      </c>
      <c r="X63">
        <f>0.61365*exp(17.502*W63/(240.97+W63))</f>
        <v>0</v>
      </c>
      <c r="Y63">
        <f>(Z63/AA63*100)</f>
        <v>0</v>
      </c>
      <c r="Z63">
        <f>DT63*(DY63+DZ63)/1000</f>
        <v>0</v>
      </c>
      <c r="AA63">
        <f>0.61365*exp(17.502*EA63/(240.97+EA63))</f>
        <v>0</v>
      </c>
      <c r="AB63">
        <f>(X63-DT63*(DY63+DZ63)/1000)</f>
        <v>0</v>
      </c>
      <c r="AC63">
        <f>(-J63*44100)</f>
        <v>0</v>
      </c>
      <c r="AD63">
        <f>2*29.3*R63*0.92*(EA63-W63)</f>
        <v>0</v>
      </c>
      <c r="AE63">
        <f>2*0.95*5.67E-8*(((EA63+$B$7)+273)^4-(W63+273)^4)</f>
        <v>0</v>
      </c>
      <c r="AF63">
        <f>U63+AE63+AC63+AD63</f>
        <v>0</v>
      </c>
      <c r="AG63">
        <f>DX63*AU63*(DS63-DR63*(1000-AU63*DU63)/(1000-AU63*DT63))/(100*DL63)</f>
        <v>0</v>
      </c>
      <c r="AH63">
        <f>1000*DX63*AU63*(DT63-DU63)/(100*DL63*(1000-AU63*DT63))</f>
        <v>0</v>
      </c>
      <c r="AI63">
        <f>(AJ63 - AK63 - DY63*1E3/(8.314*(EA63+273.15)) * AM63/DX63 * AL63) * DX63/(100*DL63) * (1000 - DU63)/1000</f>
        <v>0</v>
      </c>
      <c r="AJ63">
        <v>610.946162258024</v>
      </c>
      <c r="AK63">
        <v>610.379454545455</v>
      </c>
      <c r="AL63">
        <v>-0.0266919521848264</v>
      </c>
      <c r="AM63">
        <v>64.2174055685387</v>
      </c>
      <c r="AN63">
        <f>(AP63 - AO63 + DY63*1E3/(8.314*(EA63+273.15)) * AR63/DX63 * AQ63) * DX63/(100*DL63) * 1000/(1000 - AP63)</f>
        <v>0</v>
      </c>
      <c r="AO63">
        <v>17.8910294831824</v>
      </c>
      <c r="AP63">
        <v>17.9757699300699</v>
      </c>
      <c r="AQ63">
        <v>4.34576722588931e-07</v>
      </c>
      <c r="AR63">
        <v>103.577181437049</v>
      </c>
      <c r="AS63">
        <v>0</v>
      </c>
      <c r="AT63">
        <v>0</v>
      </c>
      <c r="AU63">
        <f>IF(AS63*$H$13&gt;=AW63,1.0,(AW63/(AW63-AS63*$H$13)))</f>
        <v>0</v>
      </c>
      <c r="AV63">
        <f>(AU63-1)*100</f>
        <v>0</v>
      </c>
      <c r="AW63">
        <f>MAX(0,($B$13+$C$13*EF63)/(1+$D$13*EF63)*DY63/(EA63+273)*$E$13)</f>
        <v>0</v>
      </c>
      <c r="AX63" t="s">
        <v>437</v>
      </c>
      <c r="AY63" t="s">
        <v>437</v>
      </c>
      <c r="AZ63">
        <v>0</v>
      </c>
      <c r="BA63">
        <v>0</v>
      </c>
      <c r="BB63">
        <f>1-AZ63/BA63</f>
        <v>0</v>
      </c>
      <c r="BC63">
        <v>0</v>
      </c>
      <c r="BD63" t="s">
        <v>437</v>
      </c>
      <c r="BE63" t="s">
        <v>437</v>
      </c>
      <c r="BF63">
        <v>0</v>
      </c>
      <c r="BG63">
        <v>0</v>
      </c>
      <c r="BH63">
        <f>1-BF63/BG63</f>
        <v>0</v>
      </c>
      <c r="BI63">
        <v>0.5</v>
      </c>
      <c r="BJ63">
        <f>DI63</f>
        <v>0</v>
      </c>
      <c r="BK63">
        <f>L63</f>
        <v>0</v>
      </c>
      <c r="BL63">
        <f>BH63*BI63*BJ63</f>
        <v>0</v>
      </c>
      <c r="BM63">
        <f>(BK63-BC63)/BJ63</f>
        <v>0</v>
      </c>
      <c r="BN63">
        <f>(BA63-BG63)/BG63</f>
        <v>0</v>
      </c>
      <c r="BO63">
        <f>AZ63/(BB63+AZ63/BG63)</f>
        <v>0</v>
      </c>
      <c r="BP63" t="s">
        <v>437</v>
      </c>
      <c r="BQ63">
        <v>0</v>
      </c>
      <c r="BR63">
        <f>IF(BQ63&lt;&gt;0, BQ63, BO63)</f>
        <v>0</v>
      </c>
      <c r="BS63">
        <f>1-BR63/BG63</f>
        <v>0</v>
      </c>
      <c r="BT63">
        <f>(BG63-BF63)/(BG63-BR63)</f>
        <v>0</v>
      </c>
      <c r="BU63">
        <f>(BA63-BG63)/(BA63-BR63)</f>
        <v>0</v>
      </c>
      <c r="BV63">
        <f>(BG63-BF63)/(BG63-AZ63)</f>
        <v>0</v>
      </c>
      <c r="BW63">
        <f>(BA63-BG63)/(BA63-AZ63)</f>
        <v>0</v>
      </c>
      <c r="BX63">
        <f>(BT63*BR63/BF63)</f>
        <v>0</v>
      </c>
      <c r="BY63">
        <f>(1-BX63)</f>
        <v>0</v>
      </c>
      <c r="DH63">
        <f>$B$11*EG63+$C$11*EH63+$F$11*ES63*(1-EV63)</f>
        <v>0</v>
      </c>
      <c r="DI63">
        <f>DH63*DJ63</f>
        <v>0</v>
      </c>
      <c r="DJ63">
        <f>($B$11*$D$9+$C$11*$D$9+$F$11*((FF63+EX63)/MAX(FF63+EX63+FG63, 0.1)*$I$9+FG63/MAX(FF63+EX63+FG63, 0.1)*$J$9))/($B$11+$C$11+$F$11)</f>
        <v>0</v>
      </c>
      <c r="DK63">
        <f>($B$11*$K$9+$C$11*$K$9+$F$11*((FF63+EX63)/MAX(FF63+EX63+FG63, 0.1)*$P$9+FG63/MAX(FF63+EX63+FG63, 0.1)*$Q$9))/($B$11+$C$11+$F$11)</f>
        <v>0</v>
      </c>
      <c r="DL63">
        <v>6</v>
      </c>
      <c r="DM63">
        <v>0.5</v>
      </c>
      <c r="DN63" t="s">
        <v>438</v>
      </c>
      <c r="DO63">
        <v>2</v>
      </c>
      <c r="DP63" t="b">
        <v>1</v>
      </c>
      <c r="DQ63">
        <v>1765305271.1</v>
      </c>
      <c r="DR63">
        <v>599.372533333333</v>
      </c>
      <c r="DS63">
        <v>600.007</v>
      </c>
      <c r="DT63">
        <v>17.9725866666667</v>
      </c>
      <c r="DU63">
        <v>17.8918</v>
      </c>
      <c r="DV63">
        <v>591.104533333333</v>
      </c>
      <c r="DW63">
        <v>17.8585866666667</v>
      </c>
      <c r="DX63">
        <v>500.015133333333</v>
      </c>
      <c r="DY63">
        <v>89.8912933333333</v>
      </c>
      <c r="DZ63">
        <v>0.0999659666666667</v>
      </c>
      <c r="EA63">
        <v>25.2907133333333</v>
      </c>
      <c r="EB63">
        <v>24.9820066666667</v>
      </c>
      <c r="EC63">
        <v>999.9</v>
      </c>
      <c r="ED63">
        <v>0</v>
      </c>
      <c r="EE63">
        <v>0</v>
      </c>
      <c r="EF63">
        <v>10008.6293333333</v>
      </c>
      <c r="EG63">
        <v>0</v>
      </c>
      <c r="EH63">
        <v>12.4303933333333</v>
      </c>
      <c r="EI63">
        <v>-0.5585694</v>
      </c>
      <c r="EJ63">
        <v>610.4214</v>
      </c>
      <c r="EK63">
        <v>610.937933333333</v>
      </c>
      <c r="EL63">
        <v>0.0840075133333333</v>
      </c>
      <c r="EM63">
        <v>600.007</v>
      </c>
      <c r="EN63">
        <v>17.8918</v>
      </c>
      <c r="EO63">
        <v>1.61587</v>
      </c>
      <c r="EP63">
        <v>1.60831733333333</v>
      </c>
      <c r="EQ63">
        <v>14.11098</v>
      </c>
      <c r="ER63">
        <v>14.0387333333333</v>
      </c>
      <c r="ES63">
        <v>800.0294</v>
      </c>
      <c r="ET63">
        <v>0.9499928</v>
      </c>
      <c r="EU63">
        <v>0.0500073</v>
      </c>
      <c r="EV63">
        <v>0</v>
      </c>
      <c r="EW63">
        <v>922.8998</v>
      </c>
      <c r="EX63">
        <v>5.00016</v>
      </c>
      <c r="EY63">
        <v>7171.91866666667</v>
      </c>
      <c r="EZ63">
        <v>7194.92333333333</v>
      </c>
      <c r="FA63">
        <v>39.625</v>
      </c>
      <c r="FB63">
        <v>42.312</v>
      </c>
      <c r="FC63">
        <v>41.062</v>
      </c>
      <c r="FD63">
        <v>42.375</v>
      </c>
      <c r="FE63">
        <v>42.25</v>
      </c>
      <c r="FF63">
        <v>755.271333333333</v>
      </c>
      <c r="FG63">
        <v>39.754</v>
      </c>
      <c r="FH63">
        <v>0</v>
      </c>
      <c r="FI63">
        <v>1765305279.7</v>
      </c>
      <c r="FJ63">
        <v>0</v>
      </c>
      <c r="FK63">
        <v>922.879269230769</v>
      </c>
      <c r="FL63">
        <v>-1.29610256530339</v>
      </c>
      <c r="FM63">
        <v>-0.833162495883129</v>
      </c>
      <c r="FN63">
        <v>7171.65346153846</v>
      </c>
      <c r="FO63">
        <v>15</v>
      </c>
      <c r="FP63">
        <v>1765305309.1</v>
      </c>
      <c r="FQ63" t="s">
        <v>585</v>
      </c>
      <c r="FR63">
        <v>1765305309.1</v>
      </c>
      <c r="FS63">
        <v>1765305297.1</v>
      </c>
      <c r="FT63">
        <v>47</v>
      </c>
      <c r="FU63">
        <v>-0.079</v>
      </c>
      <c r="FV63">
        <v>-0.001</v>
      </c>
      <c r="FW63">
        <v>8.268</v>
      </c>
      <c r="FX63">
        <v>0.114</v>
      </c>
      <c r="FY63">
        <v>600</v>
      </c>
      <c r="FZ63">
        <v>18</v>
      </c>
      <c r="GA63">
        <v>0.34</v>
      </c>
      <c r="GB63">
        <v>0.22</v>
      </c>
      <c r="GC63">
        <v>-0.57629705</v>
      </c>
      <c r="GD63">
        <v>0.312223443609022</v>
      </c>
      <c r="GE63">
        <v>0.0462306753005783</v>
      </c>
      <c r="GF63">
        <v>1</v>
      </c>
      <c r="GG63">
        <v>922.947205882353</v>
      </c>
      <c r="GH63">
        <v>-0.966432391533056</v>
      </c>
      <c r="GI63">
        <v>0.192025240285158</v>
      </c>
      <c r="GJ63">
        <v>-1</v>
      </c>
      <c r="GK63">
        <v>0.08343401</v>
      </c>
      <c r="GL63">
        <v>0.00866339548872172</v>
      </c>
      <c r="GM63">
        <v>0.00102201149156944</v>
      </c>
      <c r="GN63">
        <v>1</v>
      </c>
      <c r="GO63">
        <v>2</v>
      </c>
      <c r="GP63">
        <v>2</v>
      </c>
      <c r="GQ63" t="s">
        <v>440</v>
      </c>
      <c r="GR63">
        <v>3.12489</v>
      </c>
      <c r="GS63">
        <v>2.72561</v>
      </c>
      <c r="GT63">
        <v>0.115455</v>
      </c>
      <c r="GU63">
        <v>0.116551</v>
      </c>
      <c r="GV63">
        <v>0.0828639</v>
      </c>
      <c r="GW63">
        <v>0.0826335</v>
      </c>
      <c r="GX63">
        <v>23376.6</v>
      </c>
      <c r="GY63">
        <v>21628.4</v>
      </c>
      <c r="GZ63">
        <v>23624.3</v>
      </c>
      <c r="HA63">
        <v>23827.5</v>
      </c>
      <c r="HB63">
        <v>36892.2</v>
      </c>
      <c r="HC63">
        <v>36141.3</v>
      </c>
      <c r="HD63">
        <v>42545</v>
      </c>
      <c r="HE63">
        <v>42437.8</v>
      </c>
      <c r="HF63">
        <v>1.93773</v>
      </c>
      <c r="HG63">
        <v>1.84032</v>
      </c>
      <c r="HH63">
        <v>0.104442</v>
      </c>
      <c r="HI63">
        <v>0</v>
      </c>
      <c r="HJ63">
        <v>23.2607</v>
      </c>
      <c r="HK63">
        <v>999.9</v>
      </c>
      <c r="HL63">
        <v>44.445</v>
      </c>
      <c r="HM63">
        <v>30.242</v>
      </c>
      <c r="HN63">
        <v>21.3598</v>
      </c>
      <c r="HO63">
        <v>54.3076</v>
      </c>
      <c r="HP63">
        <v>46.8309</v>
      </c>
      <c r="HQ63">
        <v>1</v>
      </c>
      <c r="HR63">
        <v>-0.134624</v>
      </c>
      <c r="HS63">
        <v>0.696517</v>
      </c>
      <c r="HT63">
        <v>20.2309</v>
      </c>
      <c r="HU63">
        <v>5.23526</v>
      </c>
      <c r="HV63">
        <v>11.992</v>
      </c>
      <c r="HW63">
        <v>4.9561</v>
      </c>
      <c r="HX63">
        <v>3.304</v>
      </c>
      <c r="HY63">
        <v>999.9</v>
      </c>
      <c r="HZ63">
        <v>9999</v>
      </c>
      <c r="IA63">
        <v>9999</v>
      </c>
      <c r="IB63">
        <v>9999</v>
      </c>
      <c r="IC63">
        <v>1.86867</v>
      </c>
      <c r="ID63">
        <v>1.86445</v>
      </c>
      <c r="IE63">
        <v>1.87196</v>
      </c>
      <c r="IF63">
        <v>1.86295</v>
      </c>
      <c r="IG63">
        <v>1.86234</v>
      </c>
      <c r="IH63">
        <v>1.86874</v>
      </c>
      <c r="II63">
        <v>1.85897</v>
      </c>
      <c r="IJ63">
        <v>1.86523</v>
      </c>
      <c r="IK63">
        <v>5</v>
      </c>
      <c r="IL63">
        <v>0</v>
      </c>
      <c r="IM63">
        <v>0</v>
      </c>
      <c r="IN63">
        <v>0</v>
      </c>
      <c r="IO63" t="s">
        <v>441</v>
      </c>
      <c r="IP63" t="s">
        <v>442</v>
      </c>
      <c r="IQ63" t="s">
        <v>443</v>
      </c>
      <c r="IR63" t="s">
        <v>443</v>
      </c>
      <c r="IS63" t="s">
        <v>443</v>
      </c>
      <c r="IT63" t="s">
        <v>443</v>
      </c>
      <c r="IU63">
        <v>0</v>
      </c>
      <c r="IV63">
        <v>100</v>
      </c>
      <c r="IW63">
        <v>100</v>
      </c>
      <c r="IX63">
        <v>8.268</v>
      </c>
      <c r="IY63">
        <v>0.114</v>
      </c>
      <c r="IZ63">
        <v>5.60211963671216</v>
      </c>
      <c r="JA63">
        <v>0.0062698613543794</v>
      </c>
      <c r="JB63">
        <v>-3.23243345529816e-06</v>
      </c>
      <c r="JC63">
        <v>8.00506428382295e-10</v>
      </c>
      <c r="JD63">
        <v>-0.0442457141639058</v>
      </c>
      <c r="JE63">
        <v>-0.0018464610107002</v>
      </c>
      <c r="JF63">
        <v>0.000796540623429801</v>
      </c>
      <c r="JG63">
        <v>-1.04619914107352e-05</v>
      </c>
      <c r="JH63">
        <v>-0</v>
      </c>
      <c r="JI63">
        <v>2101</v>
      </c>
      <c r="JJ63">
        <v>1</v>
      </c>
      <c r="JK63">
        <v>23</v>
      </c>
      <c r="JL63">
        <v>1.3</v>
      </c>
      <c r="JM63">
        <v>1.4</v>
      </c>
      <c r="JN63">
        <v>1.39648</v>
      </c>
      <c r="JO63">
        <v>2.37183</v>
      </c>
      <c r="JP63">
        <v>1.49902</v>
      </c>
      <c r="JQ63">
        <v>2.33154</v>
      </c>
      <c r="JR63">
        <v>1.54419</v>
      </c>
      <c r="JS63">
        <v>2.30469</v>
      </c>
      <c r="JT63">
        <v>36.2694</v>
      </c>
      <c r="JU63">
        <v>24.3414</v>
      </c>
      <c r="JV63">
        <v>18</v>
      </c>
      <c r="JW63">
        <v>548.294</v>
      </c>
      <c r="JX63">
        <v>429.831</v>
      </c>
      <c r="JY63">
        <v>22.3282</v>
      </c>
      <c r="JZ63">
        <v>25.7773</v>
      </c>
      <c r="KA63">
        <v>30</v>
      </c>
      <c r="KB63">
        <v>25.766</v>
      </c>
      <c r="KC63">
        <v>25.7885</v>
      </c>
      <c r="KD63">
        <v>27.982</v>
      </c>
      <c r="KE63">
        <v>27.2491</v>
      </c>
      <c r="KF63">
        <v>81.4891</v>
      </c>
      <c r="KG63">
        <v>22.3539</v>
      </c>
      <c r="KH63">
        <v>600</v>
      </c>
      <c r="KI63">
        <v>17.8693</v>
      </c>
      <c r="KJ63">
        <v>95.391</v>
      </c>
      <c r="KK63">
        <v>98.9489</v>
      </c>
    </row>
    <row r="64" spans="1:297">
      <c r="A64">
        <v>48</v>
      </c>
      <c r="B64">
        <v>1765305384.1</v>
      </c>
      <c r="C64">
        <v>7435.09999990463</v>
      </c>
      <c r="D64" t="s">
        <v>586</v>
      </c>
      <c r="E64" t="s">
        <v>587</v>
      </c>
      <c r="F64">
        <v>5</v>
      </c>
      <c r="G64" t="s">
        <v>572</v>
      </c>
      <c r="H64" t="s">
        <v>436</v>
      </c>
      <c r="I64">
        <v>1765305375.6</v>
      </c>
      <c r="J64">
        <f>(K64)/1000</f>
        <v>0</v>
      </c>
      <c r="K64">
        <f>IF(DP64, AN64, AH64)</f>
        <v>0</v>
      </c>
      <c r="L64">
        <f>IF(DP64, AI64, AG64)</f>
        <v>0</v>
      </c>
      <c r="M64">
        <f>DR64 - IF(AU64&gt;1, L64*DL64*100.0/(AW64), 0)</f>
        <v>0</v>
      </c>
      <c r="N64">
        <f>((T64-J64/2)*M64-L64)/(T64+J64/2)</f>
        <v>0</v>
      </c>
      <c r="O64">
        <f>N64*(DY64+DZ64)/1000.0</f>
        <v>0</v>
      </c>
      <c r="P64">
        <f>(DR64 - IF(AU64&gt;1, L64*DL64*100.0/(AW64), 0))*(DY64+DZ64)/1000.0</f>
        <v>0</v>
      </c>
      <c r="Q64">
        <f>2.0/((1/S64-1/R64)+SIGN(S64)*SQRT((1/S64-1/R64)*(1/S64-1/R64) + 4*DM64/((DM64+1)*(DM64+1))*(2*1/S64*1/R64-1/R64*1/R64)))</f>
        <v>0</v>
      </c>
      <c r="R64">
        <f>IF(LEFT(DN64,1)&lt;&gt;"0",IF(LEFT(DN64,1)="1",3.0,DO64),$D$5+$E$5*(EF64*DY64/($K$5*1000))+$F$5*(EF64*DY64/($K$5*1000))*MAX(MIN(DL64,$J$5),$I$5)*MAX(MIN(DL64,$J$5),$I$5)+$G$5*MAX(MIN(DL64,$J$5),$I$5)*(EF64*DY64/($K$5*1000))+$H$5*(EF64*DY64/($K$5*1000))*(EF64*DY64/($K$5*1000)))</f>
        <v>0</v>
      </c>
      <c r="S64">
        <f>J64*(1000-(1000*0.61365*exp(17.502*W64/(240.97+W64))/(DY64+DZ64)+DT64)/2)/(1000*0.61365*exp(17.502*W64/(240.97+W64))/(DY64+DZ64)-DT64)</f>
        <v>0</v>
      </c>
      <c r="T64">
        <f>1/((DM64+1)/(Q64/1.6)+1/(R64/1.37)) + DM64/((DM64+1)/(Q64/1.6) + DM64/(R64/1.37))</f>
        <v>0</v>
      </c>
      <c r="U64">
        <f>(DH64*DK64)</f>
        <v>0</v>
      </c>
      <c r="V64">
        <f>(EA64+(U64+2*0.95*5.67E-8*(((EA64+$B$7)+273)^4-(EA64+273)^4)-44100*J64)/(1.84*29.3*R64+8*0.95*5.67E-8*(EA64+273)^3))</f>
        <v>0</v>
      </c>
      <c r="W64">
        <f>($C$7*EB64+$D$7*EC64+$E$7*V64)</f>
        <v>0</v>
      </c>
      <c r="X64">
        <f>0.61365*exp(17.502*W64/(240.97+W64))</f>
        <v>0</v>
      </c>
      <c r="Y64">
        <f>(Z64/AA64*100)</f>
        <v>0</v>
      </c>
      <c r="Z64">
        <f>DT64*(DY64+DZ64)/1000</f>
        <v>0</v>
      </c>
      <c r="AA64">
        <f>0.61365*exp(17.502*EA64/(240.97+EA64))</f>
        <v>0</v>
      </c>
      <c r="AB64">
        <f>(X64-DT64*(DY64+DZ64)/1000)</f>
        <v>0</v>
      </c>
      <c r="AC64">
        <f>(-J64*44100)</f>
        <v>0</v>
      </c>
      <c r="AD64">
        <f>2*29.3*R64*0.92*(EA64-W64)</f>
        <v>0</v>
      </c>
      <c r="AE64">
        <f>2*0.95*5.67E-8*(((EA64+$B$7)+273)^4-(W64+273)^4)</f>
        <v>0</v>
      </c>
      <c r="AF64">
        <f>U64+AE64+AC64+AD64</f>
        <v>0</v>
      </c>
      <c r="AG64">
        <f>DX64*AU64*(DS64-DR64*(1000-AU64*DU64)/(1000-AU64*DT64))/(100*DL64)</f>
        <v>0</v>
      </c>
      <c r="AH64">
        <f>1000*DX64*AU64*(DT64-DU64)/(100*DL64*(1000-AU64*DT64))</f>
        <v>0</v>
      </c>
      <c r="AI64">
        <f>(AJ64 - AK64 - DY64*1E3/(8.314*(EA64+273.15)) * AM64/DX64 * AL64) * DX64/(100*DL64) * (1000 - DU64)/1000</f>
        <v>0</v>
      </c>
      <c r="AJ64">
        <v>814.565662403082</v>
      </c>
      <c r="AK64">
        <v>813.787557575758</v>
      </c>
      <c r="AL64">
        <v>-0.00255725423121323</v>
      </c>
      <c r="AM64">
        <v>63.6358368192473</v>
      </c>
      <c r="AN64">
        <f>(AP64 - AO64 + DY64*1E3/(8.314*(EA64+273.15)) * AR64/DX64 * AQ64) * DX64/(100*DL64) * 1000/(1000 - AP64)</f>
        <v>0</v>
      </c>
      <c r="AO64">
        <v>17.886286693724</v>
      </c>
      <c r="AP64">
        <v>17.9660078787879</v>
      </c>
      <c r="AQ64">
        <v>-1.32491321666883e-05</v>
      </c>
      <c r="AR64">
        <v>106.124998144069</v>
      </c>
      <c r="AS64">
        <v>0</v>
      </c>
      <c r="AT64">
        <v>0</v>
      </c>
      <c r="AU64">
        <f>IF(AS64*$H$13&gt;=AW64,1.0,(AW64/(AW64-AS64*$H$13)))</f>
        <v>0</v>
      </c>
      <c r="AV64">
        <f>(AU64-1)*100</f>
        <v>0</v>
      </c>
      <c r="AW64">
        <f>MAX(0,($B$13+$C$13*EF64)/(1+$D$13*EF64)*DY64/(EA64+273)*$E$13)</f>
        <v>0</v>
      </c>
      <c r="AX64" t="s">
        <v>437</v>
      </c>
      <c r="AY64" t="s">
        <v>437</v>
      </c>
      <c r="AZ64">
        <v>0</v>
      </c>
      <c r="BA64">
        <v>0</v>
      </c>
      <c r="BB64">
        <f>1-AZ64/BA64</f>
        <v>0</v>
      </c>
      <c r="BC64">
        <v>0</v>
      </c>
      <c r="BD64" t="s">
        <v>437</v>
      </c>
      <c r="BE64" t="s">
        <v>437</v>
      </c>
      <c r="BF64">
        <v>0</v>
      </c>
      <c r="BG64">
        <v>0</v>
      </c>
      <c r="BH64">
        <f>1-BF64/BG64</f>
        <v>0</v>
      </c>
      <c r="BI64">
        <v>0.5</v>
      </c>
      <c r="BJ64">
        <f>DI64</f>
        <v>0</v>
      </c>
      <c r="BK64">
        <f>L64</f>
        <v>0</v>
      </c>
      <c r="BL64">
        <f>BH64*BI64*BJ64</f>
        <v>0</v>
      </c>
      <c r="BM64">
        <f>(BK64-BC64)/BJ64</f>
        <v>0</v>
      </c>
      <c r="BN64">
        <f>(BA64-BG64)/BG64</f>
        <v>0</v>
      </c>
      <c r="BO64">
        <f>AZ64/(BB64+AZ64/BG64)</f>
        <v>0</v>
      </c>
      <c r="BP64" t="s">
        <v>437</v>
      </c>
      <c r="BQ64">
        <v>0</v>
      </c>
      <c r="BR64">
        <f>IF(BQ64&lt;&gt;0, BQ64, BO64)</f>
        <v>0</v>
      </c>
      <c r="BS64">
        <f>1-BR64/BG64</f>
        <v>0</v>
      </c>
      <c r="BT64">
        <f>(BG64-BF64)/(BG64-BR64)</f>
        <v>0</v>
      </c>
      <c r="BU64">
        <f>(BA64-BG64)/(BA64-BR64)</f>
        <v>0</v>
      </c>
      <c r="BV64">
        <f>(BG64-BF64)/(BG64-AZ64)</f>
        <v>0</v>
      </c>
      <c r="BW64">
        <f>(BA64-BG64)/(BA64-AZ64)</f>
        <v>0</v>
      </c>
      <c r="BX64">
        <f>(BT64*BR64/BF64)</f>
        <v>0</v>
      </c>
      <c r="BY64">
        <f>(1-BX64)</f>
        <v>0</v>
      </c>
      <c r="DH64">
        <f>$B$11*EG64+$C$11*EH64+$F$11*ES64*(1-EV64)</f>
        <v>0</v>
      </c>
      <c r="DI64">
        <f>DH64*DJ64</f>
        <v>0</v>
      </c>
      <c r="DJ64">
        <f>($B$11*$D$9+$C$11*$D$9+$F$11*((FF64+EX64)/MAX(FF64+EX64+FG64, 0.1)*$I$9+FG64/MAX(FF64+EX64+FG64, 0.1)*$J$9))/($B$11+$C$11+$F$11)</f>
        <v>0</v>
      </c>
      <c r="DK64">
        <f>($B$11*$K$9+$C$11*$K$9+$F$11*((FF64+EX64)/MAX(FF64+EX64+FG64, 0.1)*$P$9+FG64/MAX(FF64+EX64+FG64, 0.1)*$Q$9))/($B$11+$C$11+$F$11)</f>
        <v>0</v>
      </c>
      <c r="DL64">
        <v>6</v>
      </c>
      <c r="DM64">
        <v>0.5</v>
      </c>
      <c r="DN64" t="s">
        <v>438</v>
      </c>
      <c r="DO64">
        <v>2</v>
      </c>
      <c r="DP64" t="b">
        <v>1</v>
      </c>
      <c r="DQ64">
        <v>1765305375.6</v>
      </c>
      <c r="DR64">
        <v>798.9693125</v>
      </c>
      <c r="DS64">
        <v>799.9998125</v>
      </c>
      <c r="DT64">
        <v>17.97485625</v>
      </c>
      <c r="DU64">
        <v>17.8889</v>
      </c>
      <c r="DV64">
        <v>790.3053125</v>
      </c>
      <c r="DW64">
        <v>17.85285625</v>
      </c>
      <c r="DX64">
        <v>500.0038125</v>
      </c>
      <c r="DY64">
        <v>89.8784375</v>
      </c>
      <c r="DZ64">
        <v>0.0999681375</v>
      </c>
      <c r="EA64">
        <v>25.29726875</v>
      </c>
      <c r="EB64">
        <v>24.9761</v>
      </c>
      <c r="EC64">
        <v>999.9</v>
      </c>
      <c r="ED64">
        <v>0</v>
      </c>
      <c r="EE64">
        <v>0</v>
      </c>
      <c r="EF64">
        <v>10002.410625</v>
      </c>
      <c r="EG64">
        <v>0</v>
      </c>
      <c r="EH64">
        <v>12.41244375</v>
      </c>
      <c r="EI64">
        <v>-0.8402175625</v>
      </c>
      <c r="EJ64">
        <v>813.7820625</v>
      </c>
      <c r="EK64">
        <v>814.571625</v>
      </c>
      <c r="EL64">
        <v>0.07968770625</v>
      </c>
      <c r="EM64">
        <v>799.9998125</v>
      </c>
      <c r="EN64">
        <v>17.8889</v>
      </c>
      <c r="EO64">
        <v>1.61498875</v>
      </c>
      <c r="EP64">
        <v>1.607826875</v>
      </c>
      <c r="EQ64">
        <v>14.102575</v>
      </c>
      <c r="ER64">
        <v>14.0340125</v>
      </c>
      <c r="ES64">
        <v>800.035</v>
      </c>
      <c r="ET64">
        <v>0.9499981875</v>
      </c>
      <c r="EU64">
        <v>0.05000175625</v>
      </c>
      <c r="EV64">
        <v>0</v>
      </c>
      <c r="EW64">
        <v>922.6791875</v>
      </c>
      <c r="EX64">
        <v>5.00016</v>
      </c>
      <c r="EY64">
        <v>7169.205625</v>
      </c>
      <c r="EZ64">
        <v>7194.989375</v>
      </c>
      <c r="FA64">
        <v>39.562</v>
      </c>
      <c r="FB64">
        <v>42.308125</v>
      </c>
      <c r="FC64">
        <v>41.062</v>
      </c>
      <c r="FD64">
        <v>42.375</v>
      </c>
      <c r="FE64">
        <v>42.25</v>
      </c>
      <c r="FF64">
        <v>755.28125</v>
      </c>
      <c r="FG64">
        <v>39.74875</v>
      </c>
      <c r="FH64">
        <v>0</v>
      </c>
      <c r="FI64">
        <v>1765305384.7</v>
      </c>
      <c r="FJ64">
        <v>0</v>
      </c>
      <c r="FK64">
        <v>922.678</v>
      </c>
      <c r="FL64">
        <v>-0.808307698231481</v>
      </c>
      <c r="FM64">
        <v>0.379999966515675</v>
      </c>
      <c r="FN64">
        <v>7169.0004</v>
      </c>
      <c r="FO64">
        <v>15</v>
      </c>
      <c r="FP64">
        <v>1765305407.1</v>
      </c>
      <c r="FQ64" t="s">
        <v>588</v>
      </c>
      <c r="FR64">
        <v>1765305407.1</v>
      </c>
      <c r="FS64">
        <v>1765305402.1</v>
      </c>
      <c r="FT64">
        <v>48</v>
      </c>
      <c r="FU64">
        <v>-0.194</v>
      </c>
      <c r="FV64">
        <v>0.008</v>
      </c>
      <c r="FW64">
        <v>8.664</v>
      </c>
      <c r="FX64">
        <v>0.122</v>
      </c>
      <c r="FY64">
        <v>800</v>
      </c>
      <c r="FZ64">
        <v>18</v>
      </c>
      <c r="GA64">
        <v>0.48</v>
      </c>
      <c r="GB64">
        <v>0.18</v>
      </c>
      <c r="GC64">
        <v>-0.855535571428571</v>
      </c>
      <c r="GD64">
        <v>0.318916441558441</v>
      </c>
      <c r="GE64">
        <v>0.051667629319362</v>
      </c>
      <c r="GF64">
        <v>1</v>
      </c>
      <c r="GG64">
        <v>922.647411764706</v>
      </c>
      <c r="GH64">
        <v>0.203575248084765</v>
      </c>
      <c r="GI64">
        <v>0.196796717698456</v>
      </c>
      <c r="GJ64">
        <v>-1</v>
      </c>
      <c r="GK64">
        <v>0.0797178142857143</v>
      </c>
      <c r="GL64">
        <v>0.00050518441558463</v>
      </c>
      <c r="GM64">
        <v>0.00109292315125896</v>
      </c>
      <c r="GN64">
        <v>1</v>
      </c>
      <c r="GO64">
        <v>2</v>
      </c>
      <c r="GP64">
        <v>2</v>
      </c>
      <c r="GQ64" t="s">
        <v>440</v>
      </c>
      <c r="GR64">
        <v>3.12497</v>
      </c>
      <c r="GS64">
        <v>2.72571</v>
      </c>
      <c r="GT64">
        <v>0.14109</v>
      </c>
      <c r="GU64">
        <v>0.142026</v>
      </c>
      <c r="GV64">
        <v>0.0828205</v>
      </c>
      <c r="GW64">
        <v>0.0826065</v>
      </c>
      <c r="GX64">
        <v>22699.5</v>
      </c>
      <c r="GY64">
        <v>21006.3</v>
      </c>
      <c r="GZ64">
        <v>23624.3</v>
      </c>
      <c r="HA64">
        <v>23828.8</v>
      </c>
      <c r="HB64">
        <v>36895.9</v>
      </c>
      <c r="HC64">
        <v>36146.7</v>
      </c>
      <c r="HD64">
        <v>42544.6</v>
      </c>
      <c r="HE64">
        <v>42440.5</v>
      </c>
      <c r="HF64">
        <v>1.93782</v>
      </c>
      <c r="HG64">
        <v>1.84112</v>
      </c>
      <c r="HH64">
        <v>0.111625</v>
      </c>
      <c r="HI64">
        <v>0</v>
      </c>
      <c r="HJ64">
        <v>23.1362</v>
      </c>
      <c r="HK64">
        <v>999.9</v>
      </c>
      <c r="HL64">
        <v>44.5</v>
      </c>
      <c r="HM64">
        <v>30.212</v>
      </c>
      <c r="HN64">
        <v>21.3533</v>
      </c>
      <c r="HO64">
        <v>54.3976</v>
      </c>
      <c r="HP64">
        <v>46.6026</v>
      </c>
      <c r="HQ64">
        <v>1</v>
      </c>
      <c r="HR64">
        <v>-0.135737</v>
      </c>
      <c r="HS64">
        <v>0.538355</v>
      </c>
      <c r="HT64">
        <v>20.2317</v>
      </c>
      <c r="HU64">
        <v>5.23346</v>
      </c>
      <c r="HV64">
        <v>11.992</v>
      </c>
      <c r="HW64">
        <v>4.9569</v>
      </c>
      <c r="HX64">
        <v>3.304</v>
      </c>
      <c r="HY64">
        <v>999.9</v>
      </c>
      <c r="HZ64">
        <v>9999</v>
      </c>
      <c r="IA64">
        <v>9999</v>
      </c>
      <c r="IB64">
        <v>9999</v>
      </c>
      <c r="IC64">
        <v>1.86871</v>
      </c>
      <c r="ID64">
        <v>1.86446</v>
      </c>
      <c r="IE64">
        <v>1.87197</v>
      </c>
      <c r="IF64">
        <v>1.86295</v>
      </c>
      <c r="IG64">
        <v>1.86234</v>
      </c>
      <c r="IH64">
        <v>1.86874</v>
      </c>
      <c r="II64">
        <v>1.85894</v>
      </c>
      <c r="IJ64">
        <v>1.86523</v>
      </c>
      <c r="IK64">
        <v>5</v>
      </c>
      <c r="IL64">
        <v>0</v>
      </c>
      <c r="IM64">
        <v>0</v>
      </c>
      <c r="IN64">
        <v>0</v>
      </c>
      <c r="IO64" t="s">
        <v>441</v>
      </c>
      <c r="IP64" t="s">
        <v>442</v>
      </c>
      <c r="IQ64" t="s">
        <v>443</v>
      </c>
      <c r="IR64" t="s">
        <v>443</v>
      </c>
      <c r="IS64" t="s">
        <v>443</v>
      </c>
      <c r="IT64" t="s">
        <v>443</v>
      </c>
      <c r="IU64">
        <v>0</v>
      </c>
      <c r="IV64">
        <v>100</v>
      </c>
      <c r="IW64">
        <v>100</v>
      </c>
      <c r="IX64">
        <v>8.664</v>
      </c>
      <c r="IY64">
        <v>0.122</v>
      </c>
      <c r="IZ64">
        <v>5.5230070861377</v>
      </c>
      <c r="JA64">
        <v>0.0062698613543794</v>
      </c>
      <c r="JB64">
        <v>-3.23243345529816e-06</v>
      </c>
      <c r="JC64">
        <v>8.00506428382295e-10</v>
      </c>
      <c r="JD64">
        <v>-0.0456417579148833</v>
      </c>
      <c r="JE64">
        <v>-0.0018464610107002</v>
      </c>
      <c r="JF64">
        <v>0.000796540623429801</v>
      </c>
      <c r="JG64">
        <v>-1.04619914107352e-05</v>
      </c>
      <c r="JH64">
        <v>-0</v>
      </c>
      <c r="JI64">
        <v>2101</v>
      </c>
      <c r="JJ64">
        <v>1</v>
      </c>
      <c r="JK64">
        <v>23</v>
      </c>
      <c r="JL64">
        <v>1.2</v>
      </c>
      <c r="JM64">
        <v>1.4</v>
      </c>
      <c r="JN64">
        <v>1.75903</v>
      </c>
      <c r="JO64">
        <v>2.36328</v>
      </c>
      <c r="JP64">
        <v>1.4978</v>
      </c>
      <c r="JQ64">
        <v>2.33154</v>
      </c>
      <c r="JR64">
        <v>1.54419</v>
      </c>
      <c r="JS64">
        <v>2.33521</v>
      </c>
      <c r="JT64">
        <v>36.2224</v>
      </c>
      <c r="JU64">
        <v>24.3414</v>
      </c>
      <c r="JV64">
        <v>18</v>
      </c>
      <c r="JW64">
        <v>548.282</v>
      </c>
      <c r="JX64">
        <v>430.247</v>
      </c>
      <c r="JY64">
        <v>22.5571</v>
      </c>
      <c r="JZ64">
        <v>25.7729</v>
      </c>
      <c r="KA64">
        <v>30.0001</v>
      </c>
      <c r="KB64">
        <v>25.7574</v>
      </c>
      <c r="KC64">
        <v>25.782</v>
      </c>
      <c r="KD64">
        <v>35.238</v>
      </c>
      <c r="KE64">
        <v>27.2491</v>
      </c>
      <c r="KF64">
        <v>81.4891</v>
      </c>
      <c r="KG64">
        <v>22.5772</v>
      </c>
      <c r="KH64">
        <v>800</v>
      </c>
      <c r="KI64">
        <v>17.8766</v>
      </c>
      <c r="KJ64">
        <v>95.3904</v>
      </c>
      <c r="KK64">
        <v>98.9549</v>
      </c>
    </row>
    <row r="65" spans="1:297">
      <c r="A65">
        <v>49</v>
      </c>
      <c r="B65">
        <v>1765305481.1</v>
      </c>
      <c r="C65">
        <v>7532.09999990463</v>
      </c>
      <c r="D65" t="s">
        <v>589</v>
      </c>
      <c r="E65" t="s">
        <v>590</v>
      </c>
      <c r="F65">
        <v>5</v>
      </c>
      <c r="G65" t="s">
        <v>572</v>
      </c>
      <c r="H65" t="s">
        <v>436</v>
      </c>
      <c r="I65">
        <v>1765305473.1</v>
      </c>
      <c r="J65">
        <f>(K65)/1000</f>
        <v>0</v>
      </c>
      <c r="K65">
        <f>IF(DP65, AN65, AH65)</f>
        <v>0</v>
      </c>
      <c r="L65">
        <f>IF(DP65, AI65, AG65)</f>
        <v>0</v>
      </c>
      <c r="M65">
        <f>DR65 - IF(AU65&gt;1, L65*DL65*100.0/(AW65), 0)</f>
        <v>0</v>
      </c>
      <c r="N65">
        <f>((T65-J65/2)*M65-L65)/(T65+J65/2)</f>
        <v>0</v>
      </c>
      <c r="O65">
        <f>N65*(DY65+DZ65)/1000.0</f>
        <v>0</v>
      </c>
      <c r="P65">
        <f>(DR65 - IF(AU65&gt;1, L65*DL65*100.0/(AW65), 0))*(DY65+DZ65)/1000.0</f>
        <v>0</v>
      </c>
      <c r="Q65">
        <f>2.0/((1/S65-1/R65)+SIGN(S65)*SQRT((1/S65-1/R65)*(1/S65-1/R65) + 4*DM65/((DM65+1)*(DM65+1))*(2*1/S65*1/R65-1/R65*1/R65)))</f>
        <v>0</v>
      </c>
      <c r="R65">
        <f>IF(LEFT(DN65,1)&lt;&gt;"0",IF(LEFT(DN65,1)="1",3.0,DO65),$D$5+$E$5*(EF65*DY65/($K$5*1000))+$F$5*(EF65*DY65/($K$5*1000))*MAX(MIN(DL65,$J$5),$I$5)*MAX(MIN(DL65,$J$5),$I$5)+$G$5*MAX(MIN(DL65,$J$5),$I$5)*(EF65*DY65/($K$5*1000))+$H$5*(EF65*DY65/($K$5*1000))*(EF65*DY65/($K$5*1000)))</f>
        <v>0</v>
      </c>
      <c r="S65">
        <f>J65*(1000-(1000*0.61365*exp(17.502*W65/(240.97+W65))/(DY65+DZ65)+DT65)/2)/(1000*0.61365*exp(17.502*W65/(240.97+W65))/(DY65+DZ65)-DT65)</f>
        <v>0</v>
      </c>
      <c r="T65">
        <f>1/((DM65+1)/(Q65/1.6)+1/(R65/1.37)) + DM65/((DM65+1)/(Q65/1.6) + DM65/(R65/1.37))</f>
        <v>0</v>
      </c>
      <c r="U65">
        <f>(DH65*DK65)</f>
        <v>0</v>
      </c>
      <c r="V65">
        <f>(EA65+(U65+2*0.95*5.67E-8*(((EA65+$B$7)+273)^4-(EA65+273)^4)-44100*J65)/(1.84*29.3*R65+8*0.95*5.67E-8*(EA65+273)^3))</f>
        <v>0</v>
      </c>
      <c r="W65">
        <f>($C$7*EB65+$D$7*EC65+$E$7*V65)</f>
        <v>0</v>
      </c>
      <c r="X65">
        <f>0.61365*exp(17.502*W65/(240.97+W65))</f>
        <v>0</v>
      </c>
      <c r="Y65">
        <f>(Z65/AA65*100)</f>
        <v>0</v>
      </c>
      <c r="Z65">
        <f>DT65*(DY65+DZ65)/1000</f>
        <v>0</v>
      </c>
      <c r="AA65">
        <f>0.61365*exp(17.502*EA65/(240.97+EA65))</f>
        <v>0</v>
      </c>
      <c r="AB65">
        <f>(X65-DT65*(DY65+DZ65)/1000)</f>
        <v>0</v>
      </c>
      <c r="AC65">
        <f>(-J65*44100)</f>
        <v>0</v>
      </c>
      <c r="AD65">
        <f>2*29.3*R65*0.92*(EA65-W65)</f>
        <v>0</v>
      </c>
      <c r="AE65">
        <f>2*0.95*5.67E-8*(((EA65+$B$7)+273)^4-(W65+273)^4)</f>
        <v>0</v>
      </c>
      <c r="AF65">
        <f>U65+AE65+AC65+AD65</f>
        <v>0</v>
      </c>
      <c r="AG65">
        <f>DX65*AU65*(DS65-DR65*(1000-AU65*DU65)/(1000-AU65*DT65))/(100*DL65)</f>
        <v>0</v>
      </c>
      <c r="AH65">
        <f>1000*DX65*AU65*(DT65-DU65)/(100*DL65*(1000-AU65*DT65))</f>
        <v>0</v>
      </c>
      <c r="AI65">
        <f>(AJ65 - AK65 - DY65*1E3/(8.314*(EA65+273.15)) * AM65/DX65 * AL65) * DX65/(100*DL65) * (1000 - DU65)/1000</f>
        <v>0</v>
      </c>
      <c r="AJ65">
        <v>1018.30151838913</v>
      </c>
      <c r="AK65">
        <v>1017.18109090909</v>
      </c>
      <c r="AL65">
        <v>0.0266014537971694</v>
      </c>
      <c r="AM65">
        <v>63.5215070181996</v>
      </c>
      <c r="AN65">
        <f>(AP65 - AO65 + DY65*1E3/(8.314*(EA65+273.15)) * AR65/DX65 * AQ65) * DX65/(100*DL65) * 1000/(1000 - AP65)</f>
        <v>0</v>
      </c>
      <c r="AO65">
        <v>17.8975091231593</v>
      </c>
      <c r="AP65">
        <v>17.9699042424242</v>
      </c>
      <c r="AQ65">
        <v>1.52719141704434e-05</v>
      </c>
      <c r="AR65">
        <v>106.785454411456</v>
      </c>
      <c r="AS65">
        <v>0</v>
      </c>
      <c r="AT65">
        <v>0</v>
      </c>
      <c r="AU65">
        <f>IF(AS65*$H$13&gt;=AW65,1.0,(AW65/(AW65-AS65*$H$13)))</f>
        <v>0</v>
      </c>
      <c r="AV65">
        <f>(AU65-1)*100</f>
        <v>0</v>
      </c>
      <c r="AW65">
        <f>MAX(0,($B$13+$C$13*EF65)/(1+$D$13*EF65)*DY65/(EA65+273)*$E$13)</f>
        <v>0</v>
      </c>
      <c r="AX65" t="s">
        <v>437</v>
      </c>
      <c r="AY65" t="s">
        <v>437</v>
      </c>
      <c r="AZ65">
        <v>0</v>
      </c>
      <c r="BA65">
        <v>0</v>
      </c>
      <c r="BB65">
        <f>1-AZ65/BA65</f>
        <v>0</v>
      </c>
      <c r="BC65">
        <v>0</v>
      </c>
      <c r="BD65" t="s">
        <v>437</v>
      </c>
      <c r="BE65" t="s">
        <v>437</v>
      </c>
      <c r="BF65">
        <v>0</v>
      </c>
      <c r="BG65">
        <v>0</v>
      </c>
      <c r="BH65">
        <f>1-BF65/BG65</f>
        <v>0</v>
      </c>
      <c r="BI65">
        <v>0.5</v>
      </c>
      <c r="BJ65">
        <f>DI65</f>
        <v>0</v>
      </c>
      <c r="BK65">
        <f>L65</f>
        <v>0</v>
      </c>
      <c r="BL65">
        <f>BH65*BI65*BJ65</f>
        <v>0</v>
      </c>
      <c r="BM65">
        <f>(BK65-BC65)/BJ65</f>
        <v>0</v>
      </c>
      <c r="BN65">
        <f>(BA65-BG65)/BG65</f>
        <v>0</v>
      </c>
      <c r="BO65">
        <f>AZ65/(BB65+AZ65/BG65)</f>
        <v>0</v>
      </c>
      <c r="BP65" t="s">
        <v>437</v>
      </c>
      <c r="BQ65">
        <v>0</v>
      </c>
      <c r="BR65">
        <f>IF(BQ65&lt;&gt;0, BQ65, BO65)</f>
        <v>0</v>
      </c>
      <c r="BS65">
        <f>1-BR65/BG65</f>
        <v>0</v>
      </c>
      <c r="BT65">
        <f>(BG65-BF65)/(BG65-BR65)</f>
        <v>0</v>
      </c>
      <c r="BU65">
        <f>(BA65-BG65)/(BA65-BR65)</f>
        <v>0</v>
      </c>
      <c r="BV65">
        <f>(BG65-BF65)/(BG65-AZ65)</f>
        <v>0</v>
      </c>
      <c r="BW65">
        <f>(BA65-BG65)/(BA65-AZ65)</f>
        <v>0</v>
      </c>
      <c r="BX65">
        <f>(BT65*BR65/BF65)</f>
        <v>0</v>
      </c>
      <c r="BY65">
        <f>(1-BX65)</f>
        <v>0</v>
      </c>
      <c r="DH65">
        <f>$B$11*EG65+$C$11*EH65+$F$11*ES65*(1-EV65)</f>
        <v>0</v>
      </c>
      <c r="DI65">
        <f>DH65*DJ65</f>
        <v>0</v>
      </c>
      <c r="DJ65">
        <f>($B$11*$D$9+$C$11*$D$9+$F$11*((FF65+EX65)/MAX(FF65+EX65+FG65, 0.1)*$I$9+FG65/MAX(FF65+EX65+FG65, 0.1)*$J$9))/($B$11+$C$11+$F$11)</f>
        <v>0</v>
      </c>
      <c r="DK65">
        <f>($B$11*$K$9+$C$11*$K$9+$F$11*((FF65+EX65)/MAX(FF65+EX65+FG65, 0.1)*$P$9+FG65/MAX(FF65+EX65+FG65, 0.1)*$Q$9))/($B$11+$C$11+$F$11)</f>
        <v>0</v>
      </c>
      <c r="DL65">
        <v>6</v>
      </c>
      <c r="DM65">
        <v>0.5</v>
      </c>
      <c r="DN65" t="s">
        <v>438</v>
      </c>
      <c r="DO65">
        <v>2</v>
      </c>
      <c r="DP65" t="b">
        <v>1</v>
      </c>
      <c r="DQ65">
        <v>1765305473.1</v>
      </c>
      <c r="DR65">
        <v>998.894933333333</v>
      </c>
      <c r="DS65">
        <v>1000.0162</v>
      </c>
      <c r="DT65">
        <v>17.9650933333333</v>
      </c>
      <c r="DU65">
        <v>17.89288</v>
      </c>
      <c r="DV65">
        <v>989.695933333334</v>
      </c>
      <c r="DW65">
        <v>17.8430933333333</v>
      </c>
      <c r="DX65">
        <v>500.0252</v>
      </c>
      <c r="DY65">
        <v>89.8774466666667</v>
      </c>
      <c r="DZ65">
        <v>0.100027426666667</v>
      </c>
      <c r="EA65">
        <v>25.30278</v>
      </c>
      <c r="EB65">
        <v>25.0026333333333</v>
      </c>
      <c r="EC65">
        <v>999.9</v>
      </c>
      <c r="ED65">
        <v>0</v>
      </c>
      <c r="EE65">
        <v>0</v>
      </c>
      <c r="EF65">
        <v>9989.82933333333</v>
      </c>
      <c r="EG65">
        <v>0</v>
      </c>
      <c r="EH65">
        <v>12.4638</v>
      </c>
      <c r="EI65">
        <v>-1.17627333333333</v>
      </c>
      <c r="EJ65">
        <v>1017.11533333333</v>
      </c>
      <c r="EK65">
        <v>1018.23466666667</v>
      </c>
      <c r="EL65">
        <v>0.0737990133333333</v>
      </c>
      <c r="EM65">
        <v>1000.0162</v>
      </c>
      <c r="EN65">
        <v>17.89288</v>
      </c>
      <c r="EO65">
        <v>1.61479933333333</v>
      </c>
      <c r="EP65">
        <v>1.60816733333333</v>
      </c>
      <c r="EQ65">
        <v>14.1007533333333</v>
      </c>
      <c r="ER65">
        <v>14.03726</v>
      </c>
      <c r="ES65">
        <v>799.981066666667</v>
      </c>
      <c r="ET65">
        <v>0.949997266666667</v>
      </c>
      <c r="EU65">
        <v>0.0500025933333333</v>
      </c>
      <c r="EV65">
        <v>0</v>
      </c>
      <c r="EW65">
        <v>922.348066666667</v>
      </c>
      <c r="EX65">
        <v>5.00016</v>
      </c>
      <c r="EY65">
        <v>7166.60733333333</v>
      </c>
      <c r="EZ65">
        <v>7194.49733333333</v>
      </c>
      <c r="FA65">
        <v>39.562</v>
      </c>
      <c r="FB65">
        <v>42.312</v>
      </c>
      <c r="FC65">
        <v>41.0413333333333</v>
      </c>
      <c r="FD65">
        <v>42.3204</v>
      </c>
      <c r="FE65">
        <v>42.229</v>
      </c>
      <c r="FF65">
        <v>755.231333333333</v>
      </c>
      <c r="FG65">
        <v>39.7533333333333</v>
      </c>
      <c r="FH65">
        <v>0</v>
      </c>
      <c r="FI65">
        <v>1765305481.3</v>
      </c>
      <c r="FJ65">
        <v>0</v>
      </c>
      <c r="FK65">
        <v>922.383461538461</v>
      </c>
      <c r="FL65">
        <v>-0.588444446439749</v>
      </c>
      <c r="FM65">
        <v>-2.97777778944577</v>
      </c>
      <c r="FN65">
        <v>7166.72</v>
      </c>
      <c r="FO65">
        <v>15</v>
      </c>
      <c r="FP65">
        <v>1765305501.1</v>
      </c>
      <c r="FQ65" t="s">
        <v>591</v>
      </c>
      <c r="FR65">
        <v>1765305501.1</v>
      </c>
      <c r="FS65">
        <v>1765305499.1</v>
      </c>
      <c r="FT65">
        <v>49</v>
      </c>
      <c r="FU65">
        <v>0.053</v>
      </c>
      <c r="FV65">
        <v>0</v>
      </c>
      <c r="FW65">
        <v>9.199</v>
      </c>
      <c r="FX65">
        <v>0.122</v>
      </c>
      <c r="FY65">
        <v>1000</v>
      </c>
      <c r="FZ65">
        <v>18</v>
      </c>
      <c r="GA65">
        <v>0.51</v>
      </c>
      <c r="GB65">
        <v>0.12</v>
      </c>
      <c r="GC65">
        <v>-1.21020523809524</v>
      </c>
      <c r="GD65">
        <v>0.217955064935064</v>
      </c>
      <c r="GE65">
        <v>0.0871065036453895</v>
      </c>
      <c r="GF65">
        <v>1</v>
      </c>
      <c r="GG65">
        <v>922.369558823529</v>
      </c>
      <c r="GH65">
        <v>-0.120687546563046</v>
      </c>
      <c r="GI65">
        <v>0.190898678265002</v>
      </c>
      <c r="GJ65">
        <v>-1</v>
      </c>
      <c r="GK65">
        <v>0.0782525238095238</v>
      </c>
      <c r="GL65">
        <v>-0.0650014987012985</v>
      </c>
      <c r="GM65">
        <v>0.00750895031728992</v>
      </c>
      <c r="GN65">
        <v>1</v>
      </c>
      <c r="GO65">
        <v>2</v>
      </c>
      <c r="GP65">
        <v>2</v>
      </c>
      <c r="GQ65" t="s">
        <v>440</v>
      </c>
      <c r="GR65">
        <v>3.125</v>
      </c>
      <c r="GS65">
        <v>2.72533</v>
      </c>
      <c r="GT65">
        <v>0.163642</v>
      </c>
      <c r="GU65">
        <v>0.164452</v>
      </c>
      <c r="GV65">
        <v>0.0828188</v>
      </c>
      <c r="GW65">
        <v>0.0826398</v>
      </c>
      <c r="GX65">
        <v>22104</v>
      </c>
      <c r="GY65">
        <v>20457.3</v>
      </c>
      <c r="GZ65">
        <v>23624.4</v>
      </c>
      <c r="HA65">
        <v>23828.4</v>
      </c>
      <c r="HB65">
        <v>36897.6</v>
      </c>
      <c r="HC65">
        <v>36146</v>
      </c>
      <c r="HD65">
        <v>42544.3</v>
      </c>
      <c r="HE65">
        <v>42439.2</v>
      </c>
      <c r="HF65">
        <v>1.9381</v>
      </c>
      <c r="HG65">
        <v>1.84203</v>
      </c>
      <c r="HH65">
        <v>0.116885</v>
      </c>
      <c r="HI65">
        <v>0</v>
      </c>
      <c r="HJ65">
        <v>23.0803</v>
      </c>
      <c r="HK65">
        <v>999.9</v>
      </c>
      <c r="HL65">
        <v>44.549</v>
      </c>
      <c r="HM65">
        <v>30.172</v>
      </c>
      <c r="HN65">
        <v>21.3274</v>
      </c>
      <c r="HO65">
        <v>54.8676</v>
      </c>
      <c r="HP65">
        <v>46.6987</v>
      </c>
      <c r="HQ65">
        <v>1</v>
      </c>
      <c r="HR65">
        <v>-0.137226</v>
      </c>
      <c r="HS65">
        <v>0.637726</v>
      </c>
      <c r="HT65">
        <v>20.2308</v>
      </c>
      <c r="HU65">
        <v>5.23481</v>
      </c>
      <c r="HV65">
        <v>11.992</v>
      </c>
      <c r="HW65">
        <v>4.9559</v>
      </c>
      <c r="HX65">
        <v>3.304</v>
      </c>
      <c r="HY65">
        <v>999.9</v>
      </c>
      <c r="HZ65">
        <v>9999</v>
      </c>
      <c r="IA65">
        <v>9999</v>
      </c>
      <c r="IB65">
        <v>9999</v>
      </c>
      <c r="IC65">
        <v>1.8687</v>
      </c>
      <c r="ID65">
        <v>1.86445</v>
      </c>
      <c r="IE65">
        <v>1.87196</v>
      </c>
      <c r="IF65">
        <v>1.86295</v>
      </c>
      <c r="IG65">
        <v>1.86234</v>
      </c>
      <c r="IH65">
        <v>1.86874</v>
      </c>
      <c r="II65">
        <v>1.85888</v>
      </c>
      <c r="IJ65">
        <v>1.86524</v>
      </c>
      <c r="IK65">
        <v>5</v>
      </c>
      <c r="IL65">
        <v>0</v>
      </c>
      <c r="IM65">
        <v>0</v>
      </c>
      <c r="IN65">
        <v>0</v>
      </c>
      <c r="IO65" t="s">
        <v>441</v>
      </c>
      <c r="IP65" t="s">
        <v>442</v>
      </c>
      <c r="IQ65" t="s">
        <v>443</v>
      </c>
      <c r="IR65" t="s">
        <v>443</v>
      </c>
      <c r="IS65" t="s">
        <v>443</v>
      </c>
      <c r="IT65" t="s">
        <v>443</v>
      </c>
      <c r="IU65">
        <v>0</v>
      </c>
      <c r="IV65">
        <v>100</v>
      </c>
      <c r="IW65">
        <v>100</v>
      </c>
      <c r="IX65">
        <v>9.199</v>
      </c>
      <c r="IY65">
        <v>0.122</v>
      </c>
      <c r="IZ65">
        <v>5.32932261089081</v>
      </c>
      <c r="JA65">
        <v>0.0062698613543794</v>
      </c>
      <c r="JB65">
        <v>-3.23243345529816e-06</v>
      </c>
      <c r="JC65">
        <v>8.00506428382295e-10</v>
      </c>
      <c r="JD65">
        <v>-0.0376444123087059</v>
      </c>
      <c r="JE65">
        <v>-0.0018464610107002</v>
      </c>
      <c r="JF65">
        <v>0.000796540623429801</v>
      </c>
      <c r="JG65">
        <v>-1.04619914107352e-05</v>
      </c>
      <c r="JH65">
        <v>-0</v>
      </c>
      <c r="JI65">
        <v>2101</v>
      </c>
      <c r="JJ65">
        <v>1</v>
      </c>
      <c r="JK65">
        <v>23</v>
      </c>
      <c r="JL65">
        <v>1.2</v>
      </c>
      <c r="JM65">
        <v>1.3</v>
      </c>
      <c r="JN65">
        <v>2.10449</v>
      </c>
      <c r="JO65">
        <v>2.33887</v>
      </c>
      <c r="JP65">
        <v>1.4978</v>
      </c>
      <c r="JQ65">
        <v>2.33154</v>
      </c>
      <c r="JR65">
        <v>1.54419</v>
      </c>
      <c r="JS65">
        <v>2.37061</v>
      </c>
      <c r="JT65">
        <v>36.152</v>
      </c>
      <c r="JU65">
        <v>24.3502</v>
      </c>
      <c r="JV65">
        <v>18</v>
      </c>
      <c r="JW65">
        <v>548.362</v>
      </c>
      <c r="JX65">
        <v>430.688</v>
      </c>
      <c r="JY65">
        <v>22.54</v>
      </c>
      <c r="JZ65">
        <v>25.7599</v>
      </c>
      <c r="KA65">
        <v>29.9999</v>
      </c>
      <c r="KB65">
        <v>25.7466</v>
      </c>
      <c r="KC65">
        <v>25.7712</v>
      </c>
      <c r="KD65">
        <v>42.1512</v>
      </c>
      <c r="KE65">
        <v>27.2491</v>
      </c>
      <c r="KF65">
        <v>81.4891</v>
      </c>
      <c r="KG65">
        <v>22.5413</v>
      </c>
      <c r="KH65">
        <v>1000</v>
      </c>
      <c r="KI65">
        <v>17.889</v>
      </c>
      <c r="KJ65">
        <v>95.3902</v>
      </c>
      <c r="KK65">
        <v>98.9523</v>
      </c>
    </row>
    <row r="66" spans="1:297">
      <c r="A66">
        <v>50</v>
      </c>
      <c r="B66">
        <v>1765305578.1</v>
      </c>
      <c r="C66">
        <v>7629.09999990463</v>
      </c>
      <c r="D66" t="s">
        <v>592</v>
      </c>
      <c r="E66" t="s">
        <v>593</v>
      </c>
      <c r="F66">
        <v>5</v>
      </c>
      <c r="G66" t="s">
        <v>572</v>
      </c>
      <c r="H66" t="s">
        <v>436</v>
      </c>
      <c r="I66">
        <v>1765305569.6</v>
      </c>
      <c r="J66">
        <f>(K66)/1000</f>
        <v>0</v>
      </c>
      <c r="K66">
        <f>IF(DP66, AN66, AH66)</f>
        <v>0</v>
      </c>
      <c r="L66">
        <f>IF(DP66, AI66, AG66)</f>
        <v>0</v>
      </c>
      <c r="M66">
        <f>DR66 - IF(AU66&gt;1, L66*DL66*100.0/(AW66), 0)</f>
        <v>0</v>
      </c>
      <c r="N66">
        <f>((T66-J66/2)*M66-L66)/(T66+J66/2)</f>
        <v>0</v>
      </c>
      <c r="O66">
        <f>N66*(DY66+DZ66)/1000.0</f>
        <v>0</v>
      </c>
      <c r="P66">
        <f>(DR66 - IF(AU66&gt;1, L66*DL66*100.0/(AW66), 0))*(DY66+DZ66)/1000.0</f>
        <v>0</v>
      </c>
      <c r="Q66">
        <f>2.0/((1/S66-1/R66)+SIGN(S66)*SQRT((1/S66-1/R66)*(1/S66-1/R66) + 4*DM66/((DM66+1)*(DM66+1))*(2*1/S66*1/R66-1/R66*1/R66)))</f>
        <v>0</v>
      </c>
      <c r="R66">
        <f>IF(LEFT(DN66,1)&lt;&gt;"0",IF(LEFT(DN66,1)="1",3.0,DO66),$D$5+$E$5*(EF66*DY66/($K$5*1000))+$F$5*(EF66*DY66/($K$5*1000))*MAX(MIN(DL66,$J$5),$I$5)*MAX(MIN(DL66,$J$5),$I$5)+$G$5*MAX(MIN(DL66,$J$5),$I$5)*(EF66*DY66/($K$5*1000))+$H$5*(EF66*DY66/($K$5*1000))*(EF66*DY66/($K$5*1000)))</f>
        <v>0</v>
      </c>
      <c r="S66">
        <f>J66*(1000-(1000*0.61365*exp(17.502*W66/(240.97+W66))/(DY66+DZ66)+DT66)/2)/(1000*0.61365*exp(17.502*W66/(240.97+W66))/(DY66+DZ66)-DT66)</f>
        <v>0</v>
      </c>
      <c r="T66">
        <f>1/((DM66+1)/(Q66/1.6)+1/(R66/1.37)) + DM66/((DM66+1)/(Q66/1.6) + DM66/(R66/1.37))</f>
        <v>0</v>
      </c>
      <c r="U66">
        <f>(DH66*DK66)</f>
        <v>0</v>
      </c>
      <c r="V66">
        <f>(EA66+(U66+2*0.95*5.67E-8*(((EA66+$B$7)+273)^4-(EA66+273)^4)-44100*J66)/(1.84*29.3*R66+8*0.95*5.67E-8*(EA66+273)^3))</f>
        <v>0</v>
      </c>
      <c r="W66">
        <f>($C$7*EB66+$D$7*EC66+$E$7*V66)</f>
        <v>0</v>
      </c>
      <c r="X66">
        <f>0.61365*exp(17.502*W66/(240.97+W66))</f>
        <v>0</v>
      </c>
      <c r="Y66">
        <f>(Z66/AA66*100)</f>
        <v>0</v>
      </c>
      <c r="Z66">
        <f>DT66*(DY66+DZ66)/1000</f>
        <v>0</v>
      </c>
      <c r="AA66">
        <f>0.61365*exp(17.502*EA66/(240.97+EA66))</f>
        <v>0</v>
      </c>
      <c r="AB66">
        <f>(X66-DT66*(DY66+DZ66)/1000)</f>
        <v>0</v>
      </c>
      <c r="AC66">
        <f>(-J66*44100)</f>
        <v>0</v>
      </c>
      <c r="AD66">
        <f>2*29.3*R66*0.92*(EA66-W66)</f>
        <v>0</v>
      </c>
      <c r="AE66">
        <f>2*0.95*5.67E-8*(((EA66+$B$7)+273)^4-(W66+273)^4)</f>
        <v>0</v>
      </c>
      <c r="AF66">
        <f>U66+AE66+AC66+AD66</f>
        <v>0</v>
      </c>
      <c r="AG66">
        <f>DX66*AU66*(DS66-DR66*(1000-AU66*DU66)/(1000-AU66*DT66))/(100*DL66)</f>
        <v>0</v>
      </c>
      <c r="AH66">
        <f>1000*DX66*AU66*(DT66-DU66)/(100*DL66*(1000-AU66*DT66))</f>
        <v>0</v>
      </c>
      <c r="AI66">
        <f>(AJ66 - AK66 - DY66*1E3/(8.314*(EA66+273.15)) * AM66/DX66 * AL66) * DX66/(100*DL66) * (1000 - DU66)/1000</f>
        <v>0</v>
      </c>
      <c r="AJ66">
        <v>1221.97844280331</v>
      </c>
      <c r="AK66">
        <v>1220.23127272727</v>
      </c>
      <c r="AL66">
        <v>0.0317367380724441</v>
      </c>
      <c r="AM66">
        <v>63.5164930335226</v>
      </c>
      <c r="AN66">
        <f>(AP66 - AO66 + DY66*1E3/(8.314*(EA66+273.15)) * AR66/DX66 * AQ66) * DX66/(100*DL66) * 1000/(1000 - AP66)</f>
        <v>0</v>
      </c>
      <c r="AO66">
        <v>17.909500975941</v>
      </c>
      <c r="AP66">
        <v>17.9770727272727</v>
      </c>
      <c r="AQ66">
        <v>8.38598802754904e-05</v>
      </c>
      <c r="AR66">
        <v>106.814833530117</v>
      </c>
      <c r="AS66">
        <v>0</v>
      </c>
      <c r="AT66">
        <v>0</v>
      </c>
      <c r="AU66">
        <f>IF(AS66*$H$13&gt;=AW66,1.0,(AW66/(AW66-AS66*$H$13)))</f>
        <v>0</v>
      </c>
      <c r="AV66">
        <f>(AU66-1)*100</f>
        <v>0</v>
      </c>
      <c r="AW66">
        <f>MAX(0,($B$13+$C$13*EF66)/(1+$D$13*EF66)*DY66/(EA66+273)*$E$13)</f>
        <v>0</v>
      </c>
      <c r="AX66" t="s">
        <v>437</v>
      </c>
      <c r="AY66" t="s">
        <v>437</v>
      </c>
      <c r="AZ66">
        <v>0</v>
      </c>
      <c r="BA66">
        <v>0</v>
      </c>
      <c r="BB66">
        <f>1-AZ66/BA66</f>
        <v>0</v>
      </c>
      <c r="BC66">
        <v>0</v>
      </c>
      <c r="BD66" t="s">
        <v>437</v>
      </c>
      <c r="BE66" t="s">
        <v>437</v>
      </c>
      <c r="BF66">
        <v>0</v>
      </c>
      <c r="BG66">
        <v>0</v>
      </c>
      <c r="BH66">
        <f>1-BF66/BG66</f>
        <v>0</v>
      </c>
      <c r="BI66">
        <v>0.5</v>
      </c>
      <c r="BJ66">
        <f>DI66</f>
        <v>0</v>
      </c>
      <c r="BK66">
        <f>L66</f>
        <v>0</v>
      </c>
      <c r="BL66">
        <f>BH66*BI66*BJ66</f>
        <v>0</v>
      </c>
      <c r="BM66">
        <f>(BK66-BC66)/BJ66</f>
        <v>0</v>
      </c>
      <c r="BN66">
        <f>(BA66-BG66)/BG66</f>
        <v>0</v>
      </c>
      <c r="BO66">
        <f>AZ66/(BB66+AZ66/BG66)</f>
        <v>0</v>
      </c>
      <c r="BP66" t="s">
        <v>437</v>
      </c>
      <c r="BQ66">
        <v>0</v>
      </c>
      <c r="BR66">
        <f>IF(BQ66&lt;&gt;0, BQ66, BO66)</f>
        <v>0</v>
      </c>
      <c r="BS66">
        <f>1-BR66/BG66</f>
        <v>0</v>
      </c>
      <c r="BT66">
        <f>(BG66-BF66)/(BG66-BR66)</f>
        <v>0</v>
      </c>
      <c r="BU66">
        <f>(BA66-BG66)/(BA66-BR66)</f>
        <v>0</v>
      </c>
      <c r="BV66">
        <f>(BG66-BF66)/(BG66-AZ66)</f>
        <v>0</v>
      </c>
      <c r="BW66">
        <f>(BA66-BG66)/(BA66-AZ66)</f>
        <v>0</v>
      </c>
      <c r="BX66">
        <f>(BT66*BR66/BF66)</f>
        <v>0</v>
      </c>
      <c r="BY66">
        <f>(1-BX66)</f>
        <v>0</v>
      </c>
      <c r="DH66">
        <f>$B$11*EG66+$C$11*EH66+$F$11*ES66*(1-EV66)</f>
        <v>0</v>
      </c>
      <c r="DI66">
        <f>DH66*DJ66</f>
        <v>0</v>
      </c>
      <c r="DJ66">
        <f>($B$11*$D$9+$C$11*$D$9+$F$11*((FF66+EX66)/MAX(FF66+EX66+FG66, 0.1)*$I$9+FG66/MAX(FF66+EX66+FG66, 0.1)*$J$9))/($B$11+$C$11+$F$11)</f>
        <v>0</v>
      </c>
      <c r="DK66">
        <f>($B$11*$K$9+$C$11*$K$9+$F$11*((FF66+EX66)/MAX(FF66+EX66+FG66, 0.1)*$P$9+FG66/MAX(FF66+EX66+FG66, 0.1)*$Q$9))/($B$11+$C$11+$F$11)</f>
        <v>0</v>
      </c>
      <c r="DL66">
        <v>6</v>
      </c>
      <c r="DM66">
        <v>0.5</v>
      </c>
      <c r="DN66" t="s">
        <v>438</v>
      </c>
      <c r="DO66">
        <v>2</v>
      </c>
      <c r="DP66" t="b">
        <v>1</v>
      </c>
      <c r="DQ66">
        <v>1765305569.6</v>
      </c>
      <c r="DR66">
        <v>1198.430625</v>
      </c>
      <c r="DS66">
        <v>1200.010625</v>
      </c>
      <c r="DT66">
        <v>17.96255</v>
      </c>
      <c r="DU66">
        <v>17.902075</v>
      </c>
      <c r="DV66">
        <v>1188.565625</v>
      </c>
      <c r="DW66">
        <v>17.83955</v>
      </c>
      <c r="DX66">
        <v>499.99525</v>
      </c>
      <c r="DY66">
        <v>89.87080625</v>
      </c>
      <c r="DZ66">
        <v>0.10001766875</v>
      </c>
      <c r="EA66">
        <v>25.3290125</v>
      </c>
      <c r="EB66">
        <v>25.003575</v>
      </c>
      <c r="EC66">
        <v>999.9</v>
      </c>
      <c r="ED66">
        <v>0</v>
      </c>
      <c r="EE66">
        <v>0</v>
      </c>
      <c r="EF66">
        <v>9986.16875</v>
      </c>
      <c r="EG66">
        <v>0</v>
      </c>
      <c r="EH66">
        <v>12.4081</v>
      </c>
      <c r="EI66">
        <v>-1.83420625</v>
      </c>
      <c r="EJ66">
        <v>1220.095</v>
      </c>
      <c r="EK66">
        <v>1221.88625</v>
      </c>
      <c r="EL66">
        <v>0.0612777375</v>
      </c>
      <c r="EM66">
        <v>1200.010625</v>
      </c>
      <c r="EN66">
        <v>17.902075</v>
      </c>
      <c r="EO66">
        <v>1.614379375</v>
      </c>
      <c r="EP66">
        <v>1.608871875</v>
      </c>
      <c r="EQ66">
        <v>14.09675</v>
      </c>
      <c r="ER66">
        <v>14.04405625</v>
      </c>
      <c r="ES66">
        <v>800.047875</v>
      </c>
      <c r="ET66">
        <v>0.949992625</v>
      </c>
      <c r="EU66">
        <v>0.050007375</v>
      </c>
      <c r="EV66">
        <v>0</v>
      </c>
      <c r="EW66">
        <v>922.13875</v>
      </c>
      <c r="EX66">
        <v>5.00016</v>
      </c>
      <c r="EY66">
        <v>7165.304375</v>
      </c>
      <c r="EZ66">
        <v>7195.0925</v>
      </c>
      <c r="FA66">
        <v>39.503875</v>
      </c>
      <c r="FB66">
        <v>42.312</v>
      </c>
      <c r="FC66">
        <v>41</v>
      </c>
      <c r="FD66">
        <v>42.312</v>
      </c>
      <c r="FE66">
        <v>42.1909375</v>
      </c>
      <c r="FF66">
        <v>755.289375</v>
      </c>
      <c r="FG66">
        <v>39.7625</v>
      </c>
      <c r="FH66">
        <v>0</v>
      </c>
      <c r="FI66">
        <v>1765305578.5</v>
      </c>
      <c r="FJ66">
        <v>0</v>
      </c>
      <c r="FK66">
        <v>922.154923076923</v>
      </c>
      <c r="FL66">
        <v>0.477948705756961</v>
      </c>
      <c r="FM66">
        <v>-2.64034185041512</v>
      </c>
      <c r="FN66">
        <v>7165.25115384615</v>
      </c>
      <c r="FO66">
        <v>15</v>
      </c>
      <c r="FP66">
        <v>1765305598.1</v>
      </c>
      <c r="FQ66" t="s">
        <v>594</v>
      </c>
      <c r="FR66">
        <v>1765305598.1</v>
      </c>
      <c r="FS66">
        <v>1765305596.1</v>
      </c>
      <c r="FT66">
        <v>50</v>
      </c>
      <c r="FU66">
        <v>0.25</v>
      </c>
      <c r="FV66">
        <v>-0</v>
      </c>
      <c r="FW66">
        <v>9.865</v>
      </c>
      <c r="FX66">
        <v>0.123</v>
      </c>
      <c r="FY66">
        <v>1200</v>
      </c>
      <c r="FZ66">
        <v>18</v>
      </c>
      <c r="GA66">
        <v>0.84</v>
      </c>
      <c r="GB66">
        <v>0.19</v>
      </c>
      <c r="GC66">
        <v>-1.84755761904762</v>
      </c>
      <c r="GD66">
        <v>-0.210338181818181</v>
      </c>
      <c r="GE66">
        <v>0.109090203606476</v>
      </c>
      <c r="GF66">
        <v>1</v>
      </c>
      <c r="GG66">
        <v>922.186147058823</v>
      </c>
      <c r="GH66">
        <v>-0.646126819661086</v>
      </c>
      <c r="GI66">
        <v>0.226098121899868</v>
      </c>
      <c r="GJ66">
        <v>-1</v>
      </c>
      <c r="GK66">
        <v>0.0678337619047619</v>
      </c>
      <c r="GL66">
        <v>-0.0990271168831167</v>
      </c>
      <c r="GM66">
        <v>0.0143794020518927</v>
      </c>
      <c r="GN66">
        <v>1</v>
      </c>
      <c r="GO66">
        <v>2</v>
      </c>
      <c r="GP66">
        <v>2</v>
      </c>
      <c r="GQ66" t="s">
        <v>440</v>
      </c>
      <c r="GR66">
        <v>3.125</v>
      </c>
      <c r="GS66">
        <v>2.72545</v>
      </c>
      <c r="GT66">
        <v>0.183898</v>
      </c>
      <c r="GU66">
        <v>0.18463</v>
      </c>
      <c r="GV66">
        <v>0.0828333</v>
      </c>
      <c r="GW66">
        <v>0.0826794</v>
      </c>
      <c r="GX66">
        <v>21568.1</v>
      </c>
      <c r="GY66">
        <v>19964.5</v>
      </c>
      <c r="GZ66">
        <v>23623.3</v>
      </c>
      <c r="HA66">
        <v>23829.3</v>
      </c>
      <c r="HB66">
        <v>36897.1</v>
      </c>
      <c r="HC66">
        <v>36147.5</v>
      </c>
      <c r="HD66">
        <v>42542.4</v>
      </c>
      <c r="HE66">
        <v>42441</v>
      </c>
      <c r="HF66">
        <v>1.93865</v>
      </c>
      <c r="HG66">
        <v>1.84325</v>
      </c>
      <c r="HH66">
        <v>0.118144</v>
      </c>
      <c r="HI66">
        <v>0</v>
      </c>
      <c r="HJ66">
        <v>23.0618</v>
      </c>
      <c r="HK66">
        <v>999.9</v>
      </c>
      <c r="HL66">
        <v>44.47</v>
      </c>
      <c r="HM66">
        <v>30.132</v>
      </c>
      <c r="HN66">
        <v>21.2437</v>
      </c>
      <c r="HO66">
        <v>54.9776</v>
      </c>
      <c r="HP66">
        <v>46.5224</v>
      </c>
      <c r="HQ66">
        <v>1</v>
      </c>
      <c r="HR66">
        <v>-0.137769</v>
      </c>
      <c r="HS66">
        <v>0.629763</v>
      </c>
      <c r="HT66">
        <v>20.231</v>
      </c>
      <c r="HU66">
        <v>5.23436</v>
      </c>
      <c r="HV66">
        <v>11.992</v>
      </c>
      <c r="HW66">
        <v>4.9565</v>
      </c>
      <c r="HX66">
        <v>3.304</v>
      </c>
      <c r="HY66">
        <v>999.9</v>
      </c>
      <c r="HZ66">
        <v>9999</v>
      </c>
      <c r="IA66">
        <v>9999</v>
      </c>
      <c r="IB66">
        <v>9999</v>
      </c>
      <c r="IC66">
        <v>1.86868</v>
      </c>
      <c r="ID66">
        <v>1.86443</v>
      </c>
      <c r="IE66">
        <v>1.87197</v>
      </c>
      <c r="IF66">
        <v>1.86295</v>
      </c>
      <c r="IG66">
        <v>1.86234</v>
      </c>
      <c r="IH66">
        <v>1.86874</v>
      </c>
      <c r="II66">
        <v>1.85892</v>
      </c>
      <c r="IJ66">
        <v>1.86523</v>
      </c>
      <c r="IK66">
        <v>5</v>
      </c>
      <c r="IL66">
        <v>0</v>
      </c>
      <c r="IM66">
        <v>0</v>
      </c>
      <c r="IN66">
        <v>0</v>
      </c>
      <c r="IO66" t="s">
        <v>441</v>
      </c>
      <c r="IP66" t="s">
        <v>442</v>
      </c>
      <c r="IQ66" t="s">
        <v>443</v>
      </c>
      <c r="IR66" t="s">
        <v>443</v>
      </c>
      <c r="IS66" t="s">
        <v>443</v>
      </c>
      <c r="IT66" t="s">
        <v>443</v>
      </c>
      <c r="IU66">
        <v>0</v>
      </c>
      <c r="IV66">
        <v>100</v>
      </c>
      <c r="IW66">
        <v>100</v>
      </c>
      <c r="IX66">
        <v>9.865</v>
      </c>
      <c r="IY66">
        <v>0.123</v>
      </c>
      <c r="IZ66">
        <v>5.3815352095025</v>
      </c>
      <c r="JA66">
        <v>0.0062698613543794</v>
      </c>
      <c r="JB66">
        <v>-3.23243345529816e-06</v>
      </c>
      <c r="JC66">
        <v>8.00506428382295e-10</v>
      </c>
      <c r="JD66">
        <v>-0.0373672048942184</v>
      </c>
      <c r="JE66">
        <v>-0.0018464610107002</v>
      </c>
      <c r="JF66">
        <v>0.000796540623429801</v>
      </c>
      <c r="JG66">
        <v>-1.04619914107352e-05</v>
      </c>
      <c r="JH66">
        <v>-0</v>
      </c>
      <c r="JI66">
        <v>2101</v>
      </c>
      <c r="JJ66">
        <v>1</v>
      </c>
      <c r="JK66">
        <v>23</v>
      </c>
      <c r="JL66">
        <v>1.3</v>
      </c>
      <c r="JM66">
        <v>1.3</v>
      </c>
      <c r="JN66">
        <v>2.43774</v>
      </c>
      <c r="JO66">
        <v>2.33154</v>
      </c>
      <c r="JP66">
        <v>1.4978</v>
      </c>
      <c r="JQ66">
        <v>2.33154</v>
      </c>
      <c r="JR66">
        <v>1.54419</v>
      </c>
      <c r="JS66">
        <v>2.36572</v>
      </c>
      <c r="JT66">
        <v>36.0582</v>
      </c>
      <c r="JU66">
        <v>24.3502</v>
      </c>
      <c r="JV66">
        <v>18</v>
      </c>
      <c r="JW66">
        <v>548.658</v>
      </c>
      <c r="JX66">
        <v>431.341</v>
      </c>
      <c r="JY66">
        <v>22.5949</v>
      </c>
      <c r="JZ66">
        <v>25.7534</v>
      </c>
      <c r="KA66">
        <v>29.9999</v>
      </c>
      <c r="KB66">
        <v>25.7402</v>
      </c>
      <c r="KC66">
        <v>25.7632</v>
      </c>
      <c r="KD66">
        <v>48.8087</v>
      </c>
      <c r="KE66">
        <v>26.4108</v>
      </c>
      <c r="KF66">
        <v>81.4891</v>
      </c>
      <c r="KG66">
        <v>22.5972</v>
      </c>
      <c r="KH66">
        <v>1200</v>
      </c>
      <c r="KI66">
        <v>17.9365</v>
      </c>
      <c r="KJ66">
        <v>95.3859</v>
      </c>
      <c r="KK66">
        <v>98.9564</v>
      </c>
    </row>
    <row r="67" spans="1:297">
      <c r="A67">
        <v>51</v>
      </c>
      <c r="B67">
        <v>1765305673.1</v>
      </c>
      <c r="C67">
        <v>7724.09999990463</v>
      </c>
      <c r="D67" t="s">
        <v>595</v>
      </c>
      <c r="E67" t="s">
        <v>596</v>
      </c>
      <c r="F67">
        <v>5</v>
      </c>
      <c r="G67" t="s">
        <v>572</v>
      </c>
      <c r="H67" t="s">
        <v>436</v>
      </c>
      <c r="I67">
        <v>1765305664.6</v>
      </c>
      <c r="J67">
        <f>(K67)/1000</f>
        <v>0</v>
      </c>
      <c r="K67">
        <f>IF(DP67, AN67, AH67)</f>
        <v>0</v>
      </c>
      <c r="L67">
        <f>IF(DP67, AI67, AG67)</f>
        <v>0</v>
      </c>
      <c r="M67">
        <f>DR67 - IF(AU67&gt;1, L67*DL67*100.0/(AW67), 0)</f>
        <v>0</v>
      </c>
      <c r="N67">
        <f>((T67-J67/2)*M67-L67)/(T67+J67/2)</f>
        <v>0</v>
      </c>
      <c r="O67">
        <f>N67*(DY67+DZ67)/1000.0</f>
        <v>0</v>
      </c>
      <c r="P67">
        <f>(DR67 - IF(AU67&gt;1, L67*DL67*100.0/(AW67), 0))*(DY67+DZ67)/1000.0</f>
        <v>0</v>
      </c>
      <c r="Q67">
        <f>2.0/((1/S67-1/R67)+SIGN(S67)*SQRT((1/S67-1/R67)*(1/S67-1/R67) + 4*DM67/((DM67+1)*(DM67+1))*(2*1/S67*1/R67-1/R67*1/R67)))</f>
        <v>0</v>
      </c>
      <c r="R67">
        <f>IF(LEFT(DN67,1)&lt;&gt;"0",IF(LEFT(DN67,1)="1",3.0,DO67),$D$5+$E$5*(EF67*DY67/($K$5*1000))+$F$5*(EF67*DY67/($K$5*1000))*MAX(MIN(DL67,$J$5),$I$5)*MAX(MIN(DL67,$J$5),$I$5)+$G$5*MAX(MIN(DL67,$J$5),$I$5)*(EF67*DY67/($K$5*1000))+$H$5*(EF67*DY67/($K$5*1000))*(EF67*DY67/($K$5*1000)))</f>
        <v>0</v>
      </c>
      <c r="S67">
        <f>J67*(1000-(1000*0.61365*exp(17.502*W67/(240.97+W67))/(DY67+DZ67)+DT67)/2)/(1000*0.61365*exp(17.502*W67/(240.97+W67))/(DY67+DZ67)-DT67)</f>
        <v>0</v>
      </c>
      <c r="T67">
        <f>1/((DM67+1)/(Q67/1.6)+1/(R67/1.37)) + DM67/((DM67+1)/(Q67/1.6) + DM67/(R67/1.37))</f>
        <v>0</v>
      </c>
      <c r="U67">
        <f>(DH67*DK67)</f>
        <v>0</v>
      </c>
      <c r="V67">
        <f>(EA67+(U67+2*0.95*5.67E-8*(((EA67+$B$7)+273)^4-(EA67+273)^4)-44100*J67)/(1.84*29.3*R67+8*0.95*5.67E-8*(EA67+273)^3))</f>
        <v>0</v>
      </c>
      <c r="W67">
        <f>($C$7*EB67+$D$7*EC67+$E$7*V67)</f>
        <v>0</v>
      </c>
      <c r="X67">
        <f>0.61365*exp(17.502*W67/(240.97+W67))</f>
        <v>0</v>
      </c>
      <c r="Y67">
        <f>(Z67/AA67*100)</f>
        <v>0</v>
      </c>
      <c r="Z67">
        <f>DT67*(DY67+DZ67)/1000</f>
        <v>0</v>
      </c>
      <c r="AA67">
        <f>0.61365*exp(17.502*EA67/(240.97+EA67))</f>
        <v>0</v>
      </c>
      <c r="AB67">
        <f>(X67-DT67*(DY67+DZ67)/1000)</f>
        <v>0</v>
      </c>
      <c r="AC67">
        <f>(-J67*44100)</f>
        <v>0</v>
      </c>
      <c r="AD67">
        <f>2*29.3*R67*0.92*(EA67-W67)</f>
        <v>0</v>
      </c>
      <c r="AE67">
        <f>2*0.95*5.67E-8*(((EA67+$B$7)+273)^4-(W67+273)^4)</f>
        <v>0</v>
      </c>
      <c r="AF67">
        <f>U67+AE67+AC67+AD67</f>
        <v>0</v>
      </c>
      <c r="AG67">
        <f>DX67*AU67*(DS67-DR67*(1000-AU67*DU67)/(1000-AU67*DT67))/(100*DL67)</f>
        <v>0</v>
      </c>
      <c r="AH67">
        <f>1000*DX67*AU67*(DT67-DU67)/(100*DL67*(1000-AU67*DT67))</f>
        <v>0</v>
      </c>
      <c r="AI67">
        <f>(AJ67 - AK67 - DY67*1E3/(8.314*(EA67+273.15)) * AM67/DX67 * AL67) * DX67/(100*DL67) * (1000 - DU67)/1000</f>
        <v>0</v>
      </c>
      <c r="AJ67">
        <v>1527.40586565004</v>
      </c>
      <c r="AK67">
        <v>1525.53575757576</v>
      </c>
      <c r="AL67">
        <v>-0.0234048030656097</v>
      </c>
      <c r="AM67">
        <v>63.4486899109363</v>
      </c>
      <c r="AN67">
        <f>(AP67 - AO67 + DY67*1E3/(8.314*(EA67+273.15)) * AR67/DX67 * AQ67) * DX67/(100*DL67) * 1000/(1000 - AP67)</f>
        <v>0</v>
      </c>
      <c r="AO67">
        <v>17.9267024263147</v>
      </c>
      <c r="AP67">
        <v>18.0141739393939</v>
      </c>
      <c r="AQ67">
        <v>-1.15220239643867e-05</v>
      </c>
      <c r="AR67">
        <v>107.216366783292</v>
      </c>
      <c r="AS67">
        <v>0</v>
      </c>
      <c r="AT67">
        <v>0</v>
      </c>
      <c r="AU67">
        <f>IF(AS67*$H$13&gt;=AW67,1.0,(AW67/(AW67-AS67*$H$13)))</f>
        <v>0</v>
      </c>
      <c r="AV67">
        <f>(AU67-1)*100</f>
        <v>0</v>
      </c>
      <c r="AW67">
        <f>MAX(0,($B$13+$C$13*EF67)/(1+$D$13*EF67)*DY67/(EA67+273)*$E$13)</f>
        <v>0</v>
      </c>
      <c r="AX67" t="s">
        <v>437</v>
      </c>
      <c r="AY67" t="s">
        <v>437</v>
      </c>
      <c r="AZ67">
        <v>0</v>
      </c>
      <c r="BA67">
        <v>0</v>
      </c>
      <c r="BB67">
        <f>1-AZ67/BA67</f>
        <v>0</v>
      </c>
      <c r="BC67">
        <v>0</v>
      </c>
      <c r="BD67" t="s">
        <v>437</v>
      </c>
      <c r="BE67" t="s">
        <v>437</v>
      </c>
      <c r="BF67">
        <v>0</v>
      </c>
      <c r="BG67">
        <v>0</v>
      </c>
      <c r="BH67">
        <f>1-BF67/BG67</f>
        <v>0</v>
      </c>
      <c r="BI67">
        <v>0.5</v>
      </c>
      <c r="BJ67">
        <f>DI67</f>
        <v>0</v>
      </c>
      <c r="BK67">
        <f>L67</f>
        <v>0</v>
      </c>
      <c r="BL67">
        <f>BH67*BI67*BJ67</f>
        <v>0</v>
      </c>
      <c r="BM67">
        <f>(BK67-BC67)/BJ67</f>
        <v>0</v>
      </c>
      <c r="BN67">
        <f>(BA67-BG67)/BG67</f>
        <v>0</v>
      </c>
      <c r="BO67">
        <f>AZ67/(BB67+AZ67/BG67)</f>
        <v>0</v>
      </c>
      <c r="BP67" t="s">
        <v>437</v>
      </c>
      <c r="BQ67">
        <v>0</v>
      </c>
      <c r="BR67">
        <f>IF(BQ67&lt;&gt;0, BQ67, BO67)</f>
        <v>0</v>
      </c>
      <c r="BS67">
        <f>1-BR67/BG67</f>
        <v>0</v>
      </c>
      <c r="BT67">
        <f>(BG67-BF67)/(BG67-BR67)</f>
        <v>0</v>
      </c>
      <c r="BU67">
        <f>(BA67-BG67)/(BA67-BR67)</f>
        <v>0</v>
      </c>
      <c r="BV67">
        <f>(BG67-BF67)/(BG67-AZ67)</f>
        <v>0</v>
      </c>
      <c r="BW67">
        <f>(BA67-BG67)/(BA67-AZ67)</f>
        <v>0</v>
      </c>
      <c r="BX67">
        <f>(BT67*BR67/BF67)</f>
        <v>0</v>
      </c>
      <c r="BY67">
        <f>(1-BX67)</f>
        <v>0</v>
      </c>
      <c r="DH67">
        <f>$B$11*EG67+$C$11*EH67+$F$11*ES67*(1-EV67)</f>
        <v>0</v>
      </c>
      <c r="DI67">
        <f>DH67*DJ67</f>
        <v>0</v>
      </c>
      <c r="DJ67">
        <f>($B$11*$D$9+$C$11*$D$9+$F$11*((FF67+EX67)/MAX(FF67+EX67+FG67, 0.1)*$I$9+FG67/MAX(FF67+EX67+FG67, 0.1)*$J$9))/($B$11+$C$11+$F$11)</f>
        <v>0</v>
      </c>
      <c r="DK67">
        <f>($B$11*$K$9+$C$11*$K$9+$F$11*((FF67+EX67)/MAX(FF67+EX67+FG67, 0.1)*$P$9+FG67/MAX(FF67+EX67+FG67, 0.1)*$Q$9))/($B$11+$C$11+$F$11)</f>
        <v>0</v>
      </c>
      <c r="DL67">
        <v>6</v>
      </c>
      <c r="DM67">
        <v>0.5</v>
      </c>
      <c r="DN67" t="s">
        <v>438</v>
      </c>
      <c r="DO67">
        <v>2</v>
      </c>
      <c r="DP67" t="b">
        <v>1</v>
      </c>
      <c r="DQ67">
        <v>1765305664.6</v>
      </c>
      <c r="DR67">
        <v>1498.12225</v>
      </c>
      <c r="DS67">
        <v>1500.01375</v>
      </c>
      <c r="DT67">
        <v>18.01664375</v>
      </c>
      <c r="DU67">
        <v>17.93093125</v>
      </c>
      <c r="DV67">
        <v>1487.67625</v>
      </c>
      <c r="DW67">
        <v>17.89164375</v>
      </c>
      <c r="DX67">
        <v>500.0060625</v>
      </c>
      <c r="DY67">
        <v>89.87046875</v>
      </c>
      <c r="DZ67">
        <v>0.099980425</v>
      </c>
      <c r="EA67">
        <v>25.34436875</v>
      </c>
      <c r="EB67">
        <v>24.98329375</v>
      </c>
      <c r="EC67">
        <v>999.9</v>
      </c>
      <c r="ED67">
        <v>0</v>
      </c>
      <c r="EE67">
        <v>0</v>
      </c>
      <c r="EF67">
        <v>9988.01125</v>
      </c>
      <c r="EG67">
        <v>0</v>
      </c>
      <c r="EH67">
        <v>12.4638</v>
      </c>
      <c r="EI67">
        <v>-1.89730125</v>
      </c>
      <c r="EJ67">
        <v>1525.60375</v>
      </c>
      <c r="EK67">
        <v>1527.4025</v>
      </c>
      <c r="EL67">
        <v>0.085176825</v>
      </c>
      <c r="EM67">
        <v>1500.01375</v>
      </c>
      <c r="EN67">
        <v>17.93093125</v>
      </c>
      <c r="EO67">
        <v>1.61911625</v>
      </c>
      <c r="EP67">
        <v>1.6114625</v>
      </c>
      <c r="EQ67">
        <v>14.14195</v>
      </c>
      <c r="ER67">
        <v>14.0688375</v>
      </c>
      <c r="ES67">
        <v>800.0304375</v>
      </c>
      <c r="ET67">
        <v>0.9500003125</v>
      </c>
      <c r="EU67">
        <v>0.04999953125</v>
      </c>
      <c r="EV67">
        <v>0</v>
      </c>
      <c r="EW67">
        <v>922.1645625</v>
      </c>
      <c r="EX67">
        <v>5.00016</v>
      </c>
      <c r="EY67">
        <v>7164.349375</v>
      </c>
      <c r="EZ67">
        <v>7194.95375</v>
      </c>
      <c r="FA67">
        <v>39.5</v>
      </c>
      <c r="FB67">
        <v>42.312</v>
      </c>
      <c r="FC67">
        <v>41</v>
      </c>
      <c r="FD67">
        <v>42.312</v>
      </c>
      <c r="FE67">
        <v>42.187</v>
      </c>
      <c r="FF67">
        <v>755.27875</v>
      </c>
      <c r="FG67">
        <v>39.755</v>
      </c>
      <c r="FH67">
        <v>0</v>
      </c>
      <c r="FI67">
        <v>1765305673.3</v>
      </c>
      <c r="FJ67">
        <v>0</v>
      </c>
      <c r="FK67">
        <v>922.177961538462</v>
      </c>
      <c r="FL67">
        <v>0.488376068254691</v>
      </c>
      <c r="FM67">
        <v>-1.66393161136791</v>
      </c>
      <c r="FN67">
        <v>7164.47961538462</v>
      </c>
      <c r="FO67">
        <v>15</v>
      </c>
      <c r="FP67">
        <v>1765305694.1</v>
      </c>
      <c r="FQ67" t="s">
        <v>597</v>
      </c>
      <c r="FR67">
        <v>1765305694.1</v>
      </c>
      <c r="FS67">
        <v>1765305691.1</v>
      </c>
      <c r="FT67">
        <v>51</v>
      </c>
      <c r="FU67">
        <v>0.001</v>
      </c>
      <c r="FV67">
        <v>0.002</v>
      </c>
      <c r="FW67">
        <v>10.446</v>
      </c>
      <c r="FX67">
        <v>0.125</v>
      </c>
      <c r="FY67">
        <v>1500</v>
      </c>
      <c r="FZ67">
        <v>18</v>
      </c>
      <c r="GA67">
        <v>1.38</v>
      </c>
      <c r="GB67">
        <v>0.24</v>
      </c>
      <c r="GC67">
        <v>-1.909766</v>
      </c>
      <c r="GD67">
        <v>0.483475488721804</v>
      </c>
      <c r="GE67">
        <v>0.136085867172165</v>
      </c>
      <c r="GF67">
        <v>1</v>
      </c>
      <c r="GG67">
        <v>922.192911764706</v>
      </c>
      <c r="GH67">
        <v>-0.352742547161705</v>
      </c>
      <c r="GI67">
        <v>0.219171081127893</v>
      </c>
      <c r="GJ67">
        <v>-1</v>
      </c>
      <c r="GK67">
        <v>0.083792685</v>
      </c>
      <c r="GL67">
        <v>0.0243683954887219</v>
      </c>
      <c r="GM67">
        <v>0.00275992145255531</v>
      </c>
      <c r="GN67">
        <v>1</v>
      </c>
      <c r="GO67">
        <v>2</v>
      </c>
      <c r="GP67">
        <v>2</v>
      </c>
      <c r="GQ67" t="s">
        <v>440</v>
      </c>
      <c r="GR67">
        <v>3.12496</v>
      </c>
      <c r="GS67">
        <v>2.72548</v>
      </c>
      <c r="GT67">
        <v>0.211144</v>
      </c>
      <c r="GU67">
        <v>0.211727</v>
      </c>
      <c r="GV67">
        <v>0.0829536</v>
      </c>
      <c r="GW67">
        <v>0.0827368</v>
      </c>
      <c r="GX67">
        <v>20847.9</v>
      </c>
      <c r="GY67">
        <v>19302.5</v>
      </c>
      <c r="GZ67">
        <v>23622.3</v>
      </c>
      <c r="HA67">
        <v>23830.4</v>
      </c>
      <c r="HB67">
        <v>36892.7</v>
      </c>
      <c r="HC67">
        <v>36148.3</v>
      </c>
      <c r="HD67">
        <v>42540.3</v>
      </c>
      <c r="HE67">
        <v>42442.1</v>
      </c>
      <c r="HF67">
        <v>1.93885</v>
      </c>
      <c r="HG67">
        <v>1.84457</v>
      </c>
      <c r="HH67">
        <v>0.116862</v>
      </c>
      <c r="HI67">
        <v>0</v>
      </c>
      <c r="HJ67">
        <v>23.0648</v>
      </c>
      <c r="HK67">
        <v>999.9</v>
      </c>
      <c r="HL67">
        <v>44.5</v>
      </c>
      <c r="HM67">
        <v>30.091</v>
      </c>
      <c r="HN67">
        <v>21.2046</v>
      </c>
      <c r="HO67">
        <v>54.7176</v>
      </c>
      <c r="HP67">
        <v>46.5545</v>
      </c>
      <c r="HQ67">
        <v>1</v>
      </c>
      <c r="HR67">
        <v>-0.137698</v>
      </c>
      <c r="HS67">
        <v>0.550615</v>
      </c>
      <c r="HT67">
        <v>20.2314</v>
      </c>
      <c r="HU67">
        <v>5.23466</v>
      </c>
      <c r="HV67">
        <v>11.992</v>
      </c>
      <c r="HW67">
        <v>4.9568</v>
      </c>
      <c r="HX67">
        <v>3.304</v>
      </c>
      <c r="HY67">
        <v>999.9</v>
      </c>
      <c r="HZ67">
        <v>9999</v>
      </c>
      <c r="IA67">
        <v>9999</v>
      </c>
      <c r="IB67">
        <v>9999</v>
      </c>
      <c r="IC67">
        <v>1.86867</v>
      </c>
      <c r="ID67">
        <v>1.86446</v>
      </c>
      <c r="IE67">
        <v>1.87199</v>
      </c>
      <c r="IF67">
        <v>1.86295</v>
      </c>
      <c r="IG67">
        <v>1.86234</v>
      </c>
      <c r="IH67">
        <v>1.86874</v>
      </c>
      <c r="II67">
        <v>1.85892</v>
      </c>
      <c r="IJ67">
        <v>1.86523</v>
      </c>
      <c r="IK67">
        <v>5</v>
      </c>
      <c r="IL67">
        <v>0</v>
      </c>
      <c r="IM67">
        <v>0</v>
      </c>
      <c r="IN67">
        <v>0</v>
      </c>
      <c r="IO67" t="s">
        <v>441</v>
      </c>
      <c r="IP67" t="s">
        <v>442</v>
      </c>
      <c r="IQ67" t="s">
        <v>443</v>
      </c>
      <c r="IR67" t="s">
        <v>443</v>
      </c>
      <c r="IS67" t="s">
        <v>443</v>
      </c>
      <c r="IT67" t="s">
        <v>443</v>
      </c>
      <c r="IU67">
        <v>0</v>
      </c>
      <c r="IV67">
        <v>100</v>
      </c>
      <c r="IW67">
        <v>100</v>
      </c>
      <c r="IX67">
        <v>10.446</v>
      </c>
      <c r="IY67">
        <v>0.125</v>
      </c>
      <c r="IZ67">
        <v>5.63201898512837</v>
      </c>
      <c r="JA67">
        <v>0.0062698613543794</v>
      </c>
      <c r="JB67">
        <v>-3.23243345529816e-06</v>
      </c>
      <c r="JC67">
        <v>8.00506428382295e-10</v>
      </c>
      <c r="JD67">
        <v>-0.0375723460845439</v>
      </c>
      <c r="JE67">
        <v>-0.0018464610107002</v>
      </c>
      <c r="JF67">
        <v>0.000796540623429801</v>
      </c>
      <c r="JG67">
        <v>-1.04619914107352e-05</v>
      </c>
      <c r="JH67">
        <v>-0</v>
      </c>
      <c r="JI67">
        <v>2101</v>
      </c>
      <c r="JJ67">
        <v>1</v>
      </c>
      <c r="JK67">
        <v>23</v>
      </c>
      <c r="JL67">
        <v>1.2</v>
      </c>
      <c r="JM67">
        <v>1.3</v>
      </c>
      <c r="JN67">
        <v>2.91504</v>
      </c>
      <c r="JO67">
        <v>2.33276</v>
      </c>
      <c r="JP67">
        <v>1.4978</v>
      </c>
      <c r="JQ67">
        <v>2.33154</v>
      </c>
      <c r="JR67">
        <v>1.54419</v>
      </c>
      <c r="JS67">
        <v>2.29614</v>
      </c>
      <c r="JT67">
        <v>36.0113</v>
      </c>
      <c r="JU67">
        <v>24.3414</v>
      </c>
      <c r="JV67">
        <v>18</v>
      </c>
      <c r="JW67">
        <v>548.748</v>
      </c>
      <c r="JX67">
        <v>432.078</v>
      </c>
      <c r="JY67">
        <v>22.62</v>
      </c>
      <c r="JZ67">
        <v>25.7513</v>
      </c>
      <c r="KA67">
        <v>30</v>
      </c>
      <c r="KB67">
        <v>25.7359</v>
      </c>
      <c r="KC67">
        <v>25.7584</v>
      </c>
      <c r="KD67">
        <v>58.3283</v>
      </c>
      <c r="KE67">
        <v>26.1392</v>
      </c>
      <c r="KF67">
        <v>81.8646</v>
      </c>
      <c r="KG67">
        <v>22.6238</v>
      </c>
      <c r="KH67">
        <v>1500</v>
      </c>
      <c r="KI67">
        <v>17.9536</v>
      </c>
      <c r="KJ67">
        <v>95.3814</v>
      </c>
      <c r="KK67">
        <v>98.9596</v>
      </c>
    </row>
    <row r="68" spans="1:297">
      <c r="A68">
        <v>52</v>
      </c>
      <c r="B68">
        <v>1765305781.1</v>
      </c>
      <c r="C68">
        <v>7832.09999990463</v>
      </c>
      <c r="D68" t="s">
        <v>598</v>
      </c>
      <c r="E68" t="s">
        <v>599</v>
      </c>
      <c r="F68">
        <v>5</v>
      </c>
      <c r="G68" t="s">
        <v>572</v>
      </c>
      <c r="H68" t="s">
        <v>436</v>
      </c>
      <c r="I68">
        <v>1765305772.6</v>
      </c>
      <c r="J68">
        <f>(K68)/1000</f>
        <v>0</v>
      </c>
      <c r="K68">
        <f>IF(DP68, AN68, AH68)</f>
        <v>0</v>
      </c>
      <c r="L68">
        <f>IF(DP68, AI68, AG68)</f>
        <v>0</v>
      </c>
      <c r="M68">
        <f>DR68 - IF(AU68&gt;1, L68*DL68*100.0/(AW68), 0)</f>
        <v>0</v>
      </c>
      <c r="N68">
        <f>((T68-J68/2)*M68-L68)/(T68+J68/2)</f>
        <v>0</v>
      </c>
      <c r="O68">
        <f>N68*(DY68+DZ68)/1000.0</f>
        <v>0</v>
      </c>
      <c r="P68">
        <f>(DR68 - IF(AU68&gt;1, L68*DL68*100.0/(AW68), 0))*(DY68+DZ68)/1000.0</f>
        <v>0</v>
      </c>
      <c r="Q68">
        <f>2.0/((1/S68-1/R68)+SIGN(S68)*SQRT((1/S68-1/R68)*(1/S68-1/R68) + 4*DM68/((DM68+1)*(DM68+1))*(2*1/S68*1/R68-1/R68*1/R68)))</f>
        <v>0</v>
      </c>
      <c r="R68">
        <f>IF(LEFT(DN68,1)&lt;&gt;"0",IF(LEFT(DN68,1)="1",3.0,DO68),$D$5+$E$5*(EF68*DY68/($K$5*1000))+$F$5*(EF68*DY68/($K$5*1000))*MAX(MIN(DL68,$J$5),$I$5)*MAX(MIN(DL68,$J$5),$I$5)+$G$5*MAX(MIN(DL68,$J$5),$I$5)*(EF68*DY68/($K$5*1000))+$H$5*(EF68*DY68/($K$5*1000))*(EF68*DY68/($K$5*1000)))</f>
        <v>0</v>
      </c>
      <c r="S68">
        <f>J68*(1000-(1000*0.61365*exp(17.502*W68/(240.97+W68))/(DY68+DZ68)+DT68)/2)/(1000*0.61365*exp(17.502*W68/(240.97+W68))/(DY68+DZ68)-DT68)</f>
        <v>0</v>
      </c>
      <c r="T68">
        <f>1/((DM68+1)/(Q68/1.6)+1/(R68/1.37)) + DM68/((DM68+1)/(Q68/1.6) + DM68/(R68/1.37))</f>
        <v>0</v>
      </c>
      <c r="U68">
        <f>(DH68*DK68)</f>
        <v>0</v>
      </c>
      <c r="V68">
        <f>(EA68+(U68+2*0.95*5.67E-8*(((EA68+$B$7)+273)^4-(EA68+273)^4)-44100*J68)/(1.84*29.3*R68+8*0.95*5.67E-8*(EA68+273)^3))</f>
        <v>0</v>
      </c>
      <c r="W68">
        <f>($C$7*EB68+$D$7*EC68+$E$7*V68)</f>
        <v>0</v>
      </c>
      <c r="X68">
        <f>0.61365*exp(17.502*W68/(240.97+W68))</f>
        <v>0</v>
      </c>
      <c r="Y68">
        <f>(Z68/AA68*100)</f>
        <v>0</v>
      </c>
      <c r="Z68">
        <f>DT68*(DY68+DZ68)/1000</f>
        <v>0</v>
      </c>
      <c r="AA68">
        <f>0.61365*exp(17.502*EA68/(240.97+EA68))</f>
        <v>0</v>
      </c>
      <c r="AB68">
        <f>(X68-DT68*(DY68+DZ68)/1000)</f>
        <v>0</v>
      </c>
      <c r="AC68">
        <f>(-J68*44100)</f>
        <v>0</v>
      </c>
      <c r="AD68">
        <f>2*29.3*R68*0.92*(EA68-W68)</f>
        <v>0</v>
      </c>
      <c r="AE68">
        <f>2*0.95*5.67E-8*(((EA68+$B$7)+273)^4-(W68+273)^4)</f>
        <v>0</v>
      </c>
      <c r="AF68">
        <f>U68+AE68+AC68+AD68</f>
        <v>0</v>
      </c>
      <c r="AG68">
        <f>DX68*AU68*(DS68-DR68*(1000-AU68*DU68)/(1000-AU68*DT68))/(100*DL68)</f>
        <v>0</v>
      </c>
      <c r="AH68">
        <f>1000*DX68*AU68*(DT68-DU68)/(100*DL68*(1000-AU68*DT68))</f>
        <v>0</v>
      </c>
      <c r="AI68">
        <f>(AJ68 - AK68 - DY68*1E3/(8.314*(EA68+273.15)) * AM68/DX68 * AL68) * DX68/(100*DL68) * (1000 - DU68)/1000</f>
        <v>0</v>
      </c>
      <c r="AJ68">
        <v>407.294582473286</v>
      </c>
      <c r="AK68">
        <v>407.599575757576</v>
      </c>
      <c r="AL68">
        <v>-0.00504528485049011</v>
      </c>
      <c r="AM68">
        <v>63.5048105531864</v>
      </c>
      <c r="AN68">
        <f>(AP68 - AO68 + DY68*1E3/(8.314*(EA68+273.15)) * AR68/DX68 * AQ68) * DX68/(100*DL68) * 1000/(1000 - AP68)</f>
        <v>0</v>
      </c>
      <c r="AO68">
        <v>17.9719835599574</v>
      </c>
      <c r="AP68">
        <v>18.0445642424242</v>
      </c>
      <c r="AQ68">
        <v>2.09584440835951e-05</v>
      </c>
      <c r="AR68">
        <v>106.883762099774</v>
      </c>
      <c r="AS68">
        <v>0</v>
      </c>
      <c r="AT68">
        <v>0</v>
      </c>
      <c r="AU68">
        <f>IF(AS68*$H$13&gt;=AW68,1.0,(AW68/(AW68-AS68*$H$13)))</f>
        <v>0</v>
      </c>
      <c r="AV68">
        <f>(AU68-1)*100</f>
        <v>0</v>
      </c>
      <c r="AW68">
        <f>MAX(0,($B$13+$C$13*EF68)/(1+$D$13*EF68)*DY68/(EA68+273)*$E$13)</f>
        <v>0</v>
      </c>
      <c r="AX68" t="s">
        <v>437</v>
      </c>
      <c r="AY68" t="s">
        <v>437</v>
      </c>
      <c r="AZ68">
        <v>0</v>
      </c>
      <c r="BA68">
        <v>0</v>
      </c>
      <c r="BB68">
        <f>1-AZ68/BA68</f>
        <v>0</v>
      </c>
      <c r="BC68">
        <v>0</v>
      </c>
      <c r="BD68" t="s">
        <v>437</v>
      </c>
      <c r="BE68" t="s">
        <v>437</v>
      </c>
      <c r="BF68">
        <v>0</v>
      </c>
      <c r="BG68">
        <v>0</v>
      </c>
      <c r="BH68">
        <f>1-BF68/BG68</f>
        <v>0</v>
      </c>
      <c r="BI68">
        <v>0.5</v>
      </c>
      <c r="BJ68">
        <f>DI68</f>
        <v>0</v>
      </c>
      <c r="BK68">
        <f>L68</f>
        <v>0</v>
      </c>
      <c r="BL68">
        <f>BH68*BI68*BJ68</f>
        <v>0</v>
      </c>
      <c r="BM68">
        <f>(BK68-BC68)/BJ68</f>
        <v>0</v>
      </c>
      <c r="BN68">
        <f>(BA68-BG68)/BG68</f>
        <v>0</v>
      </c>
      <c r="BO68">
        <f>AZ68/(BB68+AZ68/BG68)</f>
        <v>0</v>
      </c>
      <c r="BP68" t="s">
        <v>437</v>
      </c>
      <c r="BQ68">
        <v>0</v>
      </c>
      <c r="BR68">
        <f>IF(BQ68&lt;&gt;0, BQ68, BO68)</f>
        <v>0</v>
      </c>
      <c r="BS68">
        <f>1-BR68/BG68</f>
        <v>0</v>
      </c>
      <c r="BT68">
        <f>(BG68-BF68)/(BG68-BR68)</f>
        <v>0</v>
      </c>
      <c r="BU68">
        <f>(BA68-BG68)/(BA68-BR68)</f>
        <v>0</v>
      </c>
      <c r="BV68">
        <f>(BG68-BF68)/(BG68-AZ68)</f>
        <v>0</v>
      </c>
      <c r="BW68">
        <f>(BA68-BG68)/(BA68-AZ68)</f>
        <v>0</v>
      </c>
      <c r="BX68">
        <f>(BT68*BR68/BF68)</f>
        <v>0</v>
      </c>
      <c r="BY68">
        <f>(1-BX68)</f>
        <v>0</v>
      </c>
      <c r="DH68">
        <f>$B$11*EG68+$C$11*EH68+$F$11*ES68*(1-EV68)</f>
        <v>0</v>
      </c>
      <c r="DI68">
        <f>DH68*DJ68</f>
        <v>0</v>
      </c>
      <c r="DJ68">
        <f>($B$11*$D$9+$C$11*$D$9+$F$11*((FF68+EX68)/MAX(FF68+EX68+FG68, 0.1)*$I$9+FG68/MAX(FF68+EX68+FG68, 0.1)*$J$9))/($B$11+$C$11+$F$11)</f>
        <v>0</v>
      </c>
      <c r="DK68">
        <f>($B$11*$K$9+$C$11*$K$9+$F$11*((FF68+EX68)/MAX(FF68+EX68+FG68, 0.1)*$P$9+FG68/MAX(FF68+EX68+FG68, 0.1)*$Q$9))/($B$11+$C$11+$F$11)</f>
        <v>0</v>
      </c>
      <c r="DL68">
        <v>6</v>
      </c>
      <c r="DM68">
        <v>0.5</v>
      </c>
      <c r="DN68" t="s">
        <v>438</v>
      </c>
      <c r="DO68">
        <v>2</v>
      </c>
      <c r="DP68" t="b">
        <v>1</v>
      </c>
      <c r="DQ68">
        <v>1765305772.6</v>
      </c>
      <c r="DR68">
        <v>400.134625</v>
      </c>
      <c r="DS68">
        <v>399.9629375</v>
      </c>
      <c r="DT68">
        <v>18.03538125</v>
      </c>
      <c r="DU68">
        <v>17.97341875</v>
      </c>
      <c r="DV68">
        <v>392.648625</v>
      </c>
      <c r="DW68">
        <v>17.91538125</v>
      </c>
      <c r="DX68">
        <v>499.9934375</v>
      </c>
      <c r="DY68">
        <v>89.86633125</v>
      </c>
      <c r="DZ68">
        <v>0.09998645625</v>
      </c>
      <c r="EA68">
        <v>25.31615625</v>
      </c>
      <c r="EB68">
        <v>25.0062</v>
      </c>
      <c r="EC68">
        <v>999.9</v>
      </c>
      <c r="ED68">
        <v>0</v>
      </c>
      <c r="EE68">
        <v>0</v>
      </c>
      <c r="EF68">
        <v>9999.028125</v>
      </c>
      <c r="EG68">
        <v>0</v>
      </c>
      <c r="EH68">
        <v>12.4638</v>
      </c>
      <c r="EI68">
        <v>0.3309784375</v>
      </c>
      <c r="EJ68">
        <v>407.6485625</v>
      </c>
      <c r="EK68">
        <v>407.28325</v>
      </c>
      <c r="EL68">
        <v>0.06851161875</v>
      </c>
      <c r="EM68">
        <v>399.9629375</v>
      </c>
      <c r="EN68">
        <v>17.97341875</v>
      </c>
      <c r="EO68">
        <v>1.62136125</v>
      </c>
      <c r="EP68">
        <v>1.615205</v>
      </c>
      <c r="EQ68">
        <v>14.16333125</v>
      </c>
      <c r="ER68">
        <v>14.1046375</v>
      </c>
      <c r="ES68">
        <v>799.9655</v>
      </c>
      <c r="ET68">
        <v>0.9499991875</v>
      </c>
      <c r="EU68">
        <v>0.050000675</v>
      </c>
      <c r="EV68">
        <v>0</v>
      </c>
      <c r="EW68">
        <v>921.459875</v>
      </c>
      <c r="EX68">
        <v>5.00016</v>
      </c>
      <c r="EY68">
        <v>7157.6675</v>
      </c>
      <c r="EZ68">
        <v>7194.360625</v>
      </c>
      <c r="FA68">
        <v>39.5</v>
      </c>
      <c r="FB68">
        <v>42.3159375</v>
      </c>
      <c r="FC68">
        <v>41</v>
      </c>
      <c r="FD68">
        <v>42.312</v>
      </c>
      <c r="FE68">
        <v>42.187</v>
      </c>
      <c r="FF68">
        <v>755.2175</v>
      </c>
      <c r="FG68">
        <v>39.7525</v>
      </c>
      <c r="FH68">
        <v>0</v>
      </c>
      <c r="FI68">
        <v>1765305781.3</v>
      </c>
      <c r="FJ68">
        <v>0</v>
      </c>
      <c r="FK68">
        <v>921.414307692308</v>
      </c>
      <c r="FL68">
        <v>-0.150358976195152</v>
      </c>
      <c r="FM68">
        <v>2.8064956948011</v>
      </c>
      <c r="FN68">
        <v>7157.73961538462</v>
      </c>
      <c r="FO68">
        <v>15</v>
      </c>
      <c r="FP68">
        <v>1765305807.1</v>
      </c>
      <c r="FQ68" t="s">
        <v>600</v>
      </c>
      <c r="FR68">
        <v>1765305807.1</v>
      </c>
      <c r="FS68">
        <v>1765305799.1</v>
      </c>
      <c r="FT68">
        <v>52</v>
      </c>
      <c r="FU68">
        <v>-0.159</v>
      </c>
      <c r="FV68">
        <v>-0.005</v>
      </c>
      <c r="FW68">
        <v>7.486</v>
      </c>
      <c r="FX68">
        <v>0.12</v>
      </c>
      <c r="FY68">
        <v>400</v>
      </c>
      <c r="FZ68">
        <v>18</v>
      </c>
      <c r="GA68">
        <v>0.37</v>
      </c>
      <c r="GB68">
        <v>0.35</v>
      </c>
      <c r="GC68">
        <v>0.3592789</v>
      </c>
      <c r="GD68">
        <v>-0.434545443609023</v>
      </c>
      <c r="GE68">
        <v>0.0572006141967899</v>
      </c>
      <c r="GF68">
        <v>1</v>
      </c>
      <c r="GG68">
        <v>921.434617647059</v>
      </c>
      <c r="GH68">
        <v>-0.244568372294621</v>
      </c>
      <c r="GI68">
        <v>0.217660422880644</v>
      </c>
      <c r="GJ68">
        <v>-1</v>
      </c>
      <c r="GK68">
        <v>0.06560565</v>
      </c>
      <c r="GL68">
        <v>0.0468059458646616</v>
      </c>
      <c r="GM68">
        <v>0.00487251568817382</v>
      </c>
      <c r="GN68">
        <v>1</v>
      </c>
      <c r="GO68">
        <v>2</v>
      </c>
      <c r="GP68">
        <v>2</v>
      </c>
      <c r="GQ68" t="s">
        <v>440</v>
      </c>
      <c r="GR68">
        <v>3.12484</v>
      </c>
      <c r="GS68">
        <v>2.72573</v>
      </c>
      <c r="GT68">
        <v>0.085246</v>
      </c>
      <c r="GU68">
        <v>0.0864342</v>
      </c>
      <c r="GV68">
        <v>0.0830504</v>
      </c>
      <c r="GW68">
        <v>0.0828856</v>
      </c>
      <c r="GX68">
        <v>24168.8</v>
      </c>
      <c r="GY68">
        <v>22365.8</v>
      </c>
      <c r="GZ68">
        <v>23618.5</v>
      </c>
      <c r="HA68">
        <v>23827.8</v>
      </c>
      <c r="HB68">
        <v>36872.5</v>
      </c>
      <c r="HC68">
        <v>36129.3</v>
      </c>
      <c r="HD68">
        <v>42533.9</v>
      </c>
      <c r="HE68">
        <v>42438.2</v>
      </c>
      <c r="HF68">
        <v>1.9374</v>
      </c>
      <c r="HG68">
        <v>1.84238</v>
      </c>
      <c r="HH68">
        <v>0.110902</v>
      </c>
      <c r="HI68">
        <v>0</v>
      </c>
      <c r="HJ68">
        <v>23.1835</v>
      </c>
      <c r="HK68">
        <v>999.9</v>
      </c>
      <c r="HL68">
        <v>44.598</v>
      </c>
      <c r="HM68">
        <v>30.031</v>
      </c>
      <c r="HN68">
        <v>21.1824</v>
      </c>
      <c r="HO68">
        <v>55.2276</v>
      </c>
      <c r="HP68">
        <v>46.7949</v>
      </c>
      <c r="HQ68">
        <v>1</v>
      </c>
      <c r="HR68">
        <v>-0.135208</v>
      </c>
      <c r="HS68">
        <v>0.380368</v>
      </c>
      <c r="HT68">
        <v>20.2301</v>
      </c>
      <c r="HU68">
        <v>5.23481</v>
      </c>
      <c r="HV68">
        <v>11.992</v>
      </c>
      <c r="HW68">
        <v>4.957</v>
      </c>
      <c r="HX68">
        <v>3.304</v>
      </c>
      <c r="HY68">
        <v>999.9</v>
      </c>
      <c r="HZ68">
        <v>9999</v>
      </c>
      <c r="IA68">
        <v>9999</v>
      </c>
      <c r="IB68">
        <v>9999</v>
      </c>
      <c r="IC68">
        <v>1.86868</v>
      </c>
      <c r="ID68">
        <v>1.86445</v>
      </c>
      <c r="IE68">
        <v>1.87197</v>
      </c>
      <c r="IF68">
        <v>1.86295</v>
      </c>
      <c r="IG68">
        <v>1.86234</v>
      </c>
      <c r="IH68">
        <v>1.86874</v>
      </c>
      <c r="II68">
        <v>1.85896</v>
      </c>
      <c r="IJ68">
        <v>1.86524</v>
      </c>
      <c r="IK68">
        <v>5</v>
      </c>
      <c r="IL68">
        <v>0</v>
      </c>
      <c r="IM68">
        <v>0</v>
      </c>
      <c r="IN68">
        <v>0</v>
      </c>
      <c r="IO68" t="s">
        <v>441</v>
      </c>
      <c r="IP68" t="s">
        <v>442</v>
      </c>
      <c r="IQ68" t="s">
        <v>443</v>
      </c>
      <c r="IR68" t="s">
        <v>443</v>
      </c>
      <c r="IS68" t="s">
        <v>443</v>
      </c>
      <c r="IT68" t="s">
        <v>443</v>
      </c>
      <c r="IU68">
        <v>0</v>
      </c>
      <c r="IV68">
        <v>100</v>
      </c>
      <c r="IW68">
        <v>100</v>
      </c>
      <c r="IX68">
        <v>7.486</v>
      </c>
      <c r="IY68">
        <v>0.12</v>
      </c>
      <c r="IZ68">
        <v>5.63339887518137</v>
      </c>
      <c r="JA68">
        <v>0.0062698613543794</v>
      </c>
      <c r="JB68">
        <v>-3.23243345529816e-06</v>
      </c>
      <c r="JC68">
        <v>8.00506428382295e-10</v>
      </c>
      <c r="JD68">
        <v>-0.035868075064478</v>
      </c>
      <c r="JE68">
        <v>-0.0018464610107002</v>
      </c>
      <c r="JF68">
        <v>0.000796540623429801</v>
      </c>
      <c r="JG68">
        <v>-1.04619914107352e-05</v>
      </c>
      <c r="JH68">
        <v>-0</v>
      </c>
      <c r="JI68">
        <v>2101</v>
      </c>
      <c r="JJ68">
        <v>1</v>
      </c>
      <c r="JK68">
        <v>23</v>
      </c>
      <c r="JL68">
        <v>1.4</v>
      </c>
      <c r="JM68">
        <v>1.5</v>
      </c>
      <c r="JN68">
        <v>1.01074</v>
      </c>
      <c r="JO68">
        <v>2.35474</v>
      </c>
      <c r="JP68">
        <v>1.49902</v>
      </c>
      <c r="JQ68">
        <v>2.33154</v>
      </c>
      <c r="JR68">
        <v>1.54419</v>
      </c>
      <c r="JS68">
        <v>2.36328</v>
      </c>
      <c r="JT68">
        <v>35.9178</v>
      </c>
      <c r="JU68">
        <v>24.3414</v>
      </c>
      <c r="JV68">
        <v>18</v>
      </c>
      <c r="JW68">
        <v>547.913</v>
      </c>
      <c r="JX68">
        <v>430.876</v>
      </c>
      <c r="JY68">
        <v>22.1307</v>
      </c>
      <c r="JZ68">
        <v>25.7686</v>
      </c>
      <c r="KA68">
        <v>30.0001</v>
      </c>
      <c r="KB68">
        <v>25.7466</v>
      </c>
      <c r="KC68">
        <v>25.7691</v>
      </c>
      <c r="KD68">
        <v>20.2773</v>
      </c>
      <c r="KE68">
        <v>25.5757</v>
      </c>
      <c r="KF68">
        <v>82.6105</v>
      </c>
      <c r="KG68">
        <v>22.3621</v>
      </c>
      <c r="KH68">
        <v>400</v>
      </c>
      <c r="KI68">
        <v>17.9891</v>
      </c>
      <c r="KJ68">
        <v>95.3665</v>
      </c>
      <c r="KK68">
        <v>98.95</v>
      </c>
    </row>
    <row r="69" spans="1:297">
      <c r="A69">
        <v>53</v>
      </c>
      <c r="B69">
        <v>1765307624</v>
      </c>
      <c r="C69">
        <v>9675</v>
      </c>
      <c r="D69" t="s">
        <v>601</v>
      </c>
      <c r="E69" t="s">
        <v>602</v>
      </c>
      <c r="F69">
        <v>5</v>
      </c>
      <c r="G69" t="s">
        <v>603</v>
      </c>
      <c r="H69" t="s">
        <v>436</v>
      </c>
      <c r="I69">
        <v>1765307615.5</v>
      </c>
      <c r="J69">
        <f>(K69)/1000</f>
        <v>0</v>
      </c>
      <c r="K69">
        <f>IF(DP69, AN69, AH69)</f>
        <v>0</v>
      </c>
      <c r="L69">
        <f>IF(DP69, AI69, AG69)</f>
        <v>0</v>
      </c>
      <c r="M69">
        <f>DR69 - IF(AU69&gt;1, L69*DL69*100.0/(AW69), 0)</f>
        <v>0</v>
      </c>
      <c r="N69">
        <f>((T69-J69/2)*M69-L69)/(T69+J69/2)</f>
        <v>0</v>
      </c>
      <c r="O69">
        <f>N69*(DY69+DZ69)/1000.0</f>
        <v>0</v>
      </c>
      <c r="P69">
        <f>(DR69 - IF(AU69&gt;1, L69*DL69*100.0/(AW69), 0))*(DY69+DZ69)/1000.0</f>
        <v>0</v>
      </c>
      <c r="Q69">
        <f>2.0/((1/S69-1/R69)+SIGN(S69)*SQRT((1/S69-1/R69)*(1/S69-1/R69) + 4*DM69/((DM69+1)*(DM69+1))*(2*1/S69*1/R69-1/R69*1/R69)))</f>
        <v>0</v>
      </c>
      <c r="R69">
        <f>IF(LEFT(DN69,1)&lt;&gt;"0",IF(LEFT(DN69,1)="1",3.0,DO69),$D$5+$E$5*(EF69*DY69/($K$5*1000))+$F$5*(EF69*DY69/($K$5*1000))*MAX(MIN(DL69,$J$5),$I$5)*MAX(MIN(DL69,$J$5),$I$5)+$G$5*MAX(MIN(DL69,$J$5),$I$5)*(EF69*DY69/($K$5*1000))+$H$5*(EF69*DY69/($K$5*1000))*(EF69*DY69/($K$5*1000)))</f>
        <v>0</v>
      </c>
      <c r="S69">
        <f>J69*(1000-(1000*0.61365*exp(17.502*W69/(240.97+W69))/(DY69+DZ69)+DT69)/2)/(1000*0.61365*exp(17.502*W69/(240.97+W69))/(DY69+DZ69)-DT69)</f>
        <v>0</v>
      </c>
      <c r="T69">
        <f>1/((DM69+1)/(Q69/1.6)+1/(R69/1.37)) + DM69/((DM69+1)/(Q69/1.6) + DM69/(R69/1.37))</f>
        <v>0</v>
      </c>
      <c r="U69">
        <f>(DH69*DK69)</f>
        <v>0</v>
      </c>
      <c r="V69">
        <f>(EA69+(U69+2*0.95*5.67E-8*(((EA69+$B$7)+273)^4-(EA69+273)^4)-44100*J69)/(1.84*29.3*R69+8*0.95*5.67E-8*(EA69+273)^3))</f>
        <v>0</v>
      </c>
      <c r="W69">
        <f>($C$7*EB69+$D$7*EC69+$E$7*V69)</f>
        <v>0</v>
      </c>
      <c r="X69">
        <f>0.61365*exp(17.502*W69/(240.97+W69))</f>
        <v>0</v>
      </c>
      <c r="Y69">
        <f>(Z69/AA69*100)</f>
        <v>0</v>
      </c>
      <c r="Z69">
        <f>DT69*(DY69+DZ69)/1000</f>
        <v>0</v>
      </c>
      <c r="AA69">
        <f>0.61365*exp(17.502*EA69/(240.97+EA69))</f>
        <v>0</v>
      </c>
      <c r="AB69">
        <f>(X69-DT69*(DY69+DZ69)/1000)</f>
        <v>0</v>
      </c>
      <c r="AC69">
        <f>(-J69*44100)</f>
        <v>0</v>
      </c>
      <c r="AD69">
        <f>2*29.3*R69*0.92*(EA69-W69)</f>
        <v>0</v>
      </c>
      <c r="AE69">
        <f>2*0.95*5.67E-8*(((EA69+$B$7)+273)^4-(W69+273)^4)</f>
        <v>0</v>
      </c>
      <c r="AF69">
        <f>U69+AE69+AC69+AD69</f>
        <v>0</v>
      </c>
      <c r="AG69">
        <f>DX69*AU69*(DS69-DR69*(1000-AU69*DU69)/(1000-AU69*DT69))/(100*DL69)</f>
        <v>0</v>
      </c>
      <c r="AH69">
        <f>1000*DX69*AU69*(DT69-DU69)/(100*DL69*(1000-AU69*DT69))</f>
        <v>0</v>
      </c>
      <c r="AI69">
        <f>(AJ69 - AK69 - DY69*1E3/(8.314*(EA69+273.15)) * AM69/DX69 * AL69) * DX69/(100*DL69) * (1000 - DU69)/1000</f>
        <v>0</v>
      </c>
      <c r="AJ69">
        <v>407.162183017458</v>
      </c>
      <c r="AK69">
        <v>404.8472</v>
      </c>
      <c r="AL69">
        <v>0.00271345710116437</v>
      </c>
      <c r="AM69">
        <v>63.0490370546381</v>
      </c>
      <c r="AN69">
        <f>(AP69 - AO69 + DY69*1E3/(8.314*(EA69+273.15)) * AR69/DX69 * AQ69) * DX69/(100*DL69) * 1000/(1000 - AP69)</f>
        <v>0</v>
      </c>
      <c r="AO69">
        <v>17.5802774101477</v>
      </c>
      <c r="AP69">
        <v>17.9959212121212</v>
      </c>
      <c r="AQ69">
        <v>-3.90454020212612e-06</v>
      </c>
      <c r="AR69">
        <v>109.829525384012</v>
      </c>
      <c r="AS69">
        <v>3</v>
      </c>
      <c r="AT69">
        <v>1</v>
      </c>
      <c r="AU69">
        <f>IF(AS69*$H$13&gt;=AW69,1.0,(AW69/(AW69-AS69*$H$13)))</f>
        <v>0</v>
      </c>
      <c r="AV69">
        <f>(AU69-1)*100</f>
        <v>0</v>
      </c>
      <c r="AW69">
        <f>MAX(0,($B$13+$C$13*EF69)/(1+$D$13*EF69)*DY69/(EA69+273)*$E$13)</f>
        <v>0</v>
      </c>
      <c r="AX69" t="s">
        <v>437</v>
      </c>
      <c r="AY69" t="s">
        <v>437</v>
      </c>
      <c r="AZ69">
        <v>0</v>
      </c>
      <c r="BA69">
        <v>0</v>
      </c>
      <c r="BB69">
        <f>1-AZ69/BA69</f>
        <v>0</v>
      </c>
      <c r="BC69">
        <v>0</v>
      </c>
      <c r="BD69" t="s">
        <v>437</v>
      </c>
      <c r="BE69" t="s">
        <v>437</v>
      </c>
      <c r="BF69">
        <v>0</v>
      </c>
      <c r="BG69">
        <v>0</v>
      </c>
      <c r="BH69">
        <f>1-BF69/BG69</f>
        <v>0</v>
      </c>
      <c r="BI69">
        <v>0.5</v>
      </c>
      <c r="BJ69">
        <f>DI69</f>
        <v>0</v>
      </c>
      <c r="BK69">
        <f>L69</f>
        <v>0</v>
      </c>
      <c r="BL69">
        <f>BH69*BI69*BJ69</f>
        <v>0</v>
      </c>
      <c r="BM69">
        <f>(BK69-BC69)/BJ69</f>
        <v>0</v>
      </c>
      <c r="BN69">
        <f>(BA69-BG69)/BG69</f>
        <v>0</v>
      </c>
      <c r="BO69">
        <f>AZ69/(BB69+AZ69/BG69)</f>
        <v>0</v>
      </c>
      <c r="BP69" t="s">
        <v>437</v>
      </c>
      <c r="BQ69">
        <v>0</v>
      </c>
      <c r="BR69">
        <f>IF(BQ69&lt;&gt;0, BQ69, BO69)</f>
        <v>0</v>
      </c>
      <c r="BS69">
        <f>1-BR69/BG69</f>
        <v>0</v>
      </c>
      <c r="BT69">
        <f>(BG69-BF69)/(BG69-BR69)</f>
        <v>0</v>
      </c>
      <c r="BU69">
        <f>(BA69-BG69)/(BA69-BR69)</f>
        <v>0</v>
      </c>
      <c r="BV69">
        <f>(BG69-BF69)/(BG69-AZ69)</f>
        <v>0</v>
      </c>
      <c r="BW69">
        <f>(BA69-BG69)/(BA69-AZ69)</f>
        <v>0</v>
      </c>
      <c r="BX69">
        <f>(BT69*BR69/BF69)</f>
        <v>0</v>
      </c>
      <c r="BY69">
        <f>(1-BX69)</f>
        <v>0</v>
      </c>
      <c r="DH69">
        <f>$B$11*EG69+$C$11*EH69+$F$11*ES69*(1-EV69)</f>
        <v>0</v>
      </c>
      <c r="DI69">
        <f>DH69*DJ69</f>
        <v>0</v>
      </c>
      <c r="DJ69">
        <f>($B$11*$D$9+$C$11*$D$9+$F$11*((FF69+EX69)/MAX(FF69+EX69+FG69, 0.1)*$I$9+FG69/MAX(FF69+EX69+FG69, 0.1)*$J$9))/($B$11+$C$11+$F$11)</f>
        <v>0</v>
      </c>
      <c r="DK69">
        <f>($B$11*$K$9+$C$11*$K$9+$F$11*((FF69+EX69)/MAX(FF69+EX69+FG69, 0.1)*$P$9+FG69/MAX(FF69+EX69+FG69, 0.1)*$Q$9))/($B$11+$C$11+$F$11)</f>
        <v>0</v>
      </c>
      <c r="DL69">
        <v>6</v>
      </c>
      <c r="DM69">
        <v>0.5</v>
      </c>
      <c r="DN69" t="s">
        <v>438</v>
      </c>
      <c r="DO69">
        <v>2</v>
      </c>
      <c r="DP69" t="b">
        <v>1</v>
      </c>
      <c r="DQ69">
        <v>1765307615.5</v>
      </c>
      <c r="DR69">
        <v>397.842</v>
      </c>
      <c r="DS69">
        <v>399.9901875</v>
      </c>
      <c r="DT69">
        <v>18.00014375</v>
      </c>
      <c r="DU69">
        <v>17.58294375</v>
      </c>
      <c r="DV69">
        <v>390.082</v>
      </c>
      <c r="DW69">
        <v>17.87814375</v>
      </c>
      <c r="DX69">
        <v>500.005125</v>
      </c>
      <c r="DY69">
        <v>89.80426875</v>
      </c>
      <c r="DZ69">
        <v>0.0999529</v>
      </c>
      <c r="EA69">
        <v>25.3215375</v>
      </c>
      <c r="EB69">
        <v>24.99458125</v>
      </c>
      <c r="EC69">
        <v>999.9</v>
      </c>
      <c r="ED69">
        <v>0</v>
      </c>
      <c r="EE69">
        <v>0</v>
      </c>
      <c r="EF69">
        <v>9990.774375</v>
      </c>
      <c r="EG69">
        <v>0</v>
      </c>
      <c r="EH69">
        <v>13.8548</v>
      </c>
      <c r="EI69">
        <v>-2.431993125</v>
      </c>
      <c r="EJ69">
        <v>404.8448125</v>
      </c>
      <c r="EK69">
        <v>407.1490625</v>
      </c>
      <c r="EL69">
        <v>0.4158329375</v>
      </c>
      <c r="EM69">
        <v>399.9901875</v>
      </c>
      <c r="EN69">
        <v>17.58294375</v>
      </c>
      <c r="EO69">
        <v>1.6163675</v>
      </c>
      <c r="EP69">
        <v>1.579023125</v>
      </c>
      <c r="EQ69">
        <v>14.11573125</v>
      </c>
      <c r="ER69">
        <v>13.7556</v>
      </c>
      <c r="ES69">
        <v>799.9945625</v>
      </c>
      <c r="ET69">
        <v>0.949993</v>
      </c>
      <c r="EU69">
        <v>0.050007</v>
      </c>
      <c r="EV69">
        <v>0</v>
      </c>
      <c r="EW69">
        <v>888.2231875</v>
      </c>
      <c r="EX69">
        <v>5.00016</v>
      </c>
      <c r="EY69">
        <v>6877.76625</v>
      </c>
      <c r="EZ69">
        <v>7194.610625</v>
      </c>
      <c r="FA69">
        <v>40.125</v>
      </c>
      <c r="FB69">
        <v>42.75</v>
      </c>
      <c r="FC69">
        <v>41.625</v>
      </c>
      <c r="FD69">
        <v>42.75</v>
      </c>
      <c r="FE69">
        <v>42.769375</v>
      </c>
      <c r="FF69">
        <v>755.238125</v>
      </c>
      <c r="FG69">
        <v>39.76</v>
      </c>
      <c r="FH69">
        <v>0</v>
      </c>
      <c r="FI69">
        <v>1765307624.5</v>
      </c>
      <c r="FJ69">
        <v>0</v>
      </c>
      <c r="FK69">
        <v>888.283576923077</v>
      </c>
      <c r="FL69">
        <v>1.04926494680235</v>
      </c>
      <c r="FM69">
        <v>0.894017103551344</v>
      </c>
      <c r="FN69">
        <v>6877.75730769231</v>
      </c>
      <c r="FO69">
        <v>15</v>
      </c>
      <c r="FP69">
        <v>1765307643</v>
      </c>
      <c r="FQ69" t="s">
        <v>604</v>
      </c>
      <c r="FR69">
        <v>1765307643</v>
      </c>
      <c r="FS69">
        <v>1765307642</v>
      </c>
      <c r="FT69">
        <v>53</v>
      </c>
      <c r="FU69">
        <v>0.275</v>
      </c>
      <c r="FV69">
        <v>0.009</v>
      </c>
      <c r="FW69">
        <v>7.76</v>
      </c>
      <c r="FX69">
        <v>0.122</v>
      </c>
      <c r="FY69">
        <v>400</v>
      </c>
      <c r="FZ69">
        <v>18</v>
      </c>
      <c r="GA69">
        <v>0.34</v>
      </c>
      <c r="GB69">
        <v>0.15</v>
      </c>
      <c r="GC69">
        <v>-2.45011047619048</v>
      </c>
      <c r="GD69">
        <v>0.133091688311685</v>
      </c>
      <c r="GE69">
        <v>0.051937988159525</v>
      </c>
      <c r="GF69">
        <v>1</v>
      </c>
      <c r="GG69">
        <v>888.20444117647</v>
      </c>
      <c r="GH69">
        <v>0.862352937304133</v>
      </c>
      <c r="GI69">
        <v>0.227560617803439</v>
      </c>
      <c r="GJ69">
        <v>-1</v>
      </c>
      <c r="GK69">
        <v>0.414982571428571</v>
      </c>
      <c r="GL69">
        <v>0.0160243636363638</v>
      </c>
      <c r="GM69">
        <v>0.00199616020855824</v>
      </c>
      <c r="GN69">
        <v>1</v>
      </c>
      <c r="GO69">
        <v>2</v>
      </c>
      <c r="GP69">
        <v>2</v>
      </c>
      <c r="GQ69" t="s">
        <v>440</v>
      </c>
      <c r="GR69">
        <v>3.12465</v>
      </c>
      <c r="GS69">
        <v>2.72572</v>
      </c>
      <c r="GT69">
        <v>0.0845686</v>
      </c>
      <c r="GU69">
        <v>0.086176</v>
      </c>
      <c r="GV69">
        <v>0.0826502</v>
      </c>
      <c r="GW69">
        <v>0.0813226</v>
      </c>
      <c r="GX69">
        <v>24103</v>
      </c>
      <c r="GY69">
        <v>22330.6</v>
      </c>
      <c r="GZ69">
        <v>23540.6</v>
      </c>
      <c r="HA69">
        <v>23787.7</v>
      </c>
      <c r="HB69">
        <v>36778.3</v>
      </c>
      <c r="HC69">
        <v>36138.2</v>
      </c>
      <c r="HD69">
        <v>42406.7</v>
      </c>
      <c r="HE69">
        <v>42377.5</v>
      </c>
      <c r="HF69">
        <v>1.91585</v>
      </c>
      <c r="HG69">
        <v>1.83207</v>
      </c>
      <c r="HH69">
        <v>0.090301</v>
      </c>
      <c r="HI69">
        <v>0</v>
      </c>
      <c r="HJ69">
        <v>23.5175</v>
      </c>
      <c r="HK69">
        <v>999.9</v>
      </c>
      <c r="HL69">
        <v>45.727</v>
      </c>
      <c r="HM69">
        <v>29.588</v>
      </c>
      <c r="HN69">
        <v>21.1867</v>
      </c>
      <c r="HO69">
        <v>55.0376</v>
      </c>
      <c r="HP69">
        <v>46.3702</v>
      </c>
      <c r="HQ69">
        <v>1</v>
      </c>
      <c r="HR69">
        <v>-0.0603557</v>
      </c>
      <c r="HS69">
        <v>1.18563</v>
      </c>
      <c r="HT69">
        <v>20.2276</v>
      </c>
      <c r="HU69">
        <v>5.23451</v>
      </c>
      <c r="HV69">
        <v>11.992</v>
      </c>
      <c r="HW69">
        <v>4.9558</v>
      </c>
      <c r="HX69">
        <v>3.304</v>
      </c>
      <c r="HY69">
        <v>999.9</v>
      </c>
      <c r="HZ69">
        <v>9999</v>
      </c>
      <c r="IA69">
        <v>9999</v>
      </c>
      <c r="IB69">
        <v>9999</v>
      </c>
      <c r="IC69">
        <v>1.86861</v>
      </c>
      <c r="ID69">
        <v>1.86439</v>
      </c>
      <c r="IE69">
        <v>1.87195</v>
      </c>
      <c r="IF69">
        <v>1.86294</v>
      </c>
      <c r="IG69">
        <v>1.86234</v>
      </c>
      <c r="IH69">
        <v>1.86874</v>
      </c>
      <c r="II69">
        <v>1.85895</v>
      </c>
      <c r="IJ69">
        <v>1.86524</v>
      </c>
      <c r="IK69">
        <v>5</v>
      </c>
      <c r="IL69">
        <v>0</v>
      </c>
      <c r="IM69">
        <v>0</v>
      </c>
      <c r="IN69">
        <v>0</v>
      </c>
      <c r="IO69" t="s">
        <v>441</v>
      </c>
      <c r="IP69" t="s">
        <v>442</v>
      </c>
      <c r="IQ69" t="s">
        <v>443</v>
      </c>
      <c r="IR69" t="s">
        <v>443</v>
      </c>
      <c r="IS69" t="s">
        <v>443</v>
      </c>
      <c r="IT69" t="s">
        <v>443</v>
      </c>
      <c r="IU69">
        <v>0</v>
      </c>
      <c r="IV69">
        <v>100</v>
      </c>
      <c r="IW69">
        <v>100</v>
      </c>
      <c r="IX69">
        <v>7.76</v>
      </c>
      <c r="IY69">
        <v>0.122</v>
      </c>
      <c r="IZ69">
        <v>5.47452770605294</v>
      </c>
      <c r="JA69">
        <v>0.0062698613543794</v>
      </c>
      <c r="JB69">
        <v>-3.23243345529816e-06</v>
      </c>
      <c r="JC69">
        <v>8.00506428382295e-10</v>
      </c>
      <c r="JD69">
        <v>-0.041162078255509</v>
      </c>
      <c r="JE69">
        <v>-0.0018464610107002</v>
      </c>
      <c r="JF69">
        <v>0.000796540623429801</v>
      </c>
      <c r="JG69">
        <v>-1.04619914107352e-05</v>
      </c>
      <c r="JH69">
        <v>-0</v>
      </c>
      <c r="JI69">
        <v>2101</v>
      </c>
      <c r="JJ69">
        <v>1</v>
      </c>
      <c r="JK69">
        <v>23</v>
      </c>
      <c r="JL69">
        <v>30.3</v>
      </c>
      <c r="JM69">
        <v>30.4</v>
      </c>
      <c r="JN69">
        <v>1.01074</v>
      </c>
      <c r="JO69">
        <v>2.36084</v>
      </c>
      <c r="JP69">
        <v>1.49902</v>
      </c>
      <c r="JQ69">
        <v>2.33276</v>
      </c>
      <c r="JR69">
        <v>1.54419</v>
      </c>
      <c r="JS69">
        <v>2.30103</v>
      </c>
      <c r="JT69">
        <v>35.4986</v>
      </c>
      <c r="JU69">
        <v>24.3414</v>
      </c>
      <c r="JV69">
        <v>18</v>
      </c>
      <c r="JW69">
        <v>542.35</v>
      </c>
      <c r="JX69">
        <v>432.1</v>
      </c>
      <c r="JY69">
        <v>21.9599</v>
      </c>
      <c r="JZ69">
        <v>26.6843</v>
      </c>
      <c r="KA69">
        <v>29.9999</v>
      </c>
      <c r="KB69">
        <v>26.6849</v>
      </c>
      <c r="KC69">
        <v>26.7102</v>
      </c>
      <c r="KD69">
        <v>20.2706</v>
      </c>
      <c r="KE69">
        <v>28.4893</v>
      </c>
      <c r="KF69">
        <v>84.8864</v>
      </c>
      <c r="KG69">
        <v>21.9606</v>
      </c>
      <c r="KH69">
        <v>400</v>
      </c>
      <c r="KI69">
        <v>17.6193</v>
      </c>
      <c r="KJ69">
        <v>95.0709</v>
      </c>
      <c r="KK69">
        <v>98.7995</v>
      </c>
    </row>
    <row r="70" spans="1:297">
      <c r="A70">
        <v>54</v>
      </c>
      <c r="B70">
        <v>1765307714</v>
      </c>
      <c r="C70">
        <v>9765</v>
      </c>
      <c r="D70" t="s">
        <v>605</v>
      </c>
      <c r="E70" t="s">
        <v>606</v>
      </c>
      <c r="F70">
        <v>5</v>
      </c>
      <c r="G70" t="s">
        <v>603</v>
      </c>
      <c r="H70" t="s">
        <v>436</v>
      </c>
      <c r="I70">
        <v>1765307705.5</v>
      </c>
      <c r="J70">
        <f>(K70)/1000</f>
        <v>0</v>
      </c>
      <c r="K70">
        <f>IF(DP70, AN70, AH70)</f>
        <v>0</v>
      </c>
      <c r="L70">
        <f>IF(DP70, AI70, AG70)</f>
        <v>0</v>
      </c>
      <c r="M70">
        <f>DR70 - IF(AU70&gt;1, L70*DL70*100.0/(AW70), 0)</f>
        <v>0</v>
      </c>
      <c r="N70">
        <f>((T70-J70/2)*M70-L70)/(T70+J70/2)</f>
        <v>0</v>
      </c>
      <c r="O70">
        <f>N70*(DY70+DZ70)/1000.0</f>
        <v>0</v>
      </c>
      <c r="P70">
        <f>(DR70 - IF(AU70&gt;1, L70*DL70*100.0/(AW70), 0))*(DY70+DZ70)/1000.0</f>
        <v>0</v>
      </c>
      <c r="Q70">
        <f>2.0/((1/S70-1/R70)+SIGN(S70)*SQRT((1/S70-1/R70)*(1/S70-1/R70) + 4*DM70/((DM70+1)*(DM70+1))*(2*1/S70*1/R70-1/R70*1/R70)))</f>
        <v>0</v>
      </c>
      <c r="R70">
        <f>IF(LEFT(DN70,1)&lt;&gt;"0",IF(LEFT(DN70,1)="1",3.0,DO70),$D$5+$E$5*(EF70*DY70/($K$5*1000))+$F$5*(EF70*DY70/($K$5*1000))*MAX(MIN(DL70,$J$5),$I$5)*MAX(MIN(DL70,$J$5),$I$5)+$G$5*MAX(MIN(DL70,$J$5),$I$5)*(EF70*DY70/($K$5*1000))+$H$5*(EF70*DY70/($K$5*1000))*(EF70*DY70/($K$5*1000)))</f>
        <v>0</v>
      </c>
      <c r="S70">
        <f>J70*(1000-(1000*0.61365*exp(17.502*W70/(240.97+W70))/(DY70+DZ70)+DT70)/2)/(1000*0.61365*exp(17.502*W70/(240.97+W70))/(DY70+DZ70)-DT70)</f>
        <v>0</v>
      </c>
      <c r="T70">
        <f>1/((DM70+1)/(Q70/1.6)+1/(R70/1.37)) + DM70/((DM70+1)/(Q70/1.6) + DM70/(R70/1.37))</f>
        <v>0</v>
      </c>
      <c r="U70">
        <f>(DH70*DK70)</f>
        <v>0</v>
      </c>
      <c r="V70">
        <f>(EA70+(U70+2*0.95*5.67E-8*(((EA70+$B$7)+273)^4-(EA70+273)^4)-44100*J70)/(1.84*29.3*R70+8*0.95*5.67E-8*(EA70+273)^3))</f>
        <v>0</v>
      </c>
      <c r="W70">
        <f>($C$7*EB70+$D$7*EC70+$E$7*V70)</f>
        <v>0</v>
      </c>
      <c r="X70">
        <f>0.61365*exp(17.502*W70/(240.97+W70))</f>
        <v>0</v>
      </c>
      <c r="Y70">
        <f>(Z70/AA70*100)</f>
        <v>0</v>
      </c>
      <c r="Z70">
        <f>DT70*(DY70+DZ70)/1000</f>
        <v>0</v>
      </c>
      <c r="AA70">
        <f>0.61365*exp(17.502*EA70/(240.97+EA70))</f>
        <v>0</v>
      </c>
      <c r="AB70">
        <f>(X70-DT70*(DY70+DZ70)/1000)</f>
        <v>0</v>
      </c>
      <c r="AC70">
        <f>(-J70*44100)</f>
        <v>0</v>
      </c>
      <c r="AD70">
        <f>2*29.3*R70*0.92*(EA70-W70)</f>
        <v>0</v>
      </c>
      <c r="AE70">
        <f>2*0.95*5.67E-8*(((EA70+$B$7)+273)^4-(W70+273)^4)</f>
        <v>0</v>
      </c>
      <c r="AF70">
        <f>U70+AE70+AC70+AD70</f>
        <v>0</v>
      </c>
      <c r="AG70">
        <f>DX70*AU70*(DS70-DR70*(1000-AU70*DU70)/(1000-AU70*DT70))/(100*DL70)</f>
        <v>0</v>
      </c>
      <c r="AH70">
        <f>1000*DX70*AU70*(DT70-DU70)/(100*DL70*(1000-AU70*DT70))</f>
        <v>0</v>
      </c>
      <c r="AI70">
        <f>(AJ70 - AK70 - DY70*1E3/(8.314*(EA70+273.15)) * AM70/DX70 * AL70) * DX70/(100*DL70) * (1000 - DU70)/1000</f>
        <v>0</v>
      </c>
      <c r="AJ70">
        <v>305.40944337572</v>
      </c>
      <c r="AK70">
        <v>304.548103030303</v>
      </c>
      <c r="AL70">
        <v>5.66385086285223e-05</v>
      </c>
      <c r="AM70">
        <v>63.2687806082569</v>
      </c>
      <c r="AN70">
        <f>(AP70 - AO70 + DY70*1E3/(8.314*(EA70+273.15)) * AR70/DX70 * AQ70) * DX70/(100*DL70) * 1000/(1000 - AP70)</f>
        <v>0</v>
      </c>
      <c r="AO70">
        <v>17.6294958813681</v>
      </c>
      <c r="AP70">
        <v>18.05912</v>
      </c>
      <c r="AQ70">
        <v>-1.04049315117718e-05</v>
      </c>
      <c r="AR70">
        <v>108.325906314283</v>
      </c>
      <c r="AS70">
        <v>2</v>
      </c>
      <c r="AT70">
        <v>0</v>
      </c>
      <c r="AU70">
        <f>IF(AS70*$H$13&gt;=AW70,1.0,(AW70/(AW70-AS70*$H$13)))</f>
        <v>0</v>
      </c>
      <c r="AV70">
        <f>(AU70-1)*100</f>
        <v>0</v>
      </c>
      <c r="AW70">
        <f>MAX(0,($B$13+$C$13*EF70)/(1+$D$13*EF70)*DY70/(EA70+273)*$E$13)</f>
        <v>0</v>
      </c>
      <c r="AX70" t="s">
        <v>437</v>
      </c>
      <c r="AY70" t="s">
        <v>437</v>
      </c>
      <c r="AZ70">
        <v>0</v>
      </c>
      <c r="BA70">
        <v>0</v>
      </c>
      <c r="BB70">
        <f>1-AZ70/BA70</f>
        <v>0</v>
      </c>
      <c r="BC70">
        <v>0</v>
      </c>
      <c r="BD70" t="s">
        <v>437</v>
      </c>
      <c r="BE70" t="s">
        <v>437</v>
      </c>
      <c r="BF70">
        <v>0</v>
      </c>
      <c r="BG70">
        <v>0</v>
      </c>
      <c r="BH70">
        <f>1-BF70/BG70</f>
        <v>0</v>
      </c>
      <c r="BI70">
        <v>0.5</v>
      </c>
      <c r="BJ70">
        <f>DI70</f>
        <v>0</v>
      </c>
      <c r="BK70">
        <f>L70</f>
        <v>0</v>
      </c>
      <c r="BL70">
        <f>BH70*BI70*BJ70</f>
        <v>0</v>
      </c>
      <c r="BM70">
        <f>(BK70-BC70)/BJ70</f>
        <v>0</v>
      </c>
      <c r="BN70">
        <f>(BA70-BG70)/BG70</f>
        <v>0</v>
      </c>
      <c r="BO70">
        <f>AZ70/(BB70+AZ70/BG70)</f>
        <v>0</v>
      </c>
      <c r="BP70" t="s">
        <v>437</v>
      </c>
      <c r="BQ70">
        <v>0</v>
      </c>
      <c r="BR70">
        <f>IF(BQ70&lt;&gt;0, BQ70, BO70)</f>
        <v>0</v>
      </c>
      <c r="BS70">
        <f>1-BR70/BG70</f>
        <v>0</v>
      </c>
      <c r="BT70">
        <f>(BG70-BF70)/(BG70-BR70)</f>
        <v>0</v>
      </c>
      <c r="BU70">
        <f>(BA70-BG70)/(BA70-BR70)</f>
        <v>0</v>
      </c>
      <c r="BV70">
        <f>(BG70-BF70)/(BG70-AZ70)</f>
        <v>0</v>
      </c>
      <c r="BW70">
        <f>(BA70-BG70)/(BA70-AZ70)</f>
        <v>0</v>
      </c>
      <c r="BX70">
        <f>(BT70*BR70/BF70)</f>
        <v>0</v>
      </c>
      <c r="BY70">
        <f>(1-BX70)</f>
        <v>0</v>
      </c>
      <c r="DH70">
        <f>$B$11*EG70+$C$11*EH70+$F$11*ES70*(1-EV70)</f>
        <v>0</v>
      </c>
      <c r="DI70">
        <f>DH70*DJ70</f>
        <v>0</v>
      </c>
      <c r="DJ70">
        <f>($B$11*$D$9+$C$11*$D$9+$F$11*((FF70+EX70)/MAX(FF70+EX70+FG70, 0.1)*$I$9+FG70/MAX(FF70+EX70+FG70, 0.1)*$J$9))/($B$11+$C$11+$F$11)</f>
        <v>0</v>
      </c>
      <c r="DK70">
        <f>($B$11*$K$9+$C$11*$K$9+$F$11*((FF70+EX70)/MAX(FF70+EX70+FG70, 0.1)*$P$9+FG70/MAX(FF70+EX70+FG70, 0.1)*$Q$9))/($B$11+$C$11+$F$11)</f>
        <v>0</v>
      </c>
      <c r="DL70">
        <v>6</v>
      </c>
      <c r="DM70">
        <v>0.5</v>
      </c>
      <c r="DN70" t="s">
        <v>438</v>
      </c>
      <c r="DO70">
        <v>2</v>
      </c>
      <c r="DP70" t="b">
        <v>1</v>
      </c>
      <c r="DQ70">
        <v>1765307705.5</v>
      </c>
      <c r="DR70">
        <v>298.651625</v>
      </c>
      <c r="DS70">
        <v>299.996875</v>
      </c>
      <c r="DT70">
        <v>18.05403125</v>
      </c>
      <c r="DU70">
        <v>17.63194375</v>
      </c>
      <c r="DV70">
        <v>291.759625</v>
      </c>
      <c r="DW70">
        <v>17.93103125</v>
      </c>
      <c r="DX70">
        <v>499.9933125</v>
      </c>
      <c r="DY70">
        <v>89.80083125</v>
      </c>
      <c r="DZ70">
        <v>0.0999835375</v>
      </c>
      <c r="EA70">
        <v>25.32861875</v>
      </c>
      <c r="EB70">
        <v>25.00388125</v>
      </c>
      <c r="EC70">
        <v>999.9</v>
      </c>
      <c r="ED70">
        <v>0</v>
      </c>
      <c r="EE70">
        <v>0</v>
      </c>
      <c r="EF70">
        <v>10008.74875</v>
      </c>
      <c r="EG70">
        <v>0</v>
      </c>
      <c r="EH70">
        <v>13.8548</v>
      </c>
      <c r="EI70">
        <v>-0.913652625</v>
      </c>
      <c r="EJ70">
        <v>304.5845</v>
      </c>
      <c r="EK70">
        <v>305.3813125</v>
      </c>
      <c r="EL70">
        <v>0.429538625</v>
      </c>
      <c r="EM70">
        <v>299.996875</v>
      </c>
      <c r="EN70">
        <v>17.63194375</v>
      </c>
      <c r="EO70">
        <v>1.621936875</v>
      </c>
      <c r="EP70">
        <v>1.5833625</v>
      </c>
      <c r="EQ70">
        <v>14.1687875</v>
      </c>
      <c r="ER70">
        <v>13.7978375</v>
      </c>
      <c r="ES70">
        <v>800.012</v>
      </c>
      <c r="ET70">
        <v>0.949993</v>
      </c>
      <c r="EU70">
        <v>0.050007</v>
      </c>
      <c r="EV70">
        <v>0</v>
      </c>
      <c r="EW70">
        <v>888.321625</v>
      </c>
      <c r="EX70">
        <v>5.00016</v>
      </c>
      <c r="EY70">
        <v>6875.843125</v>
      </c>
      <c r="EZ70">
        <v>7194.769375</v>
      </c>
      <c r="FA70">
        <v>40.062</v>
      </c>
      <c r="FB70">
        <v>42.687</v>
      </c>
      <c r="FC70">
        <v>41.562</v>
      </c>
      <c r="FD70">
        <v>42.687</v>
      </c>
      <c r="FE70">
        <v>42.7460625</v>
      </c>
      <c r="FF70">
        <v>755.255</v>
      </c>
      <c r="FG70">
        <v>39.76</v>
      </c>
      <c r="FH70">
        <v>0</v>
      </c>
      <c r="FI70">
        <v>1765307714.5</v>
      </c>
      <c r="FJ70">
        <v>0</v>
      </c>
      <c r="FK70">
        <v>888.304</v>
      </c>
      <c r="FL70">
        <v>-0.100512823742961</v>
      </c>
      <c r="FM70">
        <v>-4.7500854591125</v>
      </c>
      <c r="FN70">
        <v>6875.73</v>
      </c>
      <c r="FO70">
        <v>15</v>
      </c>
      <c r="FP70">
        <v>1765307739</v>
      </c>
      <c r="FQ70" t="s">
        <v>607</v>
      </c>
      <c r="FR70">
        <v>1765307739</v>
      </c>
      <c r="FS70">
        <v>1765307734</v>
      </c>
      <c r="FT70">
        <v>54</v>
      </c>
      <c r="FU70">
        <v>-0.437</v>
      </c>
      <c r="FV70">
        <v>-0</v>
      </c>
      <c r="FW70">
        <v>6.892</v>
      </c>
      <c r="FX70">
        <v>0.123</v>
      </c>
      <c r="FY70">
        <v>300</v>
      </c>
      <c r="FZ70">
        <v>18</v>
      </c>
      <c r="GA70">
        <v>0.41</v>
      </c>
      <c r="GB70">
        <v>0.09</v>
      </c>
      <c r="GC70">
        <v>-0.887307476190476</v>
      </c>
      <c r="GD70">
        <v>-0.482803870129871</v>
      </c>
      <c r="GE70">
        <v>0.0609350821547146</v>
      </c>
      <c r="GF70">
        <v>1</v>
      </c>
      <c r="GG70">
        <v>888.314647058824</v>
      </c>
      <c r="GH70">
        <v>-0.283697482790373</v>
      </c>
      <c r="GI70">
        <v>0.150062708921962</v>
      </c>
      <c r="GJ70">
        <v>-1</v>
      </c>
      <c r="GK70">
        <v>0.428226142857143</v>
      </c>
      <c r="GL70">
        <v>0.0156588311688311</v>
      </c>
      <c r="GM70">
        <v>0.0025049368452397</v>
      </c>
      <c r="GN70">
        <v>1</v>
      </c>
      <c r="GO70">
        <v>2</v>
      </c>
      <c r="GP70">
        <v>2</v>
      </c>
      <c r="GQ70" t="s">
        <v>440</v>
      </c>
      <c r="GR70">
        <v>3.12475</v>
      </c>
      <c r="GS70">
        <v>2.72545</v>
      </c>
      <c r="GT70">
        <v>0.0670236</v>
      </c>
      <c r="GU70">
        <v>0.068579</v>
      </c>
      <c r="GV70">
        <v>0.0828369</v>
      </c>
      <c r="GW70">
        <v>0.0814901</v>
      </c>
      <c r="GX70">
        <v>24566.8</v>
      </c>
      <c r="GY70">
        <v>22763.1</v>
      </c>
      <c r="GZ70">
        <v>23542.1</v>
      </c>
      <c r="HA70">
        <v>23790.1</v>
      </c>
      <c r="HB70">
        <v>36771.3</v>
      </c>
      <c r="HC70">
        <v>36133.9</v>
      </c>
      <c r="HD70">
        <v>42409.1</v>
      </c>
      <c r="HE70">
        <v>42381.8</v>
      </c>
      <c r="HF70">
        <v>1.91823</v>
      </c>
      <c r="HG70">
        <v>1.8327</v>
      </c>
      <c r="HH70">
        <v>0.0908747</v>
      </c>
      <c r="HI70">
        <v>0</v>
      </c>
      <c r="HJ70">
        <v>23.5067</v>
      </c>
      <c r="HK70">
        <v>999.9</v>
      </c>
      <c r="HL70">
        <v>45.678</v>
      </c>
      <c r="HM70">
        <v>29.557</v>
      </c>
      <c r="HN70">
        <v>21.1268</v>
      </c>
      <c r="HO70">
        <v>55.0076</v>
      </c>
      <c r="HP70">
        <v>46.3742</v>
      </c>
      <c r="HQ70">
        <v>1</v>
      </c>
      <c r="HR70">
        <v>-0.0646113</v>
      </c>
      <c r="HS70">
        <v>1.31335</v>
      </c>
      <c r="HT70">
        <v>20.2264</v>
      </c>
      <c r="HU70">
        <v>5.23451</v>
      </c>
      <c r="HV70">
        <v>11.992</v>
      </c>
      <c r="HW70">
        <v>4.9562</v>
      </c>
      <c r="HX70">
        <v>3.304</v>
      </c>
      <c r="HY70">
        <v>999.9</v>
      </c>
      <c r="HZ70">
        <v>9999</v>
      </c>
      <c r="IA70">
        <v>9999</v>
      </c>
      <c r="IB70">
        <v>9999</v>
      </c>
      <c r="IC70">
        <v>1.86863</v>
      </c>
      <c r="ID70">
        <v>1.86441</v>
      </c>
      <c r="IE70">
        <v>1.87195</v>
      </c>
      <c r="IF70">
        <v>1.86294</v>
      </c>
      <c r="IG70">
        <v>1.86234</v>
      </c>
      <c r="IH70">
        <v>1.86874</v>
      </c>
      <c r="II70">
        <v>1.85892</v>
      </c>
      <c r="IJ70">
        <v>1.86523</v>
      </c>
      <c r="IK70">
        <v>5</v>
      </c>
      <c r="IL70">
        <v>0</v>
      </c>
      <c r="IM70">
        <v>0</v>
      </c>
      <c r="IN70">
        <v>0</v>
      </c>
      <c r="IO70" t="s">
        <v>441</v>
      </c>
      <c r="IP70" t="s">
        <v>442</v>
      </c>
      <c r="IQ70" t="s">
        <v>443</v>
      </c>
      <c r="IR70" t="s">
        <v>443</v>
      </c>
      <c r="IS70" t="s">
        <v>443</v>
      </c>
      <c r="IT70" t="s">
        <v>443</v>
      </c>
      <c r="IU70">
        <v>0</v>
      </c>
      <c r="IV70">
        <v>100</v>
      </c>
      <c r="IW70">
        <v>100</v>
      </c>
      <c r="IX70">
        <v>6.892</v>
      </c>
      <c r="IY70">
        <v>0.123</v>
      </c>
      <c r="IZ70">
        <v>5.74953778217596</v>
      </c>
      <c r="JA70">
        <v>0.0062698613543794</v>
      </c>
      <c r="JB70">
        <v>-3.23243345529816e-06</v>
      </c>
      <c r="JC70">
        <v>8.00506428382295e-10</v>
      </c>
      <c r="JD70">
        <v>-0.0322404699280292</v>
      </c>
      <c r="JE70">
        <v>-0.0018464610107002</v>
      </c>
      <c r="JF70">
        <v>0.000796540623429801</v>
      </c>
      <c r="JG70">
        <v>-1.04619914107352e-05</v>
      </c>
      <c r="JH70">
        <v>-0</v>
      </c>
      <c r="JI70">
        <v>2101</v>
      </c>
      <c r="JJ70">
        <v>1</v>
      </c>
      <c r="JK70">
        <v>23</v>
      </c>
      <c r="JL70">
        <v>1.2</v>
      </c>
      <c r="JM70">
        <v>1.2</v>
      </c>
      <c r="JN70">
        <v>0.808105</v>
      </c>
      <c r="JO70">
        <v>2.35962</v>
      </c>
      <c r="JP70">
        <v>1.4978</v>
      </c>
      <c r="JQ70">
        <v>2.33276</v>
      </c>
      <c r="JR70">
        <v>1.54419</v>
      </c>
      <c r="JS70">
        <v>2.37183</v>
      </c>
      <c r="JT70">
        <v>35.4986</v>
      </c>
      <c r="JU70">
        <v>24.3502</v>
      </c>
      <c r="JV70">
        <v>18</v>
      </c>
      <c r="JW70">
        <v>543.562</v>
      </c>
      <c r="JX70">
        <v>432.203</v>
      </c>
      <c r="JY70">
        <v>22.0827</v>
      </c>
      <c r="JZ70">
        <v>26.6364</v>
      </c>
      <c r="KA70">
        <v>29.9999</v>
      </c>
      <c r="KB70">
        <v>26.6492</v>
      </c>
      <c r="KC70">
        <v>26.6756</v>
      </c>
      <c r="KD70">
        <v>16.2112</v>
      </c>
      <c r="KE70">
        <v>27.7406</v>
      </c>
      <c r="KF70">
        <v>84.8864</v>
      </c>
      <c r="KG70">
        <v>22.0281</v>
      </c>
      <c r="KH70">
        <v>300</v>
      </c>
      <c r="KI70">
        <v>17.6566</v>
      </c>
      <c r="KJ70">
        <v>95.0766</v>
      </c>
      <c r="KK70">
        <v>98.8095</v>
      </c>
    </row>
    <row r="71" spans="1:297">
      <c r="A71">
        <v>55</v>
      </c>
      <c r="B71">
        <v>1765307814</v>
      </c>
      <c r="C71">
        <v>9865</v>
      </c>
      <c r="D71" t="s">
        <v>608</v>
      </c>
      <c r="E71" t="s">
        <v>609</v>
      </c>
      <c r="F71">
        <v>5</v>
      </c>
      <c r="G71" t="s">
        <v>603</v>
      </c>
      <c r="H71" t="s">
        <v>436</v>
      </c>
      <c r="I71">
        <v>1765307805.5</v>
      </c>
      <c r="J71">
        <f>(K71)/1000</f>
        <v>0</v>
      </c>
      <c r="K71">
        <f>IF(DP71, AN71, AH71)</f>
        <v>0</v>
      </c>
      <c r="L71">
        <f>IF(DP71, AI71, AG71)</f>
        <v>0</v>
      </c>
      <c r="M71">
        <f>DR71 - IF(AU71&gt;1, L71*DL71*100.0/(AW71), 0)</f>
        <v>0</v>
      </c>
      <c r="N71">
        <f>((T71-J71/2)*M71-L71)/(T71+J71/2)</f>
        <v>0</v>
      </c>
      <c r="O71">
        <f>N71*(DY71+DZ71)/1000.0</f>
        <v>0</v>
      </c>
      <c r="P71">
        <f>(DR71 - IF(AU71&gt;1, L71*DL71*100.0/(AW71), 0))*(DY71+DZ71)/1000.0</f>
        <v>0</v>
      </c>
      <c r="Q71">
        <f>2.0/((1/S71-1/R71)+SIGN(S71)*SQRT((1/S71-1/R71)*(1/S71-1/R71) + 4*DM71/((DM71+1)*(DM71+1))*(2*1/S71*1/R71-1/R71*1/R71)))</f>
        <v>0</v>
      </c>
      <c r="R71">
        <f>IF(LEFT(DN71,1)&lt;&gt;"0",IF(LEFT(DN71,1)="1",3.0,DO71),$D$5+$E$5*(EF71*DY71/($K$5*1000))+$F$5*(EF71*DY71/($K$5*1000))*MAX(MIN(DL71,$J$5),$I$5)*MAX(MIN(DL71,$J$5),$I$5)+$G$5*MAX(MIN(DL71,$J$5),$I$5)*(EF71*DY71/($K$5*1000))+$H$5*(EF71*DY71/($K$5*1000))*(EF71*DY71/($K$5*1000)))</f>
        <v>0</v>
      </c>
      <c r="S71">
        <f>J71*(1000-(1000*0.61365*exp(17.502*W71/(240.97+W71))/(DY71+DZ71)+DT71)/2)/(1000*0.61365*exp(17.502*W71/(240.97+W71))/(DY71+DZ71)-DT71)</f>
        <v>0</v>
      </c>
      <c r="T71">
        <f>1/((DM71+1)/(Q71/1.6)+1/(R71/1.37)) + DM71/((DM71+1)/(Q71/1.6) + DM71/(R71/1.37))</f>
        <v>0</v>
      </c>
      <c r="U71">
        <f>(DH71*DK71)</f>
        <v>0</v>
      </c>
      <c r="V71">
        <f>(EA71+(U71+2*0.95*5.67E-8*(((EA71+$B$7)+273)^4-(EA71+273)^4)-44100*J71)/(1.84*29.3*R71+8*0.95*5.67E-8*(EA71+273)^3))</f>
        <v>0</v>
      </c>
      <c r="W71">
        <f>($C$7*EB71+$D$7*EC71+$E$7*V71)</f>
        <v>0</v>
      </c>
      <c r="X71">
        <f>0.61365*exp(17.502*W71/(240.97+W71))</f>
        <v>0</v>
      </c>
      <c r="Y71">
        <f>(Z71/AA71*100)</f>
        <v>0</v>
      </c>
      <c r="Z71">
        <f>DT71*(DY71+DZ71)/1000</f>
        <v>0</v>
      </c>
      <c r="AA71">
        <f>0.61365*exp(17.502*EA71/(240.97+EA71))</f>
        <v>0</v>
      </c>
      <c r="AB71">
        <f>(X71-DT71*(DY71+DZ71)/1000)</f>
        <v>0</v>
      </c>
      <c r="AC71">
        <f>(-J71*44100)</f>
        <v>0</v>
      </c>
      <c r="AD71">
        <f>2*29.3*R71*0.92*(EA71-W71)</f>
        <v>0</v>
      </c>
      <c r="AE71">
        <f>2*0.95*5.67E-8*(((EA71+$B$7)+273)^4-(W71+273)^4)</f>
        <v>0</v>
      </c>
      <c r="AF71">
        <f>U71+AE71+AC71+AD71</f>
        <v>0</v>
      </c>
      <c r="AG71">
        <f>DX71*AU71*(DS71-DR71*(1000-AU71*DU71)/(1000-AU71*DT71))/(100*DL71)</f>
        <v>0</v>
      </c>
      <c r="AH71">
        <f>1000*DX71*AU71*(DT71-DU71)/(100*DL71*(1000-AU71*DT71))</f>
        <v>0</v>
      </c>
      <c r="AI71">
        <f>(AJ71 - AK71 - DY71*1E3/(8.314*(EA71+273.15)) * AM71/DX71 * AL71) * DX71/(100*DL71) * (1000 - DU71)/1000</f>
        <v>0</v>
      </c>
      <c r="AJ71">
        <v>203.5979721066</v>
      </c>
      <c r="AK71">
        <v>203.154890909091</v>
      </c>
      <c r="AL71">
        <v>0.00115163007040378</v>
      </c>
      <c r="AM71">
        <v>63.4903166580461</v>
      </c>
      <c r="AN71">
        <f>(AP71 - AO71 + DY71*1E3/(8.314*(EA71+273.15)) * AR71/DX71 * AQ71) * DX71/(100*DL71) * 1000/(1000 - AP71)</f>
        <v>0</v>
      </c>
      <c r="AO71">
        <v>17.6446788131815</v>
      </c>
      <c r="AP71">
        <v>18.0738939393939</v>
      </c>
      <c r="AQ71">
        <v>-3.29229560447566e-05</v>
      </c>
      <c r="AR71">
        <v>106.969080168873</v>
      </c>
      <c r="AS71">
        <v>2</v>
      </c>
      <c r="AT71">
        <v>0</v>
      </c>
      <c r="AU71">
        <f>IF(AS71*$H$13&gt;=AW71,1.0,(AW71/(AW71-AS71*$H$13)))</f>
        <v>0</v>
      </c>
      <c r="AV71">
        <f>(AU71-1)*100</f>
        <v>0</v>
      </c>
      <c r="AW71">
        <f>MAX(0,($B$13+$C$13*EF71)/(1+$D$13*EF71)*DY71/(EA71+273)*$E$13)</f>
        <v>0</v>
      </c>
      <c r="AX71" t="s">
        <v>437</v>
      </c>
      <c r="AY71" t="s">
        <v>437</v>
      </c>
      <c r="AZ71">
        <v>0</v>
      </c>
      <c r="BA71">
        <v>0</v>
      </c>
      <c r="BB71">
        <f>1-AZ71/BA71</f>
        <v>0</v>
      </c>
      <c r="BC71">
        <v>0</v>
      </c>
      <c r="BD71" t="s">
        <v>437</v>
      </c>
      <c r="BE71" t="s">
        <v>437</v>
      </c>
      <c r="BF71">
        <v>0</v>
      </c>
      <c r="BG71">
        <v>0</v>
      </c>
      <c r="BH71">
        <f>1-BF71/BG71</f>
        <v>0</v>
      </c>
      <c r="BI71">
        <v>0.5</v>
      </c>
      <c r="BJ71">
        <f>DI71</f>
        <v>0</v>
      </c>
      <c r="BK71">
        <f>L71</f>
        <v>0</v>
      </c>
      <c r="BL71">
        <f>BH71*BI71*BJ71</f>
        <v>0</v>
      </c>
      <c r="BM71">
        <f>(BK71-BC71)/BJ71</f>
        <v>0</v>
      </c>
      <c r="BN71">
        <f>(BA71-BG71)/BG71</f>
        <v>0</v>
      </c>
      <c r="BO71">
        <f>AZ71/(BB71+AZ71/BG71)</f>
        <v>0</v>
      </c>
      <c r="BP71" t="s">
        <v>437</v>
      </c>
      <c r="BQ71">
        <v>0</v>
      </c>
      <c r="BR71">
        <f>IF(BQ71&lt;&gt;0, BQ71, BO71)</f>
        <v>0</v>
      </c>
      <c r="BS71">
        <f>1-BR71/BG71</f>
        <v>0</v>
      </c>
      <c r="BT71">
        <f>(BG71-BF71)/(BG71-BR71)</f>
        <v>0</v>
      </c>
      <c r="BU71">
        <f>(BA71-BG71)/(BA71-BR71)</f>
        <v>0</v>
      </c>
      <c r="BV71">
        <f>(BG71-BF71)/(BG71-AZ71)</f>
        <v>0</v>
      </c>
      <c r="BW71">
        <f>(BA71-BG71)/(BA71-AZ71)</f>
        <v>0</v>
      </c>
      <c r="BX71">
        <f>(BT71*BR71/BF71)</f>
        <v>0</v>
      </c>
      <c r="BY71">
        <f>(1-BX71)</f>
        <v>0</v>
      </c>
      <c r="DH71">
        <f>$B$11*EG71+$C$11*EH71+$F$11*ES71*(1-EV71)</f>
        <v>0</v>
      </c>
      <c r="DI71">
        <f>DH71*DJ71</f>
        <v>0</v>
      </c>
      <c r="DJ71">
        <f>($B$11*$D$9+$C$11*$D$9+$F$11*((FF71+EX71)/MAX(FF71+EX71+FG71, 0.1)*$I$9+FG71/MAX(FF71+EX71+FG71, 0.1)*$J$9))/($B$11+$C$11+$F$11)</f>
        <v>0</v>
      </c>
      <c r="DK71">
        <f>($B$11*$K$9+$C$11*$K$9+$F$11*((FF71+EX71)/MAX(FF71+EX71+FG71, 0.1)*$P$9+FG71/MAX(FF71+EX71+FG71, 0.1)*$Q$9))/($B$11+$C$11+$F$11)</f>
        <v>0</v>
      </c>
      <c r="DL71">
        <v>6</v>
      </c>
      <c r="DM71">
        <v>0.5</v>
      </c>
      <c r="DN71" t="s">
        <v>438</v>
      </c>
      <c r="DO71">
        <v>2</v>
      </c>
      <c r="DP71" t="b">
        <v>1</v>
      </c>
      <c r="DQ71">
        <v>1765307805.5</v>
      </c>
      <c r="DR71">
        <v>199.287375</v>
      </c>
      <c r="DS71">
        <v>200.0064375</v>
      </c>
      <c r="DT71">
        <v>18.06963125</v>
      </c>
      <c r="DU71">
        <v>17.64779375</v>
      </c>
      <c r="DV71">
        <v>193.081375</v>
      </c>
      <c r="DW71">
        <v>17.94763125</v>
      </c>
      <c r="DX71">
        <v>500.0094375</v>
      </c>
      <c r="DY71">
        <v>89.7980125</v>
      </c>
      <c r="DZ71">
        <v>0.09998476875</v>
      </c>
      <c r="EA71">
        <v>25.3244125</v>
      </c>
      <c r="EB71">
        <v>24.98714375</v>
      </c>
      <c r="EC71">
        <v>999.9</v>
      </c>
      <c r="ED71">
        <v>0</v>
      </c>
      <c r="EE71">
        <v>0</v>
      </c>
      <c r="EF71">
        <v>10001.60375</v>
      </c>
      <c r="EG71">
        <v>0</v>
      </c>
      <c r="EH71">
        <v>13.8548</v>
      </c>
      <c r="EI71">
        <v>-0.5172215</v>
      </c>
      <c r="EJ71">
        <v>203.162</v>
      </c>
      <c r="EK71">
        <v>203.599625</v>
      </c>
      <c r="EL71">
        <v>0.4304111875</v>
      </c>
      <c r="EM71">
        <v>200.0064375</v>
      </c>
      <c r="EN71">
        <v>17.64779375</v>
      </c>
      <c r="EO71">
        <v>1.62338625</v>
      </c>
      <c r="EP71">
        <v>1.58473625</v>
      </c>
      <c r="EQ71">
        <v>14.1826125</v>
      </c>
      <c r="ER71">
        <v>13.81118125</v>
      </c>
      <c r="ES71">
        <v>800.0000625</v>
      </c>
      <c r="ET71">
        <v>0.94999075</v>
      </c>
      <c r="EU71">
        <v>0.05000925</v>
      </c>
      <c r="EV71">
        <v>0</v>
      </c>
      <c r="EW71">
        <v>889.311375</v>
      </c>
      <c r="EX71">
        <v>5.00016</v>
      </c>
      <c r="EY71">
        <v>6881.381875</v>
      </c>
      <c r="EZ71">
        <v>7194.655</v>
      </c>
      <c r="FA71">
        <v>40</v>
      </c>
      <c r="FB71">
        <v>42.625</v>
      </c>
      <c r="FC71">
        <v>41.5</v>
      </c>
      <c r="FD71">
        <v>42.625</v>
      </c>
      <c r="FE71">
        <v>42.687</v>
      </c>
      <c r="FF71">
        <v>755.243125</v>
      </c>
      <c r="FG71">
        <v>39.76</v>
      </c>
      <c r="FH71">
        <v>0</v>
      </c>
      <c r="FI71">
        <v>1765307814.7</v>
      </c>
      <c r="FJ71">
        <v>0</v>
      </c>
      <c r="FK71">
        <v>889.33548</v>
      </c>
      <c r="FL71">
        <v>-0.0401538376011783</v>
      </c>
      <c r="FM71">
        <v>5.61076923975134</v>
      </c>
      <c r="FN71">
        <v>6881.416</v>
      </c>
      <c r="FO71">
        <v>15</v>
      </c>
      <c r="FP71">
        <v>1765307834</v>
      </c>
      <c r="FQ71" t="s">
        <v>610</v>
      </c>
      <c r="FR71">
        <v>1765307832</v>
      </c>
      <c r="FS71">
        <v>1765307834</v>
      </c>
      <c r="FT71">
        <v>55</v>
      </c>
      <c r="FU71">
        <v>-0.206</v>
      </c>
      <c r="FV71">
        <v>-0.001</v>
      </c>
      <c r="FW71">
        <v>6.206</v>
      </c>
      <c r="FX71">
        <v>0.122</v>
      </c>
      <c r="FY71">
        <v>200</v>
      </c>
      <c r="FZ71">
        <v>18</v>
      </c>
      <c r="GA71">
        <v>0.36</v>
      </c>
      <c r="GB71">
        <v>0.19</v>
      </c>
      <c r="GC71">
        <v>-0.491830047619048</v>
      </c>
      <c r="GD71">
        <v>-0.453846623376624</v>
      </c>
      <c r="GE71">
        <v>0.0566665543848828</v>
      </c>
      <c r="GF71">
        <v>1</v>
      </c>
      <c r="GG71">
        <v>889.351941176471</v>
      </c>
      <c r="GH71">
        <v>-0.639511075466847</v>
      </c>
      <c r="GI71">
        <v>0.170808103743632</v>
      </c>
      <c r="GJ71">
        <v>-1</v>
      </c>
      <c r="GK71">
        <v>0.430358</v>
      </c>
      <c r="GL71">
        <v>-0.000845922077922634</v>
      </c>
      <c r="GM71">
        <v>0.000768830218424005</v>
      </c>
      <c r="GN71">
        <v>1</v>
      </c>
      <c r="GO71">
        <v>2</v>
      </c>
      <c r="GP71">
        <v>2</v>
      </c>
      <c r="GQ71" t="s">
        <v>440</v>
      </c>
      <c r="GR71">
        <v>3.12482</v>
      </c>
      <c r="GS71">
        <v>2.72615</v>
      </c>
      <c r="GT71">
        <v>0.0470285</v>
      </c>
      <c r="GU71">
        <v>0.048556</v>
      </c>
      <c r="GV71">
        <v>0.0828986</v>
      </c>
      <c r="GW71">
        <v>0.0815503</v>
      </c>
      <c r="GX71">
        <v>25095.8</v>
      </c>
      <c r="GY71">
        <v>23255.9</v>
      </c>
      <c r="GZ71">
        <v>23544.3</v>
      </c>
      <c r="HA71">
        <v>23793.5</v>
      </c>
      <c r="HB71">
        <v>36769.9</v>
      </c>
      <c r="HC71">
        <v>36134.5</v>
      </c>
      <c r="HD71">
        <v>42412.3</v>
      </c>
      <c r="HE71">
        <v>42387</v>
      </c>
      <c r="HF71">
        <v>1.91955</v>
      </c>
      <c r="HG71">
        <v>1.83337</v>
      </c>
      <c r="HH71">
        <v>0.0911728</v>
      </c>
      <c r="HI71">
        <v>0</v>
      </c>
      <c r="HJ71">
        <v>23.4905</v>
      </c>
      <c r="HK71">
        <v>999.9</v>
      </c>
      <c r="HL71">
        <v>45.678</v>
      </c>
      <c r="HM71">
        <v>29.527</v>
      </c>
      <c r="HN71">
        <v>21.0913</v>
      </c>
      <c r="HO71">
        <v>54.7276</v>
      </c>
      <c r="HP71">
        <v>46.1659</v>
      </c>
      <c r="HQ71">
        <v>1</v>
      </c>
      <c r="HR71">
        <v>-0.0695427</v>
      </c>
      <c r="HS71">
        <v>1.05017</v>
      </c>
      <c r="HT71">
        <v>20.2285</v>
      </c>
      <c r="HU71">
        <v>5.23436</v>
      </c>
      <c r="HV71">
        <v>11.992</v>
      </c>
      <c r="HW71">
        <v>4.9562</v>
      </c>
      <c r="HX71">
        <v>3.304</v>
      </c>
      <c r="HY71">
        <v>999.9</v>
      </c>
      <c r="HZ71">
        <v>9999</v>
      </c>
      <c r="IA71">
        <v>9999</v>
      </c>
      <c r="IB71">
        <v>9999</v>
      </c>
      <c r="IC71">
        <v>1.86864</v>
      </c>
      <c r="ID71">
        <v>1.86443</v>
      </c>
      <c r="IE71">
        <v>1.87196</v>
      </c>
      <c r="IF71">
        <v>1.86293</v>
      </c>
      <c r="IG71">
        <v>1.86234</v>
      </c>
      <c r="IH71">
        <v>1.86873</v>
      </c>
      <c r="II71">
        <v>1.85889</v>
      </c>
      <c r="IJ71">
        <v>1.86524</v>
      </c>
      <c r="IK71">
        <v>5</v>
      </c>
      <c r="IL71">
        <v>0</v>
      </c>
      <c r="IM71">
        <v>0</v>
      </c>
      <c r="IN71">
        <v>0</v>
      </c>
      <c r="IO71" t="s">
        <v>441</v>
      </c>
      <c r="IP71" t="s">
        <v>442</v>
      </c>
      <c r="IQ71" t="s">
        <v>443</v>
      </c>
      <c r="IR71" t="s">
        <v>443</v>
      </c>
      <c r="IS71" t="s">
        <v>443</v>
      </c>
      <c r="IT71" t="s">
        <v>443</v>
      </c>
      <c r="IU71">
        <v>0</v>
      </c>
      <c r="IV71">
        <v>100</v>
      </c>
      <c r="IW71">
        <v>100</v>
      </c>
      <c r="IX71">
        <v>6.206</v>
      </c>
      <c r="IY71">
        <v>0.122</v>
      </c>
      <c r="IZ71">
        <v>5.31206220135173</v>
      </c>
      <c r="JA71">
        <v>0.0062698613543794</v>
      </c>
      <c r="JB71">
        <v>-3.23243345529816e-06</v>
      </c>
      <c r="JC71">
        <v>8.00506428382295e-10</v>
      </c>
      <c r="JD71">
        <v>-0.0323939538071745</v>
      </c>
      <c r="JE71">
        <v>-0.0018464610107002</v>
      </c>
      <c r="JF71">
        <v>0.000796540623429801</v>
      </c>
      <c r="JG71">
        <v>-1.04619914107352e-05</v>
      </c>
      <c r="JH71">
        <v>-0</v>
      </c>
      <c r="JI71">
        <v>2101</v>
      </c>
      <c r="JJ71">
        <v>1</v>
      </c>
      <c r="JK71">
        <v>23</v>
      </c>
      <c r="JL71">
        <v>1.2</v>
      </c>
      <c r="JM71">
        <v>1.3</v>
      </c>
      <c r="JN71">
        <v>0.595703</v>
      </c>
      <c r="JO71">
        <v>2.38159</v>
      </c>
      <c r="JP71">
        <v>1.4978</v>
      </c>
      <c r="JQ71">
        <v>2.33276</v>
      </c>
      <c r="JR71">
        <v>1.54419</v>
      </c>
      <c r="JS71">
        <v>2.34741</v>
      </c>
      <c r="JT71">
        <v>35.4523</v>
      </c>
      <c r="JU71">
        <v>24.3502</v>
      </c>
      <c r="JV71">
        <v>18</v>
      </c>
      <c r="JW71">
        <v>544.012</v>
      </c>
      <c r="JX71">
        <v>432.253</v>
      </c>
      <c r="JY71">
        <v>22.0283</v>
      </c>
      <c r="JZ71">
        <v>26.5791</v>
      </c>
      <c r="KA71">
        <v>29.9999</v>
      </c>
      <c r="KB71">
        <v>26.6032</v>
      </c>
      <c r="KC71">
        <v>26.6304</v>
      </c>
      <c r="KD71">
        <v>11.9692</v>
      </c>
      <c r="KE71">
        <v>27.3479</v>
      </c>
      <c r="KF71">
        <v>84.8864</v>
      </c>
      <c r="KG71">
        <v>22.0461</v>
      </c>
      <c r="KH71">
        <v>200</v>
      </c>
      <c r="KI71">
        <v>17.5993</v>
      </c>
      <c r="KJ71">
        <v>95.0843</v>
      </c>
      <c r="KK71">
        <v>98.8223</v>
      </c>
    </row>
    <row r="72" spans="1:297">
      <c r="A72">
        <v>56</v>
      </c>
      <c r="B72">
        <v>1765307913.1</v>
      </c>
      <c r="C72">
        <v>9964.09999990463</v>
      </c>
      <c r="D72" t="s">
        <v>611</v>
      </c>
      <c r="E72" t="s">
        <v>612</v>
      </c>
      <c r="F72">
        <v>5</v>
      </c>
      <c r="G72" t="s">
        <v>603</v>
      </c>
      <c r="H72" t="s">
        <v>436</v>
      </c>
      <c r="I72">
        <v>1765307904.6</v>
      </c>
      <c r="J72">
        <f>(K72)/1000</f>
        <v>0</v>
      </c>
      <c r="K72">
        <f>IF(DP72, AN72, AH72)</f>
        <v>0</v>
      </c>
      <c r="L72">
        <f>IF(DP72, AI72, AG72)</f>
        <v>0</v>
      </c>
      <c r="M72">
        <f>DR72 - IF(AU72&gt;1, L72*DL72*100.0/(AW72), 0)</f>
        <v>0</v>
      </c>
      <c r="N72">
        <f>((T72-J72/2)*M72-L72)/(T72+J72/2)</f>
        <v>0</v>
      </c>
      <c r="O72">
        <f>N72*(DY72+DZ72)/1000.0</f>
        <v>0</v>
      </c>
      <c r="P72">
        <f>(DR72 - IF(AU72&gt;1, L72*DL72*100.0/(AW72), 0))*(DY72+DZ72)/1000.0</f>
        <v>0</v>
      </c>
      <c r="Q72">
        <f>2.0/((1/S72-1/R72)+SIGN(S72)*SQRT((1/S72-1/R72)*(1/S72-1/R72) + 4*DM72/((DM72+1)*(DM72+1))*(2*1/S72*1/R72-1/R72*1/R72)))</f>
        <v>0</v>
      </c>
      <c r="R72">
        <f>IF(LEFT(DN72,1)&lt;&gt;"0",IF(LEFT(DN72,1)="1",3.0,DO72),$D$5+$E$5*(EF72*DY72/($K$5*1000))+$F$5*(EF72*DY72/($K$5*1000))*MAX(MIN(DL72,$J$5),$I$5)*MAX(MIN(DL72,$J$5),$I$5)+$G$5*MAX(MIN(DL72,$J$5),$I$5)*(EF72*DY72/($K$5*1000))+$H$5*(EF72*DY72/($K$5*1000))*(EF72*DY72/($K$5*1000)))</f>
        <v>0</v>
      </c>
      <c r="S72">
        <f>J72*(1000-(1000*0.61365*exp(17.502*W72/(240.97+W72))/(DY72+DZ72)+DT72)/2)/(1000*0.61365*exp(17.502*W72/(240.97+W72))/(DY72+DZ72)-DT72)</f>
        <v>0</v>
      </c>
      <c r="T72">
        <f>1/((DM72+1)/(Q72/1.6)+1/(R72/1.37)) + DM72/((DM72+1)/(Q72/1.6) + DM72/(R72/1.37))</f>
        <v>0</v>
      </c>
      <c r="U72">
        <f>(DH72*DK72)</f>
        <v>0</v>
      </c>
      <c r="V72">
        <f>(EA72+(U72+2*0.95*5.67E-8*(((EA72+$B$7)+273)^4-(EA72+273)^4)-44100*J72)/(1.84*29.3*R72+8*0.95*5.67E-8*(EA72+273)^3))</f>
        <v>0</v>
      </c>
      <c r="W72">
        <f>($C$7*EB72+$D$7*EC72+$E$7*V72)</f>
        <v>0</v>
      </c>
      <c r="X72">
        <f>0.61365*exp(17.502*W72/(240.97+W72))</f>
        <v>0</v>
      </c>
      <c r="Y72">
        <f>(Z72/AA72*100)</f>
        <v>0</v>
      </c>
      <c r="Z72">
        <f>DT72*(DY72+DZ72)/1000</f>
        <v>0</v>
      </c>
      <c r="AA72">
        <f>0.61365*exp(17.502*EA72/(240.97+EA72))</f>
        <v>0</v>
      </c>
      <c r="AB72">
        <f>(X72-DT72*(DY72+DZ72)/1000)</f>
        <v>0</v>
      </c>
      <c r="AC72">
        <f>(-J72*44100)</f>
        <v>0</v>
      </c>
      <c r="AD72">
        <f>2*29.3*R72*0.92*(EA72-W72)</f>
        <v>0</v>
      </c>
      <c r="AE72">
        <f>2*0.95*5.67E-8*(((EA72+$B$7)+273)^4-(W72+273)^4)</f>
        <v>0</v>
      </c>
      <c r="AF72">
        <f>U72+AE72+AC72+AD72</f>
        <v>0</v>
      </c>
      <c r="AG72">
        <f>DX72*AU72*(DS72-DR72*(1000-AU72*DU72)/(1000-AU72*DT72))/(100*DL72)</f>
        <v>0</v>
      </c>
      <c r="AH72">
        <f>1000*DX72*AU72*(DT72-DU72)/(100*DL72*(1000-AU72*DT72))</f>
        <v>0</v>
      </c>
      <c r="AI72">
        <f>(AJ72 - AK72 - DY72*1E3/(8.314*(EA72+273.15)) * AM72/DX72 * AL72) * DX72/(100*DL72) * (1000 - DU72)/1000</f>
        <v>0</v>
      </c>
      <c r="AJ72">
        <v>101.750445004586</v>
      </c>
      <c r="AK72">
        <v>101.695557575758</v>
      </c>
      <c r="AL72">
        <v>-0.00182097536828487</v>
      </c>
      <c r="AM72">
        <v>64.1056431004677</v>
      </c>
      <c r="AN72">
        <f>(AP72 - AO72 + DY72*1E3/(8.314*(EA72+273.15)) * AR72/DX72 * AQ72) * DX72/(100*DL72) * 1000/(1000 - AP72)</f>
        <v>0</v>
      </c>
      <c r="AO72">
        <v>17.5874802347246</v>
      </c>
      <c r="AP72">
        <v>18.0232951048951</v>
      </c>
      <c r="AQ72">
        <v>-3.99524798560035e-05</v>
      </c>
      <c r="AR72">
        <v>103.572375646758</v>
      </c>
      <c r="AS72">
        <v>6</v>
      </c>
      <c r="AT72">
        <v>1</v>
      </c>
      <c r="AU72">
        <f>IF(AS72*$H$13&gt;=AW72,1.0,(AW72/(AW72-AS72*$H$13)))</f>
        <v>0</v>
      </c>
      <c r="AV72">
        <f>(AU72-1)*100</f>
        <v>0</v>
      </c>
      <c r="AW72">
        <f>MAX(0,($B$13+$C$13*EF72)/(1+$D$13*EF72)*DY72/(EA72+273)*$E$13)</f>
        <v>0</v>
      </c>
      <c r="AX72" t="s">
        <v>437</v>
      </c>
      <c r="AY72" t="s">
        <v>437</v>
      </c>
      <c r="AZ72">
        <v>0</v>
      </c>
      <c r="BA72">
        <v>0</v>
      </c>
      <c r="BB72">
        <f>1-AZ72/BA72</f>
        <v>0</v>
      </c>
      <c r="BC72">
        <v>0</v>
      </c>
      <c r="BD72" t="s">
        <v>437</v>
      </c>
      <c r="BE72" t="s">
        <v>437</v>
      </c>
      <c r="BF72">
        <v>0</v>
      </c>
      <c r="BG72">
        <v>0</v>
      </c>
      <c r="BH72">
        <f>1-BF72/BG72</f>
        <v>0</v>
      </c>
      <c r="BI72">
        <v>0.5</v>
      </c>
      <c r="BJ72">
        <f>DI72</f>
        <v>0</v>
      </c>
      <c r="BK72">
        <f>L72</f>
        <v>0</v>
      </c>
      <c r="BL72">
        <f>BH72*BI72*BJ72</f>
        <v>0</v>
      </c>
      <c r="BM72">
        <f>(BK72-BC72)/BJ72</f>
        <v>0</v>
      </c>
      <c r="BN72">
        <f>(BA72-BG72)/BG72</f>
        <v>0</v>
      </c>
      <c r="BO72">
        <f>AZ72/(BB72+AZ72/BG72)</f>
        <v>0</v>
      </c>
      <c r="BP72" t="s">
        <v>437</v>
      </c>
      <c r="BQ72">
        <v>0</v>
      </c>
      <c r="BR72">
        <f>IF(BQ72&lt;&gt;0, BQ72, BO72)</f>
        <v>0</v>
      </c>
      <c r="BS72">
        <f>1-BR72/BG72</f>
        <v>0</v>
      </c>
      <c r="BT72">
        <f>(BG72-BF72)/(BG72-BR72)</f>
        <v>0</v>
      </c>
      <c r="BU72">
        <f>(BA72-BG72)/(BA72-BR72)</f>
        <v>0</v>
      </c>
      <c r="BV72">
        <f>(BG72-BF72)/(BG72-AZ72)</f>
        <v>0</v>
      </c>
      <c r="BW72">
        <f>(BA72-BG72)/(BA72-AZ72)</f>
        <v>0</v>
      </c>
      <c r="BX72">
        <f>(BT72*BR72/BF72)</f>
        <v>0</v>
      </c>
      <c r="BY72">
        <f>(1-BX72)</f>
        <v>0</v>
      </c>
      <c r="DH72">
        <f>$B$11*EG72+$C$11*EH72+$F$11*ES72*(1-EV72)</f>
        <v>0</v>
      </c>
      <c r="DI72">
        <f>DH72*DJ72</f>
        <v>0</v>
      </c>
      <c r="DJ72">
        <f>($B$11*$D$9+$C$11*$D$9+$F$11*((FF72+EX72)/MAX(FF72+EX72+FG72, 0.1)*$I$9+FG72/MAX(FF72+EX72+FG72, 0.1)*$J$9))/($B$11+$C$11+$F$11)</f>
        <v>0</v>
      </c>
      <c r="DK72">
        <f>($B$11*$K$9+$C$11*$K$9+$F$11*((FF72+EX72)/MAX(FF72+EX72+FG72, 0.1)*$P$9+FG72/MAX(FF72+EX72+FG72, 0.1)*$Q$9))/($B$11+$C$11+$F$11)</f>
        <v>0</v>
      </c>
      <c r="DL72">
        <v>6</v>
      </c>
      <c r="DM72">
        <v>0.5</v>
      </c>
      <c r="DN72" t="s">
        <v>438</v>
      </c>
      <c r="DO72">
        <v>2</v>
      </c>
      <c r="DP72" t="b">
        <v>1</v>
      </c>
      <c r="DQ72">
        <v>1765307904.6</v>
      </c>
      <c r="DR72">
        <v>100.0174625</v>
      </c>
      <c r="DS72">
        <v>99.99266875</v>
      </c>
      <c r="DT72">
        <v>18.01876875</v>
      </c>
      <c r="DU72">
        <v>17.58993125</v>
      </c>
      <c r="DV72">
        <v>94.2334625</v>
      </c>
      <c r="DW72">
        <v>17.89976875</v>
      </c>
      <c r="DX72">
        <v>500.0094375</v>
      </c>
      <c r="DY72">
        <v>89.78926875</v>
      </c>
      <c r="DZ72">
        <v>0.09999824375</v>
      </c>
      <c r="EA72">
        <v>25.31135625</v>
      </c>
      <c r="EB72">
        <v>25.0041125</v>
      </c>
      <c r="EC72">
        <v>999.9</v>
      </c>
      <c r="ED72">
        <v>0</v>
      </c>
      <c r="EE72">
        <v>0</v>
      </c>
      <c r="EF72">
        <v>10015.808125</v>
      </c>
      <c r="EG72">
        <v>0</v>
      </c>
      <c r="EH72">
        <v>13.8548</v>
      </c>
      <c r="EI72">
        <v>-0.09023998125</v>
      </c>
      <c r="EJ72">
        <v>101.7364375</v>
      </c>
      <c r="EK72">
        <v>101.7830625</v>
      </c>
      <c r="EL72">
        <v>0.4381844375</v>
      </c>
      <c r="EM72">
        <v>99.99266875</v>
      </c>
      <c r="EN72">
        <v>17.58993125</v>
      </c>
      <c r="EO72">
        <v>1.6187325</v>
      </c>
      <c r="EP72">
        <v>1.5793875</v>
      </c>
      <c r="EQ72">
        <v>14.13829375</v>
      </c>
      <c r="ER72">
        <v>13.75915625</v>
      </c>
      <c r="ES72">
        <v>800.0014375</v>
      </c>
      <c r="ET72">
        <v>0.9499896875</v>
      </c>
      <c r="EU72">
        <v>0.05001030625</v>
      </c>
      <c r="EV72">
        <v>0</v>
      </c>
      <c r="EW72">
        <v>891.5031875</v>
      </c>
      <c r="EX72">
        <v>5.00016</v>
      </c>
      <c r="EY72">
        <v>6895.490625</v>
      </c>
      <c r="EZ72">
        <v>7194.663125</v>
      </c>
      <c r="FA72">
        <v>39.9685</v>
      </c>
      <c r="FB72">
        <v>42.562</v>
      </c>
      <c r="FC72">
        <v>41.4645625</v>
      </c>
      <c r="FD72">
        <v>42.562</v>
      </c>
      <c r="FE72">
        <v>42.625</v>
      </c>
      <c r="FF72">
        <v>755.24375</v>
      </c>
      <c r="FG72">
        <v>39.76</v>
      </c>
      <c r="FH72">
        <v>0</v>
      </c>
      <c r="FI72">
        <v>1765307913.7</v>
      </c>
      <c r="FJ72">
        <v>0</v>
      </c>
      <c r="FK72">
        <v>891.539346153846</v>
      </c>
      <c r="FL72">
        <v>0.555589738678939</v>
      </c>
      <c r="FM72">
        <v>0.637606824315859</v>
      </c>
      <c r="FN72">
        <v>6895.50192307692</v>
      </c>
      <c r="FO72">
        <v>15</v>
      </c>
      <c r="FP72">
        <v>1765307933.1</v>
      </c>
      <c r="FQ72" t="s">
        <v>613</v>
      </c>
      <c r="FR72">
        <v>1765307933.1</v>
      </c>
      <c r="FS72">
        <v>1765307933.1</v>
      </c>
      <c r="FT72">
        <v>56</v>
      </c>
      <c r="FU72">
        <v>0.115</v>
      </c>
      <c r="FV72">
        <v>-0.002</v>
      </c>
      <c r="FW72">
        <v>5.784</v>
      </c>
      <c r="FX72">
        <v>0.119</v>
      </c>
      <c r="FY72">
        <v>100</v>
      </c>
      <c r="FZ72">
        <v>18</v>
      </c>
      <c r="GA72">
        <v>0.35</v>
      </c>
      <c r="GB72">
        <v>0.17</v>
      </c>
      <c r="GC72">
        <v>-0.058246780952381</v>
      </c>
      <c r="GD72">
        <v>-0.47323305974026</v>
      </c>
      <c r="GE72">
        <v>0.0623119952214172</v>
      </c>
      <c r="GF72">
        <v>1</v>
      </c>
      <c r="GG72">
        <v>891.545970588235</v>
      </c>
      <c r="GH72">
        <v>-0.0908632625664271</v>
      </c>
      <c r="GI72">
        <v>0.1975012263989</v>
      </c>
      <c r="GJ72">
        <v>-1</v>
      </c>
      <c r="GK72">
        <v>0.437940380952381</v>
      </c>
      <c r="GL72">
        <v>0.00194049350649485</v>
      </c>
      <c r="GM72">
        <v>0.00105614178684631</v>
      </c>
      <c r="GN72">
        <v>1</v>
      </c>
      <c r="GO72">
        <v>2</v>
      </c>
      <c r="GP72">
        <v>2</v>
      </c>
      <c r="GQ72" t="s">
        <v>440</v>
      </c>
      <c r="GR72">
        <v>3.12498</v>
      </c>
      <c r="GS72">
        <v>2.72554</v>
      </c>
      <c r="GT72">
        <v>0.0240891</v>
      </c>
      <c r="GU72">
        <v>0.0255521</v>
      </c>
      <c r="GV72">
        <v>0.0827373</v>
      </c>
      <c r="GW72">
        <v>0.08136</v>
      </c>
      <c r="GX72">
        <v>25701.9</v>
      </c>
      <c r="GY72">
        <v>23821.4</v>
      </c>
      <c r="GZ72">
        <v>23545.9</v>
      </c>
      <c r="HA72">
        <v>23796.5</v>
      </c>
      <c r="HB72">
        <v>36776.7</v>
      </c>
      <c r="HC72">
        <v>36144.4</v>
      </c>
      <c r="HD72">
        <v>42414.9</v>
      </c>
      <c r="HE72">
        <v>42391.8</v>
      </c>
      <c r="HF72">
        <v>1.9126</v>
      </c>
      <c r="HG72">
        <v>1.8339</v>
      </c>
      <c r="HH72">
        <v>0.0932254</v>
      </c>
      <c r="HI72">
        <v>0</v>
      </c>
      <c r="HJ72">
        <v>23.4552</v>
      </c>
      <c r="HK72">
        <v>999.9</v>
      </c>
      <c r="HL72">
        <v>45.654</v>
      </c>
      <c r="HM72">
        <v>29.497</v>
      </c>
      <c r="HN72">
        <v>21.0451</v>
      </c>
      <c r="HO72">
        <v>55.3167</v>
      </c>
      <c r="HP72">
        <v>46.0978</v>
      </c>
      <c r="HQ72">
        <v>1</v>
      </c>
      <c r="HR72">
        <v>-0.0743115</v>
      </c>
      <c r="HS72">
        <v>1.10783</v>
      </c>
      <c r="HT72">
        <v>20.2282</v>
      </c>
      <c r="HU72">
        <v>5.23391</v>
      </c>
      <c r="HV72">
        <v>11.992</v>
      </c>
      <c r="HW72">
        <v>4.956</v>
      </c>
      <c r="HX72">
        <v>3.304</v>
      </c>
      <c r="HY72">
        <v>999.9</v>
      </c>
      <c r="HZ72">
        <v>9999</v>
      </c>
      <c r="IA72">
        <v>9999</v>
      </c>
      <c r="IB72">
        <v>9999</v>
      </c>
      <c r="IC72">
        <v>1.86863</v>
      </c>
      <c r="ID72">
        <v>1.86446</v>
      </c>
      <c r="IE72">
        <v>1.87196</v>
      </c>
      <c r="IF72">
        <v>1.86293</v>
      </c>
      <c r="IG72">
        <v>1.86234</v>
      </c>
      <c r="IH72">
        <v>1.86874</v>
      </c>
      <c r="II72">
        <v>1.85897</v>
      </c>
      <c r="IJ72">
        <v>1.86524</v>
      </c>
      <c r="IK72">
        <v>5</v>
      </c>
      <c r="IL72">
        <v>0</v>
      </c>
      <c r="IM72">
        <v>0</v>
      </c>
      <c r="IN72">
        <v>0</v>
      </c>
      <c r="IO72" t="s">
        <v>441</v>
      </c>
      <c r="IP72" t="s">
        <v>442</v>
      </c>
      <c r="IQ72" t="s">
        <v>443</v>
      </c>
      <c r="IR72" t="s">
        <v>443</v>
      </c>
      <c r="IS72" t="s">
        <v>443</v>
      </c>
      <c r="IT72" t="s">
        <v>443</v>
      </c>
      <c r="IU72">
        <v>0</v>
      </c>
      <c r="IV72">
        <v>100</v>
      </c>
      <c r="IW72">
        <v>100</v>
      </c>
      <c r="IX72">
        <v>5.784</v>
      </c>
      <c r="IY72">
        <v>0.119</v>
      </c>
      <c r="IZ72">
        <v>5.10620328451282</v>
      </c>
      <c r="JA72">
        <v>0.0062698613543794</v>
      </c>
      <c r="JB72">
        <v>-3.23243345529816e-06</v>
      </c>
      <c r="JC72">
        <v>8.00506428382295e-10</v>
      </c>
      <c r="JD72">
        <v>-0.0338114768679781</v>
      </c>
      <c r="JE72">
        <v>-0.0018464610107002</v>
      </c>
      <c r="JF72">
        <v>0.000796540623429801</v>
      </c>
      <c r="JG72">
        <v>-1.04619914107352e-05</v>
      </c>
      <c r="JH72">
        <v>-0</v>
      </c>
      <c r="JI72">
        <v>2101</v>
      </c>
      <c r="JJ72">
        <v>1</v>
      </c>
      <c r="JK72">
        <v>23</v>
      </c>
      <c r="JL72">
        <v>1.4</v>
      </c>
      <c r="JM72">
        <v>1.3</v>
      </c>
      <c r="JN72">
        <v>0.375977</v>
      </c>
      <c r="JO72">
        <v>2.41821</v>
      </c>
      <c r="JP72">
        <v>1.4978</v>
      </c>
      <c r="JQ72">
        <v>2.33276</v>
      </c>
      <c r="JR72">
        <v>1.54419</v>
      </c>
      <c r="JS72">
        <v>2.28149</v>
      </c>
      <c r="JT72">
        <v>35.4523</v>
      </c>
      <c r="JU72">
        <v>24.3414</v>
      </c>
      <c r="JV72">
        <v>18</v>
      </c>
      <c r="JW72">
        <v>539.159</v>
      </c>
      <c r="JX72">
        <v>432.198</v>
      </c>
      <c r="JY72">
        <v>22.0729</v>
      </c>
      <c r="JZ72">
        <v>26.523</v>
      </c>
      <c r="KA72">
        <v>30</v>
      </c>
      <c r="KB72">
        <v>26.5557</v>
      </c>
      <c r="KC72">
        <v>26.5829</v>
      </c>
      <c r="KD72">
        <v>7.56392</v>
      </c>
      <c r="KE72">
        <v>27.3479</v>
      </c>
      <c r="KF72">
        <v>84.8864</v>
      </c>
      <c r="KG72">
        <v>22.0744</v>
      </c>
      <c r="KH72">
        <v>100</v>
      </c>
      <c r="KI72">
        <v>17.6305</v>
      </c>
      <c r="KJ72">
        <v>95.0904</v>
      </c>
      <c r="KK72">
        <v>98.834</v>
      </c>
    </row>
    <row r="73" spans="1:297">
      <c r="A73">
        <v>57</v>
      </c>
      <c r="B73">
        <v>1765307999.1</v>
      </c>
      <c r="C73">
        <v>10050.0999999046</v>
      </c>
      <c r="D73" t="s">
        <v>614</v>
      </c>
      <c r="E73" t="s">
        <v>615</v>
      </c>
      <c r="F73">
        <v>5</v>
      </c>
      <c r="G73" t="s">
        <v>603</v>
      </c>
      <c r="H73" t="s">
        <v>436</v>
      </c>
      <c r="I73">
        <v>1765307991.1</v>
      </c>
      <c r="J73">
        <f>(K73)/1000</f>
        <v>0</v>
      </c>
      <c r="K73">
        <f>IF(DP73, AN73, AH73)</f>
        <v>0</v>
      </c>
      <c r="L73">
        <f>IF(DP73, AI73, AG73)</f>
        <v>0</v>
      </c>
      <c r="M73">
        <f>DR73 - IF(AU73&gt;1, L73*DL73*100.0/(AW73), 0)</f>
        <v>0</v>
      </c>
      <c r="N73">
        <f>((T73-J73/2)*M73-L73)/(T73+J73/2)</f>
        <v>0</v>
      </c>
      <c r="O73">
        <f>N73*(DY73+DZ73)/1000.0</f>
        <v>0</v>
      </c>
      <c r="P73">
        <f>(DR73 - IF(AU73&gt;1, L73*DL73*100.0/(AW73), 0))*(DY73+DZ73)/1000.0</f>
        <v>0</v>
      </c>
      <c r="Q73">
        <f>2.0/((1/S73-1/R73)+SIGN(S73)*SQRT((1/S73-1/R73)*(1/S73-1/R73) + 4*DM73/((DM73+1)*(DM73+1))*(2*1/S73*1/R73-1/R73*1/R73)))</f>
        <v>0</v>
      </c>
      <c r="R73">
        <f>IF(LEFT(DN73,1)&lt;&gt;"0",IF(LEFT(DN73,1)="1",3.0,DO73),$D$5+$E$5*(EF73*DY73/($K$5*1000))+$F$5*(EF73*DY73/($K$5*1000))*MAX(MIN(DL73,$J$5),$I$5)*MAX(MIN(DL73,$J$5),$I$5)+$G$5*MAX(MIN(DL73,$J$5),$I$5)*(EF73*DY73/($K$5*1000))+$H$5*(EF73*DY73/($K$5*1000))*(EF73*DY73/($K$5*1000)))</f>
        <v>0</v>
      </c>
      <c r="S73">
        <f>J73*(1000-(1000*0.61365*exp(17.502*W73/(240.97+W73))/(DY73+DZ73)+DT73)/2)/(1000*0.61365*exp(17.502*W73/(240.97+W73))/(DY73+DZ73)-DT73)</f>
        <v>0</v>
      </c>
      <c r="T73">
        <f>1/((DM73+1)/(Q73/1.6)+1/(R73/1.37)) + DM73/((DM73+1)/(Q73/1.6) + DM73/(R73/1.37))</f>
        <v>0</v>
      </c>
      <c r="U73">
        <f>(DH73*DK73)</f>
        <v>0</v>
      </c>
      <c r="V73">
        <f>(EA73+(U73+2*0.95*5.67E-8*(((EA73+$B$7)+273)^4-(EA73+273)^4)-44100*J73)/(1.84*29.3*R73+8*0.95*5.67E-8*(EA73+273)^3))</f>
        <v>0</v>
      </c>
      <c r="W73">
        <f>($C$7*EB73+$D$7*EC73+$E$7*V73)</f>
        <v>0</v>
      </c>
      <c r="X73">
        <f>0.61365*exp(17.502*W73/(240.97+W73))</f>
        <v>0</v>
      </c>
      <c r="Y73">
        <f>(Z73/AA73*100)</f>
        <v>0</v>
      </c>
      <c r="Z73">
        <f>DT73*(DY73+DZ73)/1000</f>
        <v>0</v>
      </c>
      <c r="AA73">
        <f>0.61365*exp(17.502*EA73/(240.97+EA73))</f>
        <v>0</v>
      </c>
      <c r="AB73">
        <f>(X73-DT73*(DY73+DZ73)/1000)</f>
        <v>0</v>
      </c>
      <c r="AC73">
        <f>(-J73*44100)</f>
        <v>0</v>
      </c>
      <c r="AD73">
        <f>2*29.3*R73*0.92*(EA73-W73)</f>
        <v>0</v>
      </c>
      <c r="AE73">
        <f>2*0.95*5.67E-8*(((EA73+$B$7)+273)^4-(W73+273)^4)</f>
        <v>0</v>
      </c>
      <c r="AF73">
        <f>U73+AE73+AC73+AD73</f>
        <v>0</v>
      </c>
      <c r="AG73">
        <f>DX73*AU73*(DS73-DR73*(1000-AU73*DU73)/(1000-AU73*DT73))/(100*DL73)</f>
        <v>0</v>
      </c>
      <c r="AH73">
        <f>1000*DX73*AU73*(DT73-DU73)/(100*DL73*(1000-AU73*DT73))</f>
        <v>0</v>
      </c>
      <c r="AI73">
        <f>(AJ73 - AK73 - DY73*1E3/(8.314*(EA73+273.15)) * AM73/DX73 * AL73) * DX73/(100*DL73) * (1000 - DU73)/1000</f>
        <v>0</v>
      </c>
      <c r="AJ73">
        <v>50.8549424803524</v>
      </c>
      <c r="AK73">
        <v>51.1150593939394</v>
      </c>
      <c r="AL73">
        <v>0.00186129949895426</v>
      </c>
      <c r="AM73">
        <v>64.119167899974</v>
      </c>
      <c r="AN73">
        <f>(AP73 - AO73 + DY73*1E3/(8.314*(EA73+273.15)) * AR73/DX73 * AQ73) * DX73/(100*DL73) * 1000/(1000 - AP73)</f>
        <v>0</v>
      </c>
      <c r="AO73">
        <v>17.6289448285969</v>
      </c>
      <c r="AP73">
        <v>18.0682482517483</v>
      </c>
      <c r="AQ73">
        <v>-2.0017367649619e-05</v>
      </c>
      <c r="AR73">
        <v>104.08124803581</v>
      </c>
      <c r="AS73">
        <v>6</v>
      </c>
      <c r="AT73">
        <v>1</v>
      </c>
      <c r="AU73">
        <f>IF(AS73*$H$13&gt;=AW73,1.0,(AW73/(AW73-AS73*$H$13)))</f>
        <v>0</v>
      </c>
      <c r="AV73">
        <f>(AU73-1)*100</f>
        <v>0</v>
      </c>
      <c r="AW73">
        <f>MAX(0,($B$13+$C$13*EF73)/(1+$D$13*EF73)*DY73/(EA73+273)*$E$13)</f>
        <v>0</v>
      </c>
      <c r="AX73" t="s">
        <v>437</v>
      </c>
      <c r="AY73" t="s">
        <v>437</v>
      </c>
      <c r="AZ73">
        <v>0</v>
      </c>
      <c r="BA73">
        <v>0</v>
      </c>
      <c r="BB73">
        <f>1-AZ73/BA73</f>
        <v>0</v>
      </c>
      <c r="BC73">
        <v>0</v>
      </c>
      <c r="BD73" t="s">
        <v>437</v>
      </c>
      <c r="BE73" t="s">
        <v>437</v>
      </c>
      <c r="BF73">
        <v>0</v>
      </c>
      <c r="BG73">
        <v>0</v>
      </c>
      <c r="BH73">
        <f>1-BF73/BG73</f>
        <v>0</v>
      </c>
      <c r="BI73">
        <v>0.5</v>
      </c>
      <c r="BJ73">
        <f>DI73</f>
        <v>0</v>
      </c>
      <c r="BK73">
        <f>L73</f>
        <v>0</v>
      </c>
      <c r="BL73">
        <f>BH73*BI73*BJ73</f>
        <v>0</v>
      </c>
      <c r="BM73">
        <f>(BK73-BC73)/BJ73</f>
        <v>0</v>
      </c>
      <c r="BN73">
        <f>(BA73-BG73)/BG73</f>
        <v>0</v>
      </c>
      <c r="BO73">
        <f>AZ73/(BB73+AZ73/BG73)</f>
        <v>0</v>
      </c>
      <c r="BP73" t="s">
        <v>437</v>
      </c>
      <c r="BQ73">
        <v>0</v>
      </c>
      <c r="BR73">
        <f>IF(BQ73&lt;&gt;0, BQ73, BO73)</f>
        <v>0</v>
      </c>
      <c r="BS73">
        <f>1-BR73/BG73</f>
        <v>0</v>
      </c>
      <c r="BT73">
        <f>(BG73-BF73)/(BG73-BR73)</f>
        <v>0</v>
      </c>
      <c r="BU73">
        <f>(BA73-BG73)/(BA73-BR73)</f>
        <v>0</v>
      </c>
      <c r="BV73">
        <f>(BG73-BF73)/(BG73-AZ73)</f>
        <v>0</v>
      </c>
      <c r="BW73">
        <f>(BA73-BG73)/(BA73-AZ73)</f>
        <v>0</v>
      </c>
      <c r="BX73">
        <f>(BT73*BR73/BF73)</f>
        <v>0</v>
      </c>
      <c r="BY73">
        <f>(1-BX73)</f>
        <v>0</v>
      </c>
      <c r="DH73">
        <f>$B$11*EG73+$C$11*EH73+$F$11*ES73*(1-EV73)</f>
        <v>0</v>
      </c>
      <c r="DI73">
        <f>DH73*DJ73</f>
        <v>0</v>
      </c>
      <c r="DJ73">
        <f>($B$11*$D$9+$C$11*$D$9+$F$11*((FF73+EX73)/MAX(FF73+EX73+FG73, 0.1)*$I$9+FG73/MAX(FF73+EX73+FG73, 0.1)*$J$9))/($B$11+$C$11+$F$11)</f>
        <v>0</v>
      </c>
      <c r="DK73">
        <f>($B$11*$K$9+$C$11*$K$9+$F$11*((FF73+EX73)/MAX(FF73+EX73+FG73, 0.1)*$P$9+FG73/MAX(FF73+EX73+FG73, 0.1)*$Q$9))/($B$11+$C$11+$F$11)</f>
        <v>0</v>
      </c>
      <c r="DL73">
        <v>6</v>
      </c>
      <c r="DM73">
        <v>0.5</v>
      </c>
      <c r="DN73" t="s">
        <v>438</v>
      </c>
      <c r="DO73">
        <v>2</v>
      </c>
      <c r="DP73" t="b">
        <v>1</v>
      </c>
      <c r="DQ73">
        <v>1765307991.1</v>
      </c>
      <c r="DR73">
        <v>50.4214266666667</v>
      </c>
      <c r="DS73">
        <v>49.9869</v>
      </c>
      <c r="DT73">
        <v>18.0635133333333</v>
      </c>
      <c r="DU73">
        <v>17.6311733333333</v>
      </c>
      <c r="DV73">
        <v>44.7024266666667</v>
      </c>
      <c r="DW73">
        <v>17.9425133333333</v>
      </c>
      <c r="DX73">
        <v>500.0112</v>
      </c>
      <c r="DY73">
        <v>89.7820066666667</v>
      </c>
      <c r="DZ73">
        <v>0.0999495666666667</v>
      </c>
      <c r="EA73">
        <v>25.31748</v>
      </c>
      <c r="EB73">
        <v>24.9840133333333</v>
      </c>
      <c r="EC73">
        <v>999.9</v>
      </c>
      <c r="ED73">
        <v>0</v>
      </c>
      <c r="EE73">
        <v>0</v>
      </c>
      <c r="EF73">
        <v>10007.1613333333</v>
      </c>
      <c r="EG73">
        <v>0</v>
      </c>
      <c r="EH73">
        <v>13.8438666666667</v>
      </c>
      <c r="EI73">
        <v>0.210902933333333</v>
      </c>
      <c r="EJ73">
        <v>51.12156</v>
      </c>
      <c r="EK73">
        <v>50.8840466666667</v>
      </c>
      <c r="EL73">
        <v>0.438745466666667</v>
      </c>
      <c r="EM73">
        <v>49.9869</v>
      </c>
      <c r="EN73">
        <v>17.6311733333333</v>
      </c>
      <c r="EO73">
        <v>1.622354</v>
      </c>
      <c r="EP73">
        <v>1.582962</v>
      </c>
      <c r="EQ73">
        <v>14.1727866666667</v>
      </c>
      <c r="ER73">
        <v>13.7939333333333</v>
      </c>
      <c r="ES73">
        <v>800.001466666666</v>
      </c>
      <c r="ET73">
        <v>0.949992933333333</v>
      </c>
      <c r="EU73">
        <v>0.0500070266666667</v>
      </c>
      <c r="EV73">
        <v>0</v>
      </c>
      <c r="EW73">
        <v>893.454333333333</v>
      </c>
      <c r="EX73">
        <v>5.00016</v>
      </c>
      <c r="EY73">
        <v>6908.28333333333</v>
      </c>
      <c r="EZ73">
        <v>7194.67266666667</v>
      </c>
      <c r="FA73">
        <v>39.9204666666667</v>
      </c>
      <c r="FB73">
        <v>42.5</v>
      </c>
      <c r="FC73">
        <v>41.4246</v>
      </c>
      <c r="FD73">
        <v>42.479</v>
      </c>
      <c r="FE73">
        <v>42.562</v>
      </c>
      <c r="FF73">
        <v>755.246666666667</v>
      </c>
      <c r="FG73">
        <v>39.756</v>
      </c>
      <c r="FH73">
        <v>0</v>
      </c>
      <c r="FI73">
        <v>1765307999.5</v>
      </c>
      <c r="FJ73">
        <v>0</v>
      </c>
      <c r="FK73">
        <v>893.55584</v>
      </c>
      <c r="FL73">
        <v>0.80530768459093</v>
      </c>
      <c r="FM73">
        <v>1.40461538071359</v>
      </c>
      <c r="FN73">
        <v>6908.3044</v>
      </c>
      <c r="FO73">
        <v>15</v>
      </c>
      <c r="FP73">
        <v>1765308037.1</v>
      </c>
      <c r="FQ73" t="s">
        <v>616</v>
      </c>
      <c r="FR73">
        <v>1765308037.1</v>
      </c>
      <c r="FS73">
        <v>1765308019.1</v>
      </c>
      <c r="FT73">
        <v>57</v>
      </c>
      <c r="FU73">
        <v>0.226</v>
      </c>
      <c r="FV73">
        <v>0.001</v>
      </c>
      <c r="FW73">
        <v>5.719</v>
      </c>
      <c r="FX73">
        <v>0.121</v>
      </c>
      <c r="FY73">
        <v>50</v>
      </c>
      <c r="FZ73">
        <v>18</v>
      </c>
      <c r="GA73">
        <v>0.29</v>
      </c>
      <c r="GB73">
        <v>0.16</v>
      </c>
      <c r="GC73">
        <v>0.241539523809524</v>
      </c>
      <c r="GD73">
        <v>-0.449735064935065</v>
      </c>
      <c r="GE73">
        <v>0.0593247253918706</v>
      </c>
      <c r="GF73">
        <v>1</v>
      </c>
      <c r="GG73">
        <v>893.491323529412</v>
      </c>
      <c r="GH73">
        <v>0.952406409636174</v>
      </c>
      <c r="GI73">
        <v>0.229200107867267</v>
      </c>
      <c r="GJ73">
        <v>-1</v>
      </c>
      <c r="GK73">
        <v>0.437655380952381</v>
      </c>
      <c r="GL73">
        <v>0.0164690649350646</v>
      </c>
      <c r="GM73">
        <v>0.00175974358186723</v>
      </c>
      <c r="GN73">
        <v>1</v>
      </c>
      <c r="GO73">
        <v>2</v>
      </c>
      <c r="GP73">
        <v>2</v>
      </c>
      <c r="GQ73" t="s">
        <v>440</v>
      </c>
      <c r="GR73">
        <v>3.12482</v>
      </c>
      <c r="GS73">
        <v>2.72566</v>
      </c>
      <c r="GT73">
        <v>0.0116023</v>
      </c>
      <c r="GU73">
        <v>0.0129909</v>
      </c>
      <c r="GV73">
        <v>0.0828915</v>
      </c>
      <c r="GW73">
        <v>0.0815</v>
      </c>
      <c r="GX73">
        <v>26033.3</v>
      </c>
      <c r="GY73">
        <v>24131.1</v>
      </c>
      <c r="GZ73">
        <v>23547.9</v>
      </c>
      <c r="HA73">
        <v>23798.9</v>
      </c>
      <c r="HB73">
        <v>36771.5</v>
      </c>
      <c r="HC73">
        <v>36141.7</v>
      </c>
      <c r="HD73">
        <v>42417.3</v>
      </c>
      <c r="HE73">
        <v>42396.2</v>
      </c>
      <c r="HF73">
        <v>1.91302</v>
      </c>
      <c r="HG73">
        <v>1.83488</v>
      </c>
      <c r="HH73">
        <v>0.093922</v>
      </c>
      <c r="HI73">
        <v>0</v>
      </c>
      <c r="HJ73">
        <v>23.4475</v>
      </c>
      <c r="HK73">
        <v>999.9</v>
      </c>
      <c r="HL73">
        <v>45.629</v>
      </c>
      <c r="HM73">
        <v>29.457</v>
      </c>
      <c r="HN73">
        <v>20.9869</v>
      </c>
      <c r="HO73">
        <v>55.2367</v>
      </c>
      <c r="HP73">
        <v>46.3502</v>
      </c>
      <c r="HQ73">
        <v>1</v>
      </c>
      <c r="HR73">
        <v>-0.0784604</v>
      </c>
      <c r="HS73">
        <v>0.854148</v>
      </c>
      <c r="HT73">
        <v>20.2296</v>
      </c>
      <c r="HU73">
        <v>5.23316</v>
      </c>
      <c r="HV73">
        <v>11.992</v>
      </c>
      <c r="HW73">
        <v>4.956</v>
      </c>
      <c r="HX73">
        <v>3.304</v>
      </c>
      <c r="HY73">
        <v>999.9</v>
      </c>
      <c r="HZ73">
        <v>9999</v>
      </c>
      <c r="IA73">
        <v>9999</v>
      </c>
      <c r="IB73">
        <v>9999</v>
      </c>
      <c r="IC73">
        <v>1.86865</v>
      </c>
      <c r="ID73">
        <v>1.86445</v>
      </c>
      <c r="IE73">
        <v>1.87197</v>
      </c>
      <c r="IF73">
        <v>1.86292</v>
      </c>
      <c r="IG73">
        <v>1.86234</v>
      </c>
      <c r="IH73">
        <v>1.86873</v>
      </c>
      <c r="II73">
        <v>1.85893</v>
      </c>
      <c r="IJ73">
        <v>1.86523</v>
      </c>
      <c r="IK73">
        <v>5</v>
      </c>
      <c r="IL73">
        <v>0</v>
      </c>
      <c r="IM73">
        <v>0</v>
      </c>
      <c r="IN73">
        <v>0</v>
      </c>
      <c r="IO73" t="s">
        <v>441</v>
      </c>
      <c r="IP73" t="s">
        <v>442</v>
      </c>
      <c r="IQ73" t="s">
        <v>443</v>
      </c>
      <c r="IR73" t="s">
        <v>443</v>
      </c>
      <c r="IS73" t="s">
        <v>443</v>
      </c>
      <c r="IT73" t="s">
        <v>443</v>
      </c>
      <c r="IU73">
        <v>0</v>
      </c>
      <c r="IV73">
        <v>100</v>
      </c>
      <c r="IW73">
        <v>100</v>
      </c>
      <c r="IX73">
        <v>5.719</v>
      </c>
      <c r="IY73">
        <v>0.121</v>
      </c>
      <c r="IZ73">
        <v>5.22148358708231</v>
      </c>
      <c r="JA73">
        <v>0.0062698613543794</v>
      </c>
      <c r="JB73">
        <v>-3.23243345529816e-06</v>
      </c>
      <c r="JC73">
        <v>8.00506428382295e-10</v>
      </c>
      <c r="JD73">
        <v>-0.0354736351995786</v>
      </c>
      <c r="JE73">
        <v>-0.0018464610107002</v>
      </c>
      <c r="JF73">
        <v>0.000796540623429801</v>
      </c>
      <c r="JG73">
        <v>-1.04619914107352e-05</v>
      </c>
      <c r="JH73">
        <v>-0</v>
      </c>
      <c r="JI73">
        <v>2101</v>
      </c>
      <c r="JJ73">
        <v>1</v>
      </c>
      <c r="JK73">
        <v>23</v>
      </c>
      <c r="JL73">
        <v>1.1</v>
      </c>
      <c r="JM73">
        <v>1.1</v>
      </c>
      <c r="JN73">
        <v>0.266113</v>
      </c>
      <c r="JO73">
        <v>2.44629</v>
      </c>
      <c r="JP73">
        <v>1.49902</v>
      </c>
      <c r="JQ73">
        <v>2.33276</v>
      </c>
      <c r="JR73">
        <v>1.54419</v>
      </c>
      <c r="JS73">
        <v>2.26562</v>
      </c>
      <c r="JT73">
        <v>35.4059</v>
      </c>
      <c r="JU73">
        <v>24.3414</v>
      </c>
      <c r="JV73">
        <v>18</v>
      </c>
      <c r="JW73">
        <v>539.047</v>
      </c>
      <c r="JX73">
        <v>432.435</v>
      </c>
      <c r="JY73">
        <v>22.2532</v>
      </c>
      <c r="JZ73">
        <v>26.4736</v>
      </c>
      <c r="KA73">
        <v>29.9999</v>
      </c>
      <c r="KB73">
        <v>26.5114</v>
      </c>
      <c r="KC73">
        <v>26.5392</v>
      </c>
      <c r="KD73">
        <v>5.35121</v>
      </c>
      <c r="KE73">
        <v>26.8529</v>
      </c>
      <c r="KF73">
        <v>84.8864</v>
      </c>
      <c r="KG73">
        <v>22.262</v>
      </c>
      <c r="KH73">
        <v>50</v>
      </c>
      <c r="KI73">
        <v>17.5994</v>
      </c>
      <c r="KJ73">
        <v>95.0968</v>
      </c>
      <c r="KK73">
        <v>98.8441</v>
      </c>
    </row>
    <row r="74" spans="1:297">
      <c r="A74">
        <v>58</v>
      </c>
      <c r="B74">
        <v>1765308118.1</v>
      </c>
      <c r="C74">
        <v>10169.0999999046</v>
      </c>
      <c r="D74" t="s">
        <v>617</v>
      </c>
      <c r="E74" t="s">
        <v>618</v>
      </c>
      <c r="F74">
        <v>5</v>
      </c>
      <c r="G74" t="s">
        <v>603</v>
      </c>
      <c r="H74" t="s">
        <v>436</v>
      </c>
      <c r="I74">
        <v>1765308109.6</v>
      </c>
      <c r="J74">
        <f>(K74)/1000</f>
        <v>0</v>
      </c>
      <c r="K74">
        <f>IF(DP74, AN74, AH74)</f>
        <v>0</v>
      </c>
      <c r="L74">
        <f>IF(DP74, AI74, AG74)</f>
        <v>0</v>
      </c>
      <c r="M74">
        <f>DR74 - IF(AU74&gt;1, L74*DL74*100.0/(AW74), 0)</f>
        <v>0</v>
      </c>
      <c r="N74">
        <f>((T74-J74/2)*M74-L74)/(T74+J74/2)</f>
        <v>0</v>
      </c>
      <c r="O74">
        <f>N74*(DY74+DZ74)/1000.0</f>
        <v>0</v>
      </c>
      <c r="P74">
        <f>(DR74 - IF(AU74&gt;1, L74*DL74*100.0/(AW74), 0))*(DY74+DZ74)/1000.0</f>
        <v>0</v>
      </c>
      <c r="Q74">
        <f>2.0/((1/S74-1/R74)+SIGN(S74)*SQRT((1/S74-1/R74)*(1/S74-1/R74) + 4*DM74/((DM74+1)*(DM74+1))*(2*1/S74*1/R74-1/R74*1/R74)))</f>
        <v>0</v>
      </c>
      <c r="R74">
        <f>IF(LEFT(DN74,1)&lt;&gt;"0",IF(LEFT(DN74,1)="1",3.0,DO74),$D$5+$E$5*(EF74*DY74/($K$5*1000))+$F$5*(EF74*DY74/($K$5*1000))*MAX(MIN(DL74,$J$5),$I$5)*MAX(MIN(DL74,$J$5),$I$5)+$G$5*MAX(MIN(DL74,$J$5),$I$5)*(EF74*DY74/($K$5*1000))+$H$5*(EF74*DY74/($K$5*1000))*(EF74*DY74/($K$5*1000)))</f>
        <v>0</v>
      </c>
      <c r="S74">
        <f>J74*(1000-(1000*0.61365*exp(17.502*W74/(240.97+W74))/(DY74+DZ74)+DT74)/2)/(1000*0.61365*exp(17.502*W74/(240.97+W74))/(DY74+DZ74)-DT74)</f>
        <v>0</v>
      </c>
      <c r="T74">
        <f>1/((DM74+1)/(Q74/1.6)+1/(R74/1.37)) + DM74/((DM74+1)/(Q74/1.6) + DM74/(R74/1.37))</f>
        <v>0</v>
      </c>
      <c r="U74">
        <f>(DH74*DK74)</f>
        <v>0</v>
      </c>
      <c r="V74">
        <f>(EA74+(U74+2*0.95*5.67E-8*(((EA74+$B$7)+273)^4-(EA74+273)^4)-44100*J74)/(1.84*29.3*R74+8*0.95*5.67E-8*(EA74+273)^3))</f>
        <v>0</v>
      </c>
      <c r="W74">
        <f>($C$7*EB74+$D$7*EC74+$E$7*V74)</f>
        <v>0</v>
      </c>
      <c r="X74">
        <f>0.61365*exp(17.502*W74/(240.97+W74))</f>
        <v>0</v>
      </c>
      <c r="Y74">
        <f>(Z74/AA74*100)</f>
        <v>0</v>
      </c>
      <c r="Z74">
        <f>DT74*(DY74+DZ74)/1000</f>
        <v>0</v>
      </c>
      <c r="AA74">
        <f>0.61365*exp(17.502*EA74/(240.97+EA74))</f>
        <v>0</v>
      </c>
      <c r="AB74">
        <f>(X74-DT74*(DY74+DZ74)/1000)</f>
        <v>0</v>
      </c>
      <c r="AC74">
        <f>(-J74*44100)</f>
        <v>0</v>
      </c>
      <c r="AD74">
        <f>2*29.3*R74*0.92*(EA74-W74)</f>
        <v>0</v>
      </c>
      <c r="AE74">
        <f>2*0.95*5.67E-8*(((EA74+$B$7)+273)^4-(W74+273)^4)</f>
        <v>0</v>
      </c>
      <c r="AF74">
        <f>U74+AE74+AC74+AD74</f>
        <v>0</v>
      </c>
      <c r="AG74">
        <f>DX74*AU74*(DS74-DR74*(1000-AU74*DU74)/(1000-AU74*DT74))/(100*DL74)</f>
        <v>0</v>
      </c>
      <c r="AH74">
        <f>1000*DX74*AU74*(DT74-DU74)/(100*DL74*(1000-AU74*DT74))</f>
        <v>0</v>
      </c>
      <c r="AI74">
        <f>(AJ74 - AK74 - DY74*1E3/(8.314*(EA74+273.15)) * AM74/DX74 * AL74) * DX74/(100*DL74) * (1000 - DU74)/1000</f>
        <v>0</v>
      </c>
      <c r="AJ74">
        <v>407.182221875308</v>
      </c>
      <c r="AK74">
        <v>404.807018181818</v>
      </c>
      <c r="AL74">
        <v>-0.00254505697928099</v>
      </c>
      <c r="AM74">
        <v>64.1007336370065</v>
      </c>
      <c r="AN74">
        <f>(AP74 - AO74 + DY74*1E3/(8.314*(EA74+273.15)) * AR74/DX74 * AQ74) * DX74/(100*DL74) * 1000/(1000 - AP74)</f>
        <v>0</v>
      </c>
      <c r="AO74">
        <v>17.6163479243077</v>
      </c>
      <c r="AP74">
        <v>18.063086013986</v>
      </c>
      <c r="AQ74">
        <v>-3.14025621962736e-05</v>
      </c>
      <c r="AR74">
        <v>103.597983018299</v>
      </c>
      <c r="AS74">
        <v>6</v>
      </c>
      <c r="AT74">
        <v>1</v>
      </c>
      <c r="AU74">
        <f>IF(AS74*$H$13&gt;=AW74,1.0,(AW74/(AW74-AS74*$H$13)))</f>
        <v>0</v>
      </c>
      <c r="AV74">
        <f>(AU74-1)*100</f>
        <v>0</v>
      </c>
      <c r="AW74">
        <f>MAX(0,($B$13+$C$13*EF74)/(1+$D$13*EF74)*DY74/(EA74+273)*$E$13)</f>
        <v>0</v>
      </c>
      <c r="AX74" t="s">
        <v>437</v>
      </c>
      <c r="AY74" t="s">
        <v>437</v>
      </c>
      <c r="AZ74">
        <v>0</v>
      </c>
      <c r="BA74">
        <v>0</v>
      </c>
      <c r="BB74">
        <f>1-AZ74/BA74</f>
        <v>0</v>
      </c>
      <c r="BC74">
        <v>0</v>
      </c>
      <c r="BD74" t="s">
        <v>437</v>
      </c>
      <c r="BE74" t="s">
        <v>437</v>
      </c>
      <c r="BF74">
        <v>0</v>
      </c>
      <c r="BG74">
        <v>0</v>
      </c>
      <c r="BH74">
        <f>1-BF74/BG74</f>
        <v>0</v>
      </c>
      <c r="BI74">
        <v>0.5</v>
      </c>
      <c r="BJ74">
        <f>DI74</f>
        <v>0</v>
      </c>
      <c r="BK74">
        <f>L74</f>
        <v>0</v>
      </c>
      <c r="BL74">
        <f>BH74*BI74*BJ74</f>
        <v>0</v>
      </c>
      <c r="BM74">
        <f>(BK74-BC74)/BJ74</f>
        <v>0</v>
      </c>
      <c r="BN74">
        <f>(BA74-BG74)/BG74</f>
        <v>0</v>
      </c>
      <c r="BO74">
        <f>AZ74/(BB74+AZ74/BG74)</f>
        <v>0</v>
      </c>
      <c r="BP74" t="s">
        <v>437</v>
      </c>
      <c r="BQ74">
        <v>0</v>
      </c>
      <c r="BR74">
        <f>IF(BQ74&lt;&gt;0, BQ74, BO74)</f>
        <v>0</v>
      </c>
      <c r="BS74">
        <f>1-BR74/BG74</f>
        <v>0</v>
      </c>
      <c r="BT74">
        <f>(BG74-BF74)/(BG74-BR74)</f>
        <v>0</v>
      </c>
      <c r="BU74">
        <f>(BA74-BG74)/(BA74-BR74)</f>
        <v>0</v>
      </c>
      <c r="BV74">
        <f>(BG74-BF74)/(BG74-AZ74)</f>
        <v>0</v>
      </c>
      <c r="BW74">
        <f>(BA74-BG74)/(BA74-AZ74)</f>
        <v>0</v>
      </c>
      <c r="BX74">
        <f>(BT74*BR74/BF74)</f>
        <v>0</v>
      </c>
      <c r="BY74">
        <f>(1-BX74)</f>
        <v>0</v>
      </c>
      <c r="DH74">
        <f>$B$11*EG74+$C$11*EH74+$F$11*ES74*(1-EV74)</f>
        <v>0</v>
      </c>
      <c r="DI74">
        <f>DH74*DJ74</f>
        <v>0</v>
      </c>
      <c r="DJ74">
        <f>($B$11*$D$9+$C$11*$D$9+$F$11*((FF74+EX74)/MAX(FF74+EX74+FG74, 0.1)*$I$9+FG74/MAX(FF74+EX74+FG74, 0.1)*$J$9))/($B$11+$C$11+$F$11)</f>
        <v>0</v>
      </c>
      <c r="DK74">
        <f>($B$11*$K$9+$C$11*$K$9+$F$11*((FF74+EX74)/MAX(FF74+EX74+FG74, 0.1)*$P$9+FG74/MAX(FF74+EX74+FG74, 0.1)*$Q$9))/($B$11+$C$11+$F$11)</f>
        <v>0</v>
      </c>
      <c r="DL74">
        <v>6</v>
      </c>
      <c r="DM74">
        <v>0.5</v>
      </c>
      <c r="DN74" t="s">
        <v>438</v>
      </c>
      <c r="DO74">
        <v>2</v>
      </c>
      <c r="DP74" t="b">
        <v>1</v>
      </c>
      <c r="DQ74">
        <v>1765308109.6</v>
      </c>
      <c r="DR74">
        <v>397.7429375</v>
      </c>
      <c r="DS74">
        <v>400.0099375</v>
      </c>
      <c r="DT74">
        <v>18.0631125</v>
      </c>
      <c r="DU74">
        <v>17.6193125</v>
      </c>
      <c r="DV74">
        <v>390.0649375</v>
      </c>
      <c r="DW74">
        <v>17.9381125</v>
      </c>
      <c r="DX74">
        <v>499.9980625</v>
      </c>
      <c r="DY74">
        <v>89.7703375</v>
      </c>
      <c r="DZ74">
        <v>0.0999991375</v>
      </c>
      <c r="EA74">
        <v>25.3279375</v>
      </c>
      <c r="EB74">
        <v>24.98263125</v>
      </c>
      <c r="EC74">
        <v>999.9</v>
      </c>
      <c r="ED74">
        <v>0</v>
      </c>
      <c r="EE74">
        <v>0</v>
      </c>
      <c r="EF74">
        <v>9992.934375</v>
      </c>
      <c r="EG74">
        <v>0</v>
      </c>
      <c r="EH74">
        <v>13.85201875</v>
      </c>
      <c r="EI74">
        <v>-2.496341875</v>
      </c>
      <c r="EJ74">
        <v>404.827625</v>
      </c>
      <c r="EK74">
        <v>407.1841875</v>
      </c>
      <c r="EL74">
        <v>0.447399875</v>
      </c>
      <c r="EM74">
        <v>400.0099375</v>
      </c>
      <c r="EN74">
        <v>17.6193125</v>
      </c>
      <c r="EO74">
        <v>1.62185375</v>
      </c>
      <c r="EP74">
        <v>1.5816925</v>
      </c>
      <c r="EQ74">
        <v>14.1680125</v>
      </c>
      <c r="ER74">
        <v>13.781575</v>
      </c>
      <c r="ES74">
        <v>800.0065</v>
      </c>
      <c r="ET74">
        <v>0.949991875</v>
      </c>
      <c r="EU74">
        <v>0.0500081125</v>
      </c>
      <c r="EV74">
        <v>0</v>
      </c>
      <c r="EW74">
        <v>891.0115</v>
      </c>
      <c r="EX74">
        <v>5.00016</v>
      </c>
      <c r="EY74">
        <v>6889.67625</v>
      </c>
      <c r="EZ74">
        <v>7194.715</v>
      </c>
      <c r="FA74">
        <v>39.812</v>
      </c>
      <c r="FB74">
        <v>42.437</v>
      </c>
      <c r="FC74">
        <v>41.312</v>
      </c>
      <c r="FD74">
        <v>42.375</v>
      </c>
      <c r="FE74">
        <v>42.4960625</v>
      </c>
      <c r="FF74">
        <v>755.249375</v>
      </c>
      <c r="FG74">
        <v>39.75625</v>
      </c>
      <c r="FH74">
        <v>0</v>
      </c>
      <c r="FI74">
        <v>1765308118.3</v>
      </c>
      <c r="FJ74">
        <v>0</v>
      </c>
      <c r="FK74">
        <v>891.0042</v>
      </c>
      <c r="FL74">
        <v>0.348307684961795</v>
      </c>
      <c r="FM74">
        <v>-1.48461539190563</v>
      </c>
      <c r="FN74">
        <v>6889.864</v>
      </c>
      <c r="FO74">
        <v>15</v>
      </c>
      <c r="FP74">
        <v>1765308143.1</v>
      </c>
      <c r="FQ74" t="s">
        <v>619</v>
      </c>
      <c r="FR74">
        <v>1765308143.1</v>
      </c>
      <c r="FS74">
        <v>1765308138.1</v>
      </c>
      <c r="FT74">
        <v>58</v>
      </c>
      <c r="FU74">
        <v>0.22</v>
      </c>
      <c r="FV74">
        <v>0.004</v>
      </c>
      <c r="FW74">
        <v>7.678</v>
      </c>
      <c r="FX74">
        <v>0.125</v>
      </c>
      <c r="FY74">
        <v>400</v>
      </c>
      <c r="FZ74">
        <v>18</v>
      </c>
      <c r="GA74">
        <v>0.59</v>
      </c>
      <c r="GB74">
        <v>0.16</v>
      </c>
      <c r="GC74">
        <v>-2.524936</v>
      </c>
      <c r="GD74">
        <v>0.448171127819548</v>
      </c>
      <c r="GE74">
        <v>0.0621147384603686</v>
      </c>
      <c r="GF74">
        <v>1</v>
      </c>
      <c r="GG74">
        <v>890.941441176471</v>
      </c>
      <c r="GH74">
        <v>0.908831166044193</v>
      </c>
      <c r="GI74">
        <v>0.196579304633993</v>
      </c>
      <c r="GJ74">
        <v>-1</v>
      </c>
      <c r="GK74">
        <v>0.44648455</v>
      </c>
      <c r="GL74">
        <v>0.00981018045112819</v>
      </c>
      <c r="GM74">
        <v>0.00168755937599245</v>
      </c>
      <c r="GN74">
        <v>1</v>
      </c>
      <c r="GO74">
        <v>2</v>
      </c>
      <c r="GP74">
        <v>2</v>
      </c>
      <c r="GQ74" t="s">
        <v>440</v>
      </c>
      <c r="GR74">
        <v>3.12482</v>
      </c>
      <c r="GS74">
        <v>2.72576</v>
      </c>
      <c r="GT74">
        <v>0.0845737</v>
      </c>
      <c r="GU74">
        <v>0.0861879</v>
      </c>
      <c r="GV74">
        <v>0.0828805</v>
      </c>
      <c r="GW74">
        <v>0.0814616</v>
      </c>
      <c r="GX74">
        <v>24115.2</v>
      </c>
      <c r="GY74">
        <v>22347.1</v>
      </c>
      <c r="GZ74">
        <v>23551.4</v>
      </c>
      <c r="HA74">
        <v>23804.2</v>
      </c>
      <c r="HB74">
        <v>36783</v>
      </c>
      <c r="HC74">
        <v>36156.7</v>
      </c>
      <c r="HD74">
        <v>42422.8</v>
      </c>
      <c r="HE74">
        <v>42405.3</v>
      </c>
      <c r="HF74">
        <v>1.91425</v>
      </c>
      <c r="HG74">
        <v>1.837</v>
      </c>
      <c r="HH74">
        <v>0.0998229</v>
      </c>
      <c r="HI74">
        <v>0</v>
      </c>
      <c r="HJ74">
        <v>23.3573</v>
      </c>
      <c r="HK74">
        <v>999.9</v>
      </c>
      <c r="HL74">
        <v>45.581</v>
      </c>
      <c r="HM74">
        <v>29.416</v>
      </c>
      <c r="HN74">
        <v>20.9177</v>
      </c>
      <c r="HO74">
        <v>54.7067</v>
      </c>
      <c r="HP74">
        <v>46.3261</v>
      </c>
      <c r="HQ74">
        <v>1</v>
      </c>
      <c r="HR74">
        <v>-0.0867581</v>
      </c>
      <c r="HS74">
        <v>0.705452</v>
      </c>
      <c r="HT74">
        <v>20.2306</v>
      </c>
      <c r="HU74">
        <v>5.23406</v>
      </c>
      <c r="HV74">
        <v>11.992</v>
      </c>
      <c r="HW74">
        <v>4.95585</v>
      </c>
      <c r="HX74">
        <v>3.304</v>
      </c>
      <c r="HY74">
        <v>999.9</v>
      </c>
      <c r="HZ74">
        <v>9999</v>
      </c>
      <c r="IA74">
        <v>9999</v>
      </c>
      <c r="IB74">
        <v>9999</v>
      </c>
      <c r="IC74">
        <v>1.86869</v>
      </c>
      <c r="ID74">
        <v>1.86443</v>
      </c>
      <c r="IE74">
        <v>1.872</v>
      </c>
      <c r="IF74">
        <v>1.86293</v>
      </c>
      <c r="IG74">
        <v>1.86234</v>
      </c>
      <c r="IH74">
        <v>1.86874</v>
      </c>
      <c r="II74">
        <v>1.85886</v>
      </c>
      <c r="IJ74">
        <v>1.86526</v>
      </c>
      <c r="IK74">
        <v>5</v>
      </c>
      <c r="IL74">
        <v>0</v>
      </c>
      <c r="IM74">
        <v>0</v>
      </c>
      <c r="IN74">
        <v>0</v>
      </c>
      <c r="IO74" t="s">
        <v>441</v>
      </c>
      <c r="IP74" t="s">
        <v>442</v>
      </c>
      <c r="IQ74" t="s">
        <v>443</v>
      </c>
      <c r="IR74" t="s">
        <v>443</v>
      </c>
      <c r="IS74" t="s">
        <v>443</v>
      </c>
      <c r="IT74" t="s">
        <v>443</v>
      </c>
      <c r="IU74">
        <v>0</v>
      </c>
      <c r="IV74">
        <v>100</v>
      </c>
      <c r="IW74">
        <v>100</v>
      </c>
      <c r="IX74">
        <v>7.678</v>
      </c>
      <c r="IY74">
        <v>0.125</v>
      </c>
      <c r="IZ74">
        <v>5.44728630120165</v>
      </c>
      <c r="JA74">
        <v>0.0062698613543794</v>
      </c>
      <c r="JB74">
        <v>-3.23243345529816e-06</v>
      </c>
      <c r="JC74">
        <v>8.00506428382295e-10</v>
      </c>
      <c r="JD74">
        <v>-0.0341961045864689</v>
      </c>
      <c r="JE74">
        <v>-0.0018464610107002</v>
      </c>
      <c r="JF74">
        <v>0.000796540623429801</v>
      </c>
      <c r="JG74">
        <v>-1.04619914107352e-05</v>
      </c>
      <c r="JH74">
        <v>-0</v>
      </c>
      <c r="JI74">
        <v>2101</v>
      </c>
      <c r="JJ74">
        <v>1</v>
      </c>
      <c r="JK74">
        <v>23</v>
      </c>
      <c r="JL74">
        <v>1.4</v>
      </c>
      <c r="JM74">
        <v>1.6</v>
      </c>
      <c r="JN74">
        <v>1.01074</v>
      </c>
      <c r="JO74">
        <v>2.39502</v>
      </c>
      <c r="JP74">
        <v>1.49902</v>
      </c>
      <c r="JQ74">
        <v>2.33276</v>
      </c>
      <c r="JR74">
        <v>1.54419</v>
      </c>
      <c r="JS74">
        <v>2.27295</v>
      </c>
      <c r="JT74">
        <v>35.3596</v>
      </c>
      <c r="JU74">
        <v>24.3414</v>
      </c>
      <c r="JV74">
        <v>18</v>
      </c>
      <c r="JW74">
        <v>539.154</v>
      </c>
      <c r="JX74">
        <v>433.099</v>
      </c>
      <c r="JY74">
        <v>22.44</v>
      </c>
      <c r="JZ74">
        <v>26.3871</v>
      </c>
      <c r="KA74">
        <v>29.9998</v>
      </c>
      <c r="KB74">
        <v>26.4334</v>
      </c>
      <c r="KC74">
        <v>26.463</v>
      </c>
      <c r="KD74">
        <v>20.2822</v>
      </c>
      <c r="KE74">
        <v>26.7799</v>
      </c>
      <c r="KF74">
        <v>84.8864</v>
      </c>
      <c r="KG74">
        <v>22.4427</v>
      </c>
      <c r="KH74">
        <v>400</v>
      </c>
      <c r="KI74">
        <v>17.6117</v>
      </c>
      <c r="KJ74">
        <v>95.1098</v>
      </c>
      <c r="KK74">
        <v>98.8657</v>
      </c>
    </row>
    <row r="75" spans="1:297">
      <c r="A75">
        <v>59</v>
      </c>
      <c r="B75">
        <v>1765308205.1</v>
      </c>
      <c r="C75">
        <v>10256.0999999046</v>
      </c>
      <c r="D75" t="s">
        <v>620</v>
      </c>
      <c r="E75" t="s">
        <v>621</v>
      </c>
      <c r="F75">
        <v>5</v>
      </c>
      <c r="G75" t="s">
        <v>603</v>
      </c>
      <c r="H75" t="s">
        <v>436</v>
      </c>
      <c r="I75">
        <v>1765308197.1</v>
      </c>
      <c r="J75">
        <f>(K75)/1000</f>
        <v>0</v>
      </c>
      <c r="K75">
        <f>IF(DP75, AN75, AH75)</f>
        <v>0</v>
      </c>
      <c r="L75">
        <f>IF(DP75, AI75, AG75)</f>
        <v>0</v>
      </c>
      <c r="M75">
        <f>DR75 - IF(AU75&gt;1, L75*DL75*100.0/(AW75), 0)</f>
        <v>0</v>
      </c>
      <c r="N75">
        <f>((T75-J75/2)*M75-L75)/(T75+J75/2)</f>
        <v>0</v>
      </c>
      <c r="O75">
        <f>N75*(DY75+DZ75)/1000.0</f>
        <v>0</v>
      </c>
      <c r="P75">
        <f>(DR75 - IF(AU75&gt;1, L75*DL75*100.0/(AW75), 0))*(DY75+DZ75)/1000.0</f>
        <v>0</v>
      </c>
      <c r="Q75">
        <f>2.0/((1/S75-1/R75)+SIGN(S75)*SQRT((1/S75-1/R75)*(1/S75-1/R75) + 4*DM75/((DM75+1)*(DM75+1))*(2*1/S75*1/R75-1/R75*1/R75)))</f>
        <v>0</v>
      </c>
      <c r="R75">
        <f>IF(LEFT(DN75,1)&lt;&gt;"0",IF(LEFT(DN75,1)="1",3.0,DO75),$D$5+$E$5*(EF75*DY75/($K$5*1000))+$F$5*(EF75*DY75/($K$5*1000))*MAX(MIN(DL75,$J$5),$I$5)*MAX(MIN(DL75,$J$5),$I$5)+$G$5*MAX(MIN(DL75,$J$5),$I$5)*(EF75*DY75/($K$5*1000))+$H$5*(EF75*DY75/($K$5*1000))*(EF75*DY75/($K$5*1000)))</f>
        <v>0</v>
      </c>
      <c r="S75">
        <f>J75*(1000-(1000*0.61365*exp(17.502*W75/(240.97+W75))/(DY75+DZ75)+DT75)/2)/(1000*0.61365*exp(17.502*W75/(240.97+W75))/(DY75+DZ75)-DT75)</f>
        <v>0</v>
      </c>
      <c r="T75">
        <f>1/((DM75+1)/(Q75/1.6)+1/(R75/1.37)) + DM75/((DM75+1)/(Q75/1.6) + DM75/(R75/1.37))</f>
        <v>0</v>
      </c>
      <c r="U75">
        <f>(DH75*DK75)</f>
        <v>0</v>
      </c>
      <c r="V75">
        <f>(EA75+(U75+2*0.95*5.67E-8*(((EA75+$B$7)+273)^4-(EA75+273)^4)-44100*J75)/(1.84*29.3*R75+8*0.95*5.67E-8*(EA75+273)^3))</f>
        <v>0</v>
      </c>
      <c r="W75">
        <f>($C$7*EB75+$D$7*EC75+$E$7*V75)</f>
        <v>0</v>
      </c>
      <c r="X75">
        <f>0.61365*exp(17.502*W75/(240.97+W75))</f>
        <v>0</v>
      </c>
      <c r="Y75">
        <f>(Z75/AA75*100)</f>
        <v>0</v>
      </c>
      <c r="Z75">
        <f>DT75*(DY75+DZ75)/1000</f>
        <v>0</v>
      </c>
      <c r="AA75">
        <f>0.61365*exp(17.502*EA75/(240.97+EA75))</f>
        <v>0</v>
      </c>
      <c r="AB75">
        <f>(X75-DT75*(DY75+DZ75)/1000)</f>
        <v>0</v>
      </c>
      <c r="AC75">
        <f>(-J75*44100)</f>
        <v>0</v>
      </c>
      <c r="AD75">
        <f>2*29.3*R75*0.92*(EA75-W75)</f>
        <v>0</v>
      </c>
      <c r="AE75">
        <f>2*0.95*5.67E-8*(((EA75+$B$7)+273)^4-(W75+273)^4)</f>
        <v>0</v>
      </c>
      <c r="AF75">
        <f>U75+AE75+AC75+AD75</f>
        <v>0</v>
      </c>
      <c r="AG75">
        <f>DX75*AU75*(DS75-DR75*(1000-AU75*DU75)/(1000-AU75*DT75))/(100*DL75)</f>
        <v>0</v>
      </c>
      <c r="AH75">
        <f>1000*DX75*AU75*(DT75-DU75)/(100*DL75*(1000-AU75*DT75))</f>
        <v>0</v>
      </c>
      <c r="AI75">
        <f>(AJ75 - AK75 - DY75*1E3/(8.314*(EA75+273.15)) * AM75/DX75 * AL75) * DX75/(100*DL75) * (1000 - DU75)/1000</f>
        <v>0</v>
      </c>
      <c r="AJ75">
        <v>407.165091713544</v>
      </c>
      <c r="AK75">
        <v>405.075139393939</v>
      </c>
      <c r="AL75">
        <v>0.00730489271115836</v>
      </c>
      <c r="AM75">
        <v>64.1427254791749</v>
      </c>
      <c r="AN75">
        <f>(AP75 - AO75 + DY75*1E3/(8.314*(EA75+273.15)) * AR75/DX75 * AQ75) * DX75/(100*DL75) * 1000/(1000 - AP75)</f>
        <v>0</v>
      </c>
      <c r="AO75">
        <v>17.5846407238589</v>
      </c>
      <c r="AP75">
        <v>18.0476615384616</v>
      </c>
      <c r="AQ75">
        <v>-9.28860020433062e-05</v>
      </c>
      <c r="AR75">
        <v>103.959954069749</v>
      </c>
      <c r="AS75">
        <v>6</v>
      </c>
      <c r="AT75">
        <v>1</v>
      </c>
      <c r="AU75">
        <f>IF(AS75*$H$13&gt;=AW75,1.0,(AW75/(AW75-AS75*$H$13)))</f>
        <v>0</v>
      </c>
      <c r="AV75">
        <f>(AU75-1)*100</f>
        <v>0</v>
      </c>
      <c r="AW75">
        <f>MAX(0,($B$13+$C$13*EF75)/(1+$D$13*EF75)*DY75/(EA75+273)*$E$13)</f>
        <v>0</v>
      </c>
      <c r="AX75" t="s">
        <v>437</v>
      </c>
      <c r="AY75" t="s">
        <v>437</v>
      </c>
      <c r="AZ75">
        <v>0</v>
      </c>
      <c r="BA75">
        <v>0</v>
      </c>
      <c r="BB75">
        <f>1-AZ75/BA75</f>
        <v>0</v>
      </c>
      <c r="BC75">
        <v>0</v>
      </c>
      <c r="BD75" t="s">
        <v>437</v>
      </c>
      <c r="BE75" t="s">
        <v>437</v>
      </c>
      <c r="BF75">
        <v>0</v>
      </c>
      <c r="BG75">
        <v>0</v>
      </c>
      <c r="BH75">
        <f>1-BF75/BG75</f>
        <v>0</v>
      </c>
      <c r="BI75">
        <v>0.5</v>
      </c>
      <c r="BJ75">
        <f>DI75</f>
        <v>0</v>
      </c>
      <c r="BK75">
        <f>L75</f>
        <v>0</v>
      </c>
      <c r="BL75">
        <f>BH75*BI75*BJ75</f>
        <v>0</v>
      </c>
      <c r="BM75">
        <f>(BK75-BC75)/BJ75</f>
        <v>0</v>
      </c>
      <c r="BN75">
        <f>(BA75-BG75)/BG75</f>
        <v>0</v>
      </c>
      <c r="BO75">
        <f>AZ75/(BB75+AZ75/BG75)</f>
        <v>0</v>
      </c>
      <c r="BP75" t="s">
        <v>437</v>
      </c>
      <c r="BQ75">
        <v>0</v>
      </c>
      <c r="BR75">
        <f>IF(BQ75&lt;&gt;0, BQ75, BO75)</f>
        <v>0</v>
      </c>
      <c r="BS75">
        <f>1-BR75/BG75</f>
        <v>0</v>
      </c>
      <c r="BT75">
        <f>(BG75-BF75)/(BG75-BR75)</f>
        <v>0</v>
      </c>
      <c r="BU75">
        <f>(BA75-BG75)/(BA75-BR75)</f>
        <v>0</v>
      </c>
      <c r="BV75">
        <f>(BG75-BF75)/(BG75-AZ75)</f>
        <v>0</v>
      </c>
      <c r="BW75">
        <f>(BA75-BG75)/(BA75-AZ75)</f>
        <v>0</v>
      </c>
      <c r="BX75">
        <f>(BT75*BR75/BF75)</f>
        <v>0</v>
      </c>
      <c r="BY75">
        <f>(1-BX75)</f>
        <v>0</v>
      </c>
      <c r="DH75">
        <f>$B$11*EG75+$C$11*EH75+$F$11*ES75*(1-EV75)</f>
        <v>0</v>
      </c>
      <c r="DI75">
        <f>DH75*DJ75</f>
        <v>0</v>
      </c>
      <c r="DJ75">
        <f>($B$11*$D$9+$C$11*$D$9+$F$11*((FF75+EX75)/MAX(FF75+EX75+FG75, 0.1)*$I$9+FG75/MAX(FF75+EX75+FG75, 0.1)*$J$9))/($B$11+$C$11+$F$11)</f>
        <v>0</v>
      </c>
      <c r="DK75">
        <f>($B$11*$K$9+$C$11*$K$9+$F$11*((FF75+EX75)/MAX(FF75+EX75+FG75, 0.1)*$P$9+FG75/MAX(FF75+EX75+FG75, 0.1)*$Q$9))/($B$11+$C$11+$F$11)</f>
        <v>0</v>
      </c>
      <c r="DL75">
        <v>6</v>
      </c>
      <c r="DM75">
        <v>0.5</v>
      </c>
      <c r="DN75" t="s">
        <v>438</v>
      </c>
      <c r="DO75">
        <v>2</v>
      </c>
      <c r="DP75" t="b">
        <v>1</v>
      </c>
      <c r="DQ75">
        <v>1765308197.1</v>
      </c>
      <c r="DR75">
        <v>397.798133333333</v>
      </c>
      <c r="DS75">
        <v>400.009266666667</v>
      </c>
      <c r="DT75">
        <v>18.04954</v>
      </c>
      <c r="DU75">
        <v>17.5888333333333</v>
      </c>
      <c r="DV75">
        <v>390.103133333333</v>
      </c>
      <c r="DW75">
        <v>17.92354</v>
      </c>
      <c r="DX75">
        <v>499.999133333333</v>
      </c>
      <c r="DY75">
        <v>89.7617133333333</v>
      </c>
      <c r="DZ75">
        <v>0.0999362266666667</v>
      </c>
      <c r="EA75">
        <v>25.3680866666667</v>
      </c>
      <c r="EB75">
        <v>24.99652</v>
      </c>
      <c r="EC75">
        <v>999.9</v>
      </c>
      <c r="ED75">
        <v>0</v>
      </c>
      <c r="EE75">
        <v>0</v>
      </c>
      <c r="EF75">
        <v>10014.622</v>
      </c>
      <c r="EG75">
        <v>0</v>
      </c>
      <c r="EH75">
        <v>13.84424</v>
      </c>
      <c r="EI75">
        <v>-2.23749333333333</v>
      </c>
      <c r="EJ75">
        <v>405.086133333333</v>
      </c>
      <c r="EK75">
        <v>407.1708</v>
      </c>
      <c r="EL75">
        <v>0.467308266666667</v>
      </c>
      <c r="EM75">
        <v>400.009266666667</v>
      </c>
      <c r="EN75">
        <v>17.5888333333333</v>
      </c>
      <c r="EO75">
        <v>1.62075</v>
      </c>
      <c r="EP75">
        <v>1.57880466666667</v>
      </c>
      <c r="EQ75">
        <v>14.1575</v>
      </c>
      <c r="ER75">
        <v>13.7534666666667</v>
      </c>
      <c r="ES75">
        <v>799.9638</v>
      </c>
      <c r="ET75">
        <v>0.949996666666666</v>
      </c>
      <c r="EU75">
        <v>0.0500034333333333</v>
      </c>
      <c r="EV75">
        <v>0</v>
      </c>
      <c r="EW75">
        <v>891.1334</v>
      </c>
      <c r="EX75">
        <v>5.00016</v>
      </c>
      <c r="EY75">
        <v>6890.452</v>
      </c>
      <c r="EZ75">
        <v>7194.34</v>
      </c>
      <c r="FA75">
        <v>39.75</v>
      </c>
      <c r="FB75">
        <v>42.375</v>
      </c>
      <c r="FC75">
        <v>41.25</v>
      </c>
      <c r="FD75">
        <v>42.375</v>
      </c>
      <c r="FE75">
        <v>42.437</v>
      </c>
      <c r="FF75">
        <v>755.214</v>
      </c>
      <c r="FG75">
        <v>39.75</v>
      </c>
      <c r="FH75">
        <v>0</v>
      </c>
      <c r="FI75">
        <v>1765308205.3</v>
      </c>
      <c r="FJ75">
        <v>0</v>
      </c>
      <c r="FK75">
        <v>891.125923076923</v>
      </c>
      <c r="FL75">
        <v>-0.490871803339324</v>
      </c>
      <c r="FM75">
        <v>0.370940156345234</v>
      </c>
      <c r="FN75">
        <v>6890.355</v>
      </c>
      <c r="FO75">
        <v>15</v>
      </c>
      <c r="FP75">
        <v>1765308228.1</v>
      </c>
      <c r="FQ75" t="s">
        <v>622</v>
      </c>
      <c r="FR75">
        <v>1765308228.1</v>
      </c>
      <c r="FS75">
        <v>1765308225.1</v>
      </c>
      <c r="FT75">
        <v>59</v>
      </c>
      <c r="FU75">
        <v>0.017</v>
      </c>
      <c r="FV75">
        <v>0.001</v>
      </c>
      <c r="FW75">
        <v>7.695</v>
      </c>
      <c r="FX75">
        <v>0.126</v>
      </c>
      <c r="FY75">
        <v>400</v>
      </c>
      <c r="FZ75">
        <v>18</v>
      </c>
      <c r="GA75">
        <v>1.08</v>
      </c>
      <c r="GB75">
        <v>0.17</v>
      </c>
      <c r="GC75">
        <v>-2.252292</v>
      </c>
      <c r="GD75">
        <v>0.163140451127822</v>
      </c>
      <c r="GE75">
        <v>0.052553473681575</v>
      </c>
      <c r="GF75">
        <v>1</v>
      </c>
      <c r="GG75">
        <v>891.132205882353</v>
      </c>
      <c r="GH75">
        <v>-0.226508788820048</v>
      </c>
      <c r="GI75">
        <v>0.173656486373287</v>
      </c>
      <c r="GJ75">
        <v>-1</v>
      </c>
      <c r="GK75">
        <v>0.4693269</v>
      </c>
      <c r="GL75">
        <v>-0.0436661954887217</v>
      </c>
      <c r="GM75">
        <v>0.00445179035782235</v>
      </c>
      <c r="GN75">
        <v>1</v>
      </c>
      <c r="GO75">
        <v>2</v>
      </c>
      <c r="GP75">
        <v>2</v>
      </c>
      <c r="GQ75" t="s">
        <v>440</v>
      </c>
      <c r="GR75">
        <v>3.12484</v>
      </c>
      <c r="GS75">
        <v>2.72597</v>
      </c>
      <c r="GT75">
        <v>0.0845986</v>
      </c>
      <c r="GU75">
        <v>0.0861972</v>
      </c>
      <c r="GV75">
        <v>0.0828161</v>
      </c>
      <c r="GW75">
        <v>0.0813572</v>
      </c>
      <c r="GX75">
        <v>24119.1</v>
      </c>
      <c r="GY75">
        <v>22351.6</v>
      </c>
      <c r="GZ75">
        <v>23555.4</v>
      </c>
      <c r="HA75">
        <v>23808.9</v>
      </c>
      <c r="HB75">
        <v>36790.4</v>
      </c>
      <c r="HC75">
        <v>36167.5</v>
      </c>
      <c r="HD75">
        <v>42428.4</v>
      </c>
      <c r="HE75">
        <v>42413</v>
      </c>
      <c r="HF75">
        <v>1.91518</v>
      </c>
      <c r="HG75">
        <v>1.8387</v>
      </c>
      <c r="HH75">
        <v>0.102684</v>
      </c>
      <c r="HI75">
        <v>0</v>
      </c>
      <c r="HJ75">
        <v>23.3137</v>
      </c>
      <c r="HK75">
        <v>999.9</v>
      </c>
      <c r="HL75">
        <v>45.581</v>
      </c>
      <c r="HM75">
        <v>29.356</v>
      </c>
      <c r="HN75">
        <v>20.8476</v>
      </c>
      <c r="HO75">
        <v>54.5867</v>
      </c>
      <c r="HP75">
        <v>46.1338</v>
      </c>
      <c r="HQ75">
        <v>1</v>
      </c>
      <c r="HR75">
        <v>-0.0942251</v>
      </c>
      <c r="HS75">
        <v>0.595362</v>
      </c>
      <c r="HT75">
        <v>20.2307</v>
      </c>
      <c r="HU75">
        <v>5.23496</v>
      </c>
      <c r="HV75">
        <v>11.992</v>
      </c>
      <c r="HW75">
        <v>4.9558</v>
      </c>
      <c r="HX75">
        <v>3.304</v>
      </c>
      <c r="HY75">
        <v>999.9</v>
      </c>
      <c r="HZ75">
        <v>9999</v>
      </c>
      <c r="IA75">
        <v>9999</v>
      </c>
      <c r="IB75">
        <v>9999</v>
      </c>
      <c r="IC75">
        <v>1.86864</v>
      </c>
      <c r="ID75">
        <v>1.86444</v>
      </c>
      <c r="IE75">
        <v>1.87197</v>
      </c>
      <c r="IF75">
        <v>1.86294</v>
      </c>
      <c r="IG75">
        <v>1.86234</v>
      </c>
      <c r="IH75">
        <v>1.86874</v>
      </c>
      <c r="II75">
        <v>1.85891</v>
      </c>
      <c r="IJ75">
        <v>1.86525</v>
      </c>
      <c r="IK75">
        <v>5</v>
      </c>
      <c r="IL75">
        <v>0</v>
      </c>
      <c r="IM75">
        <v>0</v>
      </c>
      <c r="IN75">
        <v>0</v>
      </c>
      <c r="IO75" t="s">
        <v>441</v>
      </c>
      <c r="IP75" t="s">
        <v>442</v>
      </c>
      <c r="IQ75" t="s">
        <v>443</v>
      </c>
      <c r="IR75" t="s">
        <v>443</v>
      </c>
      <c r="IS75" t="s">
        <v>443</v>
      </c>
      <c r="IT75" t="s">
        <v>443</v>
      </c>
      <c r="IU75">
        <v>0</v>
      </c>
      <c r="IV75">
        <v>100</v>
      </c>
      <c r="IW75">
        <v>100</v>
      </c>
      <c r="IX75">
        <v>7.695</v>
      </c>
      <c r="IY75">
        <v>0.126</v>
      </c>
      <c r="IZ75">
        <v>5.66726010122778</v>
      </c>
      <c r="JA75">
        <v>0.0062698613543794</v>
      </c>
      <c r="JB75">
        <v>-3.23243345529816e-06</v>
      </c>
      <c r="JC75">
        <v>8.00506428382295e-10</v>
      </c>
      <c r="JD75">
        <v>-0.0299433697432716</v>
      </c>
      <c r="JE75">
        <v>-0.0018464610107002</v>
      </c>
      <c r="JF75">
        <v>0.000796540623429801</v>
      </c>
      <c r="JG75">
        <v>-1.04619914107352e-05</v>
      </c>
      <c r="JH75">
        <v>-0</v>
      </c>
      <c r="JI75">
        <v>2101</v>
      </c>
      <c r="JJ75">
        <v>1</v>
      </c>
      <c r="JK75">
        <v>23</v>
      </c>
      <c r="JL75">
        <v>1</v>
      </c>
      <c r="JM75">
        <v>1.1</v>
      </c>
      <c r="JN75">
        <v>1.01074</v>
      </c>
      <c r="JO75">
        <v>2.3938</v>
      </c>
      <c r="JP75">
        <v>1.4978</v>
      </c>
      <c r="JQ75">
        <v>2.33276</v>
      </c>
      <c r="JR75">
        <v>1.54419</v>
      </c>
      <c r="JS75">
        <v>2.27295</v>
      </c>
      <c r="JT75">
        <v>35.3133</v>
      </c>
      <c r="JU75">
        <v>24.3327</v>
      </c>
      <c r="JV75">
        <v>18</v>
      </c>
      <c r="JW75">
        <v>539.113</v>
      </c>
      <c r="JX75">
        <v>433.549</v>
      </c>
      <c r="JY75">
        <v>22.6631</v>
      </c>
      <c r="JZ75">
        <v>26.3028</v>
      </c>
      <c r="KA75">
        <v>29.9997</v>
      </c>
      <c r="KB75">
        <v>26.3606</v>
      </c>
      <c r="KC75">
        <v>26.3916</v>
      </c>
      <c r="KD75">
        <v>20.2773</v>
      </c>
      <c r="KE75">
        <v>26.7268</v>
      </c>
      <c r="KF75">
        <v>85.0325</v>
      </c>
      <c r="KG75">
        <v>22.6624</v>
      </c>
      <c r="KH75">
        <v>400</v>
      </c>
      <c r="KI75">
        <v>17.6058</v>
      </c>
      <c r="KJ75">
        <v>95.1236</v>
      </c>
      <c r="KK75">
        <v>98.884</v>
      </c>
    </row>
    <row r="76" spans="1:297">
      <c r="A76">
        <v>60</v>
      </c>
      <c r="B76">
        <v>1765308301.1</v>
      </c>
      <c r="C76">
        <v>10352.0999999046</v>
      </c>
      <c r="D76" t="s">
        <v>623</v>
      </c>
      <c r="E76" t="s">
        <v>624</v>
      </c>
      <c r="F76">
        <v>5</v>
      </c>
      <c r="G76" t="s">
        <v>603</v>
      </c>
      <c r="H76" t="s">
        <v>436</v>
      </c>
      <c r="I76">
        <v>1765308292.6</v>
      </c>
      <c r="J76">
        <f>(K76)/1000</f>
        <v>0</v>
      </c>
      <c r="K76">
        <f>IF(DP76, AN76, AH76)</f>
        <v>0</v>
      </c>
      <c r="L76">
        <f>IF(DP76, AI76, AG76)</f>
        <v>0</v>
      </c>
      <c r="M76">
        <f>DR76 - IF(AU76&gt;1, L76*DL76*100.0/(AW76), 0)</f>
        <v>0</v>
      </c>
      <c r="N76">
        <f>((T76-J76/2)*M76-L76)/(T76+J76/2)</f>
        <v>0</v>
      </c>
      <c r="O76">
        <f>N76*(DY76+DZ76)/1000.0</f>
        <v>0</v>
      </c>
      <c r="P76">
        <f>(DR76 - IF(AU76&gt;1, L76*DL76*100.0/(AW76), 0))*(DY76+DZ76)/1000.0</f>
        <v>0</v>
      </c>
      <c r="Q76">
        <f>2.0/((1/S76-1/R76)+SIGN(S76)*SQRT((1/S76-1/R76)*(1/S76-1/R76) + 4*DM76/((DM76+1)*(DM76+1))*(2*1/S76*1/R76-1/R76*1/R76)))</f>
        <v>0</v>
      </c>
      <c r="R76">
        <f>IF(LEFT(DN76,1)&lt;&gt;"0",IF(LEFT(DN76,1)="1",3.0,DO76),$D$5+$E$5*(EF76*DY76/($K$5*1000))+$F$5*(EF76*DY76/($K$5*1000))*MAX(MIN(DL76,$J$5),$I$5)*MAX(MIN(DL76,$J$5),$I$5)+$G$5*MAX(MIN(DL76,$J$5),$I$5)*(EF76*DY76/($K$5*1000))+$H$5*(EF76*DY76/($K$5*1000))*(EF76*DY76/($K$5*1000)))</f>
        <v>0</v>
      </c>
      <c r="S76">
        <f>J76*(1000-(1000*0.61365*exp(17.502*W76/(240.97+W76))/(DY76+DZ76)+DT76)/2)/(1000*0.61365*exp(17.502*W76/(240.97+W76))/(DY76+DZ76)-DT76)</f>
        <v>0</v>
      </c>
      <c r="T76">
        <f>1/((DM76+1)/(Q76/1.6)+1/(R76/1.37)) + DM76/((DM76+1)/(Q76/1.6) + DM76/(R76/1.37))</f>
        <v>0</v>
      </c>
      <c r="U76">
        <f>(DH76*DK76)</f>
        <v>0</v>
      </c>
      <c r="V76">
        <f>(EA76+(U76+2*0.95*5.67E-8*(((EA76+$B$7)+273)^4-(EA76+273)^4)-44100*J76)/(1.84*29.3*R76+8*0.95*5.67E-8*(EA76+273)^3))</f>
        <v>0</v>
      </c>
      <c r="W76">
        <f>($C$7*EB76+$D$7*EC76+$E$7*V76)</f>
        <v>0</v>
      </c>
      <c r="X76">
        <f>0.61365*exp(17.502*W76/(240.97+W76))</f>
        <v>0</v>
      </c>
      <c r="Y76">
        <f>(Z76/AA76*100)</f>
        <v>0</v>
      </c>
      <c r="Z76">
        <f>DT76*(DY76+DZ76)/1000</f>
        <v>0</v>
      </c>
      <c r="AA76">
        <f>0.61365*exp(17.502*EA76/(240.97+EA76))</f>
        <v>0</v>
      </c>
      <c r="AB76">
        <f>(X76-DT76*(DY76+DZ76)/1000)</f>
        <v>0</v>
      </c>
      <c r="AC76">
        <f>(-J76*44100)</f>
        <v>0</v>
      </c>
      <c r="AD76">
        <f>2*29.3*R76*0.92*(EA76-W76)</f>
        <v>0</v>
      </c>
      <c r="AE76">
        <f>2*0.95*5.67E-8*(((EA76+$B$7)+273)^4-(W76+273)^4)</f>
        <v>0</v>
      </c>
      <c r="AF76">
        <f>U76+AE76+AC76+AD76</f>
        <v>0</v>
      </c>
      <c r="AG76">
        <f>DX76*AU76*(DS76-DR76*(1000-AU76*DU76)/(1000-AU76*DT76))/(100*DL76)</f>
        <v>0</v>
      </c>
      <c r="AH76">
        <f>1000*DX76*AU76*(DT76-DU76)/(100*DL76*(1000-AU76*DT76))</f>
        <v>0</v>
      </c>
      <c r="AI76">
        <f>(AJ76 - AK76 - DY76*1E3/(8.314*(EA76+273.15)) * AM76/DX76 * AL76) * DX76/(100*DL76) * (1000 - DU76)/1000</f>
        <v>0</v>
      </c>
      <c r="AJ76">
        <v>610.74352614498</v>
      </c>
      <c r="AK76">
        <v>607.406333333333</v>
      </c>
      <c r="AL76">
        <v>-0.000382283185767889</v>
      </c>
      <c r="AM76">
        <v>63.9927882935765</v>
      </c>
      <c r="AN76">
        <f>(AP76 - AO76 + DY76*1E3/(8.314*(EA76+273.15)) * AR76/DX76 * AQ76) * DX76/(100*DL76) * 1000/(1000 - AP76)</f>
        <v>0</v>
      </c>
      <c r="AO76">
        <v>17.6205205062006</v>
      </c>
      <c r="AP76">
        <v>18.0804781818182</v>
      </c>
      <c r="AQ76">
        <v>-4.56325947148451e-05</v>
      </c>
      <c r="AR76">
        <v>104.164494683052</v>
      </c>
      <c r="AS76">
        <v>6</v>
      </c>
      <c r="AT76">
        <v>1</v>
      </c>
      <c r="AU76">
        <f>IF(AS76*$H$13&gt;=AW76,1.0,(AW76/(AW76-AS76*$H$13)))</f>
        <v>0</v>
      </c>
      <c r="AV76">
        <f>(AU76-1)*100</f>
        <v>0</v>
      </c>
      <c r="AW76">
        <f>MAX(0,($B$13+$C$13*EF76)/(1+$D$13*EF76)*DY76/(EA76+273)*$E$13)</f>
        <v>0</v>
      </c>
      <c r="AX76" t="s">
        <v>437</v>
      </c>
      <c r="AY76" t="s">
        <v>437</v>
      </c>
      <c r="AZ76">
        <v>0</v>
      </c>
      <c r="BA76">
        <v>0</v>
      </c>
      <c r="BB76">
        <f>1-AZ76/BA76</f>
        <v>0</v>
      </c>
      <c r="BC76">
        <v>0</v>
      </c>
      <c r="BD76" t="s">
        <v>437</v>
      </c>
      <c r="BE76" t="s">
        <v>437</v>
      </c>
      <c r="BF76">
        <v>0</v>
      </c>
      <c r="BG76">
        <v>0</v>
      </c>
      <c r="BH76">
        <f>1-BF76/BG76</f>
        <v>0</v>
      </c>
      <c r="BI76">
        <v>0.5</v>
      </c>
      <c r="BJ76">
        <f>DI76</f>
        <v>0</v>
      </c>
      <c r="BK76">
        <f>L76</f>
        <v>0</v>
      </c>
      <c r="BL76">
        <f>BH76*BI76*BJ76</f>
        <v>0</v>
      </c>
      <c r="BM76">
        <f>(BK76-BC76)/BJ76</f>
        <v>0</v>
      </c>
      <c r="BN76">
        <f>(BA76-BG76)/BG76</f>
        <v>0</v>
      </c>
      <c r="BO76">
        <f>AZ76/(BB76+AZ76/BG76)</f>
        <v>0</v>
      </c>
      <c r="BP76" t="s">
        <v>437</v>
      </c>
      <c r="BQ76">
        <v>0</v>
      </c>
      <c r="BR76">
        <f>IF(BQ76&lt;&gt;0, BQ76, BO76)</f>
        <v>0</v>
      </c>
      <c r="BS76">
        <f>1-BR76/BG76</f>
        <v>0</v>
      </c>
      <c r="BT76">
        <f>(BG76-BF76)/(BG76-BR76)</f>
        <v>0</v>
      </c>
      <c r="BU76">
        <f>(BA76-BG76)/(BA76-BR76)</f>
        <v>0</v>
      </c>
      <c r="BV76">
        <f>(BG76-BF76)/(BG76-AZ76)</f>
        <v>0</v>
      </c>
      <c r="BW76">
        <f>(BA76-BG76)/(BA76-AZ76)</f>
        <v>0</v>
      </c>
      <c r="BX76">
        <f>(BT76*BR76/BF76)</f>
        <v>0</v>
      </c>
      <c r="BY76">
        <f>(1-BX76)</f>
        <v>0</v>
      </c>
      <c r="DH76">
        <f>$B$11*EG76+$C$11*EH76+$F$11*ES76*(1-EV76)</f>
        <v>0</v>
      </c>
      <c r="DI76">
        <f>DH76*DJ76</f>
        <v>0</v>
      </c>
      <c r="DJ76">
        <f>($B$11*$D$9+$C$11*$D$9+$F$11*((FF76+EX76)/MAX(FF76+EX76+FG76, 0.1)*$I$9+FG76/MAX(FF76+EX76+FG76, 0.1)*$J$9))/($B$11+$C$11+$F$11)</f>
        <v>0</v>
      </c>
      <c r="DK76">
        <f>($B$11*$K$9+$C$11*$K$9+$F$11*((FF76+EX76)/MAX(FF76+EX76+FG76, 0.1)*$P$9+FG76/MAX(FF76+EX76+FG76, 0.1)*$Q$9))/($B$11+$C$11+$F$11)</f>
        <v>0</v>
      </c>
      <c r="DL76">
        <v>6</v>
      </c>
      <c r="DM76">
        <v>0.5</v>
      </c>
      <c r="DN76" t="s">
        <v>438</v>
      </c>
      <c r="DO76">
        <v>2</v>
      </c>
      <c r="DP76" t="b">
        <v>1</v>
      </c>
      <c r="DQ76">
        <v>1765308292.6</v>
      </c>
      <c r="DR76">
        <v>596.32</v>
      </c>
      <c r="DS76">
        <v>600.0174375</v>
      </c>
      <c r="DT76">
        <v>18.07703125</v>
      </c>
      <c r="DU76">
        <v>17.624125</v>
      </c>
      <c r="DV76">
        <v>588.044</v>
      </c>
      <c r="DW76">
        <v>17.95103125</v>
      </c>
      <c r="DX76">
        <v>499.996125</v>
      </c>
      <c r="DY76">
        <v>89.7494375</v>
      </c>
      <c r="DZ76">
        <v>0.0999257</v>
      </c>
      <c r="EA76">
        <v>25.3609875</v>
      </c>
      <c r="EB76">
        <v>24.9897875</v>
      </c>
      <c r="EC76">
        <v>999.9</v>
      </c>
      <c r="ED76">
        <v>0</v>
      </c>
      <c r="EE76">
        <v>0</v>
      </c>
      <c r="EF76">
        <v>10003.355625</v>
      </c>
      <c r="EG76">
        <v>0</v>
      </c>
      <c r="EH76">
        <v>13.8548</v>
      </c>
      <c r="EI76">
        <v>-3.55696875</v>
      </c>
      <c r="EJ76">
        <v>607.44625</v>
      </c>
      <c r="EK76">
        <v>610.782125</v>
      </c>
      <c r="EL76">
        <v>0.4608650625</v>
      </c>
      <c r="EM76">
        <v>600.0174375</v>
      </c>
      <c r="EN76">
        <v>17.624125</v>
      </c>
      <c r="EO76">
        <v>1.623118125</v>
      </c>
      <c r="EP76">
        <v>1.58175625</v>
      </c>
      <c r="EQ76">
        <v>14.18004375</v>
      </c>
      <c r="ER76">
        <v>13.78220625</v>
      </c>
      <c r="ES76">
        <v>800.015</v>
      </c>
      <c r="ET76">
        <v>0.94999075</v>
      </c>
      <c r="EU76">
        <v>0.0500092625</v>
      </c>
      <c r="EV76">
        <v>0</v>
      </c>
      <c r="EW76">
        <v>895.547125</v>
      </c>
      <c r="EX76">
        <v>5.00016</v>
      </c>
      <c r="EY76">
        <v>6924.273125</v>
      </c>
      <c r="EZ76">
        <v>7194.789375</v>
      </c>
      <c r="FA76">
        <v>39.7224375</v>
      </c>
      <c r="FB76">
        <v>42.312</v>
      </c>
      <c r="FC76">
        <v>41.187</v>
      </c>
      <c r="FD76">
        <v>42.308125</v>
      </c>
      <c r="FE76">
        <v>42.375</v>
      </c>
      <c r="FF76">
        <v>755.255625</v>
      </c>
      <c r="FG76">
        <v>39.75625</v>
      </c>
      <c r="FH76">
        <v>0</v>
      </c>
      <c r="FI76">
        <v>1765308301.3</v>
      </c>
      <c r="FJ76">
        <v>0</v>
      </c>
      <c r="FK76">
        <v>895.583076923077</v>
      </c>
      <c r="FL76">
        <v>0.175452976126823</v>
      </c>
      <c r="FM76">
        <v>1.57299147228329</v>
      </c>
      <c r="FN76">
        <v>6924.11115384615</v>
      </c>
      <c r="FO76">
        <v>15</v>
      </c>
      <c r="FP76">
        <v>1765308342.1</v>
      </c>
      <c r="FQ76" t="s">
        <v>625</v>
      </c>
      <c r="FR76">
        <v>1765308342.1</v>
      </c>
      <c r="FS76">
        <v>1765308325.1</v>
      </c>
      <c r="FT76">
        <v>60</v>
      </c>
      <c r="FU76">
        <v>-0.152</v>
      </c>
      <c r="FV76">
        <v>0</v>
      </c>
      <c r="FW76">
        <v>8.276</v>
      </c>
      <c r="FX76">
        <v>0.126</v>
      </c>
      <c r="FY76">
        <v>600</v>
      </c>
      <c r="FZ76">
        <v>18</v>
      </c>
      <c r="GA76">
        <v>1.04</v>
      </c>
      <c r="GB76">
        <v>0.23</v>
      </c>
      <c r="GC76">
        <v>-3.57514857142857</v>
      </c>
      <c r="GD76">
        <v>0.307542077922072</v>
      </c>
      <c r="GE76">
        <v>0.043987742695926</v>
      </c>
      <c r="GF76">
        <v>1</v>
      </c>
      <c r="GG76">
        <v>895.508941176471</v>
      </c>
      <c r="GH76">
        <v>0.585332307118929</v>
      </c>
      <c r="GI76">
        <v>0.186039202253423</v>
      </c>
      <c r="GJ76">
        <v>-1</v>
      </c>
      <c r="GK76">
        <v>0.460285857142857</v>
      </c>
      <c r="GL76">
        <v>0.00892620779220744</v>
      </c>
      <c r="GM76">
        <v>0.00116116617430656</v>
      </c>
      <c r="GN76">
        <v>1</v>
      </c>
      <c r="GO76">
        <v>2</v>
      </c>
      <c r="GP76">
        <v>2</v>
      </c>
      <c r="GQ76" t="s">
        <v>440</v>
      </c>
      <c r="GR76">
        <v>3.12483</v>
      </c>
      <c r="GS76">
        <v>2.72569</v>
      </c>
      <c r="GT76">
        <v>0.114721</v>
      </c>
      <c r="GU76">
        <v>0.116233</v>
      </c>
      <c r="GV76">
        <v>0.0829327</v>
      </c>
      <c r="GW76">
        <v>0.0814853</v>
      </c>
      <c r="GX76">
        <v>23330.3</v>
      </c>
      <c r="GY76">
        <v>21622.2</v>
      </c>
      <c r="GZ76">
        <v>23559.8</v>
      </c>
      <c r="HA76">
        <v>23814.1</v>
      </c>
      <c r="HB76">
        <v>36794.7</v>
      </c>
      <c r="HC76">
        <v>36172</v>
      </c>
      <c r="HD76">
        <v>42435.8</v>
      </c>
      <c r="HE76">
        <v>42421.3</v>
      </c>
      <c r="HF76">
        <v>1.91635</v>
      </c>
      <c r="HG76">
        <v>1.84077</v>
      </c>
      <c r="HH76">
        <v>0.102997</v>
      </c>
      <c r="HI76">
        <v>0</v>
      </c>
      <c r="HJ76">
        <v>23.3019</v>
      </c>
      <c r="HK76">
        <v>999.9</v>
      </c>
      <c r="HL76">
        <v>45.605</v>
      </c>
      <c r="HM76">
        <v>29.316</v>
      </c>
      <c r="HN76">
        <v>20.8127</v>
      </c>
      <c r="HO76">
        <v>54.9767</v>
      </c>
      <c r="HP76">
        <v>46.2901</v>
      </c>
      <c r="HQ76">
        <v>1</v>
      </c>
      <c r="HR76">
        <v>-0.10268</v>
      </c>
      <c r="HS76">
        <v>0.602086</v>
      </c>
      <c r="HT76">
        <v>20.231</v>
      </c>
      <c r="HU76">
        <v>5.23496</v>
      </c>
      <c r="HV76">
        <v>11.992</v>
      </c>
      <c r="HW76">
        <v>4.95635</v>
      </c>
      <c r="HX76">
        <v>3.304</v>
      </c>
      <c r="HY76">
        <v>999.9</v>
      </c>
      <c r="HZ76">
        <v>9999</v>
      </c>
      <c r="IA76">
        <v>9999</v>
      </c>
      <c r="IB76">
        <v>9999</v>
      </c>
      <c r="IC76">
        <v>1.86867</v>
      </c>
      <c r="ID76">
        <v>1.86439</v>
      </c>
      <c r="IE76">
        <v>1.87196</v>
      </c>
      <c r="IF76">
        <v>1.86294</v>
      </c>
      <c r="IG76">
        <v>1.86234</v>
      </c>
      <c r="IH76">
        <v>1.86873</v>
      </c>
      <c r="II76">
        <v>1.85896</v>
      </c>
      <c r="IJ76">
        <v>1.86523</v>
      </c>
      <c r="IK76">
        <v>5</v>
      </c>
      <c r="IL76">
        <v>0</v>
      </c>
      <c r="IM76">
        <v>0</v>
      </c>
      <c r="IN76">
        <v>0</v>
      </c>
      <c r="IO76" t="s">
        <v>441</v>
      </c>
      <c r="IP76" t="s">
        <v>442</v>
      </c>
      <c r="IQ76" t="s">
        <v>443</v>
      </c>
      <c r="IR76" t="s">
        <v>443</v>
      </c>
      <c r="IS76" t="s">
        <v>443</v>
      </c>
      <c r="IT76" t="s">
        <v>443</v>
      </c>
      <c r="IU76">
        <v>0</v>
      </c>
      <c r="IV76">
        <v>100</v>
      </c>
      <c r="IW76">
        <v>100</v>
      </c>
      <c r="IX76">
        <v>8.276</v>
      </c>
      <c r="IY76">
        <v>0.126</v>
      </c>
      <c r="IZ76">
        <v>5.68459313820488</v>
      </c>
      <c r="JA76">
        <v>0.0062698613543794</v>
      </c>
      <c r="JB76">
        <v>-3.23243345529816e-06</v>
      </c>
      <c r="JC76">
        <v>8.00506428382295e-10</v>
      </c>
      <c r="JD76">
        <v>-0.0290535817308218</v>
      </c>
      <c r="JE76">
        <v>-0.0018464610107002</v>
      </c>
      <c r="JF76">
        <v>0.000796540623429801</v>
      </c>
      <c r="JG76">
        <v>-1.04619914107352e-05</v>
      </c>
      <c r="JH76">
        <v>-0</v>
      </c>
      <c r="JI76">
        <v>2101</v>
      </c>
      <c r="JJ76">
        <v>1</v>
      </c>
      <c r="JK76">
        <v>23</v>
      </c>
      <c r="JL76">
        <v>1.2</v>
      </c>
      <c r="JM76">
        <v>1.3</v>
      </c>
      <c r="JN76">
        <v>1.39404</v>
      </c>
      <c r="JO76">
        <v>2.36816</v>
      </c>
      <c r="JP76">
        <v>1.4978</v>
      </c>
      <c r="JQ76">
        <v>2.33276</v>
      </c>
      <c r="JR76">
        <v>1.54419</v>
      </c>
      <c r="JS76">
        <v>2.37061</v>
      </c>
      <c r="JT76">
        <v>35.2671</v>
      </c>
      <c r="JU76">
        <v>24.3502</v>
      </c>
      <c r="JV76">
        <v>18</v>
      </c>
      <c r="JW76">
        <v>539.103</v>
      </c>
      <c r="JX76">
        <v>434.096</v>
      </c>
      <c r="JY76">
        <v>22.5774</v>
      </c>
      <c r="JZ76">
        <v>26.204</v>
      </c>
      <c r="KA76">
        <v>29.9997</v>
      </c>
      <c r="KB76">
        <v>26.2733</v>
      </c>
      <c r="KC76">
        <v>26.3044</v>
      </c>
      <c r="KD76">
        <v>27.9634</v>
      </c>
      <c r="KE76">
        <v>26.3982</v>
      </c>
      <c r="KF76">
        <v>85.4215</v>
      </c>
      <c r="KG76">
        <v>22.5837</v>
      </c>
      <c r="KH76">
        <v>600</v>
      </c>
      <c r="KI76">
        <v>17.6283</v>
      </c>
      <c r="KJ76">
        <v>95.1406</v>
      </c>
      <c r="KK76">
        <v>98.9042</v>
      </c>
    </row>
    <row r="77" spans="1:297">
      <c r="A77">
        <v>61</v>
      </c>
      <c r="B77">
        <v>1765308423.1</v>
      </c>
      <c r="C77">
        <v>10474.0999999046</v>
      </c>
      <c r="D77" t="s">
        <v>626</v>
      </c>
      <c r="E77" t="s">
        <v>627</v>
      </c>
      <c r="F77">
        <v>5</v>
      </c>
      <c r="G77" t="s">
        <v>603</v>
      </c>
      <c r="H77" t="s">
        <v>436</v>
      </c>
      <c r="I77">
        <v>1765308414.6</v>
      </c>
      <c r="J77">
        <f>(K77)/1000</f>
        <v>0</v>
      </c>
      <c r="K77">
        <f>IF(DP77, AN77, AH77)</f>
        <v>0</v>
      </c>
      <c r="L77">
        <f>IF(DP77, AI77, AG77)</f>
        <v>0</v>
      </c>
      <c r="M77">
        <f>DR77 - IF(AU77&gt;1, L77*DL77*100.0/(AW77), 0)</f>
        <v>0</v>
      </c>
      <c r="N77">
        <f>((T77-J77/2)*M77-L77)/(T77+J77/2)</f>
        <v>0</v>
      </c>
      <c r="O77">
        <f>N77*(DY77+DZ77)/1000.0</f>
        <v>0</v>
      </c>
      <c r="P77">
        <f>(DR77 - IF(AU77&gt;1, L77*DL77*100.0/(AW77), 0))*(DY77+DZ77)/1000.0</f>
        <v>0</v>
      </c>
      <c r="Q77">
        <f>2.0/((1/S77-1/R77)+SIGN(S77)*SQRT((1/S77-1/R77)*(1/S77-1/R77) + 4*DM77/((DM77+1)*(DM77+1))*(2*1/S77*1/R77-1/R77*1/R77)))</f>
        <v>0</v>
      </c>
      <c r="R77">
        <f>IF(LEFT(DN77,1)&lt;&gt;"0",IF(LEFT(DN77,1)="1",3.0,DO77),$D$5+$E$5*(EF77*DY77/($K$5*1000))+$F$5*(EF77*DY77/($K$5*1000))*MAX(MIN(DL77,$J$5),$I$5)*MAX(MIN(DL77,$J$5),$I$5)+$G$5*MAX(MIN(DL77,$J$5),$I$5)*(EF77*DY77/($K$5*1000))+$H$5*(EF77*DY77/($K$5*1000))*(EF77*DY77/($K$5*1000)))</f>
        <v>0</v>
      </c>
      <c r="S77">
        <f>J77*(1000-(1000*0.61365*exp(17.502*W77/(240.97+W77))/(DY77+DZ77)+DT77)/2)/(1000*0.61365*exp(17.502*W77/(240.97+W77))/(DY77+DZ77)-DT77)</f>
        <v>0</v>
      </c>
      <c r="T77">
        <f>1/((DM77+1)/(Q77/1.6)+1/(R77/1.37)) + DM77/((DM77+1)/(Q77/1.6) + DM77/(R77/1.37))</f>
        <v>0</v>
      </c>
      <c r="U77">
        <f>(DH77*DK77)</f>
        <v>0</v>
      </c>
      <c r="V77">
        <f>(EA77+(U77+2*0.95*5.67E-8*(((EA77+$B$7)+273)^4-(EA77+273)^4)-44100*J77)/(1.84*29.3*R77+8*0.95*5.67E-8*(EA77+273)^3))</f>
        <v>0</v>
      </c>
      <c r="W77">
        <f>($C$7*EB77+$D$7*EC77+$E$7*V77)</f>
        <v>0</v>
      </c>
      <c r="X77">
        <f>0.61365*exp(17.502*W77/(240.97+W77))</f>
        <v>0</v>
      </c>
      <c r="Y77">
        <f>(Z77/AA77*100)</f>
        <v>0</v>
      </c>
      <c r="Z77">
        <f>DT77*(DY77+DZ77)/1000</f>
        <v>0</v>
      </c>
      <c r="AA77">
        <f>0.61365*exp(17.502*EA77/(240.97+EA77))</f>
        <v>0</v>
      </c>
      <c r="AB77">
        <f>(X77-DT77*(DY77+DZ77)/1000)</f>
        <v>0</v>
      </c>
      <c r="AC77">
        <f>(-J77*44100)</f>
        <v>0</v>
      </c>
      <c r="AD77">
        <f>2*29.3*R77*0.92*(EA77-W77)</f>
        <v>0</v>
      </c>
      <c r="AE77">
        <f>2*0.95*5.67E-8*(((EA77+$B$7)+273)^4-(W77+273)^4)</f>
        <v>0</v>
      </c>
      <c r="AF77">
        <f>U77+AE77+AC77+AD77</f>
        <v>0</v>
      </c>
      <c r="AG77">
        <f>DX77*AU77*(DS77-DR77*(1000-AU77*DU77)/(1000-AU77*DT77))/(100*DL77)</f>
        <v>0</v>
      </c>
      <c r="AH77">
        <f>1000*DX77*AU77*(DT77-DU77)/(100*DL77*(1000-AU77*DT77))</f>
        <v>0</v>
      </c>
      <c r="AI77">
        <f>(AJ77 - AK77 - DY77*1E3/(8.314*(EA77+273.15)) * AM77/DX77 * AL77) * DX77/(100*DL77) * (1000 - DU77)/1000</f>
        <v>0</v>
      </c>
      <c r="AJ77">
        <v>814.349763913772</v>
      </c>
      <c r="AK77">
        <v>810.006478787879</v>
      </c>
      <c r="AL77">
        <v>-0.0212508210494178</v>
      </c>
      <c r="AM77">
        <v>63.9657628713778</v>
      </c>
      <c r="AN77">
        <f>(AP77 - AO77 + DY77*1E3/(8.314*(EA77+273.15)) * AR77/DX77 * AQ77) * DX77/(100*DL77) * 1000/(1000 - AP77)</f>
        <v>0</v>
      </c>
      <c r="AO77">
        <v>17.6372035209427</v>
      </c>
      <c r="AP77">
        <v>18.0911727272727</v>
      </c>
      <c r="AQ77">
        <v>-3.37562454590886e-05</v>
      </c>
      <c r="AR77">
        <v>104.308179685168</v>
      </c>
      <c r="AS77">
        <v>6</v>
      </c>
      <c r="AT77">
        <v>1</v>
      </c>
      <c r="AU77">
        <f>IF(AS77*$H$13&gt;=AW77,1.0,(AW77/(AW77-AS77*$H$13)))</f>
        <v>0</v>
      </c>
      <c r="AV77">
        <f>(AU77-1)*100</f>
        <v>0</v>
      </c>
      <c r="AW77">
        <f>MAX(0,($B$13+$C$13*EF77)/(1+$D$13*EF77)*DY77/(EA77+273)*$E$13)</f>
        <v>0</v>
      </c>
      <c r="AX77" t="s">
        <v>437</v>
      </c>
      <c r="AY77" t="s">
        <v>437</v>
      </c>
      <c r="AZ77">
        <v>0</v>
      </c>
      <c r="BA77">
        <v>0</v>
      </c>
      <c r="BB77">
        <f>1-AZ77/BA77</f>
        <v>0</v>
      </c>
      <c r="BC77">
        <v>0</v>
      </c>
      <c r="BD77" t="s">
        <v>437</v>
      </c>
      <c r="BE77" t="s">
        <v>437</v>
      </c>
      <c r="BF77">
        <v>0</v>
      </c>
      <c r="BG77">
        <v>0</v>
      </c>
      <c r="BH77">
        <f>1-BF77/BG77</f>
        <v>0</v>
      </c>
      <c r="BI77">
        <v>0.5</v>
      </c>
      <c r="BJ77">
        <f>DI77</f>
        <v>0</v>
      </c>
      <c r="BK77">
        <f>L77</f>
        <v>0</v>
      </c>
      <c r="BL77">
        <f>BH77*BI77*BJ77</f>
        <v>0</v>
      </c>
      <c r="BM77">
        <f>(BK77-BC77)/BJ77</f>
        <v>0</v>
      </c>
      <c r="BN77">
        <f>(BA77-BG77)/BG77</f>
        <v>0</v>
      </c>
      <c r="BO77">
        <f>AZ77/(BB77+AZ77/BG77)</f>
        <v>0</v>
      </c>
      <c r="BP77" t="s">
        <v>437</v>
      </c>
      <c r="BQ77">
        <v>0</v>
      </c>
      <c r="BR77">
        <f>IF(BQ77&lt;&gt;0, BQ77, BO77)</f>
        <v>0</v>
      </c>
      <c r="BS77">
        <f>1-BR77/BG77</f>
        <v>0</v>
      </c>
      <c r="BT77">
        <f>(BG77-BF77)/(BG77-BR77)</f>
        <v>0</v>
      </c>
      <c r="BU77">
        <f>(BA77-BG77)/(BA77-BR77)</f>
        <v>0</v>
      </c>
      <c r="BV77">
        <f>(BG77-BF77)/(BG77-AZ77)</f>
        <v>0</v>
      </c>
      <c r="BW77">
        <f>(BA77-BG77)/(BA77-AZ77)</f>
        <v>0</v>
      </c>
      <c r="BX77">
        <f>(BT77*BR77/BF77)</f>
        <v>0</v>
      </c>
      <c r="BY77">
        <f>(1-BX77)</f>
        <v>0</v>
      </c>
      <c r="DH77">
        <f>$B$11*EG77+$C$11*EH77+$F$11*ES77*(1-EV77)</f>
        <v>0</v>
      </c>
      <c r="DI77">
        <f>DH77*DJ77</f>
        <v>0</v>
      </c>
      <c r="DJ77">
        <f>($B$11*$D$9+$C$11*$D$9+$F$11*((FF77+EX77)/MAX(FF77+EX77+FG77, 0.1)*$I$9+FG77/MAX(FF77+EX77+FG77, 0.1)*$J$9))/($B$11+$C$11+$F$11)</f>
        <v>0</v>
      </c>
      <c r="DK77">
        <f>($B$11*$K$9+$C$11*$K$9+$F$11*((FF77+EX77)/MAX(FF77+EX77+FG77, 0.1)*$P$9+FG77/MAX(FF77+EX77+FG77, 0.1)*$Q$9))/($B$11+$C$11+$F$11)</f>
        <v>0</v>
      </c>
      <c r="DL77">
        <v>6</v>
      </c>
      <c r="DM77">
        <v>0.5</v>
      </c>
      <c r="DN77" t="s">
        <v>438</v>
      </c>
      <c r="DO77">
        <v>2</v>
      </c>
      <c r="DP77" t="b">
        <v>1</v>
      </c>
      <c r="DQ77">
        <v>1765308414.6</v>
      </c>
      <c r="DR77">
        <v>795.33925</v>
      </c>
      <c r="DS77">
        <v>800.0049375</v>
      </c>
      <c r="DT77">
        <v>18.0971125</v>
      </c>
      <c r="DU77">
        <v>17.62698125</v>
      </c>
      <c r="DV77">
        <v>786.58725</v>
      </c>
      <c r="DW77">
        <v>17.9641125</v>
      </c>
      <c r="DX77">
        <v>500.0164375</v>
      </c>
      <c r="DY77">
        <v>89.73505625</v>
      </c>
      <c r="DZ77">
        <v>0.099984225</v>
      </c>
      <c r="EA77">
        <v>25.3688125</v>
      </c>
      <c r="EB77">
        <v>25.00055625</v>
      </c>
      <c r="EC77">
        <v>999.9</v>
      </c>
      <c r="ED77">
        <v>0</v>
      </c>
      <c r="EE77">
        <v>0</v>
      </c>
      <c r="EF77">
        <v>9999.57375</v>
      </c>
      <c r="EG77">
        <v>0</v>
      </c>
      <c r="EH77">
        <v>13.8548</v>
      </c>
      <c r="EI77">
        <v>-4.56391125</v>
      </c>
      <c r="EJ77">
        <v>810.1025625</v>
      </c>
      <c r="EK77">
        <v>814.35975</v>
      </c>
      <c r="EL77">
        <v>0.4715184375</v>
      </c>
      <c r="EM77">
        <v>800.0049375</v>
      </c>
      <c r="EN77">
        <v>17.62698125</v>
      </c>
      <c r="EO77">
        <v>1.624070625</v>
      </c>
      <c r="EP77">
        <v>1.581758125</v>
      </c>
      <c r="EQ77">
        <v>14.18910625</v>
      </c>
      <c r="ER77">
        <v>13.78221875</v>
      </c>
      <c r="ES77">
        <v>799.9836875</v>
      </c>
      <c r="ET77">
        <v>0.9499929375</v>
      </c>
      <c r="EU77">
        <v>0.050007</v>
      </c>
      <c r="EV77">
        <v>0</v>
      </c>
      <c r="EW77">
        <v>900.0869375</v>
      </c>
      <c r="EX77">
        <v>5.00016</v>
      </c>
      <c r="EY77">
        <v>6958.1625</v>
      </c>
      <c r="EZ77">
        <v>7194.510625</v>
      </c>
      <c r="FA77">
        <v>39.683125</v>
      </c>
      <c r="FB77">
        <v>42.25</v>
      </c>
      <c r="FC77">
        <v>41.128875</v>
      </c>
      <c r="FD77">
        <v>42.2460625</v>
      </c>
      <c r="FE77">
        <v>42.3238125</v>
      </c>
      <c r="FF77">
        <v>755.23</v>
      </c>
      <c r="FG77">
        <v>39.7525</v>
      </c>
      <c r="FH77">
        <v>0</v>
      </c>
      <c r="FI77">
        <v>1765308423.7</v>
      </c>
      <c r="FJ77">
        <v>0</v>
      </c>
      <c r="FK77">
        <v>900.104576923077</v>
      </c>
      <c r="FL77">
        <v>0.197367526615218</v>
      </c>
      <c r="FM77">
        <v>-3.62188041923431</v>
      </c>
      <c r="FN77">
        <v>6958.05923076923</v>
      </c>
      <c r="FO77">
        <v>15</v>
      </c>
      <c r="FP77">
        <v>1765308454.1</v>
      </c>
      <c r="FQ77" t="s">
        <v>628</v>
      </c>
      <c r="FR77">
        <v>1765308454.1</v>
      </c>
      <c r="FS77">
        <v>1765308444.1</v>
      </c>
      <c r="FT77">
        <v>61</v>
      </c>
      <c r="FU77">
        <v>-0.114</v>
      </c>
      <c r="FV77">
        <v>0.006</v>
      </c>
      <c r="FW77">
        <v>8.752</v>
      </c>
      <c r="FX77">
        <v>0.133</v>
      </c>
      <c r="FY77">
        <v>800</v>
      </c>
      <c r="FZ77">
        <v>18</v>
      </c>
      <c r="GA77">
        <v>1</v>
      </c>
      <c r="GB77">
        <v>0.18</v>
      </c>
      <c r="GC77">
        <v>-4.57638952380952</v>
      </c>
      <c r="GD77">
        <v>0.338830129870127</v>
      </c>
      <c r="GE77">
        <v>0.0921616631627061</v>
      </c>
      <c r="GF77">
        <v>1</v>
      </c>
      <c r="GG77">
        <v>900.118911764706</v>
      </c>
      <c r="GH77">
        <v>-0.391550804188911</v>
      </c>
      <c r="GI77">
        <v>0.186845385538113</v>
      </c>
      <c r="GJ77">
        <v>-1</v>
      </c>
      <c r="GK77">
        <v>0.473700523809524</v>
      </c>
      <c r="GL77">
        <v>-0.0707351688311688</v>
      </c>
      <c r="GM77">
        <v>0.0145450034576402</v>
      </c>
      <c r="GN77">
        <v>1</v>
      </c>
      <c r="GO77">
        <v>2</v>
      </c>
      <c r="GP77">
        <v>2</v>
      </c>
      <c r="GQ77" t="s">
        <v>440</v>
      </c>
      <c r="GR77">
        <v>3.12494</v>
      </c>
      <c r="GS77">
        <v>2.72537</v>
      </c>
      <c r="GT77">
        <v>0.14028</v>
      </c>
      <c r="GU77">
        <v>0.141659</v>
      </c>
      <c r="GV77">
        <v>0.0829765</v>
      </c>
      <c r="GW77">
        <v>0.081561</v>
      </c>
      <c r="GX77">
        <v>22663.8</v>
      </c>
      <c r="GY77">
        <v>21007.1</v>
      </c>
      <c r="GZ77">
        <v>23566.2</v>
      </c>
      <c r="HA77">
        <v>23821</v>
      </c>
      <c r="HB77">
        <v>36803.3</v>
      </c>
      <c r="HC77">
        <v>36181.1</v>
      </c>
      <c r="HD77">
        <v>42445.3</v>
      </c>
      <c r="HE77">
        <v>42432.9</v>
      </c>
      <c r="HF77">
        <v>1.9182</v>
      </c>
      <c r="HG77">
        <v>1.84343</v>
      </c>
      <c r="HH77">
        <v>0.10613</v>
      </c>
      <c r="HI77">
        <v>0</v>
      </c>
      <c r="HJ77">
        <v>23.2784</v>
      </c>
      <c r="HK77">
        <v>999.9</v>
      </c>
      <c r="HL77">
        <v>45.629</v>
      </c>
      <c r="HM77">
        <v>29.275</v>
      </c>
      <c r="HN77">
        <v>20.7773</v>
      </c>
      <c r="HO77">
        <v>55.4067</v>
      </c>
      <c r="HP77">
        <v>46.1859</v>
      </c>
      <c r="HQ77">
        <v>1</v>
      </c>
      <c r="HR77">
        <v>-0.112975</v>
      </c>
      <c r="HS77">
        <v>0.725384</v>
      </c>
      <c r="HT77">
        <v>20.2305</v>
      </c>
      <c r="HU77">
        <v>5.23481</v>
      </c>
      <c r="HV77">
        <v>11.992</v>
      </c>
      <c r="HW77">
        <v>4.95595</v>
      </c>
      <c r="HX77">
        <v>3.304</v>
      </c>
      <c r="HY77">
        <v>999.9</v>
      </c>
      <c r="HZ77">
        <v>9999</v>
      </c>
      <c r="IA77">
        <v>9999</v>
      </c>
      <c r="IB77">
        <v>9999</v>
      </c>
      <c r="IC77">
        <v>1.86864</v>
      </c>
      <c r="ID77">
        <v>1.86437</v>
      </c>
      <c r="IE77">
        <v>1.87195</v>
      </c>
      <c r="IF77">
        <v>1.86293</v>
      </c>
      <c r="IG77">
        <v>1.86234</v>
      </c>
      <c r="IH77">
        <v>1.86872</v>
      </c>
      <c r="II77">
        <v>1.85892</v>
      </c>
      <c r="IJ77">
        <v>1.86523</v>
      </c>
      <c r="IK77">
        <v>5</v>
      </c>
      <c r="IL77">
        <v>0</v>
      </c>
      <c r="IM77">
        <v>0</v>
      </c>
      <c r="IN77">
        <v>0</v>
      </c>
      <c r="IO77" t="s">
        <v>441</v>
      </c>
      <c r="IP77" t="s">
        <v>442</v>
      </c>
      <c r="IQ77" t="s">
        <v>443</v>
      </c>
      <c r="IR77" t="s">
        <v>443</v>
      </c>
      <c r="IS77" t="s">
        <v>443</v>
      </c>
      <c r="IT77" t="s">
        <v>443</v>
      </c>
      <c r="IU77">
        <v>0</v>
      </c>
      <c r="IV77">
        <v>100</v>
      </c>
      <c r="IW77">
        <v>100</v>
      </c>
      <c r="IX77">
        <v>8.752</v>
      </c>
      <c r="IY77">
        <v>0.133</v>
      </c>
      <c r="IZ77">
        <v>5.53225964493197</v>
      </c>
      <c r="JA77">
        <v>0.0062698613543794</v>
      </c>
      <c r="JB77">
        <v>-3.23243345529816e-06</v>
      </c>
      <c r="JC77">
        <v>8.00506428382295e-10</v>
      </c>
      <c r="JD77">
        <v>-0.0288576363902593</v>
      </c>
      <c r="JE77">
        <v>-0.0018464610107002</v>
      </c>
      <c r="JF77">
        <v>0.000796540623429801</v>
      </c>
      <c r="JG77">
        <v>-1.04619914107352e-05</v>
      </c>
      <c r="JH77">
        <v>-0</v>
      </c>
      <c r="JI77">
        <v>2101</v>
      </c>
      <c r="JJ77">
        <v>1</v>
      </c>
      <c r="JK77">
        <v>23</v>
      </c>
      <c r="JL77">
        <v>1.4</v>
      </c>
      <c r="JM77">
        <v>1.6</v>
      </c>
      <c r="JN77">
        <v>1.75781</v>
      </c>
      <c r="JO77">
        <v>2.36206</v>
      </c>
      <c r="JP77">
        <v>1.49902</v>
      </c>
      <c r="JQ77">
        <v>2.33276</v>
      </c>
      <c r="JR77">
        <v>1.54419</v>
      </c>
      <c r="JS77">
        <v>2.2998</v>
      </c>
      <c r="JT77">
        <v>35.1978</v>
      </c>
      <c r="JU77">
        <v>24.3414</v>
      </c>
      <c r="JV77">
        <v>18</v>
      </c>
      <c r="JW77">
        <v>539.287</v>
      </c>
      <c r="JX77">
        <v>434.775</v>
      </c>
      <c r="JY77">
        <v>22.5766</v>
      </c>
      <c r="JZ77">
        <v>26.0774</v>
      </c>
      <c r="KA77">
        <v>29.9998</v>
      </c>
      <c r="KB77">
        <v>26.1589</v>
      </c>
      <c r="KC77">
        <v>26.1909</v>
      </c>
      <c r="KD77">
        <v>35.2147</v>
      </c>
      <c r="KE77">
        <v>26.4047</v>
      </c>
      <c r="KF77">
        <v>86.2737</v>
      </c>
      <c r="KG77">
        <v>22.5295</v>
      </c>
      <c r="KH77">
        <v>800</v>
      </c>
      <c r="KI77">
        <v>17.6339</v>
      </c>
      <c r="KJ77">
        <v>95.1636</v>
      </c>
      <c r="KK77">
        <v>98.932</v>
      </c>
    </row>
    <row r="78" spans="1:297">
      <c r="A78">
        <v>62</v>
      </c>
      <c r="B78">
        <v>1765308531.1</v>
      </c>
      <c r="C78">
        <v>10582.0999999046</v>
      </c>
      <c r="D78" t="s">
        <v>629</v>
      </c>
      <c r="E78" t="s">
        <v>630</v>
      </c>
      <c r="F78">
        <v>5</v>
      </c>
      <c r="G78" t="s">
        <v>603</v>
      </c>
      <c r="H78" t="s">
        <v>436</v>
      </c>
      <c r="I78">
        <v>1765308522.6</v>
      </c>
      <c r="J78">
        <f>(K78)/1000</f>
        <v>0</v>
      </c>
      <c r="K78">
        <f>IF(DP78, AN78, AH78)</f>
        <v>0</v>
      </c>
      <c r="L78">
        <f>IF(DP78, AI78, AG78)</f>
        <v>0</v>
      </c>
      <c r="M78">
        <f>DR78 - IF(AU78&gt;1, L78*DL78*100.0/(AW78), 0)</f>
        <v>0</v>
      </c>
      <c r="N78">
        <f>((T78-J78/2)*M78-L78)/(T78+J78/2)</f>
        <v>0</v>
      </c>
      <c r="O78">
        <f>N78*(DY78+DZ78)/1000.0</f>
        <v>0</v>
      </c>
      <c r="P78">
        <f>(DR78 - IF(AU78&gt;1, L78*DL78*100.0/(AW78), 0))*(DY78+DZ78)/1000.0</f>
        <v>0</v>
      </c>
      <c r="Q78">
        <f>2.0/((1/S78-1/R78)+SIGN(S78)*SQRT((1/S78-1/R78)*(1/S78-1/R78) + 4*DM78/((DM78+1)*(DM78+1))*(2*1/S78*1/R78-1/R78*1/R78)))</f>
        <v>0</v>
      </c>
      <c r="R78">
        <f>IF(LEFT(DN78,1)&lt;&gt;"0",IF(LEFT(DN78,1)="1",3.0,DO78),$D$5+$E$5*(EF78*DY78/($K$5*1000))+$F$5*(EF78*DY78/($K$5*1000))*MAX(MIN(DL78,$J$5),$I$5)*MAX(MIN(DL78,$J$5),$I$5)+$G$5*MAX(MIN(DL78,$J$5),$I$5)*(EF78*DY78/($K$5*1000))+$H$5*(EF78*DY78/($K$5*1000))*(EF78*DY78/($K$5*1000)))</f>
        <v>0</v>
      </c>
      <c r="S78">
        <f>J78*(1000-(1000*0.61365*exp(17.502*W78/(240.97+W78))/(DY78+DZ78)+DT78)/2)/(1000*0.61365*exp(17.502*W78/(240.97+W78))/(DY78+DZ78)-DT78)</f>
        <v>0</v>
      </c>
      <c r="T78">
        <f>1/((DM78+1)/(Q78/1.6)+1/(R78/1.37)) + DM78/((DM78+1)/(Q78/1.6) + DM78/(R78/1.37))</f>
        <v>0</v>
      </c>
      <c r="U78">
        <f>(DH78*DK78)</f>
        <v>0</v>
      </c>
      <c r="V78">
        <f>(EA78+(U78+2*0.95*5.67E-8*(((EA78+$B$7)+273)^4-(EA78+273)^4)-44100*J78)/(1.84*29.3*R78+8*0.95*5.67E-8*(EA78+273)^3))</f>
        <v>0</v>
      </c>
      <c r="W78">
        <f>($C$7*EB78+$D$7*EC78+$E$7*V78)</f>
        <v>0</v>
      </c>
      <c r="X78">
        <f>0.61365*exp(17.502*W78/(240.97+W78))</f>
        <v>0</v>
      </c>
      <c r="Y78">
        <f>(Z78/AA78*100)</f>
        <v>0</v>
      </c>
      <c r="Z78">
        <f>DT78*(DY78+DZ78)/1000</f>
        <v>0</v>
      </c>
      <c r="AA78">
        <f>0.61365*exp(17.502*EA78/(240.97+EA78))</f>
        <v>0</v>
      </c>
      <c r="AB78">
        <f>(X78-DT78*(DY78+DZ78)/1000)</f>
        <v>0</v>
      </c>
      <c r="AC78">
        <f>(-J78*44100)</f>
        <v>0</v>
      </c>
      <c r="AD78">
        <f>2*29.3*R78*0.92*(EA78-W78)</f>
        <v>0</v>
      </c>
      <c r="AE78">
        <f>2*0.95*5.67E-8*(((EA78+$B$7)+273)^4-(W78+273)^4)</f>
        <v>0</v>
      </c>
      <c r="AF78">
        <f>U78+AE78+AC78+AD78</f>
        <v>0</v>
      </c>
      <c r="AG78">
        <f>DX78*AU78*(DS78-DR78*(1000-AU78*DU78)/(1000-AU78*DT78))/(100*DL78)</f>
        <v>0</v>
      </c>
      <c r="AH78">
        <f>1000*DX78*AU78*(DT78-DU78)/(100*DL78*(1000-AU78*DT78))</f>
        <v>0</v>
      </c>
      <c r="AI78">
        <f>(AJ78 - AK78 - DY78*1E3/(8.314*(EA78+273.15)) * AM78/DX78 * AL78) * DX78/(100*DL78) * (1000 - DU78)/1000</f>
        <v>0</v>
      </c>
      <c r="AJ78">
        <v>1017.95655326829</v>
      </c>
      <c r="AK78">
        <v>1012.88757575758</v>
      </c>
      <c r="AL78">
        <v>-0.00561190234129883</v>
      </c>
      <c r="AM78">
        <v>64.0503251205637</v>
      </c>
      <c r="AN78">
        <f>(AP78 - AO78 + DY78*1E3/(8.314*(EA78+273.15)) * AR78/DX78 * AQ78) * DX78/(100*DL78) * 1000/(1000 - AP78)</f>
        <v>0</v>
      </c>
      <c r="AO78">
        <v>17.661019634561</v>
      </c>
      <c r="AP78">
        <v>18.1224048484848</v>
      </c>
      <c r="AQ78">
        <v>-3.30551826628767e-05</v>
      </c>
      <c r="AR78">
        <v>104.271959165221</v>
      </c>
      <c r="AS78">
        <v>6</v>
      </c>
      <c r="AT78">
        <v>1</v>
      </c>
      <c r="AU78">
        <f>IF(AS78*$H$13&gt;=AW78,1.0,(AW78/(AW78-AS78*$H$13)))</f>
        <v>0</v>
      </c>
      <c r="AV78">
        <f>(AU78-1)*100</f>
        <v>0</v>
      </c>
      <c r="AW78">
        <f>MAX(0,($B$13+$C$13*EF78)/(1+$D$13*EF78)*DY78/(EA78+273)*$E$13)</f>
        <v>0</v>
      </c>
      <c r="AX78" t="s">
        <v>437</v>
      </c>
      <c r="AY78" t="s">
        <v>437</v>
      </c>
      <c r="AZ78">
        <v>0</v>
      </c>
      <c r="BA78">
        <v>0</v>
      </c>
      <c r="BB78">
        <f>1-AZ78/BA78</f>
        <v>0</v>
      </c>
      <c r="BC78">
        <v>0</v>
      </c>
      <c r="BD78" t="s">
        <v>437</v>
      </c>
      <c r="BE78" t="s">
        <v>437</v>
      </c>
      <c r="BF78">
        <v>0</v>
      </c>
      <c r="BG78">
        <v>0</v>
      </c>
      <c r="BH78">
        <f>1-BF78/BG78</f>
        <v>0</v>
      </c>
      <c r="BI78">
        <v>0.5</v>
      </c>
      <c r="BJ78">
        <f>DI78</f>
        <v>0</v>
      </c>
      <c r="BK78">
        <f>L78</f>
        <v>0</v>
      </c>
      <c r="BL78">
        <f>BH78*BI78*BJ78</f>
        <v>0</v>
      </c>
      <c r="BM78">
        <f>(BK78-BC78)/BJ78</f>
        <v>0</v>
      </c>
      <c r="BN78">
        <f>(BA78-BG78)/BG78</f>
        <v>0</v>
      </c>
      <c r="BO78">
        <f>AZ78/(BB78+AZ78/BG78)</f>
        <v>0</v>
      </c>
      <c r="BP78" t="s">
        <v>437</v>
      </c>
      <c r="BQ78">
        <v>0</v>
      </c>
      <c r="BR78">
        <f>IF(BQ78&lt;&gt;0, BQ78, BO78)</f>
        <v>0</v>
      </c>
      <c r="BS78">
        <f>1-BR78/BG78</f>
        <v>0</v>
      </c>
      <c r="BT78">
        <f>(BG78-BF78)/(BG78-BR78)</f>
        <v>0</v>
      </c>
      <c r="BU78">
        <f>(BA78-BG78)/(BA78-BR78)</f>
        <v>0</v>
      </c>
      <c r="BV78">
        <f>(BG78-BF78)/(BG78-AZ78)</f>
        <v>0</v>
      </c>
      <c r="BW78">
        <f>(BA78-BG78)/(BA78-AZ78)</f>
        <v>0</v>
      </c>
      <c r="BX78">
        <f>(BT78*BR78/BF78)</f>
        <v>0</v>
      </c>
      <c r="BY78">
        <f>(1-BX78)</f>
        <v>0</v>
      </c>
      <c r="DH78">
        <f>$B$11*EG78+$C$11*EH78+$F$11*ES78*(1-EV78)</f>
        <v>0</v>
      </c>
      <c r="DI78">
        <f>DH78*DJ78</f>
        <v>0</v>
      </c>
      <c r="DJ78">
        <f>($B$11*$D$9+$C$11*$D$9+$F$11*((FF78+EX78)/MAX(FF78+EX78+FG78, 0.1)*$I$9+FG78/MAX(FF78+EX78+FG78, 0.1)*$J$9))/($B$11+$C$11+$F$11)</f>
        <v>0</v>
      </c>
      <c r="DK78">
        <f>($B$11*$K$9+$C$11*$K$9+$F$11*((FF78+EX78)/MAX(FF78+EX78+FG78, 0.1)*$P$9+FG78/MAX(FF78+EX78+FG78, 0.1)*$Q$9))/($B$11+$C$11+$F$11)</f>
        <v>0</v>
      </c>
      <c r="DL78">
        <v>6</v>
      </c>
      <c r="DM78">
        <v>0.5</v>
      </c>
      <c r="DN78" t="s">
        <v>438</v>
      </c>
      <c r="DO78">
        <v>2</v>
      </c>
      <c r="DP78" t="b">
        <v>1</v>
      </c>
      <c r="DQ78">
        <v>1765308522.6</v>
      </c>
      <c r="DR78">
        <v>994.514625</v>
      </c>
      <c r="DS78">
        <v>1000.004375</v>
      </c>
      <c r="DT78">
        <v>18.1237375</v>
      </c>
      <c r="DU78">
        <v>17.6637625</v>
      </c>
      <c r="DV78">
        <v>985.348625</v>
      </c>
      <c r="DW78">
        <v>17.9857375</v>
      </c>
      <c r="DX78">
        <v>500.0189375</v>
      </c>
      <c r="DY78">
        <v>89.72441875</v>
      </c>
      <c r="DZ78">
        <v>0.10004274375</v>
      </c>
      <c r="EA78">
        <v>25.37201875</v>
      </c>
      <c r="EB78">
        <v>25.00026875</v>
      </c>
      <c r="EC78">
        <v>999.9</v>
      </c>
      <c r="ED78">
        <v>0</v>
      </c>
      <c r="EE78">
        <v>0</v>
      </c>
      <c r="EF78">
        <v>9973.78375</v>
      </c>
      <c r="EG78">
        <v>0</v>
      </c>
      <c r="EH78">
        <v>13.7992</v>
      </c>
      <c r="EI78">
        <v>-5.431903125</v>
      </c>
      <c r="EJ78">
        <v>1012.933125</v>
      </c>
      <c r="EK78">
        <v>1017.985625</v>
      </c>
      <c r="EL78">
        <v>0.4627870625</v>
      </c>
      <c r="EM78">
        <v>1000.004375</v>
      </c>
      <c r="EN78">
        <v>17.6637625</v>
      </c>
      <c r="EO78">
        <v>1.626395</v>
      </c>
      <c r="EP78">
        <v>1.584870625</v>
      </c>
      <c r="EQ78">
        <v>14.211175</v>
      </c>
      <c r="ER78">
        <v>13.81248125</v>
      </c>
      <c r="ES78">
        <v>800.025625</v>
      </c>
      <c r="ET78">
        <v>0.949990625</v>
      </c>
      <c r="EU78">
        <v>0.050009275</v>
      </c>
      <c r="EV78">
        <v>0</v>
      </c>
      <c r="EW78">
        <v>903.4950625</v>
      </c>
      <c r="EX78">
        <v>5.00016</v>
      </c>
      <c r="EY78">
        <v>6983.615</v>
      </c>
      <c r="EZ78">
        <v>7194.88625</v>
      </c>
      <c r="FA78">
        <v>39.625</v>
      </c>
      <c r="FB78">
        <v>42.2224375</v>
      </c>
      <c r="FC78">
        <v>41.1210625</v>
      </c>
      <c r="FD78">
        <v>42.2224375</v>
      </c>
      <c r="FE78">
        <v>42.312</v>
      </c>
      <c r="FF78">
        <v>755.266875</v>
      </c>
      <c r="FG78">
        <v>39.75625</v>
      </c>
      <c r="FH78">
        <v>0</v>
      </c>
      <c r="FI78">
        <v>1765308531.7</v>
      </c>
      <c r="FJ78">
        <v>0</v>
      </c>
      <c r="FK78">
        <v>903.522076923077</v>
      </c>
      <c r="FL78">
        <v>0.955213682907142</v>
      </c>
      <c r="FM78">
        <v>-0.0294017675723898</v>
      </c>
      <c r="FN78">
        <v>6983.24769230769</v>
      </c>
      <c r="FO78">
        <v>15</v>
      </c>
      <c r="FP78">
        <v>1765308556.1</v>
      </c>
      <c r="FQ78" t="s">
        <v>631</v>
      </c>
      <c r="FR78">
        <v>1765308556.1</v>
      </c>
      <c r="FS78">
        <v>1765308551.1</v>
      </c>
      <c r="FT78">
        <v>62</v>
      </c>
      <c r="FU78">
        <v>-0.072</v>
      </c>
      <c r="FV78">
        <v>0.005</v>
      </c>
      <c r="FW78">
        <v>9.166</v>
      </c>
      <c r="FX78">
        <v>0.138</v>
      </c>
      <c r="FY78">
        <v>1000</v>
      </c>
      <c r="FZ78">
        <v>18</v>
      </c>
      <c r="GA78">
        <v>0.59</v>
      </c>
      <c r="GB78">
        <v>0.15</v>
      </c>
      <c r="GC78">
        <v>-5.45628952380952</v>
      </c>
      <c r="GD78">
        <v>0.42117662337663</v>
      </c>
      <c r="GE78">
        <v>0.120330728351022</v>
      </c>
      <c r="GF78">
        <v>1</v>
      </c>
      <c r="GG78">
        <v>903.505617647059</v>
      </c>
      <c r="GH78">
        <v>0.192681443161893</v>
      </c>
      <c r="GI78">
        <v>0.175632975381965</v>
      </c>
      <c r="GJ78">
        <v>-1</v>
      </c>
      <c r="GK78">
        <v>0.462691095238095</v>
      </c>
      <c r="GL78">
        <v>0.004083896103896</v>
      </c>
      <c r="GM78">
        <v>0.000982573050950164</v>
      </c>
      <c r="GN78">
        <v>1</v>
      </c>
      <c r="GO78">
        <v>2</v>
      </c>
      <c r="GP78">
        <v>2</v>
      </c>
      <c r="GQ78" t="s">
        <v>440</v>
      </c>
      <c r="GR78">
        <v>3.12477</v>
      </c>
      <c r="GS78">
        <v>2.72552</v>
      </c>
      <c r="GT78">
        <v>0.162792</v>
      </c>
      <c r="GU78">
        <v>0.16405</v>
      </c>
      <c r="GV78">
        <v>0.0830709</v>
      </c>
      <c r="GW78">
        <v>0.0816381</v>
      </c>
      <c r="GX78">
        <v>22074</v>
      </c>
      <c r="GY78">
        <v>20463.3</v>
      </c>
      <c r="GZ78">
        <v>23569.4</v>
      </c>
      <c r="HA78">
        <v>23825.1</v>
      </c>
      <c r="HB78">
        <v>36805.5</v>
      </c>
      <c r="HC78">
        <v>36185.1</v>
      </c>
      <c r="HD78">
        <v>42450</v>
      </c>
      <c r="HE78">
        <v>42439</v>
      </c>
      <c r="HF78">
        <v>1.91885</v>
      </c>
      <c r="HG78">
        <v>1.84602</v>
      </c>
      <c r="HH78">
        <v>0.105225</v>
      </c>
      <c r="HI78">
        <v>0</v>
      </c>
      <c r="HJ78">
        <v>23.2671</v>
      </c>
      <c r="HK78">
        <v>999.9</v>
      </c>
      <c r="HL78">
        <v>45.703</v>
      </c>
      <c r="HM78">
        <v>29.245</v>
      </c>
      <c r="HN78">
        <v>20.7779</v>
      </c>
      <c r="HO78">
        <v>54.9267</v>
      </c>
      <c r="HP78">
        <v>46.3141</v>
      </c>
      <c r="HQ78">
        <v>1</v>
      </c>
      <c r="HR78">
        <v>-0.120267</v>
      </c>
      <c r="HS78">
        <v>0.597514</v>
      </c>
      <c r="HT78">
        <v>20.231</v>
      </c>
      <c r="HU78">
        <v>5.23481</v>
      </c>
      <c r="HV78">
        <v>11.992</v>
      </c>
      <c r="HW78">
        <v>4.9563</v>
      </c>
      <c r="HX78">
        <v>3.304</v>
      </c>
      <c r="HY78">
        <v>999.9</v>
      </c>
      <c r="HZ78">
        <v>9999</v>
      </c>
      <c r="IA78">
        <v>9999</v>
      </c>
      <c r="IB78">
        <v>9999</v>
      </c>
      <c r="IC78">
        <v>1.86864</v>
      </c>
      <c r="ID78">
        <v>1.86443</v>
      </c>
      <c r="IE78">
        <v>1.87195</v>
      </c>
      <c r="IF78">
        <v>1.86293</v>
      </c>
      <c r="IG78">
        <v>1.86234</v>
      </c>
      <c r="IH78">
        <v>1.86874</v>
      </c>
      <c r="II78">
        <v>1.85888</v>
      </c>
      <c r="IJ78">
        <v>1.86523</v>
      </c>
      <c r="IK78">
        <v>5</v>
      </c>
      <c r="IL78">
        <v>0</v>
      </c>
      <c r="IM78">
        <v>0</v>
      </c>
      <c r="IN78">
        <v>0</v>
      </c>
      <c r="IO78" t="s">
        <v>441</v>
      </c>
      <c r="IP78" t="s">
        <v>442</v>
      </c>
      <c r="IQ78" t="s">
        <v>443</v>
      </c>
      <c r="IR78" t="s">
        <v>443</v>
      </c>
      <c r="IS78" t="s">
        <v>443</v>
      </c>
      <c r="IT78" t="s">
        <v>443</v>
      </c>
      <c r="IU78">
        <v>0</v>
      </c>
      <c r="IV78">
        <v>100</v>
      </c>
      <c r="IW78">
        <v>100</v>
      </c>
      <c r="IX78">
        <v>9.166</v>
      </c>
      <c r="IY78">
        <v>0.138</v>
      </c>
      <c r="IZ78">
        <v>5.41809851359983</v>
      </c>
      <c r="JA78">
        <v>0.0062698613543794</v>
      </c>
      <c r="JB78">
        <v>-3.23243345529816e-06</v>
      </c>
      <c r="JC78">
        <v>8.00506428382295e-10</v>
      </c>
      <c r="JD78">
        <v>-0.0227751112181944</v>
      </c>
      <c r="JE78">
        <v>-0.0018464610107002</v>
      </c>
      <c r="JF78">
        <v>0.000796540623429801</v>
      </c>
      <c r="JG78">
        <v>-1.04619914107352e-05</v>
      </c>
      <c r="JH78">
        <v>-0</v>
      </c>
      <c r="JI78">
        <v>2101</v>
      </c>
      <c r="JJ78">
        <v>1</v>
      </c>
      <c r="JK78">
        <v>23</v>
      </c>
      <c r="JL78">
        <v>1.3</v>
      </c>
      <c r="JM78">
        <v>1.4</v>
      </c>
      <c r="JN78">
        <v>2.10449</v>
      </c>
      <c r="JO78">
        <v>2.35596</v>
      </c>
      <c r="JP78">
        <v>1.49902</v>
      </c>
      <c r="JQ78">
        <v>2.33276</v>
      </c>
      <c r="JR78">
        <v>1.54419</v>
      </c>
      <c r="JS78">
        <v>2.27661</v>
      </c>
      <c r="JT78">
        <v>35.1516</v>
      </c>
      <c r="JU78">
        <v>24.3414</v>
      </c>
      <c r="JV78">
        <v>18</v>
      </c>
      <c r="JW78">
        <v>538.923</v>
      </c>
      <c r="JX78">
        <v>435.609</v>
      </c>
      <c r="JY78">
        <v>22.563</v>
      </c>
      <c r="JZ78">
        <v>25.9853</v>
      </c>
      <c r="KA78">
        <v>29.9998</v>
      </c>
      <c r="KB78">
        <v>26.0696</v>
      </c>
      <c r="KC78">
        <v>26.1013</v>
      </c>
      <c r="KD78">
        <v>42.1351</v>
      </c>
      <c r="KE78">
        <v>26.2889</v>
      </c>
      <c r="KF78">
        <v>86.7715</v>
      </c>
      <c r="KG78">
        <v>22.5712</v>
      </c>
      <c r="KH78">
        <v>1000</v>
      </c>
      <c r="KI78">
        <v>17.6219</v>
      </c>
      <c r="KJ78">
        <v>95.1749</v>
      </c>
      <c r="KK78">
        <v>98.947</v>
      </c>
    </row>
    <row r="79" spans="1:297">
      <c r="A79">
        <v>63</v>
      </c>
      <c r="B79">
        <v>1765308627.1</v>
      </c>
      <c r="C79">
        <v>10678.0999999046</v>
      </c>
      <c r="D79" t="s">
        <v>632</v>
      </c>
      <c r="E79" t="s">
        <v>633</v>
      </c>
      <c r="F79">
        <v>5</v>
      </c>
      <c r="G79" t="s">
        <v>603</v>
      </c>
      <c r="H79" t="s">
        <v>436</v>
      </c>
      <c r="I79">
        <v>1765308618.6</v>
      </c>
      <c r="J79">
        <f>(K79)/1000</f>
        <v>0</v>
      </c>
      <c r="K79">
        <f>IF(DP79, AN79, AH79)</f>
        <v>0</v>
      </c>
      <c r="L79">
        <f>IF(DP79, AI79, AG79)</f>
        <v>0</v>
      </c>
      <c r="M79">
        <f>DR79 - IF(AU79&gt;1, L79*DL79*100.0/(AW79), 0)</f>
        <v>0</v>
      </c>
      <c r="N79">
        <f>((T79-J79/2)*M79-L79)/(T79+J79/2)</f>
        <v>0</v>
      </c>
      <c r="O79">
        <f>N79*(DY79+DZ79)/1000.0</f>
        <v>0</v>
      </c>
      <c r="P79">
        <f>(DR79 - IF(AU79&gt;1, L79*DL79*100.0/(AW79), 0))*(DY79+DZ79)/1000.0</f>
        <v>0</v>
      </c>
      <c r="Q79">
        <f>2.0/((1/S79-1/R79)+SIGN(S79)*SQRT((1/S79-1/R79)*(1/S79-1/R79) + 4*DM79/((DM79+1)*(DM79+1))*(2*1/S79*1/R79-1/R79*1/R79)))</f>
        <v>0</v>
      </c>
      <c r="R79">
        <f>IF(LEFT(DN79,1)&lt;&gt;"0",IF(LEFT(DN79,1)="1",3.0,DO79),$D$5+$E$5*(EF79*DY79/($K$5*1000))+$F$5*(EF79*DY79/($K$5*1000))*MAX(MIN(DL79,$J$5),$I$5)*MAX(MIN(DL79,$J$5),$I$5)+$G$5*MAX(MIN(DL79,$J$5),$I$5)*(EF79*DY79/($K$5*1000))+$H$5*(EF79*DY79/($K$5*1000))*(EF79*DY79/($K$5*1000)))</f>
        <v>0</v>
      </c>
      <c r="S79">
        <f>J79*(1000-(1000*0.61365*exp(17.502*W79/(240.97+W79))/(DY79+DZ79)+DT79)/2)/(1000*0.61365*exp(17.502*W79/(240.97+W79))/(DY79+DZ79)-DT79)</f>
        <v>0</v>
      </c>
      <c r="T79">
        <f>1/((DM79+1)/(Q79/1.6)+1/(R79/1.37)) + DM79/((DM79+1)/(Q79/1.6) + DM79/(R79/1.37))</f>
        <v>0</v>
      </c>
      <c r="U79">
        <f>(DH79*DK79)</f>
        <v>0</v>
      </c>
      <c r="V79">
        <f>(EA79+(U79+2*0.95*5.67E-8*(((EA79+$B$7)+273)^4-(EA79+273)^4)-44100*J79)/(1.84*29.3*R79+8*0.95*5.67E-8*(EA79+273)^3))</f>
        <v>0</v>
      </c>
      <c r="W79">
        <f>($C$7*EB79+$D$7*EC79+$E$7*V79)</f>
        <v>0</v>
      </c>
      <c r="X79">
        <f>0.61365*exp(17.502*W79/(240.97+W79))</f>
        <v>0</v>
      </c>
      <c r="Y79">
        <f>(Z79/AA79*100)</f>
        <v>0</v>
      </c>
      <c r="Z79">
        <f>DT79*(DY79+DZ79)/1000</f>
        <v>0</v>
      </c>
      <c r="AA79">
        <f>0.61365*exp(17.502*EA79/(240.97+EA79))</f>
        <v>0</v>
      </c>
      <c r="AB79">
        <f>(X79-DT79*(DY79+DZ79)/1000)</f>
        <v>0</v>
      </c>
      <c r="AC79">
        <f>(-J79*44100)</f>
        <v>0</v>
      </c>
      <c r="AD79">
        <f>2*29.3*R79*0.92*(EA79-W79)</f>
        <v>0</v>
      </c>
      <c r="AE79">
        <f>2*0.95*5.67E-8*(((EA79+$B$7)+273)^4-(W79+273)^4)</f>
        <v>0</v>
      </c>
      <c r="AF79">
        <f>U79+AE79+AC79+AD79</f>
        <v>0</v>
      </c>
      <c r="AG79">
        <f>DX79*AU79*(DS79-DR79*(1000-AU79*DU79)/(1000-AU79*DT79))/(100*DL79)</f>
        <v>0</v>
      </c>
      <c r="AH79">
        <f>1000*DX79*AU79*(DT79-DU79)/(100*DL79*(1000-AU79*DT79))</f>
        <v>0</v>
      </c>
      <c r="AI79">
        <f>(AJ79 - AK79 - DY79*1E3/(8.314*(EA79+273.15)) * AM79/DX79 * AL79) * DX79/(100*DL79) * (1000 - DU79)/1000</f>
        <v>0</v>
      </c>
      <c r="AJ79">
        <v>1221.5044004568</v>
      </c>
      <c r="AK79">
        <v>1215.40606060606</v>
      </c>
      <c r="AL79">
        <v>0.00393508840278258</v>
      </c>
      <c r="AM79">
        <v>64.0319114078791</v>
      </c>
      <c r="AN79">
        <f>(AP79 - AO79 + DY79*1E3/(8.314*(EA79+273.15)) * AR79/DX79 * AQ79) * DX79/(100*DL79) * 1000/(1000 - AP79)</f>
        <v>0</v>
      </c>
      <c r="AO79">
        <v>17.6390323832256</v>
      </c>
      <c r="AP79">
        <v>18.1121787878788</v>
      </c>
      <c r="AQ79">
        <v>-4.97261652917773e-05</v>
      </c>
      <c r="AR79">
        <v>103.957769745212</v>
      </c>
      <c r="AS79">
        <v>6</v>
      </c>
      <c r="AT79">
        <v>1</v>
      </c>
      <c r="AU79">
        <f>IF(AS79*$H$13&gt;=AW79,1.0,(AW79/(AW79-AS79*$H$13)))</f>
        <v>0</v>
      </c>
      <c r="AV79">
        <f>(AU79-1)*100</f>
        <v>0</v>
      </c>
      <c r="AW79">
        <f>MAX(0,($B$13+$C$13*EF79)/(1+$D$13*EF79)*DY79/(EA79+273)*$E$13)</f>
        <v>0</v>
      </c>
      <c r="AX79" t="s">
        <v>437</v>
      </c>
      <c r="AY79" t="s">
        <v>437</v>
      </c>
      <c r="AZ79">
        <v>0</v>
      </c>
      <c r="BA79">
        <v>0</v>
      </c>
      <c r="BB79">
        <f>1-AZ79/BA79</f>
        <v>0</v>
      </c>
      <c r="BC79">
        <v>0</v>
      </c>
      <c r="BD79" t="s">
        <v>437</v>
      </c>
      <c r="BE79" t="s">
        <v>437</v>
      </c>
      <c r="BF79">
        <v>0</v>
      </c>
      <c r="BG79">
        <v>0</v>
      </c>
      <c r="BH79">
        <f>1-BF79/BG79</f>
        <v>0</v>
      </c>
      <c r="BI79">
        <v>0.5</v>
      </c>
      <c r="BJ79">
        <f>DI79</f>
        <v>0</v>
      </c>
      <c r="BK79">
        <f>L79</f>
        <v>0</v>
      </c>
      <c r="BL79">
        <f>BH79*BI79*BJ79</f>
        <v>0</v>
      </c>
      <c r="BM79">
        <f>(BK79-BC79)/BJ79</f>
        <v>0</v>
      </c>
      <c r="BN79">
        <f>(BA79-BG79)/BG79</f>
        <v>0</v>
      </c>
      <c r="BO79">
        <f>AZ79/(BB79+AZ79/BG79)</f>
        <v>0</v>
      </c>
      <c r="BP79" t="s">
        <v>437</v>
      </c>
      <c r="BQ79">
        <v>0</v>
      </c>
      <c r="BR79">
        <f>IF(BQ79&lt;&gt;0, BQ79, BO79)</f>
        <v>0</v>
      </c>
      <c r="BS79">
        <f>1-BR79/BG79</f>
        <v>0</v>
      </c>
      <c r="BT79">
        <f>(BG79-BF79)/(BG79-BR79)</f>
        <v>0</v>
      </c>
      <c r="BU79">
        <f>(BA79-BG79)/(BA79-BR79)</f>
        <v>0</v>
      </c>
      <c r="BV79">
        <f>(BG79-BF79)/(BG79-AZ79)</f>
        <v>0</v>
      </c>
      <c r="BW79">
        <f>(BA79-BG79)/(BA79-AZ79)</f>
        <v>0</v>
      </c>
      <c r="BX79">
        <f>(BT79*BR79/BF79)</f>
        <v>0</v>
      </c>
      <c r="BY79">
        <f>(1-BX79)</f>
        <v>0</v>
      </c>
      <c r="DH79">
        <f>$B$11*EG79+$C$11*EH79+$F$11*ES79*(1-EV79)</f>
        <v>0</v>
      </c>
      <c r="DI79">
        <f>DH79*DJ79</f>
        <v>0</v>
      </c>
      <c r="DJ79">
        <f>($B$11*$D$9+$C$11*$D$9+$F$11*((FF79+EX79)/MAX(FF79+EX79+FG79, 0.1)*$I$9+FG79/MAX(FF79+EX79+FG79, 0.1)*$J$9))/($B$11+$C$11+$F$11)</f>
        <v>0</v>
      </c>
      <c r="DK79">
        <f>($B$11*$K$9+$C$11*$K$9+$F$11*((FF79+EX79)/MAX(FF79+EX79+FG79, 0.1)*$P$9+FG79/MAX(FF79+EX79+FG79, 0.1)*$Q$9))/($B$11+$C$11+$F$11)</f>
        <v>0</v>
      </c>
      <c r="DL79">
        <v>6</v>
      </c>
      <c r="DM79">
        <v>0.5</v>
      </c>
      <c r="DN79" t="s">
        <v>438</v>
      </c>
      <c r="DO79">
        <v>2</v>
      </c>
      <c r="DP79" t="b">
        <v>1</v>
      </c>
      <c r="DQ79">
        <v>1765308618.6</v>
      </c>
      <c r="DR79">
        <v>1193.69975</v>
      </c>
      <c r="DS79">
        <v>1200.03375</v>
      </c>
      <c r="DT79">
        <v>18.10898125</v>
      </c>
      <c r="DU79">
        <v>17.64194375</v>
      </c>
      <c r="DV79">
        <v>1183.79875</v>
      </c>
      <c r="DW79">
        <v>17.97198125</v>
      </c>
      <c r="DX79">
        <v>499.998375</v>
      </c>
      <c r="DY79">
        <v>89.7195375</v>
      </c>
      <c r="DZ79">
        <v>0.10000528125</v>
      </c>
      <c r="EA79">
        <v>25.38291875</v>
      </c>
      <c r="EB79">
        <v>25.00113125</v>
      </c>
      <c r="EC79">
        <v>999.9</v>
      </c>
      <c r="ED79">
        <v>0</v>
      </c>
      <c r="EE79">
        <v>0</v>
      </c>
      <c r="EF79">
        <v>10000.158125</v>
      </c>
      <c r="EG79">
        <v>0</v>
      </c>
      <c r="EH79">
        <v>13.7992</v>
      </c>
      <c r="EI79">
        <v>-6.66545125</v>
      </c>
      <c r="EJ79">
        <v>1215.386875</v>
      </c>
      <c r="EK79">
        <v>1221.58375</v>
      </c>
      <c r="EL79">
        <v>0.47538</v>
      </c>
      <c r="EM79">
        <v>1200.03375</v>
      </c>
      <c r="EN79">
        <v>17.64194375</v>
      </c>
      <c r="EO79">
        <v>1.625476875</v>
      </c>
      <c r="EP79">
        <v>1.582826875</v>
      </c>
      <c r="EQ79">
        <v>14.20246875</v>
      </c>
      <c r="ER79">
        <v>13.79259375</v>
      </c>
      <c r="ES79">
        <v>799.9959375</v>
      </c>
      <c r="ET79">
        <v>0.9499896875</v>
      </c>
      <c r="EU79">
        <v>0.050010275</v>
      </c>
      <c r="EV79">
        <v>0</v>
      </c>
      <c r="EW79">
        <v>906.144</v>
      </c>
      <c r="EX79">
        <v>5.00016</v>
      </c>
      <c r="EY79">
        <v>7003.175625</v>
      </c>
      <c r="EZ79">
        <v>7194.614375</v>
      </c>
      <c r="FA79">
        <v>39.625</v>
      </c>
      <c r="FB79">
        <v>42.187</v>
      </c>
      <c r="FC79">
        <v>41.0738125</v>
      </c>
      <c r="FD79">
        <v>42.210625</v>
      </c>
      <c r="FE79">
        <v>42.312</v>
      </c>
      <c r="FF79">
        <v>755.238125</v>
      </c>
      <c r="FG79">
        <v>39.75625</v>
      </c>
      <c r="FH79">
        <v>0</v>
      </c>
      <c r="FI79">
        <v>1765308627.7</v>
      </c>
      <c r="FJ79">
        <v>0</v>
      </c>
      <c r="FK79">
        <v>906.138615384615</v>
      </c>
      <c r="FL79">
        <v>0.195487171775455</v>
      </c>
      <c r="FM79">
        <v>5.37435894204967</v>
      </c>
      <c r="FN79">
        <v>7003.19461538462</v>
      </c>
      <c r="FO79">
        <v>15</v>
      </c>
      <c r="FP79">
        <v>1765308657.1</v>
      </c>
      <c r="FQ79" t="s">
        <v>634</v>
      </c>
      <c r="FR79">
        <v>1765308657.1</v>
      </c>
      <c r="FS79">
        <v>1765308649.1</v>
      </c>
      <c r="FT79">
        <v>63</v>
      </c>
      <c r="FU79">
        <v>0.32</v>
      </c>
      <c r="FV79">
        <v>-0.001</v>
      </c>
      <c r="FW79">
        <v>9.901</v>
      </c>
      <c r="FX79">
        <v>0.137</v>
      </c>
      <c r="FY79">
        <v>1200</v>
      </c>
      <c r="FZ79">
        <v>18</v>
      </c>
      <c r="GA79">
        <v>0.94</v>
      </c>
      <c r="GB79">
        <v>0.07</v>
      </c>
      <c r="GC79">
        <v>-6.68530904761905</v>
      </c>
      <c r="GD79">
        <v>0.391072987012978</v>
      </c>
      <c r="GE79">
        <v>0.0802027518768327</v>
      </c>
      <c r="GF79">
        <v>1</v>
      </c>
      <c r="GG79">
        <v>906.076323529412</v>
      </c>
      <c r="GH79">
        <v>1.13034377324449</v>
      </c>
      <c r="GI79">
        <v>0.199044145353008</v>
      </c>
      <c r="GJ79">
        <v>-1</v>
      </c>
      <c r="GK79">
        <v>0.475654666666667</v>
      </c>
      <c r="GL79">
        <v>-0.0044782597402589</v>
      </c>
      <c r="GM79">
        <v>0.000716766371801879</v>
      </c>
      <c r="GN79">
        <v>1</v>
      </c>
      <c r="GO79">
        <v>2</v>
      </c>
      <c r="GP79">
        <v>2</v>
      </c>
      <c r="GQ79" t="s">
        <v>440</v>
      </c>
      <c r="GR79">
        <v>3.12497</v>
      </c>
      <c r="GS79">
        <v>2.72553</v>
      </c>
      <c r="GT79">
        <v>0.183028</v>
      </c>
      <c r="GU79">
        <v>0.18423</v>
      </c>
      <c r="GV79">
        <v>0.0830291</v>
      </c>
      <c r="GW79">
        <v>0.0815806</v>
      </c>
      <c r="GX79">
        <v>21543.4</v>
      </c>
      <c r="GY79">
        <v>19972.6</v>
      </c>
      <c r="GZ79">
        <v>23571.9</v>
      </c>
      <c r="HA79">
        <v>23828.2</v>
      </c>
      <c r="HB79">
        <v>36812</v>
      </c>
      <c r="HC79">
        <v>36193.4</v>
      </c>
      <c r="HD79">
        <v>42453.6</v>
      </c>
      <c r="HE79">
        <v>42444.1</v>
      </c>
      <c r="HF79">
        <v>1.92022</v>
      </c>
      <c r="HG79">
        <v>1.84718</v>
      </c>
      <c r="HH79">
        <v>0.103012</v>
      </c>
      <c r="HI79">
        <v>0</v>
      </c>
      <c r="HJ79">
        <v>23.3019</v>
      </c>
      <c r="HK79">
        <v>999.9</v>
      </c>
      <c r="HL79">
        <v>45.751</v>
      </c>
      <c r="HM79">
        <v>29.225</v>
      </c>
      <c r="HN79">
        <v>20.7762</v>
      </c>
      <c r="HO79">
        <v>55.2867</v>
      </c>
      <c r="HP79">
        <v>46.2941</v>
      </c>
      <c r="HQ79">
        <v>1</v>
      </c>
      <c r="HR79">
        <v>-0.125732</v>
      </c>
      <c r="HS79">
        <v>0.604374</v>
      </c>
      <c r="HT79">
        <v>20.2312</v>
      </c>
      <c r="HU79">
        <v>5.23346</v>
      </c>
      <c r="HV79">
        <v>11.992</v>
      </c>
      <c r="HW79">
        <v>4.9559</v>
      </c>
      <c r="HX79">
        <v>3.304</v>
      </c>
      <c r="HY79">
        <v>999.9</v>
      </c>
      <c r="HZ79">
        <v>9999</v>
      </c>
      <c r="IA79">
        <v>9999</v>
      </c>
      <c r="IB79">
        <v>9999</v>
      </c>
      <c r="IC79">
        <v>1.86865</v>
      </c>
      <c r="ID79">
        <v>1.86441</v>
      </c>
      <c r="IE79">
        <v>1.87195</v>
      </c>
      <c r="IF79">
        <v>1.86292</v>
      </c>
      <c r="IG79">
        <v>1.86233</v>
      </c>
      <c r="IH79">
        <v>1.8687</v>
      </c>
      <c r="II79">
        <v>1.85892</v>
      </c>
      <c r="IJ79">
        <v>1.86524</v>
      </c>
      <c r="IK79">
        <v>5</v>
      </c>
      <c r="IL79">
        <v>0</v>
      </c>
      <c r="IM79">
        <v>0</v>
      </c>
      <c r="IN79">
        <v>0</v>
      </c>
      <c r="IO79" t="s">
        <v>441</v>
      </c>
      <c r="IP79" t="s">
        <v>442</v>
      </c>
      <c r="IQ79" t="s">
        <v>443</v>
      </c>
      <c r="IR79" t="s">
        <v>443</v>
      </c>
      <c r="IS79" t="s">
        <v>443</v>
      </c>
      <c r="IT79" t="s">
        <v>443</v>
      </c>
      <c r="IU79">
        <v>0</v>
      </c>
      <c r="IV79">
        <v>100</v>
      </c>
      <c r="IW79">
        <v>100</v>
      </c>
      <c r="IX79">
        <v>9.901</v>
      </c>
      <c r="IY79">
        <v>0.137</v>
      </c>
      <c r="IZ79">
        <v>5.34808630303947</v>
      </c>
      <c r="JA79">
        <v>0.0062698613543794</v>
      </c>
      <c r="JB79">
        <v>-3.23243345529816e-06</v>
      </c>
      <c r="JC79">
        <v>8.00506428382295e-10</v>
      </c>
      <c r="JD79">
        <v>-0.0180448044690816</v>
      </c>
      <c r="JE79">
        <v>-0.0018464610107002</v>
      </c>
      <c r="JF79">
        <v>0.000796540623429801</v>
      </c>
      <c r="JG79">
        <v>-1.04619914107352e-05</v>
      </c>
      <c r="JH79">
        <v>-0</v>
      </c>
      <c r="JI79">
        <v>2101</v>
      </c>
      <c r="JJ79">
        <v>1</v>
      </c>
      <c r="JK79">
        <v>23</v>
      </c>
      <c r="JL79">
        <v>1.2</v>
      </c>
      <c r="JM79">
        <v>1.3</v>
      </c>
      <c r="JN79">
        <v>2.43652</v>
      </c>
      <c r="JO79">
        <v>2.34497</v>
      </c>
      <c r="JP79">
        <v>1.4978</v>
      </c>
      <c r="JQ79">
        <v>2.33398</v>
      </c>
      <c r="JR79">
        <v>1.54419</v>
      </c>
      <c r="JS79">
        <v>2.33398</v>
      </c>
      <c r="JT79">
        <v>35.0825</v>
      </c>
      <c r="JU79">
        <v>24.3414</v>
      </c>
      <c r="JV79">
        <v>18</v>
      </c>
      <c r="JW79">
        <v>539.157</v>
      </c>
      <c r="JX79">
        <v>435.712</v>
      </c>
      <c r="JY79">
        <v>22.5717</v>
      </c>
      <c r="JZ79">
        <v>25.9148</v>
      </c>
      <c r="KA79">
        <v>29.9998</v>
      </c>
      <c r="KB79">
        <v>25.9963</v>
      </c>
      <c r="KC79">
        <v>26.0278</v>
      </c>
      <c r="KD79">
        <v>48.7771</v>
      </c>
      <c r="KE79">
        <v>26.4709</v>
      </c>
      <c r="KF79">
        <v>87.3033</v>
      </c>
      <c r="KG79">
        <v>22.5751</v>
      </c>
      <c r="KH79">
        <v>1200</v>
      </c>
      <c r="KI79">
        <v>17.6159</v>
      </c>
      <c r="KJ79">
        <v>95.1836</v>
      </c>
      <c r="KK79">
        <v>98.9595</v>
      </c>
    </row>
    <row r="80" spans="1:297">
      <c r="A80">
        <v>64</v>
      </c>
      <c r="B80">
        <v>1765308732.1</v>
      </c>
      <c r="C80">
        <v>10783.0999999046</v>
      </c>
      <c r="D80" t="s">
        <v>635</v>
      </c>
      <c r="E80" t="s">
        <v>636</v>
      </c>
      <c r="F80">
        <v>5</v>
      </c>
      <c r="G80" t="s">
        <v>603</v>
      </c>
      <c r="H80" t="s">
        <v>436</v>
      </c>
      <c r="I80">
        <v>1765308723.6</v>
      </c>
      <c r="J80">
        <f>(K80)/1000</f>
        <v>0</v>
      </c>
      <c r="K80">
        <f>IF(DP80, AN80, AH80)</f>
        <v>0</v>
      </c>
      <c r="L80">
        <f>IF(DP80, AI80, AG80)</f>
        <v>0</v>
      </c>
      <c r="M80">
        <f>DR80 - IF(AU80&gt;1, L80*DL80*100.0/(AW80), 0)</f>
        <v>0</v>
      </c>
      <c r="N80">
        <f>((T80-J80/2)*M80-L80)/(T80+J80/2)</f>
        <v>0</v>
      </c>
      <c r="O80">
        <f>N80*(DY80+DZ80)/1000.0</f>
        <v>0</v>
      </c>
      <c r="P80">
        <f>(DR80 - IF(AU80&gt;1, L80*DL80*100.0/(AW80), 0))*(DY80+DZ80)/1000.0</f>
        <v>0</v>
      </c>
      <c r="Q80">
        <f>2.0/((1/S80-1/R80)+SIGN(S80)*SQRT((1/S80-1/R80)*(1/S80-1/R80) + 4*DM80/((DM80+1)*(DM80+1))*(2*1/S80*1/R80-1/R80*1/R80)))</f>
        <v>0</v>
      </c>
      <c r="R80">
        <f>IF(LEFT(DN80,1)&lt;&gt;"0",IF(LEFT(DN80,1)="1",3.0,DO80),$D$5+$E$5*(EF80*DY80/($K$5*1000))+$F$5*(EF80*DY80/($K$5*1000))*MAX(MIN(DL80,$J$5),$I$5)*MAX(MIN(DL80,$J$5),$I$5)+$G$5*MAX(MIN(DL80,$J$5),$I$5)*(EF80*DY80/($K$5*1000))+$H$5*(EF80*DY80/($K$5*1000))*(EF80*DY80/($K$5*1000)))</f>
        <v>0</v>
      </c>
      <c r="S80">
        <f>J80*(1000-(1000*0.61365*exp(17.502*W80/(240.97+W80))/(DY80+DZ80)+DT80)/2)/(1000*0.61365*exp(17.502*W80/(240.97+W80))/(DY80+DZ80)-DT80)</f>
        <v>0</v>
      </c>
      <c r="T80">
        <f>1/((DM80+1)/(Q80/1.6)+1/(R80/1.37)) + DM80/((DM80+1)/(Q80/1.6) + DM80/(R80/1.37))</f>
        <v>0</v>
      </c>
      <c r="U80">
        <f>(DH80*DK80)</f>
        <v>0</v>
      </c>
      <c r="V80">
        <f>(EA80+(U80+2*0.95*5.67E-8*(((EA80+$B$7)+273)^4-(EA80+273)^4)-44100*J80)/(1.84*29.3*R80+8*0.95*5.67E-8*(EA80+273)^3))</f>
        <v>0</v>
      </c>
      <c r="W80">
        <f>($C$7*EB80+$D$7*EC80+$E$7*V80)</f>
        <v>0</v>
      </c>
      <c r="X80">
        <f>0.61365*exp(17.502*W80/(240.97+W80))</f>
        <v>0</v>
      </c>
      <c r="Y80">
        <f>(Z80/AA80*100)</f>
        <v>0</v>
      </c>
      <c r="Z80">
        <f>DT80*(DY80+DZ80)/1000</f>
        <v>0</v>
      </c>
      <c r="AA80">
        <f>0.61365*exp(17.502*EA80/(240.97+EA80))</f>
        <v>0</v>
      </c>
      <c r="AB80">
        <f>(X80-DT80*(DY80+DZ80)/1000)</f>
        <v>0</v>
      </c>
      <c r="AC80">
        <f>(-J80*44100)</f>
        <v>0</v>
      </c>
      <c r="AD80">
        <f>2*29.3*R80*0.92*(EA80-W80)</f>
        <v>0</v>
      </c>
      <c r="AE80">
        <f>2*0.95*5.67E-8*(((EA80+$B$7)+273)^4-(W80+273)^4)</f>
        <v>0</v>
      </c>
      <c r="AF80">
        <f>U80+AE80+AC80+AD80</f>
        <v>0</v>
      </c>
      <c r="AG80">
        <f>DX80*AU80*(DS80-DR80*(1000-AU80*DU80)/(1000-AU80*DT80))/(100*DL80)</f>
        <v>0</v>
      </c>
      <c r="AH80">
        <f>1000*DX80*AU80*(DT80-DU80)/(100*DL80*(1000-AU80*DT80))</f>
        <v>0</v>
      </c>
      <c r="AI80">
        <f>(AJ80 - AK80 - DY80*1E3/(8.314*(EA80+273.15)) * AM80/DX80 * AL80) * DX80/(100*DL80) * (1000 - DU80)/1000</f>
        <v>0</v>
      </c>
      <c r="AJ80">
        <v>1527.01429751238</v>
      </c>
      <c r="AK80">
        <v>1520.58503030303</v>
      </c>
      <c r="AL80">
        <v>-0.0266942771184996</v>
      </c>
      <c r="AM80">
        <v>64.1176042873867</v>
      </c>
      <c r="AN80">
        <f>(AP80 - AO80 + DY80*1E3/(8.314*(EA80+273.15)) * AR80/DX80 * AQ80) * DX80/(100*DL80) * 1000/(1000 - AP80)</f>
        <v>0</v>
      </c>
      <c r="AO80">
        <v>17.6322979197396</v>
      </c>
      <c r="AP80">
        <v>18.112713986014</v>
      </c>
      <c r="AQ80">
        <v>-1.08177606421412e-05</v>
      </c>
      <c r="AR80">
        <v>104.08932380932</v>
      </c>
      <c r="AS80">
        <v>6</v>
      </c>
      <c r="AT80">
        <v>1</v>
      </c>
      <c r="AU80">
        <f>IF(AS80*$H$13&gt;=AW80,1.0,(AW80/(AW80-AS80*$H$13)))</f>
        <v>0</v>
      </c>
      <c r="AV80">
        <f>(AU80-1)*100</f>
        <v>0</v>
      </c>
      <c r="AW80">
        <f>MAX(0,($B$13+$C$13*EF80)/(1+$D$13*EF80)*DY80/(EA80+273)*$E$13)</f>
        <v>0</v>
      </c>
      <c r="AX80" t="s">
        <v>437</v>
      </c>
      <c r="AY80" t="s">
        <v>437</v>
      </c>
      <c r="AZ80">
        <v>0</v>
      </c>
      <c r="BA80">
        <v>0</v>
      </c>
      <c r="BB80">
        <f>1-AZ80/BA80</f>
        <v>0</v>
      </c>
      <c r="BC80">
        <v>0</v>
      </c>
      <c r="BD80" t="s">
        <v>437</v>
      </c>
      <c r="BE80" t="s">
        <v>437</v>
      </c>
      <c r="BF80">
        <v>0</v>
      </c>
      <c r="BG80">
        <v>0</v>
      </c>
      <c r="BH80">
        <f>1-BF80/BG80</f>
        <v>0</v>
      </c>
      <c r="BI80">
        <v>0.5</v>
      </c>
      <c r="BJ80">
        <f>DI80</f>
        <v>0</v>
      </c>
      <c r="BK80">
        <f>L80</f>
        <v>0</v>
      </c>
      <c r="BL80">
        <f>BH80*BI80*BJ80</f>
        <v>0</v>
      </c>
      <c r="BM80">
        <f>(BK80-BC80)/BJ80</f>
        <v>0</v>
      </c>
      <c r="BN80">
        <f>(BA80-BG80)/BG80</f>
        <v>0</v>
      </c>
      <c r="BO80">
        <f>AZ80/(BB80+AZ80/BG80)</f>
        <v>0</v>
      </c>
      <c r="BP80" t="s">
        <v>437</v>
      </c>
      <c r="BQ80">
        <v>0</v>
      </c>
      <c r="BR80">
        <f>IF(BQ80&lt;&gt;0, BQ80, BO80)</f>
        <v>0</v>
      </c>
      <c r="BS80">
        <f>1-BR80/BG80</f>
        <v>0</v>
      </c>
      <c r="BT80">
        <f>(BG80-BF80)/(BG80-BR80)</f>
        <v>0</v>
      </c>
      <c r="BU80">
        <f>(BA80-BG80)/(BA80-BR80)</f>
        <v>0</v>
      </c>
      <c r="BV80">
        <f>(BG80-BF80)/(BG80-AZ80)</f>
        <v>0</v>
      </c>
      <c r="BW80">
        <f>(BA80-BG80)/(BA80-AZ80)</f>
        <v>0</v>
      </c>
      <c r="BX80">
        <f>(BT80*BR80/BF80)</f>
        <v>0</v>
      </c>
      <c r="BY80">
        <f>(1-BX80)</f>
        <v>0</v>
      </c>
      <c r="DH80">
        <f>$B$11*EG80+$C$11*EH80+$F$11*ES80*(1-EV80)</f>
        <v>0</v>
      </c>
      <c r="DI80">
        <f>DH80*DJ80</f>
        <v>0</v>
      </c>
      <c r="DJ80">
        <f>($B$11*$D$9+$C$11*$D$9+$F$11*((FF80+EX80)/MAX(FF80+EX80+FG80, 0.1)*$I$9+FG80/MAX(FF80+EX80+FG80, 0.1)*$J$9))/($B$11+$C$11+$F$11)</f>
        <v>0</v>
      </c>
      <c r="DK80">
        <f>($B$11*$K$9+$C$11*$K$9+$F$11*((FF80+EX80)/MAX(FF80+EX80+FG80, 0.1)*$P$9+FG80/MAX(FF80+EX80+FG80, 0.1)*$Q$9))/($B$11+$C$11+$F$11)</f>
        <v>0</v>
      </c>
      <c r="DL80">
        <v>6</v>
      </c>
      <c r="DM80">
        <v>0.5</v>
      </c>
      <c r="DN80" t="s">
        <v>438</v>
      </c>
      <c r="DO80">
        <v>2</v>
      </c>
      <c r="DP80" t="b">
        <v>1</v>
      </c>
      <c r="DQ80">
        <v>1765308723.6</v>
      </c>
      <c r="DR80">
        <v>1492.392875</v>
      </c>
      <c r="DS80">
        <v>1500.001875</v>
      </c>
      <c r="DT80">
        <v>18.1041125</v>
      </c>
      <c r="DU80">
        <v>17.63456875</v>
      </c>
      <c r="DV80">
        <v>1482.491875</v>
      </c>
      <c r="DW80">
        <v>17.9691125</v>
      </c>
      <c r="DX80">
        <v>500.0084375</v>
      </c>
      <c r="DY80">
        <v>89.7174</v>
      </c>
      <c r="DZ80">
        <v>0.1000440375</v>
      </c>
      <c r="EA80">
        <v>25.37821875</v>
      </c>
      <c r="EB80">
        <v>24.99014375</v>
      </c>
      <c r="EC80">
        <v>999.9</v>
      </c>
      <c r="ED80">
        <v>0</v>
      </c>
      <c r="EE80">
        <v>0</v>
      </c>
      <c r="EF80">
        <v>9990.93875</v>
      </c>
      <c r="EG80">
        <v>0</v>
      </c>
      <c r="EH80">
        <v>13.7992</v>
      </c>
      <c r="EI80">
        <v>-7.042343125</v>
      </c>
      <c r="EJ80">
        <v>1520.500625</v>
      </c>
      <c r="EK80">
        <v>1526.92875</v>
      </c>
      <c r="EL80">
        <v>0.4792116875</v>
      </c>
      <c r="EM80">
        <v>1500.001875</v>
      </c>
      <c r="EN80">
        <v>17.63456875</v>
      </c>
      <c r="EO80">
        <v>1.625121875</v>
      </c>
      <c r="EP80">
        <v>1.582129375</v>
      </c>
      <c r="EQ80">
        <v>14.19909375</v>
      </c>
      <c r="ER80">
        <v>13.78581875</v>
      </c>
      <c r="ES80">
        <v>800.00175</v>
      </c>
      <c r="ET80">
        <v>0.94999525</v>
      </c>
      <c r="EU80">
        <v>0.05000474375</v>
      </c>
      <c r="EV80">
        <v>0</v>
      </c>
      <c r="EW80">
        <v>909.1739375</v>
      </c>
      <c r="EX80">
        <v>5.00016</v>
      </c>
      <c r="EY80">
        <v>7026.503125</v>
      </c>
      <c r="EZ80">
        <v>7194.68</v>
      </c>
      <c r="FA80">
        <v>39.625</v>
      </c>
      <c r="FB80">
        <v>42.2066875</v>
      </c>
      <c r="FC80">
        <v>41.0974375</v>
      </c>
      <c r="FD80">
        <v>42.2303125</v>
      </c>
      <c r="FE80">
        <v>42.312</v>
      </c>
      <c r="FF80">
        <v>755.248125</v>
      </c>
      <c r="FG80">
        <v>39.7525</v>
      </c>
      <c r="FH80">
        <v>0</v>
      </c>
      <c r="FI80">
        <v>1765308732.7</v>
      </c>
      <c r="FJ80">
        <v>0</v>
      </c>
      <c r="FK80">
        <v>909.15884</v>
      </c>
      <c r="FL80">
        <v>-0.0522307694861544</v>
      </c>
      <c r="FM80">
        <v>1.25461534447507</v>
      </c>
      <c r="FN80">
        <v>7026.7536</v>
      </c>
      <c r="FO80">
        <v>15</v>
      </c>
      <c r="FP80">
        <v>1765308773.1</v>
      </c>
      <c r="FQ80" t="s">
        <v>637</v>
      </c>
      <c r="FR80">
        <v>1765308657.1</v>
      </c>
      <c r="FS80">
        <v>1765308753.1</v>
      </c>
      <c r="FT80">
        <v>64</v>
      </c>
      <c r="FU80">
        <v>0.32</v>
      </c>
      <c r="FV80">
        <v>-0.002</v>
      </c>
      <c r="FW80">
        <v>9.901</v>
      </c>
      <c r="FX80">
        <v>0.135</v>
      </c>
      <c r="FY80">
        <v>1200</v>
      </c>
      <c r="FZ80">
        <v>18</v>
      </c>
      <c r="GA80">
        <v>0.94</v>
      </c>
      <c r="GB80">
        <v>0.2</v>
      </c>
      <c r="GC80">
        <v>-7.060333</v>
      </c>
      <c r="GD80">
        <v>0.401881804511275</v>
      </c>
      <c r="GE80">
        <v>0.144451831421412</v>
      </c>
      <c r="GF80">
        <v>1</v>
      </c>
      <c r="GG80">
        <v>909.128264705882</v>
      </c>
      <c r="GH80">
        <v>0.743758597125696</v>
      </c>
      <c r="GI80">
        <v>0.170264207979918</v>
      </c>
      <c r="GJ80">
        <v>-1</v>
      </c>
      <c r="GK80">
        <v>0.4783083</v>
      </c>
      <c r="GL80">
        <v>0.0129478195488722</v>
      </c>
      <c r="GM80">
        <v>0.00149236406751167</v>
      </c>
      <c r="GN80">
        <v>1</v>
      </c>
      <c r="GO80">
        <v>2</v>
      </c>
      <c r="GP80">
        <v>2</v>
      </c>
      <c r="GQ80" t="s">
        <v>440</v>
      </c>
      <c r="GR80">
        <v>3.12496</v>
      </c>
      <c r="GS80">
        <v>2.72566</v>
      </c>
      <c r="GT80">
        <v>0.210291</v>
      </c>
      <c r="GU80">
        <v>0.211303</v>
      </c>
      <c r="GV80">
        <v>0.0830492</v>
      </c>
      <c r="GW80">
        <v>0.0815717</v>
      </c>
      <c r="GX80">
        <v>20828.3</v>
      </c>
      <c r="GY80">
        <v>19313.5</v>
      </c>
      <c r="GZ80">
        <v>23575.2</v>
      </c>
      <c r="HA80">
        <v>23831.7</v>
      </c>
      <c r="HB80">
        <v>36817.3</v>
      </c>
      <c r="HC80">
        <v>36200.4</v>
      </c>
      <c r="HD80">
        <v>42457.9</v>
      </c>
      <c r="HE80">
        <v>42449.4</v>
      </c>
      <c r="HF80">
        <v>1.92087</v>
      </c>
      <c r="HG80">
        <v>1.8497</v>
      </c>
      <c r="HH80">
        <v>0.10287</v>
      </c>
      <c r="HI80">
        <v>0</v>
      </c>
      <c r="HJ80">
        <v>23.3137</v>
      </c>
      <c r="HK80">
        <v>999.9</v>
      </c>
      <c r="HL80">
        <v>45.8</v>
      </c>
      <c r="HM80">
        <v>29.195</v>
      </c>
      <c r="HN80">
        <v>20.7656</v>
      </c>
      <c r="HO80">
        <v>55.2567</v>
      </c>
      <c r="HP80">
        <v>46.0657</v>
      </c>
      <c r="HQ80">
        <v>1</v>
      </c>
      <c r="HR80">
        <v>-0.130409</v>
      </c>
      <c r="HS80">
        <v>0.567116</v>
      </c>
      <c r="HT80">
        <v>20.2313</v>
      </c>
      <c r="HU80">
        <v>5.23421</v>
      </c>
      <c r="HV80">
        <v>11.992</v>
      </c>
      <c r="HW80">
        <v>4.95625</v>
      </c>
      <c r="HX80">
        <v>3.304</v>
      </c>
      <c r="HY80">
        <v>999.9</v>
      </c>
      <c r="HZ80">
        <v>9999</v>
      </c>
      <c r="IA80">
        <v>9999</v>
      </c>
      <c r="IB80">
        <v>9999</v>
      </c>
      <c r="IC80">
        <v>1.86859</v>
      </c>
      <c r="ID80">
        <v>1.86434</v>
      </c>
      <c r="IE80">
        <v>1.87195</v>
      </c>
      <c r="IF80">
        <v>1.86291</v>
      </c>
      <c r="IG80">
        <v>1.86234</v>
      </c>
      <c r="IH80">
        <v>1.86871</v>
      </c>
      <c r="II80">
        <v>1.85886</v>
      </c>
      <c r="IJ80">
        <v>1.86523</v>
      </c>
      <c r="IK80">
        <v>5</v>
      </c>
      <c r="IL80">
        <v>0</v>
      </c>
      <c r="IM80">
        <v>0</v>
      </c>
      <c r="IN80">
        <v>0</v>
      </c>
      <c r="IO80" t="s">
        <v>441</v>
      </c>
      <c r="IP80" t="s">
        <v>442</v>
      </c>
      <c r="IQ80" t="s">
        <v>443</v>
      </c>
      <c r="IR80" t="s">
        <v>443</v>
      </c>
      <c r="IS80" t="s">
        <v>443</v>
      </c>
      <c r="IT80" t="s">
        <v>443</v>
      </c>
      <c r="IU80">
        <v>0</v>
      </c>
      <c r="IV80">
        <v>100</v>
      </c>
      <c r="IW80">
        <v>100</v>
      </c>
      <c r="IX80">
        <v>9.901</v>
      </c>
      <c r="IY80">
        <v>0.135</v>
      </c>
      <c r="IZ80">
        <v>5.66795373324576</v>
      </c>
      <c r="JA80">
        <v>0.0062698613543794</v>
      </c>
      <c r="JB80">
        <v>-3.23243345529816e-06</v>
      </c>
      <c r="JC80">
        <v>8.00506428382295e-10</v>
      </c>
      <c r="JD80">
        <v>-0.0186464008013409</v>
      </c>
      <c r="JE80">
        <v>-0.0018464610107002</v>
      </c>
      <c r="JF80">
        <v>0.000796540623429801</v>
      </c>
      <c r="JG80">
        <v>-1.04619914107352e-05</v>
      </c>
      <c r="JH80">
        <v>-0</v>
      </c>
      <c r="JI80">
        <v>2101</v>
      </c>
      <c r="JJ80">
        <v>1</v>
      </c>
      <c r="JK80">
        <v>23</v>
      </c>
      <c r="JL80">
        <v>1.2</v>
      </c>
      <c r="JM80">
        <v>1.4</v>
      </c>
      <c r="JN80">
        <v>2.9126</v>
      </c>
      <c r="JO80">
        <v>2.323</v>
      </c>
      <c r="JP80">
        <v>1.4978</v>
      </c>
      <c r="JQ80">
        <v>2.33398</v>
      </c>
      <c r="JR80">
        <v>1.54419</v>
      </c>
      <c r="JS80">
        <v>2.323</v>
      </c>
      <c r="JT80">
        <v>35.0364</v>
      </c>
      <c r="JU80">
        <v>24.3414</v>
      </c>
      <c r="JV80">
        <v>18</v>
      </c>
      <c r="JW80">
        <v>538.97</v>
      </c>
      <c r="JX80">
        <v>436.652</v>
      </c>
      <c r="JY80">
        <v>22.5454</v>
      </c>
      <c r="JZ80">
        <v>25.8549</v>
      </c>
      <c r="KA80">
        <v>30</v>
      </c>
      <c r="KB80">
        <v>25.9275</v>
      </c>
      <c r="KC80">
        <v>25.9577</v>
      </c>
      <c r="KD80">
        <v>58.2811</v>
      </c>
      <c r="KE80">
        <v>26.3892</v>
      </c>
      <c r="KF80">
        <v>87.8158</v>
      </c>
      <c r="KG80">
        <v>22.543</v>
      </c>
      <c r="KH80">
        <v>1500</v>
      </c>
      <c r="KI80">
        <v>17.624</v>
      </c>
      <c r="KJ80">
        <v>95.1947</v>
      </c>
      <c r="KK80">
        <v>98.9725</v>
      </c>
    </row>
    <row r="81" spans="1:297">
      <c r="A81">
        <v>65</v>
      </c>
      <c r="B81">
        <v>1765308864.1</v>
      </c>
      <c r="C81">
        <v>10915.0999999046</v>
      </c>
      <c r="D81" t="s">
        <v>638</v>
      </c>
      <c r="E81" t="s">
        <v>639</v>
      </c>
      <c r="F81">
        <v>5</v>
      </c>
      <c r="G81" t="s">
        <v>603</v>
      </c>
      <c r="H81" t="s">
        <v>436</v>
      </c>
      <c r="I81">
        <v>1765308855.6</v>
      </c>
      <c r="J81">
        <f>(K81)/1000</f>
        <v>0</v>
      </c>
      <c r="K81">
        <f>IF(DP81, AN81, AH81)</f>
        <v>0</v>
      </c>
      <c r="L81">
        <f>IF(DP81, AI81, AG81)</f>
        <v>0</v>
      </c>
      <c r="M81">
        <f>DR81 - IF(AU81&gt;1, L81*DL81*100.0/(AW81), 0)</f>
        <v>0</v>
      </c>
      <c r="N81">
        <f>((T81-J81/2)*M81-L81)/(T81+J81/2)</f>
        <v>0</v>
      </c>
      <c r="O81">
        <f>N81*(DY81+DZ81)/1000.0</f>
        <v>0</v>
      </c>
      <c r="P81">
        <f>(DR81 - IF(AU81&gt;1, L81*DL81*100.0/(AW81), 0))*(DY81+DZ81)/1000.0</f>
        <v>0</v>
      </c>
      <c r="Q81">
        <f>2.0/((1/S81-1/R81)+SIGN(S81)*SQRT((1/S81-1/R81)*(1/S81-1/R81) + 4*DM81/((DM81+1)*(DM81+1))*(2*1/S81*1/R81-1/R81*1/R81)))</f>
        <v>0</v>
      </c>
      <c r="R81">
        <f>IF(LEFT(DN81,1)&lt;&gt;"0",IF(LEFT(DN81,1)="1",3.0,DO81),$D$5+$E$5*(EF81*DY81/($K$5*1000))+$F$5*(EF81*DY81/($K$5*1000))*MAX(MIN(DL81,$J$5),$I$5)*MAX(MIN(DL81,$J$5),$I$5)+$G$5*MAX(MIN(DL81,$J$5),$I$5)*(EF81*DY81/($K$5*1000))+$H$5*(EF81*DY81/($K$5*1000))*(EF81*DY81/($K$5*1000)))</f>
        <v>0</v>
      </c>
      <c r="S81">
        <f>J81*(1000-(1000*0.61365*exp(17.502*W81/(240.97+W81))/(DY81+DZ81)+DT81)/2)/(1000*0.61365*exp(17.502*W81/(240.97+W81))/(DY81+DZ81)-DT81)</f>
        <v>0</v>
      </c>
      <c r="T81">
        <f>1/((DM81+1)/(Q81/1.6)+1/(R81/1.37)) + DM81/((DM81+1)/(Q81/1.6) + DM81/(R81/1.37))</f>
        <v>0</v>
      </c>
      <c r="U81">
        <f>(DH81*DK81)</f>
        <v>0</v>
      </c>
      <c r="V81">
        <f>(EA81+(U81+2*0.95*5.67E-8*(((EA81+$B$7)+273)^4-(EA81+273)^4)-44100*J81)/(1.84*29.3*R81+8*0.95*5.67E-8*(EA81+273)^3))</f>
        <v>0</v>
      </c>
      <c r="W81">
        <f>($C$7*EB81+$D$7*EC81+$E$7*V81)</f>
        <v>0</v>
      </c>
      <c r="X81">
        <f>0.61365*exp(17.502*W81/(240.97+W81))</f>
        <v>0</v>
      </c>
      <c r="Y81">
        <f>(Z81/AA81*100)</f>
        <v>0</v>
      </c>
      <c r="Z81">
        <f>DT81*(DY81+DZ81)/1000</f>
        <v>0</v>
      </c>
      <c r="AA81">
        <f>0.61365*exp(17.502*EA81/(240.97+EA81))</f>
        <v>0</v>
      </c>
      <c r="AB81">
        <f>(X81-DT81*(DY81+DZ81)/1000)</f>
        <v>0</v>
      </c>
      <c r="AC81">
        <f>(-J81*44100)</f>
        <v>0</v>
      </c>
      <c r="AD81">
        <f>2*29.3*R81*0.92*(EA81-W81)</f>
        <v>0</v>
      </c>
      <c r="AE81">
        <f>2*0.95*5.67E-8*(((EA81+$B$7)+273)^4-(W81+273)^4)</f>
        <v>0</v>
      </c>
      <c r="AF81">
        <f>U81+AE81+AC81+AD81</f>
        <v>0</v>
      </c>
      <c r="AG81">
        <f>DX81*AU81*(DS81-DR81*(1000-AU81*DU81)/(1000-AU81*DT81))/(100*DL81)</f>
        <v>0</v>
      </c>
      <c r="AH81">
        <f>1000*DX81*AU81*(DT81-DU81)/(100*DL81*(1000-AU81*DT81))</f>
        <v>0</v>
      </c>
      <c r="AI81">
        <f>(AJ81 - AK81 - DY81*1E3/(8.314*(EA81+273.15)) * AM81/DX81 * AL81) * DX81/(100*DL81) * (1000 - DU81)/1000</f>
        <v>0</v>
      </c>
      <c r="AJ81">
        <v>407.175056745414</v>
      </c>
      <c r="AK81">
        <v>405.730575757576</v>
      </c>
      <c r="AL81">
        <v>0.00843938079590373</v>
      </c>
      <c r="AM81">
        <v>64.0185688121229</v>
      </c>
      <c r="AN81">
        <f>(AP81 - AO81 + DY81*1E3/(8.314*(EA81+273.15)) * AR81/DX81 * AQ81) * DX81/(100*DL81) * 1000/(1000 - AP81)</f>
        <v>0</v>
      </c>
      <c r="AO81">
        <v>17.6442201570029</v>
      </c>
      <c r="AP81">
        <v>18.122556969697</v>
      </c>
      <c r="AQ81">
        <v>-1.83164463165906e-05</v>
      </c>
      <c r="AR81">
        <v>104.028082300973</v>
      </c>
      <c r="AS81">
        <v>7</v>
      </c>
      <c r="AT81">
        <v>1</v>
      </c>
      <c r="AU81">
        <f>IF(AS81*$H$13&gt;=AW81,1.0,(AW81/(AW81-AS81*$H$13)))</f>
        <v>0</v>
      </c>
      <c r="AV81">
        <f>(AU81-1)*100</f>
        <v>0</v>
      </c>
      <c r="AW81">
        <f>MAX(0,($B$13+$C$13*EF81)/(1+$D$13*EF81)*DY81/(EA81+273)*$E$13)</f>
        <v>0</v>
      </c>
      <c r="AX81" t="s">
        <v>437</v>
      </c>
      <c r="AY81" t="s">
        <v>437</v>
      </c>
      <c r="AZ81">
        <v>0</v>
      </c>
      <c r="BA81">
        <v>0</v>
      </c>
      <c r="BB81">
        <f>1-AZ81/BA81</f>
        <v>0</v>
      </c>
      <c r="BC81">
        <v>0</v>
      </c>
      <c r="BD81" t="s">
        <v>437</v>
      </c>
      <c r="BE81" t="s">
        <v>437</v>
      </c>
      <c r="BF81">
        <v>0</v>
      </c>
      <c r="BG81">
        <v>0</v>
      </c>
      <c r="BH81">
        <f>1-BF81/BG81</f>
        <v>0</v>
      </c>
      <c r="BI81">
        <v>0.5</v>
      </c>
      <c r="BJ81">
        <f>DI81</f>
        <v>0</v>
      </c>
      <c r="BK81">
        <f>L81</f>
        <v>0</v>
      </c>
      <c r="BL81">
        <f>BH81*BI81*BJ81</f>
        <v>0</v>
      </c>
      <c r="BM81">
        <f>(BK81-BC81)/BJ81</f>
        <v>0</v>
      </c>
      <c r="BN81">
        <f>(BA81-BG81)/BG81</f>
        <v>0</v>
      </c>
      <c r="BO81">
        <f>AZ81/(BB81+AZ81/BG81)</f>
        <v>0</v>
      </c>
      <c r="BP81" t="s">
        <v>437</v>
      </c>
      <c r="BQ81">
        <v>0</v>
      </c>
      <c r="BR81">
        <f>IF(BQ81&lt;&gt;0, BQ81, BO81)</f>
        <v>0</v>
      </c>
      <c r="BS81">
        <f>1-BR81/BG81</f>
        <v>0</v>
      </c>
      <c r="BT81">
        <f>(BG81-BF81)/(BG81-BR81)</f>
        <v>0</v>
      </c>
      <c r="BU81">
        <f>(BA81-BG81)/(BA81-BR81)</f>
        <v>0</v>
      </c>
      <c r="BV81">
        <f>(BG81-BF81)/(BG81-AZ81)</f>
        <v>0</v>
      </c>
      <c r="BW81">
        <f>(BA81-BG81)/(BA81-AZ81)</f>
        <v>0</v>
      </c>
      <c r="BX81">
        <f>(BT81*BR81/BF81)</f>
        <v>0</v>
      </c>
      <c r="BY81">
        <f>(1-BX81)</f>
        <v>0</v>
      </c>
      <c r="DH81">
        <f>$B$11*EG81+$C$11*EH81+$F$11*ES81*(1-EV81)</f>
        <v>0</v>
      </c>
      <c r="DI81">
        <f>DH81*DJ81</f>
        <v>0</v>
      </c>
      <c r="DJ81">
        <f>($B$11*$D$9+$C$11*$D$9+$F$11*((FF81+EX81)/MAX(FF81+EX81+FG81, 0.1)*$I$9+FG81/MAX(FF81+EX81+FG81, 0.1)*$J$9))/($B$11+$C$11+$F$11)</f>
        <v>0</v>
      </c>
      <c r="DK81">
        <f>($B$11*$K$9+$C$11*$K$9+$F$11*((FF81+EX81)/MAX(FF81+EX81+FG81, 0.1)*$P$9+FG81/MAX(FF81+EX81+FG81, 0.1)*$Q$9))/($B$11+$C$11+$F$11)</f>
        <v>0</v>
      </c>
      <c r="DL81">
        <v>6</v>
      </c>
      <c r="DM81">
        <v>0.5</v>
      </c>
      <c r="DN81" t="s">
        <v>438</v>
      </c>
      <c r="DO81">
        <v>2</v>
      </c>
      <c r="DP81" t="b">
        <v>1</v>
      </c>
      <c r="DQ81">
        <v>1765308855.6</v>
      </c>
      <c r="DR81">
        <v>398.20375</v>
      </c>
      <c r="DS81">
        <v>399.9843125</v>
      </c>
      <c r="DT81">
        <v>18.111825</v>
      </c>
      <c r="DU81">
        <v>17.6463875</v>
      </c>
      <c r="DV81">
        <v>390.68075</v>
      </c>
      <c r="DW81">
        <v>17.980825</v>
      </c>
      <c r="DX81">
        <v>499.9864375</v>
      </c>
      <c r="DY81">
        <v>89.71445625</v>
      </c>
      <c r="DZ81">
        <v>0.09993709375</v>
      </c>
      <c r="EA81">
        <v>25.3674875</v>
      </c>
      <c r="EB81">
        <v>24.99575</v>
      </c>
      <c r="EC81">
        <v>999.9</v>
      </c>
      <c r="ED81">
        <v>0</v>
      </c>
      <c r="EE81">
        <v>0</v>
      </c>
      <c r="EF81">
        <v>9993.675</v>
      </c>
      <c r="EG81">
        <v>0</v>
      </c>
      <c r="EH81">
        <v>13.809625</v>
      </c>
      <c r="EI81">
        <v>-1.6316775</v>
      </c>
      <c r="EJ81">
        <v>405.705625</v>
      </c>
      <c r="EK81">
        <v>407.1695</v>
      </c>
      <c r="EL81">
        <v>0.47755675</v>
      </c>
      <c r="EM81">
        <v>399.9843125</v>
      </c>
      <c r="EN81">
        <v>17.6463875</v>
      </c>
      <c r="EO81">
        <v>1.625980625</v>
      </c>
      <c r="EP81">
        <v>1.58313625</v>
      </c>
      <c r="EQ81">
        <v>14.20725</v>
      </c>
      <c r="ER81">
        <v>13.79565</v>
      </c>
      <c r="ES81">
        <v>799.9491875</v>
      </c>
      <c r="ET81">
        <v>0.9499861875</v>
      </c>
      <c r="EU81">
        <v>0.0500136625</v>
      </c>
      <c r="EV81">
        <v>0</v>
      </c>
      <c r="EW81">
        <v>893.997625</v>
      </c>
      <c r="EX81">
        <v>5.00016</v>
      </c>
      <c r="EY81">
        <v>6909.506875</v>
      </c>
      <c r="EZ81">
        <v>7194.18375</v>
      </c>
      <c r="FA81">
        <v>39.6405</v>
      </c>
      <c r="FB81">
        <v>42.242125</v>
      </c>
      <c r="FC81">
        <v>41.125</v>
      </c>
      <c r="FD81">
        <v>42.25</v>
      </c>
      <c r="FE81">
        <v>42.312</v>
      </c>
      <c r="FF81">
        <v>755.190625</v>
      </c>
      <c r="FG81">
        <v>39.758125</v>
      </c>
      <c r="FH81">
        <v>0</v>
      </c>
      <c r="FI81">
        <v>1765308864.7</v>
      </c>
      <c r="FJ81">
        <v>0</v>
      </c>
      <c r="FK81">
        <v>893.93312</v>
      </c>
      <c r="FL81">
        <v>-1.93569229887024</v>
      </c>
      <c r="FM81">
        <v>-14.5523077442065</v>
      </c>
      <c r="FN81">
        <v>6909.0732</v>
      </c>
      <c r="FO81">
        <v>15</v>
      </c>
      <c r="FP81">
        <v>1765308888.1</v>
      </c>
      <c r="FQ81" t="s">
        <v>640</v>
      </c>
      <c r="FR81">
        <v>1765308882.1</v>
      </c>
      <c r="FS81">
        <v>1765308888.1</v>
      </c>
      <c r="FT81">
        <v>65</v>
      </c>
      <c r="FU81">
        <v>-0.156</v>
      </c>
      <c r="FV81">
        <v>-0.004</v>
      </c>
      <c r="FW81">
        <v>7.523</v>
      </c>
      <c r="FX81">
        <v>0.131</v>
      </c>
      <c r="FY81">
        <v>400</v>
      </c>
      <c r="FZ81">
        <v>18</v>
      </c>
      <c r="GA81">
        <v>0.39</v>
      </c>
      <c r="GB81">
        <v>0.15</v>
      </c>
      <c r="GC81">
        <v>-1.6106665</v>
      </c>
      <c r="GD81">
        <v>-0.416875037593986</v>
      </c>
      <c r="GE81">
        <v>0.0472337993681432</v>
      </c>
      <c r="GF81">
        <v>1</v>
      </c>
      <c r="GG81">
        <v>894.162323529412</v>
      </c>
      <c r="GH81">
        <v>-2.49508021056396</v>
      </c>
      <c r="GI81">
        <v>0.301210862294197</v>
      </c>
      <c r="GJ81">
        <v>-1</v>
      </c>
      <c r="GK81">
        <v>0.47628385</v>
      </c>
      <c r="GL81">
        <v>0.0270575187969925</v>
      </c>
      <c r="GM81">
        <v>0.00285665806975563</v>
      </c>
      <c r="GN81">
        <v>1</v>
      </c>
      <c r="GO81">
        <v>2</v>
      </c>
      <c r="GP81">
        <v>2</v>
      </c>
      <c r="GQ81" t="s">
        <v>440</v>
      </c>
      <c r="GR81">
        <v>3.12489</v>
      </c>
      <c r="GS81">
        <v>2.72567</v>
      </c>
      <c r="GT81">
        <v>0.0847576</v>
      </c>
      <c r="GU81">
        <v>0.0862721</v>
      </c>
      <c r="GV81">
        <v>0.0830938</v>
      </c>
      <c r="GW81">
        <v>0.0816183</v>
      </c>
      <c r="GX81">
        <v>24136.6</v>
      </c>
      <c r="GY81">
        <v>22374.5</v>
      </c>
      <c r="GZ81">
        <v>23574.5</v>
      </c>
      <c r="HA81">
        <v>23833</v>
      </c>
      <c r="HB81">
        <v>36803.9</v>
      </c>
      <c r="HC81">
        <v>36190.2</v>
      </c>
      <c r="HD81">
        <v>42456.8</v>
      </c>
      <c r="HE81">
        <v>42451</v>
      </c>
      <c r="HF81">
        <v>1.92005</v>
      </c>
      <c r="HG81">
        <v>1.84778</v>
      </c>
      <c r="HH81">
        <v>0.101909</v>
      </c>
      <c r="HI81">
        <v>0</v>
      </c>
      <c r="HJ81">
        <v>23.3284</v>
      </c>
      <c r="HK81">
        <v>999.9</v>
      </c>
      <c r="HL81">
        <v>45.922</v>
      </c>
      <c r="HM81">
        <v>29.134</v>
      </c>
      <c r="HN81">
        <v>20.7478</v>
      </c>
      <c r="HO81">
        <v>55.4067</v>
      </c>
      <c r="HP81">
        <v>46.1939</v>
      </c>
      <c r="HQ81">
        <v>1</v>
      </c>
      <c r="HR81">
        <v>-0.134144</v>
      </c>
      <c r="HS81">
        <v>0.66384</v>
      </c>
      <c r="HT81">
        <v>20.2309</v>
      </c>
      <c r="HU81">
        <v>5.23466</v>
      </c>
      <c r="HV81">
        <v>11.992</v>
      </c>
      <c r="HW81">
        <v>4.95575</v>
      </c>
      <c r="HX81">
        <v>3.304</v>
      </c>
      <c r="HY81">
        <v>999.9</v>
      </c>
      <c r="HZ81">
        <v>9999</v>
      </c>
      <c r="IA81">
        <v>9999</v>
      </c>
      <c r="IB81">
        <v>9999</v>
      </c>
      <c r="IC81">
        <v>1.86862</v>
      </c>
      <c r="ID81">
        <v>1.86435</v>
      </c>
      <c r="IE81">
        <v>1.87195</v>
      </c>
      <c r="IF81">
        <v>1.86293</v>
      </c>
      <c r="IG81">
        <v>1.86233</v>
      </c>
      <c r="IH81">
        <v>1.86872</v>
      </c>
      <c r="II81">
        <v>1.85885</v>
      </c>
      <c r="IJ81">
        <v>1.86523</v>
      </c>
      <c r="IK81">
        <v>5</v>
      </c>
      <c r="IL81">
        <v>0</v>
      </c>
      <c r="IM81">
        <v>0</v>
      </c>
      <c r="IN81">
        <v>0</v>
      </c>
      <c r="IO81" t="s">
        <v>441</v>
      </c>
      <c r="IP81" t="s">
        <v>442</v>
      </c>
      <c r="IQ81" t="s">
        <v>443</v>
      </c>
      <c r="IR81" t="s">
        <v>443</v>
      </c>
      <c r="IS81" t="s">
        <v>443</v>
      </c>
      <c r="IT81" t="s">
        <v>443</v>
      </c>
      <c r="IU81">
        <v>0</v>
      </c>
      <c r="IV81">
        <v>100</v>
      </c>
      <c r="IW81">
        <v>100</v>
      </c>
      <c r="IX81">
        <v>7.523</v>
      </c>
      <c r="IY81">
        <v>0.131</v>
      </c>
      <c r="IZ81">
        <v>5.66795373324576</v>
      </c>
      <c r="JA81">
        <v>0.0062698613543794</v>
      </c>
      <c r="JB81">
        <v>-3.23243345529816e-06</v>
      </c>
      <c r="JC81">
        <v>8.00506428382295e-10</v>
      </c>
      <c r="JD81">
        <v>-0.0203800395194265</v>
      </c>
      <c r="JE81">
        <v>-0.0018464610107002</v>
      </c>
      <c r="JF81">
        <v>0.000796540623429801</v>
      </c>
      <c r="JG81">
        <v>-1.04619914107352e-05</v>
      </c>
      <c r="JH81">
        <v>-0</v>
      </c>
      <c r="JI81">
        <v>2101</v>
      </c>
      <c r="JJ81">
        <v>1</v>
      </c>
      <c r="JK81">
        <v>23</v>
      </c>
      <c r="JL81">
        <v>3.5</v>
      </c>
      <c r="JM81">
        <v>1.9</v>
      </c>
      <c r="JN81">
        <v>1.00952</v>
      </c>
      <c r="JO81">
        <v>2.34863</v>
      </c>
      <c r="JP81">
        <v>1.4978</v>
      </c>
      <c r="JQ81">
        <v>2.33398</v>
      </c>
      <c r="JR81">
        <v>1.54419</v>
      </c>
      <c r="JS81">
        <v>2.3645</v>
      </c>
      <c r="JT81">
        <v>34.9904</v>
      </c>
      <c r="JU81">
        <v>24.3502</v>
      </c>
      <c r="JV81">
        <v>18</v>
      </c>
      <c r="JW81">
        <v>537.873</v>
      </c>
      <c r="JX81">
        <v>434.986</v>
      </c>
      <c r="JY81">
        <v>22.4229</v>
      </c>
      <c r="JZ81">
        <v>25.8049</v>
      </c>
      <c r="KA81">
        <v>29.9999</v>
      </c>
      <c r="KB81">
        <v>25.8616</v>
      </c>
      <c r="KC81">
        <v>25.89</v>
      </c>
      <c r="KD81">
        <v>20.2628</v>
      </c>
      <c r="KE81">
        <v>25.9151</v>
      </c>
      <c r="KF81">
        <v>88.9833</v>
      </c>
      <c r="KG81">
        <v>22.4274</v>
      </c>
      <c r="KH81">
        <v>400</v>
      </c>
      <c r="KI81">
        <v>17.6651</v>
      </c>
      <c r="KJ81">
        <v>95.1921</v>
      </c>
      <c r="KK81">
        <v>98.9769</v>
      </c>
    </row>
    <row r="82" spans="1:297">
      <c r="A82">
        <v>66</v>
      </c>
      <c r="B82">
        <v>1765310063</v>
      </c>
      <c r="C82">
        <v>12114</v>
      </c>
      <c r="D82" t="s">
        <v>641</v>
      </c>
      <c r="E82" t="s">
        <v>642</v>
      </c>
      <c r="F82">
        <v>5</v>
      </c>
      <c r="G82" t="s">
        <v>643</v>
      </c>
      <c r="H82" t="s">
        <v>436</v>
      </c>
      <c r="I82">
        <v>1765310055</v>
      </c>
      <c r="J82">
        <f>(K82)/1000</f>
        <v>0</v>
      </c>
      <c r="K82">
        <f>IF(DP82, AN82, AH82)</f>
        <v>0</v>
      </c>
      <c r="L82">
        <f>IF(DP82, AI82, AG82)</f>
        <v>0</v>
      </c>
      <c r="M82">
        <f>DR82 - IF(AU82&gt;1, L82*DL82*100.0/(AW82), 0)</f>
        <v>0</v>
      </c>
      <c r="N82">
        <f>((T82-J82/2)*M82-L82)/(T82+J82/2)</f>
        <v>0</v>
      </c>
      <c r="O82">
        <f>N82*(DY82+DZ82)/1000.0</f>
        <v>0</v>
      </c>
      <c r="P82">
        <f>(DR82 - IF(AU82&gt;1, L82*DL82*100.0/(AW82), 0))*(DY82+DZ82)/1000.0</f>
        <v>0</v>
      </c>
      <c r="Q82">
        <f>2.0/((1/S82-1/R82)+SIGN(S82)*SQRT((1/S82-1/R82)*(1/S82-1/R82) + 4*DM82/((DM82+1)*(DM82+1))*(2*1/S82*1/R82-1/R82*1/R82)))</f>
        <v>0</v>
      </c>
      <c r="R82">
        <f>IF(LEFT(DN82,1)&lt;&gt;"0",IF(LEFT(DN82,1)="1",3.0,DO82),$D$5+$E$5*(EF82*DY82/($K$5*1000))+$F$5*(EF82*DY82/($K$5*1000))*MAX(MIN(DL82,$J$5),$I$5)*MAX(MIN(DL82,$J$5),$I$5)+$G$5*MAX(MIN(DL82,$J$5),$I$5)*(EF82*DY82/($K$5*1000))+$H$5*(EF82*DY82/($K$5*1000))*(EF82*DY82/($K$5*1000)))</f>
        <v>0</v>
      </c>
      <c r="S82">
        <f>J82*(1000-(1000*0.61365*exp(17.502*W82/(240.97+W82))/(DY82+DZ82)+DT82)/2)/(1000*0.61365*exp(17.502*W82/(240.97+W82))/(DY82+DZ82)-DT82)</f>
        <v>0</v>
      </c>
      <c r="T82">
        <f>1/((DM82+1)/(Q82/1.6)+1/(R82/1.37)) + DM82/((DM82+1)/(Q82/1.6) + DM82/(R82/1.37))</f>
        <v>0</v>
      </c>
      <c r="U82">
        <f>(DH82*DK82)</f>
        <v>0</v>
      </c>
      <c r="V82">
        <f>(EA82+(U82+2*0.95*5.67E-8*(((EA82+$B$7)+273)^4-(EA82+273)^4)-44100*J82)/(1.84*29.3*R82+8*0.95*5.67E-8*(EA82+273)^3))</f>
        <v>0</v>
      </c>
      <c r="W82">
        <f>($C$7*EB82+$D$7*EC82+$E$7*V82)</f>
        <v>0</v>
      </c>
      <c r="X82">
        <f>0.61365*exp(17.502*W82/(240.97+W82))</f>
        <v>0</v>
      </c>
      <c r="Y82">
        <f>(Z82/AA82*100)</f>
        <v>0</v>
      </c>
      <c r="Z82">
        <f>DT82*(DY82+DZ82)/1000</f>
        <v>0</v>
      </c>
      <c r="AA82">
        <f>0.61365*exp(17.502*EA82/(240.97+EA82))</f>
        <v>0</v>
      </c>
      <c r="AB82">
        <f>(X82-DT82*(DY82+DZ82)/1000)</f>
        <v>0</v>
      </c>
      <c r="AC82">
        <f>(-J82*44100)</f>
        <v>0</v>
      </c>
      <c r="AD82">
        <f>2*29.3*R82*0.92*(EA82-W82)</f>
        <v>0</v>
      </c>
      <c r="AE82">
        <f>2*0.95*5.67E-8*(((EA82+$B$7)+273)^4-(W82+273)^4)</f>
        <v>0</v>
      </c>
      <c r="AF82">
        <f>U82+AE82+AC82+AD82</f>
        <v>0</v>
      </c>
      <c r="AG82">
        <f>DX82*AU82*(DS82-DR82*(1000-AU82*DU82)/(1000-AU82*DT82))/(100*DL82)</f>
        <v>0</v>
      </c>
      <c r="AH82">
        <f>1000*DX82*AU82*(DT82-DU82)/(100*DL82*(1000-AU82*DT82))</f>
        <v>0</v>
      </c>
      <c r="AI82">
        <f>(AJ82 - AK82 - DY82*1E3/(8.314*(EA82+273.15)) * AM82/DX82 * AL82) * DX82/(100*DL82) * (1000 - DU82)/1000</f>
        <v>0</v>
      </c>
      <c r="AJ82">
        <v>407.306351091092</v>
      </c>
      <c r="AK82">
        <v>406.802090909091</v>
      </c>
      <c r="AL82">
        <v>-0.0037478894395485</v>
      </c>
      <c r="AM82">
        <v>62.9122421255868</v>
      </c>
      <c r="AN82">
        <f>(AP82 - AO82 + DY82*1E3/(8.314*(EA82+273.15)) * AR82/DX82 * AQ82) * DX82/(100*DL82) * 1000/(1000 - AP82)</f>
        <v>0</v>
      </c>
      <c r="AO82">
        <v>18.0337132897271</v>
      </c>
      <c r="AP82">
        <v>18.1710836363636</v>
      </c>
      <c r="AQ82">
        <v>-4.92735543332996e-07</v>
      </c>
      <c r="AR82">
        <v>111.002134172968</v>
      </c>
      <c r="AS82">
        <v>0</v>
      </c>
      <c r="AT82">
        <v>0</v>
      </c>
      <c r="AU82">
        <f>IF(AS82*$H$13&gt;=AW82,1.0,(AW82/(AW82-AS82*$H$13)))</f>
        <v>0</v>
      </c>
      <c r="AV82">
        <f>(AU82-1)*100</f>
        <v>0</v>
      </c>
      <c r="AW82">
        <f>MAX(0,($B$13+$C$13*EF82)/(1+$D$13*EF82)*DY82/(EA82+273)*$E$13)</f>
        <v>0</v>
      </c>
      <c r="AX82" t="s">
        <v>437</v>
      </c>
      <c r="AY82" t="s">
        <v>437</v>
      </c>
      <c r="AZ82">
        <v>0</v>
      </c>
      <c r="BA82">
        <v>0</v>
      </c>
      <c r="BB82">
        <f>1-AZ82/BA82</f>
        <v>0</v>
      </c>
      <c r="BC82">
        <v>0</v>
      </c>
      <c r="BD82" t="s">
        <v>437</v>
      </c>
      <c r="BE82" t="s">
        <v>437</v>
      </c>
      <c r="BF82">
        <v>0</v>
      </c>
      <c r="BG82">
        <v>0</v>
      </c>
      <c r="BH82">
        <f>1-BF82/BG82</f>
        <v>0</v>
      </c>
      <c r="BI82">
        <v>0.5</v>
      </c>
      <c r="BJ82">
        <f>DI82</f>
        <v>0</v>
      </c>
      <c r="BK82">
        <f>L82</f>
        <v>0</v>
      </c>
      <c r="BL82">
        <f>BH82*BI82*BJ82</f>
        <v>0</v>
      </c>
      <c r="BM82">
        <f>(BK82-BC82)/BJ82</f>
        <v>0</v>
      </c>
      <c r="BN82">
        <f>(BA82-BG82)/BG82</f>
        <v>0</v>
      </c>
      <c r="BO82">
        <f>AZ82/(BB82+AZ82/BG82)</f>
        <v>0</v>
      </c>
      <c r="BP82" t="s">
        <v>437</v>
      </c>
      <c r="BQ82">
        <v>0</v>
      </c>
      <c r="BR82">
        <f>IF(BQ82&lt;&gt;0, BQ82, BO82)</f>
        <v>0</v>
      </c>
      <c r="BS82">
        <f>1-BR82/BG82</f>
        <v>0</v>
      </c>
      <c r="BT82">
        <f>(BG82-BF82)/(BG82-BR82)</f>
        <v>0</v>
      </c>
      <c r="BU82">
        <f>(BA82-BG82)/(BA82-BR82)</f>
        <v>0</v>
      </c>
      <c r="BV82">
        <f>(BG82-BF82)/(BG82-AZ82)</f>
        <v>0</v>
      </c>
      <c r="BW82">
        <f>(BA82-BG82)/(BA82-AZ82)</f>
        <v>0</v>
      </c>
      <c r="BX82">
        <f>(BT82*BR82/BF82)</f>
        <v>0</v>
      </c>
      <c r="BY82">
        <f>(1-BX82)</f>
        <v>0</v>
      </c>
      <c r="DH82">
        <f>$B$11*EG82+$C$11*EH82+$F$11*ES82*(1-EV82)</f>
        <v>0</v>
      </c>
      <c r="DI82">
        <f>DH82*DJ82</f>
        <v>0</v>
      </c>
      <c r="DJ82">
        <f>($B$11*$D$9+$C$11*$D$9+$F$11*((FF82+EX82)/MAX(FF82+EX82+FG82, 0.1)*$I$9+FG82/MAX(FF82+EX82+FG82, 0.1)*$J$9))/($B$11+$C$11+$F$11)</f>
        <v>0</v>
      </c>
      <c r="DK82">
        <f>($B$11*$K$9+$C$11*$K$9+$F$11*((FF82+EX82)/MAX(FF82+EX82+FG82, 0.1)*$P$9+FG82/MAX(FF82+EX82+FG82, 0.1)*$Q$9))/($B$11+$C$11+$F$11)</f>
        <v>0</v>
      </c>
      <c r="DL82">
        <v>6</v>
      </c>
      <c r="DM82">
        <v>0.5</v>
      </c>
      <c r="DN82" t="s">
        <v>438</v>
      </c>
      <c r="DO82">
        <v>2</v>
      </c>
      <c r="DP82" t="b">
        <v>1</v>
      </c>
      <c r="DQ82">
        <v>1765310055</v>
      </c>
      <c r="DR82">
        <v>399.5148</v>
      </c>
      <c r="DS82">
        <v>399.996466666667</v>
      </c>
      <c r="DT82">
        <v>18.1735933333333</v>
      </c>
      <c r="DU82">
        <v>18.0317333333333</v>
      </c>
      <c r="DV82">
        <v>391.9258</v>
      </c>
      <c r="DW82">
        <v>18.0295933333333</v>
      </c>
      <c r="DX82">
        <v>500.011866666667</v>
      </c>
      <c r="DY82">
        <v>89.68948</v>
      </c>
      <c r="DZ82">
        <v>0.0999672533333333</v>
      </c>
      <c r="EA82">
        <v>25.45498</v>
      </c>
      <c r="EB82">
        <v>25.01958</v>
      </c>
      <c r="EC82">
        <v>999.9</v>
      </c>
      <c r="ED82">
        <v>0</v>
      </c>
      <c r="EE82">
        <v>0</v>
      </c>
      <c r="EF82">
        <v>9999.99133333334</v>
      </c>
      <c r="EG82">
        <v>0</v>
      </c>
      <c r="EH82">
        <v>13.33732</v>
      </c>
      <c r="EI82">
        <v>-0.549259333333333</v>
      </c>
      <c r="EJ82">
        <v>406.839</v>
      </c>
      <c r="EK82">
        <v>407.341333333333</v>
      </c>
      <c r="EL82">
        <v>0.137381333333333</v>
      </c>
      <c r="EM82">
        <v>399.996466666667</v>
      </c>
      <c r="EN82">
        <v>18.0317333333333</v>
      </c>
      <c r="EO82">
        <v>1.62958066666667</v>
      </c>
      <c r="EP82">
        <v>1.61725866666667</v>
      </c>
      <c r="EQ82">
        <v>14.2413866666667</v>
      </c>
      <c r="ER82">
        <v>14.1242266666667</v>
      </c>
      <c r="ES82">
        <v>800.017133333333</v>
      </c>
      <c r="ET82">
        <v>0.950001133333333</v>
      </c>
      <c r="EU82">
        <v>0.0499992</v>
      </c>
      <c r="EV82">
        <v>0</v>
      </c>
      <c r="EW82">
        <v>951.6574</v>
      </c>
      <c r="EX82">
        <v>5.00016</v>
      </c>
      <c r="EY82">
        <v>7318.11733333333</v>
      </c>
      <c r="EZ82">
        <v>7194.83466666667</v>
      </c>
      <c r="FA82">
        <v>39.562</v>
      </c>
      <c r="FB82">
        <v>42.4122</v>
      </c>
      <c r="FC82">
        <v>41.062</v>
      </c>
      <c r="FD82">
        <v>42.3791333333333</v>
      </c>
      <c r="FE82">
        <v>42.25</v>
      </c>
      <c r="FF82">
        <v>755.268</v>
      </c>
      <c r="FG82">
        <v>39.75</v>
      </c>
      <c r="FH82">
        <v>0</v>
      </c>
      <c r="FI82">
        <v>1765310063.5</v>
      </c>
      <c r="FJ82">
        <v>0</v>
      </c>
      <c r="FK82">
        <v>951.64812</v>
      </c>
      <c r="FL82">
        <v>-0.65669231595627</v>
      </c>
      <c r="FM82">
        <v>0.754615370965521</v>
      </c>
      <c r="FN82">
        <v>7317.8732</v>
      </c>
      <c r="FO82">
        <v>15</v>
      </c>
      <c r="FP82">
        <v>1765310086</v>
      </c>
      <c r="FQ82" t="s">
        <v>644</v>
      </c>
      <c r="FR82">
        <v>1765310086</v>
      </c>
      <c r="FS82">
        <v>1765310081</v>
      </c>
      <c r="FT82">
        <v>66</v>
      </c>
      <c r="FU82">
        <v>0.065</v>
      </c>
      <c r="FV82">
        <v>0.006</v>
      </c>
      <c r="FW82">
        <v>7.589</v>
      </c>
      <c r="FX82">
        <v>0.144</v>
      </c>
      <c r="FY82">
        <v>400</v>
      </c>
      <c r="FZ82">
        <v>18</v>
      </c>
      <c r="GA82">
        <v>0.74</v>
      </c>
      <c r="GB82">
        <v>0.08</v>
      </c>
      <c r="GC82">
        <v>-0.549609857142857</v>
      </c>
      <c r="GD82">
        <v>0.133471324675325</v>
      </c>
      <c r="GE82">
        <v>0.0452209037959487</v>
      </c>
      <c r="GF82">
        <v>1</v>
      </c>
      <c r="GG82">
        <v>951.664617647059</v>
      </c>
      <c r="GH82">
        <v>-0.0449961848138591</v>
      </c>
      <c r="GI82">
        <v>0.232135738017761</v>
      </c>
      <c r="GJ82">
        <v>-1</v>
      </c>
      <c r="GK82">
        <v>0.137258285714286</v>
      </c>
      <c r="GL82">
        <v>0.00309303896103876</v>
      </c>
      <c r="GM82">
        <v>0.00155434907959071</v>
      </c>
      <c r="GN82">
        <v>1</v>
      </c>
      <c r="GO82">
        <v>2</v>
      </c>
      <c r="GP82">
        <v>2</v>
      </c>
      <c r="GQ82" t="s">
        <v>440</v>
      </c>
      <c r="GR82">
        <v>3.12508</v>
      </c>
      <c r="GS82">
        <v>2.72589</v>
      </c>
      <c r="GT82">
        <v>0.0849663</v>
      </c>
      <c r="GU82">
        <v>0.0862779</v>
      </c>
      <c r="GV82">
        <v>0.0832743</v>
      </c>
      <c r="GW82">
        <v>0.0829345</v>
      </c>
      <c r="GX82">
        <v>24112.8</v>
      </c>
      <c r="GY82">
        <v>22375.4</v>
      </c>
      <c r="GZ82">
        <v>23556.8</v>
      </c>
      <c r="HA82">
        <v>23834.2</v>
      </c>
      <c r="HB82">
        <v>36768.6</v>
      </c>
      <c r="HC82">
        <v>36140</v>
      </c>
      <c r="HD82">
        <v>42424.5</v>
      </c>
      <c r="HE82">
        <v>42453.1</v>
      </c>
      <c r="HF82">
        <v>1.93765</v>
      </c>
      <c r="HG82">
        <v>1.85452</v>
      </c>
      <c r="HH82">
        <v>0.0934601</v>
      </c>
      <c r="HI82">
        <v>0</v>
      </c>
      <c r="HJ82">
        <v>23.484</v>
      </c>
      <c r="HK82">
        <v>999.9</v>
      </c>
      <c r="HL82">
        <v>47.784</v>
      </c>
      <c r="HM82">
        <v>28.721</v>
      </c>
      <c r="HN82">
        <v>21.0841</v>
      </c>
      <c r="HO82">
        <v>54.6067</v>
      </c>
      <c r="HP82">
        <v>46.0777</v>
      </c>
      <c r="HQ82">
        <v>1</v>
      </c>
      <c r="HR82">
        <v>-0.12936</v>
      </c>
      <c r="HS82">
        <v>1.04887</v>
      </c>
      <c r="HT82">
        <v>20.229</v>
      </c>
      <c r="HU82">
        <v>5.23511</v>
      </c>
      <c r="HV82">
        <v>11.992</v>
      </c>
      <c r="HW82">
        <v>4.95705</v>
      </c>
      <c r="HX82">
        <v>3.304</v>
      </c>
      <c r="HY82">
        <v>999.9</v>
      </c>
      <c r="HZ82">
        <v>9999</v>
      </c>
      <c r="IA82">
        <v>9999</v>
      </c>
      <c r="IB82">
        <v>9999</v>
      </c>
      <c r="IC82">
        <v>1.86869</v>
      </c>
      <c r="ID82">
        <v>1.86438</v>
      </c>
      <c r="IE82">
        <v>1.87196</v>
      </c>
      <c r="IF82">
        <v>1.86289</v>
      </c>
      <c r="IG82">
        <v>1.86233</v>
      </c>
      <c r="IH82">
        <v>1.86871</v>
      </c>
      <c r="II82">
        <v>1.85892</v>
      </c>
      <c r="IJ82">
        <v>1.86523</v>
      </c>
      <c r="IK82">
        <v>5</v>
      </c>
      <c r="IL82">
        <v>0</v>
      </c>
      <c r="IM82">
        <v>0</v>
      </c>
      <c r="IN82">
        <v>0</v>
      </c>
      <c r="IO82" t="s">
        <v>441</v>
      </c>
      <c r="IP82" t="s">
        <v>442</v>
      </c>
      <c r="IQ82" t="s">
        <v>443</v>
      </c>
      <c r="IR82" t="s">
        <v>443</v>
      </c>
      <c r="IS82" t="s">
        <v>443</v>
      </c>
      <c r="IT82" t="s">
        <v>443</v>
      </c>
      <c r="IU82">
        <v>0</v>
      </c>
      <c r="IV82">
        <v>100</v>
      </c>
      <c r="IW82">
        <v>100</v>
      </c>
      <c r="IX82">
        <v>7.589</v>
      </c>
      <c r="IY82">
        <v>0.144</v>
      </c>
      <c r="IZ82">
        <v>5.51230621347491</v>
      </c>
      <c r="JA82">
        <v>0.0062698613543794</v>
      </c>
      <c r="JB82">
        <v>-3.23243345529816e-06</v>
      </c>
      <c r="JC82">
        <v>8.00506428382295e-10</v>
      </c>
      <c r="JD82">
        <v>-0.0247886187405488</v>
      </c>
      <c r="JE82">
        <v>-0.0018464610107002</v>
      </c>
      <c r="JF82">
        <v>0.000796540623429801</v>
      </c>
      <c r="JG82">
        <v>-1.04619914107352e-05</v>
      </c>
      <c r="JH82">
        <v>-0</v>
      </c>
      <c r="JI82">
        <v>2101</v>
      </c>
      <c r="JJ82">
        <v>1</v>
      </c>
      <c r="JK82">
        <v>23</v>
      </c>
      <c r="JL82">
        <v>19.7</v>
      </c>
      <c r="JM82">
        <v>19.6</v>
      </c>
      <c r="JN82">
        <v>1.01074</v>
      </c>
      <c r="JO82">
        <v>2.35107</v>
      </c>
      <c r="JP82">
        <v>1.4978</v>
      </c>
      <c r="JQ82">
        <v>2.33887</v>
      </c>
      <c r="JR82">
        <v>1.54419</v>
      </c>
      <c r="JS82">
        <v>2.38525</v>
      </c>
      <c r="JT82">
        <v>34.6692</v>
      </c>
      <c r="JU82">
        <v>24.3502</v>
      </c>
      <c r="JV82">
        <v>18</v>
      </c>
      <c r="JW82">
        <v>548.242</v>
      </c>
      <c r="JX82">
        <v>438.143</v>
      </c>
      <c r="JY82">
        <v>22.4026</v>
      </c>
      <c r="JZ82">
        <v>25.8319</v>
      </c>
      <c r="KA82">
        <v>30.0004</v>
      </c>
      <c r="KB82">
        <v>25.7656</v>
      </c>
      <c r="KC82">
        <v>25.7853</v>
      </c>
      <c r="KD82">
        <v>20.2899</v>
      </c>
      <c r="KE82">
        <v>26.2168</v>
      </c>
      <c r="KF82">
        <v>100</v>
      </c>
      <c r="KG82">
        <v>22.3879</v>
      </c>
      <c r="KH82">
        <v>400</v>
      </c>
      <c r="KI82">
        <v>18.009</v>
      </c>
      <c r="KJ82">
        <v>95.12</v>
      </c>
      <c r="KK82">
        <v>98.9818</v>
      </c>
    </row>
    <row r="83" spans="1:297">
      <c r="A83">
        <v>67</v>
      </c>
      <c r="B83">
        <v>1765310166</v>
      </c>
      <c r="C83">
        <v>12217</v>
      </c>
      <c r="D83" t="s">
        <v>645</v>
      </c>
      <c r="E83" t="s">
        <v>646</v>
      </c>
      <c r="F83">
        <v>5</v>
      </c>
      <c r="G83" t="s">
        <v>643</v>
      </c>
      <c r="H83" t="s">
        <v>436</v>
      </c>
      <c r="I83">
        <v>1765310157.5</v>
      </c>
      <c r="J83">
        <f>(K83)/1000</f>
        <v>0</v>
      </c>
      <c r="K83">
        <f>IF(DP83, AN83, AH83)</f>
        <v>0</v>
      </c>
      <c r="L83">
        <f>IF(DP83, AI83, AG83)</f>
        <v>0</v>
      </c>
      <c r="M83">
        <f>DR83 - IF(AU83&gt;1, L83*DL83*100.0/(AW83), 0)</f>
        <v>0</v>
      </c>
      <c r="N83">
        <f>((T83-J83/2)*M83-L83)/(T83+J83/2)</f>
        <v>0</v>
      </c>
      <c r="O83">
        <f>N83*(DY83+DZ83)/1000.0</f>
        <v>0</v>
      </c>
      <c r="P83">
        <f>(DR83 - IF(AU83&gt;1, L83*DL83*100.0/(AW83), 0))*(DY83+DZ83)/1000.0</f>
        <v>0</v>
      </c>
      <c r="Q83">
        <f>2.0/((1/S83-1/R83)+SIGN(S83)*SQRT((1/S83-1/R83)*(1/S83-1/R83) + 4*DM83/((DM83+1)*(DM83+1))*(2*1/S83*1/R83-1/R83*1/R83)))</f>
        <v>0</v>
      </c>
      <c r="R83">
        <f>IF(LEFT(DN83,1)&lt;&gt;"0",IF(LEFT(DN83,1)="1",3.0,DO83),$D$5+$E$5*(EF83*DY83/($K$5*1000))+$F$5*(EF83*DY83/($K$5*1000))*MAX(MIN(DL83,$J$5),$I$5)*MAX(MIN(DL83,$J$5),$I$5)+$G$5*MAX(MIN(DL83,$J$5),$I$5)*(EF83*DY83/($K$5*1000))+$H$5*(EF83*DY83/($K$5*1000))*(EF83*DY83/($K$5*1000)))</f>
        <v>0</v>
      </c>
      <c r="S83">
        <f>J83*(1000-(1000*0.61365*exp(17.502*W83/(240.97+W83))/(DY83+DZ83)+DT83)/2)/(1000*0.61365*exp(17.502*W83/(240.97+W83))/(DY83+DZ83)-DT83)</f>
        <v>0</v>
      </c>
      <c r="T83">
        <f>1/((DM83+1)/(Q83/1.6)+1/(R83/1.37)) + DM83/((DM83+1)/(Q83/1.6) + DM83/(R83/1.37))</f>
        <v>0</v>
      </c>
      <c r="U83">
        <f>(DH83*DK83)</f>
        <v>0</v>
      </c>
      <c r="V83">
        <f>(EA83+(U83+2*0.95*5.67E-8*(((EA83+$B$7)+273)^4-(EA83+273)^4)-44100*J83)/(1.84*29.3*R83+8*0.95*5.67E-8*(EA83+273)^3))</f>
        <v>0</v>
      </c>
      <c r="W83">
        <f>($C$7*EB83+$D$7*EC83+$E$7*V83)</f>
        <v>0</v>
      </c>
      <c r="X83">
        <f>0.61365*exp(17.502*W83/(240.97+W83))</f>
        <v>0</v>
      </c>
      <c r="Y83">
        <f>(Z83/AA83*100)</f>
        <v>0</v>
      </c>
      <c r="Z83">
        <f>DT83*(DY83+DZ83)/1000</f>
        <v>0</v>
      </c>
      <c r="AA83">
        <f>0.61365*exp(17.502*EA83/(240.97+EA83))</f>
        <v>0</v>
      </c>
      <c r="AB83">
        <f>(X83-DT83*(DY83+DZ83)/1000)</f>
        <v>0</v>
      </c>
      <c r="AC83">
        <f>(-J83*44100)</f>
        <v>0</v>
      </c>
      <c r="AD83">
        <f>2*29.3*R83*0.92*(EA83-W83)</f>
        <v>0</v>
      </c>
      <c r="AE83">
        <f>2*0.95*5.67E-8*(((EA83+$B$7)+273)^4-(W83+273)^4)</f>
        <v>0</v>
      </c>
      <c r="AF83">
        <f>U83+AE83+AC83+AD83</f>
        <v>0</v>
      </c>
      <c r="AG83">
        <f>DX83*AU83*(DS83-DR83*(1000-AU83*DU83)/(1000-AU83*DT83))/(100*DL83)</f>
        <v>0</v>
      </c>
      <c r="AH83">
        <f>1000*DX83*AU83*(DT83-DU83)/(100*DL83*(1000-AU83*DT83))</f>
        <v>0</v>
      </c>
      <c r="AI83">
        <f>(AJ83 - AK83 - DY83*1E3/(8.314*(EA83+273.15)) * AM83/DX83 * AL83) * DX83/(100*DL83) * (1000 - DU83)/1000</f>
        <v>0</v>
      </c>
      <c r="AJ83">
        <v>305.510869330292</v>
      </c>
      <c r="AK83">
        <v>305.688866666667</v>
      </c>
      <c r="AL83">
        <v>0.00740594941311088</v>
      </c>
      <c r="AM83">
        <v>63.5065151421496</v>
      </c>
      <c r="AN83">
        <f>(AP83 - AO83 + DY83*1E3/(8.314*(EA83+273.15)) * AR83/DX83 * AQ83) * DX83/(100*DL83) * 1000/(1000 - AP83)</f>
        <v>0</v>
      </c>
      <c r="AO83">
        <v>18.046178239089</v>
      </c>
      <c r="AP83">
        <v>18.1961739393939</v>
      </c>
      <c r="AQ83">
        <v>-6.2842379854004e-07</v>
      </c>
      <c r="AR83">
        <v>107.180211641469</v>
      </c>
      <c r="AS83">
        <v>0</v>
      </c>
      <c r="AT83">
        <v>0</v>
      </c>
      <c r="AU83">
        <f>IF(AS83*$H$13&gt;=AW83,1.0,(AW83/(AW83-AS83*$H$13)))</f>
        <v>0</v>
      </c>
      <c r="AV83">
        <f>(AU83-1)*100</f>
        <v>0</v>
      </c>
      <c r="AW83">
        <f>MAX(0,($B$13+$C$13*EF83)/(1+$D$13*EF83)*DY83/(EA83+273)*$E$13)</f>
        <v>0</v>
      </c>
      <c r="AX83" t="s">
        <v>437</v>
      </c>
      <c r="AY83" t="s">
        <v>437</v>
      </c>
      <c r="AZ83">
        <v>0</v>
      </c>
      <c r="BA83">
        <v>0</v>
      </c>
      <c r="BB83">
        <f>1-AZ83/BA83</f>
        <v>0</v>
      </c>
      <c r="BC83">
        <v>0</v>
      </c>
      <c r="BD83" t="s">
        <v>437</v>
      </c>
      <c r="BE83" t="s">
        <v>437</v>
      </c>
      <c r="BF83">
        <v>0</v>
      </c>
      <c r="BG83">
        <v>0</v>
      </c>
      <c r="BH83">
        <f>1-BF83/BG83</f>
        <v>0</v>
      </c>
      <c r="BI83">
        <v>0.5</v>
      </c>
      <c r="BJ83">
        <f>DI83</f>
        <v>0</v>
      </c>
      <c r="BK83">
        <f>L83</f>
        <v>0</v>
      </c>
      <c r="BL83">
        <f>BH83*BI83*BJ83</f>
        <v>0</v>
      </c>
      <c r="BM83">
        <f>(BK83-BC83)/BJ83</f>
        <v>0</v>
      </c>
      <c r="BN83">
        <f>(BA83-BG83)/BG83</f>
        <v>0</v>
      </c>
      <c r="BO83">
        <f>AZ83/(BB83+AZ83/BG83)</f>
        <v>0</v>
      </c>
      <c r="BP83" t="s">
        <v>437</v>
      </c>
      <c r="BQ83">
        <v>0</v>
      </c>
      <c r="BR83">
        <f>IF(BQ83&lt;&gt;0, BQ83, BO83)</f>
        <v>0</v>
      </c>
      <c r="BS83">
        <f>1-BR83/BG83</f>
        <v>0</v>
      </c>
      <c r="BT83">
        <f>(BG83-BF83)/(BG83-BR83)</f>
        <v>0</v>
      </c>
      <c r="BU83">
        <f>(BA83-BG83)/(BA83-BR83)</f>
        <v>0</v>
      </c>
      <c r="BV83">
        <f>(BG83-BF83)/(BG83-AZ83)</f>
        <v>0</v>
      </c>
      <c r="BW83">
        <f>(BA83-BG83)/(BA83-AZ83)</f>
        <v>0</v>
      </c>
      <c r="BX83">
        <f>(BT83*BR83/BF83)</f>
        <v>0</v>
      </c>
      <c r="BY83">
        <f>(1-BX83)</f>
        <v>0</v>
      </c>
      <c r="DH83">
        <f>$B$11*EG83+$C$11*EH83+$F$11*ES83*(1-EV83)</f>
        <v>0</v>
      </c>
      <c r="DI83">
        <f>DH83*DJ83</f>
        <v>0</v>
      </c>
      <c r="DJ83">
        <f>($B$11*$D$9+$C$11*$D$9+$F$11*((FF83+EX83)/MAX(FF83+EX83+FG83, 0.1)*$I$9+FG83/MAX(FF83+EX83+FG83, 0.1)*$J$9))/($B$11+$C$11+$F$11)</f>
        <v>0</v>
      </c>
      <c r="DK83">
        <f>($B$11*$K$9+$C$11*$K$9+$F$11*((FF83+EX83)/MAX(FF83+EX83+FG83, 0.1)*$P$9+FG83/MAX(FF83+EX83+FG83, 0.1)*$Q$9))/($B$11+$C$11+$F$11)</f>
        <v>0</v>
      </c>
      <c r="DL83">
        <v>6</v>
      </c>
      <c r="DM83">
        <v>0.5</v>
      </c>
      <c r="DN83" t="s">
        <v>438</v>
      </c>
      <c r="DO83">
        <v>2</v>
      </c>
      <c r="DP83" t="b">
        <v>1</v>
      </c>
      <c r="DQ83">
        <v>1765310157.5</v>
      </c>
      <c r="DR83">
        <v>299.761</v>
      </c>
      <c r="DS83">
        <v>300.0001875</v>
      </c>
      <c r="DT83">
        <v>18.19169375</v>
      </c>
      <c r="DU83">
        <v>18.04699375</v>
      </c>
      <c r="DV83">
        <v>292.993</v>
      </c>
      <c r="DW83">
        <v>18.05069375</v>
      </c>
      <c r="DX83">
        <v>500.0050625</v>
      </c>
      <c r="DY83">
        <v>89.68833125</v>
      </c>
      <c r="DZ83">
        <v>0.0999660875</v>
      </c>
      <c r="EA83">
        <v>25.4416875</v>
      </c>
      <c r="EB83">
        <v>25.0127875</v>
      </c>
      <c r="EC83">
        <v>999.9</v>
      </c>
      <c r="ED83">
        <v>0</v>
      </c>
      <c r="EE83">
        <v>0</v>
      </c>
      <c r="EF83">
        <v>10012.92375</v>
      </c>
      <c r="EG83">
        <v>0</v>
      </c>
      <c r="EH83">
        <v>13.308825</v>
      </c>
      <c r="EI83">
        <v>0.15038493125</v>
      </c>
      <c r="EJ83">
        <v>305.7135625</v>
      </c>
      <c r="EK83">
        <v>305.51375</v>
      </c>
      <c r="EL83">
        <v>0.15002175</v>
      </c>
      <c r="EM83">
        <v>300.0001875</v>
      </c>
      <c r="EN83">
        <v>18.04699375</v>
      </c>
      <c r="EO83">
        <v>1.632061875</v>
      </c>
      <c r="EP83">
        <v>1.618605625</v>
      </c>
      <c r="EQ83">
        <v>14.2648875</v>
      </c>
      <c r="ER83">
        <v>14.1370875</v>
      </c>
      <c r="ES83">
        <v>800.0129375</v>
      </c>
      <c r="ET83">
        <v>0.95000175</v>
      </c>
      <c r="EU83">
        <v>0.04999858125</v>
      </c>
      <c r="EV83">
        <v>0</v>
      </c>
      <c r="EW83">
        <v>949.028625</v>
      </c>
      <c r="EX83">
        <v>5.00016</v>
      </c>
      <c r="EY83">
        <v>7300.225</v>
      </c>
      <c r="EZ83">
        <v>7194.796875</v>
      </c>
      <c r="FA83">
        <v>39.687</v>
      </c>
      <c r="FB83">
        <v>42.5</v>
      </c>
      <c r="FC83">
        <v>41.128875</v>
      </c>
      <c r="FD83">
        <v>42.52325</v>
      </c>
      <c r="FE83">
        <v>42.367125</v>
      </c>
      <c r="FF83">
        <v>755.2625</v>
      </c>
      <c r="FG83">
        <v>39.75</v>
      </c>
      <c r="FH83">
        <v>0</v>
      </c>
      <c r="FI83">
        <v>1765310166.7</v>
      </c>
      <c r="FJ83">
        <v>0</v>
      </c>
      <c r="FK83">
        <v>948.96584</v>
      </c>
      <c r="FL83">
        <v>-1.70923076293428</v>
      </c>
      <c r="FM83">
        <v>-8.47153852537149</v>
      </c>
      <c r="FN83">
        <v>7300.012</v>
      </c>
      <c r="FO83">
        <v>15</v>
      </c>
      <c r="FP83">
        <v>1765310189</v>
      </c>
      <c r="FQ83" t="s">
        <v>647</v>
      </c>
      <c r="FR83">
        <v>1765310182</v>
      </c>
      <c r="FS83">
        <v>1765310189</v>
      </c>
      <c r="FT83">
        <v>67</v>
      </c>
      <c r="FU83">
        <v>-0.39</v>
      </c>
      <c r="FV83">
        <v>-0.003</v>
      </c>
      <c r="FW83">
        <v>6.768</v>
      </c>
      <c r="FX83">
        <v>0.141</v>
      </c>
      <c r="FY83">
        <v>300</v>
      </c>
      <c r="FZ83">
        <v>18</v>
      </c>
      <c r="GA83">
        <v>0.38</v>
      </c>
      <c r="GB83">
        <v>0.27</v>
      </c>
      <c r="GC83">
        <v>0.172225233333333</v>
      </c>
      <c r="GD83">
        <v>-0.406558285714286</v>
      </c>
      <c r="GE83">
        <v>0.0563629603889388</v>
      </c>
      <c r="GF83">
        <v>1</v>
      </c>
      <c r="GG83">
        <v>949.066970588235</v>
      </c>
      <c r="GH83">
        <v>-0.749533993074347</v>
      </c>
      <c r="GI83">
        <v>0.241208658182093</v>
      </c>
      <c r="GJ83">
        <v>-1</v>
      </c>
      <c r="GK83">
        <v>0.151633904761905</v>
      </c>
      <c r="GL83">
        <v>-0.0234000779220776</v>
      </c>
      <c r="GM83">
        <v>0.0028718450167886</v>
      </c>
      <c r="GN83">
        <v>1</v>
      </c>
      <c r="GO83">
        <v>2</v>
      </c>
      <c r="GP83">
        <v>2</v>
      </c>
      <c r="GQ83" t="s">
        <v>440</v>
      </c>
      <c r="GR83">
        <v>3.12494</v>
      </c>
      <c r="GS83">
        <v>2.72572</v>
      </c>
      <c r="GT83">
        <v>0.0673374</v>
      </c>
      <c r="GU83">
        <v>0.0686647</v>
      </c>
      <c r="GV83">
        <v>0.0833116</v>
      </c>
      <c r="GW83">
        <v>0.0829599</v>
      </c>
      <c r="GX83">
        <v>24567</v>
      </c>
      <c r="GY83">
        <v>22798.4</v>
      </c>
      <c r="GZ83">
        <v>23547.4</v>
      </c>
      <c r="HA83">
        <v>23826.2</v>
      </c>
      <c r="HB83">
        <v>36752.1</v>
      </c>
      <c r="HC83">
        <v>36126.3</v>
      </c>
      <c r="HD83">
        <v>42408.9</v>
      </c>
      <c r="HE83">
        <v>42439.9</v>
      </c>
      <c r="HF83">
        <v>1.93543</v>
      </c>
      <c r="HG83">
        <v>1.85273</v>
      </c>
      <c r="HH83">
        <v>0.0884533</v>
      </c>
      <c r="HI83">
        <v>0</v>
      </c>
      <c r="HJ83">
        <v>23.5661</v>
      </c>
      <c r="HK83">
        <v>999.9</v>
      </c>
      <c r="HL83">
        <v>47.882</v>
      </c>
      <c r="HM83">
        <v>28.671</v>
      </c>
      <c r="HN83">
        <v>21.0635</v>
      </c>
      <c r="HO83">
        <v>54.6867</v>
      </c>
      <c r="HP83">
        <v>46.3061</v>
      </c>
      <c r="HQ83">
        <v>1</v>
      </c>
      <c r="HR83">
        <v>-0.117386</v>
      </c>
      <c r="HS83">
        <v>1.17389</v>
      </c>
      <c r="HT83">
        <v>20.2282</v>
      </c>
      <c r="HU83">
        <v>5.23346</v>
      </c>
      <c r="HV83">
        <v>11.992</v>
      </c>
      <c r="HW83">
        <v>4.9569</v>
      </c>
      <c r="HX83">
        <v>3.304</v>
      </c>
      <c r="HY83">
        <v>999.9</v>
      </c>
      <c r="HZ83">
        <v>9999</v>
      </c>
      <c r="IA83">
        <v>9999</v>
      </c>
      <c r="IB83">
        <v>9999</v>
      </c>
      <c r="IC83">
        <v>1.86869</v>
      </c>
      <c r="ID83">
        <v>1.86439</v>
      </c>
      <c r="IE83">
        <v>1.872</v>
      </c>
      <c r="IF83">
        <v>1.86291</v>
      </c>
      <c r="IG83">
        <v>1.86231</v>
      </c>
      <c r="IH83">
        <v>1.86872</v>
      </c>
      <c r="II83">
        <v>1.85893</v>
      </c>
      <c r="IJ83">
        <v>1.86523</v>
      </c>
      <c r="IK83">
        <v>5</v>
      </c>
      <c r="IL83">
        <v>0</v>
      </c>
      <c r="IM83">
        <v>0</v>
      </c>
      <c r="IN83">
        <v>0</v>
      </c>
      <c r="IO83" t="s">
        <v>441</v>
      </c>
      <c r="IP83" t="s">
        <v>442</v>
      </c>
      <c r="IQ83" t="s">
        <v>443</v>
      </c>
      <c r="IR83" t="s">
        <v>443</v>
      </c>
      <c r="IS83" t="s">
        <v>443</v>
      </c>
      <c r="IT83" t="s">
        <v>443</v>
      </c>
      <c r="IU83">
        <v>0</v>
      </c>
      <c r="IV83">
        <v>100</v>
      </c>
      <c r="IW83">
        <v>100</v>
      </c>
      <c r="IX83">
        <v>6.768</v>
      </c>
      <c r="IY83">
        <v>0.141</v>
      </c>
      <c r="IZ83">
        <v>5.57789450390377</v>
      </c>
      <c r="JA83">
        <v>0.0062698613543794</v>
      </c>
      <c r="JB83">
        <v>-3.23243345529816e-06</v>
      </c>
      <c r="JC83">
        <v>8.00506428382295e-10</v>
      </c>
      <c r="JD83">
        <v>-0.0183451232114637</v>
      </c>
      <c r="JE83">
        <v>-0.0018464610107002</v>
      </c>
      <c r="JF83">
        <v>0.000796540623429801</v>
      </c>
      <c r="JG83">
        <v>-1.04619914107352e-05</v>
      </c>
      <c r="JH83">
        <v>-0</v>
      </c>
      <c r="JI83">
        <v>2101</v>
      </c>
      <c r="JJ83">
        <v>1</v>
      </c>
      <c r="JK83">
        <v>23</v>
      </c>
      <c r="JL83">
        <v>1.3</v>
      </c>
      <c r="JM83">
        <v>1.4</v>
      </c>
      <c r="JN83">
        <v>0.808105</v>
      </c>
      <c r="JO83">
        <v>2.36694</v>
      </c>
      <c r="JP83">
        <v>1.49902</v>
      </c>
      <c r="JQ83">
        <v>2.33887</v>
      </c>
      <c r="JR83">
        <v>1.54419</v>
      </c>
      <c r="JS83">
        <v>2.33521</v>
      </c>
      <c r="JT83">
        <v>34.6921</v>
      </c>
      <c r="JU83">
        <v>24.3414</v>
      </c>
      <c r="JV83">
        <v>18</v>
      </c>
      <c r="JW83">
        <v>547.671</v>
      </c>
      <c r="JX83">
        <v>437.812</v>
      </c>
      <c r="JY83">
        <v>22.2304</v>
      </c>
      <c r="JZ83">
        <v>25.9562</v>
      </c>
      <c r="KA83">
        <v>30.0007</v>
      </c>
      <c r="KB83">
        <v>25.8618</v>
      </c>
      <c r="KC83">
        <v>25.878</v>
      </c>
      <c r="KD83">
        <v>16.2205</v>
      </c>
      <c r="KE83">
        <v>26.2168</v>
      </c>
      <c r="KF83">
        <v>100</v>
      </c>
      <c r="KG83">
        <v>22.2177</v>
      </c>
      <c r="KH83">
        <v>300</v>
      </c>
      <c r="KI83">
        <v>18.0185</v>
      </c>
      <c r="KJ83">
        <v>95.084</v>
      </c>
      <c r="KK83">
        <v>98.9501</v>
      </c>
    </row>
    <row r="84" spans="1:297">
      <c r="A84">
        <v>68</v>
      </c>
      <c r="B84">
        <v>1765310262</v>
      </c>
      <c r="C84">
        <v>12313</v>
      </c>
      <c r="D84" t="s">
        <v>648</v>
      </c>
      <c r="E84" t="s">
        <v>649</v>
      </c>
      <c r="F84">
        <v>5</v>
      </c>
      <c r="G84" t="s">
        <v>643</v>
      </c>
      <c r="H84" t="s">
        <v>436</v>
      </c>
      <c r="I84">
        <v>1765310253.5</v>
      </c>
      <c r="J84">
        <f>(K84)/1000</f>
        <v>0</v>
      </c>
      <c r="K84">
        <f>IF(DP84, AN84, AH84)</f>
        <v>0</v>
      </c>
      <c r="L84">
        <f>IF(DP84, AI84, AG84)</f>
        <v>0</v>
      </c>
      <c r="M84">
        <f>DR84 - IF(AU84&gt;1, L84*DL84*100.0/(AW84), 0)</f>
        <v>0</v>
      </c>
      <c r="N84">
        <f>((T84-J84/2)*M84-L84)/(T84+J84/2)</f>
        <v>0</v>
      </c>
      <c r="O84">
        <f>N84*(DY84+DZ84)/1000.0</f>
        <v>0</v>
      </c>
      <c r="P84">
        <f>(DR84 - IF(AU84&gt;1, L84*DL84*100.0/(AW84), 0))*(DY84+DZ84)/1000.0</f>
        <v>0</v>
      </c>
      <c r="Q84">
        <f>2.0/((1/S84-1/R84)+SIGN(S84)*SQRT((1/S84-1/R84)*(1/S84-1/R84) + 4*DM84/((DM84+1)*(DM84+1))*(2*1/S84*1/R84-1/R84*1/R84)))</f>
        <v>0</v>
      </c>
      <c r="R84">
        <f>IF(LEFT(DN84,1)&lt;&gt;"0",IF(LEFT(DN84,1)="1",3.0,DO84),$D$5+$E$5*(EF84*DY84/($K$5*1000))+$F$5*(EF84*DY84/($K$5*1000))*MAX(MIN(DL84,$J$5),$I$5)*MAX(MIN(DL84,$J$5),$I$5)+$G$5*MAX(MIN(DL84,$J$5),$I$5)*(EF84*DY84/($K$5*1000))+$H$5*(EF84*DY84/($K$5*1000))*(EF84*DY84/($K$5*1000)))</f>
        <v>0</v>
      </c>
      <c r="S84">
        <f>J84*(1000-(1000*0.61365*exp(17.502*W84/(240.97+W84))/(DY84+DZ84)+DT84)/2)/(1000*0.61365*exp(17.502*W84/(240.97+W84))/(DY84+DZ84)-DT84)</f>
        <v>0</v>
      </c>
      <c r="T84">
        <f>1/((DM84+1)/(Q84/1.6)+1/(R84/1.37)) + DM84/((DM84+1)/(Q84/1.6) + DM84/(R84/1.37))</f>
        <v>0</v>
      </c>
      <c r="U84">
        <f>(DH84*DK84)</f>
        <v>0</v>
      </c>
      <c r="V84">
        <f>(EA84+(U84+2*0.95*5.67E-8*(((EA84+$B$7)+273)^4-(EA84+273)^4)-44100*J84)/(1.84*29.3*R84+8*0.95*5.67E-8*(EA84+273)^3))</f>
        <v>0</v>
      </c>
      <c r="W84">
        <f>($C$7*EB84+$D$7*EC84+$E$7*V84)</f>
        <v>0</v>
      </c>
      <c r="X84">
        <f>0.61365*exp(17.502*W84/(240.97+W84))</f>
        <v>0</v>
      </c>
      <c r="Y84">
        <f>(Z84/AA84*100)</f>
        <v>0</v>
      </c>
      <c r="Z84">
        <f>DT84*(DY84+DZ84)/1000</f>
        <v>0</v>
      </c>
      <c r="AA84">
        <f>0.61365*exp(17.502*EA84/(240.97+EA84))</f>
        <v>0</v>
      </c>
      <c r="AB84">
        <f>(X84-DT84*(DY84+DZ84)/1000)</f>
        <v>0</v>
      </c>
      <c r="AC84">
        <f>(-J84*44100)</f>
        <v>0</v>
      </c>
      <c r="AD84">
        <f>2*29.3*R84*0.92*(EA84-W84)</f>
        <v>0</v>
      </c>
      <c r="AE84">
        <f>2*0.95*5.67E-8*(((EA84+$B$7)+273)^4-(W84+273)^4)</f>
        <v>0</v>
      </c>
      <c r="AF84">
        <f>U84+AE84+AC84+AD84</f>
        <v>0</v>
      </c>
      <c r="AG84">
        <f>DX84*AU84*(DS84-DR84*(1000-AU84*DU84)/(1000-AU84*DT84))/(100*DL84)</f>
        <v>0</v>
      </c>
      <c r="AH84">
        <f>1000*DX84*AU84*(DT84-DU84)/(100*DL84*(1000-AU84*DT84))</f>
        <v>0</v>
      </c>
      <c r="AI84">
        <f>(AJ84 - AK84 - DY84*1E3/(8.314*(EA84+273.15)) * AM84/DX84 * AL84) * DX84/(100*DL84) * (1000 - DU84)/1000</f>
        <v>0</v>
      </c>
      <c r="AJ84">
        <v>203.634695448576</v>
      </c>
      <c r="AK84">
        <v>203.808703030303</v>
      </c>
      <c r="AL84">
        <v>0.00229576584834637</v>
      </c>
      <c r="AM84">
        <v>63.3713523682889</v>
      </c>
      <c r="AN84">
        <f>(AP84 - AO84 + DY84*1E3/(8.314*(EA84+273.15)) * AR84/DX84 * AQ84) * DX84/(100*DL84) * 1000/(1000 - AP84)</f>
        <v>0</v>
      </c>
      <c r="AO84">
        <v>18.048937811154</v>
      </c>
      <c r="AP84">
        <v>18.2015903030303</v>
      </c>
      <c r="AQ84">
        <v>8.48634728056337e-05</v>
      </c>
      <c r="AR84">
        <v>107.684659867844</v>
      </c>
      <c r="AS84">
        <v>0</v>
      </c>
      <c r="AT84">
        <v>0</v>
      </c>
      <c r="AU84">
        <f>IF(AS84*$H$13&gt;=AW84,1.0,(AW84/(AW84-AS84*$H$13)))</f>
        <v>0</v>
      </c>
      <c r="AV84">
        <f>(AU84-1)*100</f>
        <v>0</v>
      </c>
      <c r="AW84">
        <f>MAX(0,($B$13+$C$13*EF84)/(1+$D$13*EF84)*DY84/(EA84+273)*$E$13)</f>
        <v>0</v>
      </c>
      <c r="AX84" t="s">
        <v>437</v>
      </c>
      <c r="AY84" t="s">
        <v>437</v>
      </c>
      <c r="AZ84">
        <v>0</v>
      </c>
      <c r="BA84">
        <v>0</v>
      </c>
      <c r="BB84">
        <f>1-AZ84/BA84</f>
        <v>0</v>
      </c>
      <c r="BC84">
        <v>0</v>
      </c>
      <c r="BD84" t="s">
        <v>437</v>
      </c>
      <c r="BE84" t="s">
        <v>437</v>
      </c>
      <c r="BF84">
        <v>0</v>
      </c>
      <c r="BG84">
        <v>0</v>
      </c>
      <c r="BH84">
        <f>1-BF84/BG84</f>
        <v>0</v>
      </c>
      <c r="BI84">
        <v>0.5</v>
      </c>
      <c r="BJ84">
        <f>DI84</f>
        <v>0</v>
      </c>
      <c r="BK84">
        <f>L84</f>
        <v>0</v>
      </c>
      <c r="BL84">
        <f>BH84*BI84*BJ84</f>
        <v>0</v>
      </c>
      <c r="BM84">
        <f>(BK84-BC84)/BJ84</f>
        <v>0</v>
      </c>
      <c r="BN84">
        <f>(BA84-BG84)/BG84</f>
        <v>0</v>
      </c>
      <c r="BO84">
        <f>AZ84/(BB84+AZ84/BG84)</f>
        <v>0</v>
      </c>
      <c r="BP84" t="s">
        <v>437</v>
      </c>
      <c r="BQ84">
        <v>0</v>
      </c>
      <c r="BR84">
        <f>IF(BQ84&lt;&gt;0, BQ84, BO84)</f>
        <v>0</v>
      </c>
      <c r="BS84">
        <f>1-BR84/BG84</f>
        <v>0</v>
      </c>
      <c r="BT84">
        <f>(BG84-BF84)/(BG84-BR84)</f>
        <v>0</v>
      </c>
      <c r="BU84">
        <f>(BA84-BG84)/(BA84-BR84)</f>
        <v>0</v>
      </c>
      <c r="BV84">
        <f>(BG84-BF84)/(BG84-AZ84)</f>
        <v>0</v>
      </c>
      <c r="BW84">
        <f>(BA84-BG84)/(BA84-AZ84)</f>
        <v>0</v>
      </c>
      <c r="BX84">
        <f>(BT84*BR84/BF84)</f>
        <v>0</v>
      </c>
      <c r="BY84">
        <f>(1-BX84)</f>
        <v>0</v>
      </c>
      <c r="DH84">
        <f>$B$11*EG84+$C$11*EH84+$F$11*ES84*(1-EV84)</f>
        <v>0</v>
      </c>
      <c r="DI84">
        <f>DH84*DJ84</f>
        <v>0</v>
      </c>
      <c r="DJ84">
        <f>($B$11*$D$9+$C$11*$D$9+$F$11*((FF84+EX84)/MAX(FF84+EX84+FG84, 0.1)*$I$9+FG84/MAX(FF84+EX84+FG84, 0.1)*$J$9))/($B$11+$C$11+$F$11)</f>
        <v>0</v>
      </c>
      <c r="DK84">
        <f>($B$11*$K$9+$C$11*$K$9+$F$11*((FF84+EX84)/MAX(FF84+EX84+FG84, 0.1)*$P$9+FG84/MAX(FF84+EX84+FG84, 0.1)*$Q$9))/($B$11+$C$11+$F$11)</f>
        <v>0</v>
      </c>
      <c r="DL84">
        <v>6</v>
      </c>
      <c r="DM84">
        <v>0.5</v>
      </c>
      <c r="DN84" t="s">
        <v>438</v>
      </c>
      <c r="DO84">
        <v>2</v>
      </c>
      <c r="DP84" t="b">
        <v>1</v>
      </c>
      <c r="DQ84">
        <v>1765310253.5</v>
      </c>
      <c r="DR84">
        <v>199.9854375</v>
      </c>
      <c r="DS84">
        <v>199.9916875</v>
      </c>
      <c r="DT84">
        <v>18.19168125</v>
      </c>
      <c r="DU84">
        <v>18.04718125</v>
      </c>
      <c r="DV84">
        <v>193.7984375</v>
      </c>
      <c r="DW84">
        <v>18.04968125</v>
      </c>
      <c r="DX84">
        <v>499.9995</v>
      </c>
      <c r="DY84">
        <v>89.68774375</v>
      </c>
      <c r="DZ84">
        <v>0.0999690125</v>
      </c>
      <c r="EA84">
        <v>25.4233875</v>
      </c>
      <c r="EB84">
        <v>25.0062375</v>
      </c>
      <c r="EC84">
        <v>999.9</v>
      </c>
      <c r="ED84">
        <v>0</v>
      </c>
      <c r="EE84">
        <v>0</v>
      </c>
      <c r="EF84">
        <v>10010.695</v>
      </c>
      <c r="EG84">
        <v>0</v>
      </c>
      <c r="EH84">
        <v>13.2984</v>
      </c>
      <c r="EI84">
        <v>0.09406369375</v>
      </c>
      <c r="EJ84">
        <v>203.7933125</v>
      </c>
      <c r="EK84">
        <v>203.6673125</v>
      </c>
      <c r="EL84">
        <v>0.1461678125</v>
      </c>
      <c r="EM84">
        <v>199.9916875</v>
      </c>
      <c r="EN84">
        <v>18.04718125</v>
      </c>
      <c r="EO84">
        <v>1.63172</v>
      </c>
      <c r="EP84">
        <v>1.618610625</v>
      </c>
      <c r="EQ84">
        <v>14.261675</v>
      </c>
      <c r="ER84">
        <v>14.1371375</v>
      </c>
      <c r="ES84">
        <v>799.996875</v>
      </c>
      <c r="ET84">
        <v>0.950004</v>
      </c>
      <c r="EU84">
        <v>0.04999634375</v>
      </c>
      <c r="EV84">
        <v>0</v>
      </c>
      <c r="EW84">
        <v>947.1103125</v>
      </c>
      <c r="EX84">
        <v>5.00016</v>
      </c>
      <c r="EY84">
        <v>7288.559375</v>
      </c>
      <c r="EZ84">
        <v>7194.655</v>
      </c>
      <c r="FA84">
        <v>39.80425</v>
      </c>
      <c r="FB84">
        <v>42.6210625</v>
      </c>
      <c r="FC84">
        <v>41.25</v>
      </c>
      <c r="FD84">
        <v>42.64825</v>
      </c>
      <c r="FE84">
        <v>42.4409375</v>
      </c>
      <c r="FF84">
        <v>755.250625</v>
      </c>
      <c r="FG84">
        <v>39.75</v>
      </c>
      <c r="FH84">
        <v>0</v>
      </c>
      <c r="FI84">
        <v>1765310262.7</v>
      </c>
      <c r="FJ84">
        <v>0</v>
      </c>
      <c r="FK84">
        <v>947.07908</v>
      </c>
      <c r="FL84">
        <v>-2.37907692484319</v>
      </c>
      <c r="FM84">
        <v>-16.135384607003</v>
      </c>
      <c r="FN84">
        <v>7288.2864</v>
      </c>
      <c r="FO84">
        <v>15</v>
      </c>
      <c r="FP84">
        <v>1765310285</v>
      </c>
      <c r="FQ84" t="s">
        <v>650</v>
      </c>
      <c r="FR84">
        <v>1765310283</v>
      </c>
      <c r="FS84">
        <v>1765310285</v>
      </c>
      <c r="FT84">
        <v>68</v>
      </c>
      <c r="FU84">
        <v>-0.101</v>
      </c>
      <c r="FV84">
        <v>0</v>
      </c>
      <c r="FW84">
        <v>6.187</v>
      </c>
      <c r="FX84">
        <v>0.142</v>
      </c>
      <c r="FY84">
        <v>200</v>
      </c>
      <c r="FZ84">
        <v>18</v>
      </c>
      <c r="GA84">
        <v>0.38</v>
      </c>
      <c r="GB84">
        <v>0.23</v>
      </c>
      <c r="GC84">
        <v>0.127325052380952</v>
      </c>
      <c r="GD84">
        <v>-0.453822335064935</v>
      </c>
      <c r="GE84">
        <v>0.0636013748645691</v>
      </c>
      <c r="GF84">
        <v>1</v>
      </c>
      <c r="GG84">
        <v>947.206176470588</v>
      </c>
      <c r="GH84">
        <v>-1.76223071010351</v>
      </c>
      <c r="GI84">
        <v>0.281180230100379</v>
      </c>
      <c r="GJ84">
        <v>-1</v>
      </c>
      <c r="GK84">
        <v>0.145248952380952</v>
      </c>
      <c r="GL84">
        <v>0.0180517402597401</v>
      </c>
      <c r="GM84">
        <v>0.00299737330207936</v>
      </c>
      <c r="GN84">
        <v>1</v>
      </c>
      <c r="GO84">
        <v>2</v>
      </c>
      <c r="GP84">
        <v>2</v>
      </c>
      <c r="GQ84" t="s">
        <v>440</v>
      </c>
      <c r="GR84">
        <v>3.1251</v>
      </c>
      <c r="GS84">
        <v>2.72539</v>
      </c>
      <c r="GT84">
        <v>0.0472199</v>
      </c>
      <c r="GU84">
        <v>0.0485986</v>
      </c>
      <c r="GV84">
        <v>0.0833173</v>
      </c>
      <c r="GW84">
        <v>0.0829443</v>
      </c>
      <c r="GX84">
        <v>25085.7</v>
      </c>
      <c r="GY84">
        <v>23282.2</v>
      </c>
      <c r="GZ84">
        <v>23537.5</v>
      </c>
      <c r="HA84">
        <v>23819.3</v>
      </c>
      <c r="HB84">
        <v>36736.8</v>
      </c>
      <c r="HC84">
        <v>36116</v>
      </c>
      <c r="HD84">
        <v>42393.6</v>
      </c>
      <c r="HE84">
        <v>42429.2</v>
      </c>
      <c r="HF84">
        <v>1.93425</v>
      </c>
      <c r="HG84">
        <v>1.85</v>
      </c>
      <c r="HH84">
        <v>0.0843033</v>
      </c>
      <c r="HI84">
        <v>0</v>
      </c>
      <c r="HJ84">
        <v>23.6286</v>
      </c>
      <c r="HK84">
        <v>999.9</v>
      </c>
      <c r="HL84">
        <v>47.979</v>
      </c>
      <c r="HM84">
        <v>28.661</v>
      </c>
      <c r="HN84">
        <v>21.0956</v>
      </c>
      <c r="HO84">
        <v>54.8666</v>
      </c>
      <c r="HP84">
        <v>46.226</v>
      </c>
      <c r="HQ84">
        <v>1</v>
      </c>
      <c r="HR84">
        <v>-0.10534</v>
      </c>
      <c r="HS84">
        <v>1.18327</v>
      </c>
      <c r="HT84">
        <v>20.2278</v>
      </c>
      <c r="HU84">
        <v>5.23301</v>
      </c>
      <c r="HV84">
        <v>11.992</v>
      </c>
      <c r="HW84">
        <v>4.95575</v>
      </c>
      <c r="HX84">
        <v>3.304</v>
      </c>
      <c r="HY84">
        <v>999.9</v>
      </c>
      <c r="HZ84">
        <v>9999</v>
      </c>
      <c r="IA84">
        <v>9999</v>
      </c>
      <c r="IB84">
        <v>9999</v>
      </c>
      <c r="IC84">
        <v>1.8687</v>
      </c>
      <c r="ID84">
        <v>1.86438</v>
      </c>
      <c r="IE84">
        <v>1.87197</v>
      </c>
      <c r="IF84">
        <v>1.8629</v>
      </c>
      <c r="IG84">
        <v>1.86232</v>
      </c>
      <c r="IH84">
        <v>1.86874</v>
      </c>
      <c r="II84">
        <v>1.8589</v>
      </c>
      <c r="IJ84">
        <v>1.86527</v>
      </c>
      <c r="IK84">
        <v>5</v>
      </c>
      <c r="IL84">
        <v>0</v>
      </c>
      <c r="IM84">
        <v>0</v>
      </c>
      <c r="IN84">
        <v>0</v>
      </c>
      <c r="IO84" t="s">
        <v>441</v>
      </c>
      <c r="IP84" t="s">
        <v>442</v>
      </c>
      <c r="IQ84" t="s">
        <v>443</v>
      </c>
      <c r="IR84" t="s">
        <v>443</v>
      </c>
      <c r="IS84" t="s">
        <v>443</v>
      </c>
      <c r="IT84" t="s">
        <v>443</v>
      </c>
      <c r="IU84">
        <v>0</v>
      </c>
      <c r="IV84">
        <v>100</v>
      </c>
      <c r="IW84">
        <v>100</v>
      </c>
      <c r="IX84">
        <v>6.187</v>
      </c>
      <c r="IY84">
        <v>0.142</v>
      </c>
      <c r="IZ84">
        <v>5.18794301085015</v>
      </c>
      <c r="JA84">
        <v>0.0062698613543794</v>
      </c>
      <c r="JB84">
        <v>-3.23243345529816e-06</v>
      </c>
      <c r="JC84">
        <v>8.00506428382295e-10</v>
      </c>
      <c r="JD84">
        <v>-0.0209901611505794</v>
      </c>
      <c r="JE84">
        <v>-0.0018464610107002</v>
      </c>
      <c r="JF84">
        <v>0.000796540623429801</v>
      </c>
      <c r="JG84">
        <v>-1.04619914107352e-05</v>
      </c>
      <c r="JH84">
        <v>-0</v>
      </c>
      <c r="JI84">
        <v>2101</v>
      </c>
      <c r="JJ84">
        <v>1</v>
      </c>
      <c r="JK84">
        <v>23</v>
      </c>
      <c r="JL84">
        <v>1.3</v>
      </c>
      <c r="JM84">
        <v>1.2</v>
      </c>
      <c r="JN84">
        <v>0.596924</v>
      </c>
      <c r="JO84">
        <v>2.38892</v>
      </c>
      <c r="JP84">
        <v>1.49902</v>
      </c>
      <c r="JQ84">
        <v>2.33887</v>
      </c>
      <c r="JR84">
        <v>1.54419</v>
      </c>
      <c r="JS84">
        <v>2.29126</v>
      </c>
      <c r="JT84">
        <v>34.715</v>
      </c>
      <c r="JU84">
        <v>24.3414</v>
      </c>
      <c r="JV84">
        <v>18</v>
      </c>
      <c r="JW84">
        <v>547.916</v>
      </c>
      <c r="JX84">
        <v>437.077</v>
      </c>
      <c r="JY84">
        <v>22.1297</v>
      </c>
      <c r="JZ84">
        <v>26.0964</v>
      </c>
      <c r="KA84">
        <v>30.0008</v>
      </c>
      <c r="KB84">
        <v>25.9742</v>
      </c>
      <c r="KC84">
        <v>25.9894</v>
      </c>
      <c r="KD84">
        <v>11.9755</v>
      </c>
      <c r="KE84">
        <v>26.2168</v>
      </c>
      <c r="KF84">
        <v>100</v>
      </c>
      <c r="KG84">
        <v>22.1006</v>
      </c>
      <c r="KH84">
        <v>200</v>
      </c>
      <c r="KI84">
        <v>18.0262</v>
      </c>
      <c r="KJ84">
        <v>95.0476</v>
      </c>
      <c r="KK84">
        <v>98.9239</v>
      </c>
    </row>
    <row r="85" spans="1:297">
      <c r="A85">
        <v>69</v>
      </c>
      <c r="B85">
        <v>1765310364</v>
      </c>
      <c r="C85">
        <v>12415</v>
      </c>
      <c r="D85" t="s">
        <v>651</v>
      </c>
      <c r="E85" t="s">
        <v>652</v>
      </c>
      <c r="F85">
        <v>5</v>
      </c>
      <c r="G85" t="s">
        <v>643</v>
      </c>
      <c r="H85" t="s">
        <v>436</v>
      </c>
      <c r="I85">
        <v>1765310355.5</v>
      </c>
      <c r="J85">
        <f>(K85)/1000</f>
        <v>0</v>
      </c>
      <c r="K85">
        <f>IF(DP85, AN85, AH85)</f>
        <v>0</v>
      </c>
      <c r="L85">
        <f>IF(DP85, AI85, AG85)</f>
        <v>0</v>
      </c>
      <c r="M85">
        <f>DR85 - IF(AU85&gt;1, L85*DL85*100.0/(AW85), 0)</f>
        <v>0</v>
      </c>
      <c r="N85">
        <f>((T85-J85/2)*M85-L85)/(T85+J85/2)</f>
        <v>0</v>
      </c>
      <c r="O85">
        <f>N85*(DY85+DZ85)/1000.0</f>
        <v>0</v>
      </c>
      <c r="P85">
        <f>(DR85 - IF(AU85&gt;1, L85*DL85*100.0/(AW85), 0))*(DY85+DZ85)/1000.0</f>
        <v>0</v>
      </c>
      <c r="Q85">
        <f>2.0/((1/S85-1/R85)+SIGN(S85)*SQRT((1/S85-1/R85)*(1/S85-1/R85) + 4*DM85/((DM85+1)*(DM85+1))*(2*1/S85*1/R85-1/R85*1/R85)))</f>
        <v>0</v>
      </c>
      <c r="R85">
        <f>IF(LEFT(DN85,1)&lt;&gt;"0",IF(LEFT(DN85,1)="1",3.0,DO85),$D$5+$E$5*(EF85*DY85/($K$5*1000))+$F$5*(EF85*DY85/($K$5*1000))*MAX(MIN(DL85,$J$5),$I$5)*MAX(MIN(DL85,$J$5),$I$5)+$G$5*MAX(MIN(DL85,$J$5),$I$5)*(EF85*DY85/($K$5*1000))+$H$5*(EF85*DY85/($K$5*1000))*(EF85*DY85/($K$5*1000)))</f>
        <v>0</v>
      </c>
      <c r="S85">
        <f>J85*(1000-(1000*0.61365*exp(17.502*W85/(240.97+W85))/(DY85+DZ85)+DT85)/2)/(1000*0.61365*exp(17.502*W85/(240.97+W85))/(DY85+DZ85)-DT85)</f>
        <v>0</v>
      </c>
      <c r="T85">
        <f>1/((DM85+1)/(Q85/1.6)+1/(R85/1.37)) + DM85/((DM85+1)/(Q85/1.6) + DM85/(R85/1.37))</f>
        <v>0</v>
      </c>
      <c r="U85">
        <f>(DH85*DK85)</f>
        <v>0</v>
      </c>
      <c r="V85">
        <f>(EA85+(U85+2*0.95*5.67E-8*(((EA85+$B$7)+273)^4-(EA85+273)^4)-44100*J85)/(1.84*29.3*R85+8*0.95*5.67E-8*(EA85+273)^3))</f>
        <v>0</v>
      </c>
      <c r="W85">
        <f>($C$7*EB85+$D$7*EC85+$E$7*V85)</f>
        <v>0</v>
      </c>
      <c r="X85">
        <f>0.61365*exp(17.502*W85/(240.97+W85))</f>
        <v>0</v>
      </c>
      <c r="Y85">
        <f>(Z85/AA85*100)</f>
        <v>0</v>
      </c>
      <c r="Z85">
        <f>DT85*(DY85+DZ85)/1000</f>
        <v>0</v>
      </c>
      <c r="AA85">
        <f>0.61365*exp(17.502*EA85/(240.97+EA85))</f>
        <v>0</v>
      </c>
      <c r="AB85">
        <f>(X85-DT85*(DY85+DZ85)/1000)</f>
        <v>0</v>
      </c>
      <c r="AC85">
        <f>(-J85*44100)</f>
        <v>0</v>
      </c>
      <c r="AD85">
        <f>2*29.3*R85*0.92*(EA85-W85)</f>
        <v>0</v>
      </c>
      <c r="AE85">
        <f>2*0.95*5.67E-8*(((EA85+$B$7)+273)^4-(W85+273)^4)</f>
        <v>0</v>
      </c>
      <c r="AF85">
        <f>U85+AE85+AC85+AD85</f>
        <v>0</v>
      </c>
      <c r="AG85">
        <f>DX85*AU85*(DS85-DR85*(1000-AU85*DU85)/(1000-AU85*DT85))/(100*DL85)</f>
        <v>0</v>
      </c>
      <c r="AH85">
        <f>1000*DX85*AU85*(DT85-DU85)/(100*DL85*(1000-AU85*DT85))</f>
        <v>0</v>
      </c>
      <c r="AI85">
        <f>(AJ85 - AK85 - DY85*1E3/(8.314*(EA85+273.15)) * AM85/DX85 * AL85) * DX85/(100*DL85) * (1000 - DU85)/1000</f>
        <v>0</v>
      </c>
      <c r="AJ85">
        <v>101.822466857078</v>
      </c>
      <c r="AK85">
        <v>101.895763636364</v>
      </c>
      <c r="AL85">
        <v>0.00321898713602787</v>
      </c>
      <c r="AM85">
        <v>63.3046688961978</v>
      </c>
      <c r="AN85">
        <f>(AP85 - AO85 + DY85*1E3/(8.314*(EA85+273.15)) * AR85/DX85 * AQ85) * DX85/(100*DL85) * 1000/(1000 - AP85)</f>
        <v>0</v>
      </c>
      <c r="AO85">
        <v>18.0405641627624</v>
      </c>
      <c r="AP85">
        <v>18.1911266666666</v>
      </c>
      <c r="AQ85">
        <v>-2.59903884180904e-05</v>
      </c>
      <c r="AR85">
        <v>108.09860035212</v>
      </c>
      <c r="AS85">
        <v>0</v>
      </c>
      <c r="AT85">
        <v>0</v>
      </c>
      <c r="AU85">
        <f>IF(AS85*$H$13&gt;=AW85,1.0,(AW85/(AW85-AS85*$H$13)))</f>
        <v>0</v>
      </c>
      <c r="AV85">
        <f>(AU85-1)*100</f>
        <v>0</v>
      </c>
      <c r="AW85">
        <f>MAX(0,($B$13+$C$13*EF85)/(1+$D$13*EF85)*DY85/(EA85+273)*$E$13)</f>
        <v>0</v>
      </c>
      <c r="AX85" t="s">
        <v>437</v>
      </c>
      <c r="AY85" t="s">
        <v>437</v>
      </c>
      <c r="AZ85">
        <v>0</v>
      </c>
      <c r="BA85">
        <v>0</v>
      </c>
      <c r="BB85">
        <f>1-AZ85/BA85</f>
        <v>0</v>
      </c>
      <c r="BC85">
        <v>0</v>
      </c>
      <c r="BD85" t="s">
        <v>437</v>
      </c>
      <c r="BE85" t="s">
        <v>437</v>
      </c>
      <c r="BF85">
        <v>0</v>
      </c>
      <c r="BG85">
        <v>0</v>
      </c>
      <c r="BH85">
        <f>1-BF85/BG85</f>
        <v>0</v>
      </c>
      <c r="BI85">
        <v>0.5</v>
      </c>
      <c r="BJ85">
        <f>DI85</f>
        <v>0</v>
      </c>
      <c r="BK85">
        <f>L85</f>
        <v>0</v>
      </c>
      <c r="BL85">
        <f>BH85*BI85*BJ85</f>
        <v>0</v>
      </c>
      <c r="BM85">
        <f>(BK85-BC85)/BJ85</f>
        <v>0</v>
      </c>
      <c r="BN85">
        <f>(BA85-BG85)/BG85</f>
        <v>0</v>
      </c>
      <c r="BO85">
        <f>AZ85/(BB85+AZ85/BG85)</f>
        <v>0</v>
      </c>
      <c r="BP85" t="s">
        <v>437</v>
      </c>
      <c r="BQ85">
        <v>0</v>
      </c>
      <c r="BR85">
        <f>IF(BQ85&lt;&gt;0, BQ85, BO85)</f>
        <v>0</v>
      </c>
      <c r="BS85">
        <f>1-BR85/BG85</f>
        <v>0</v>
      </c>
      <c r="BT85">
        <f>(BG85-BF85)/(BG85-BR85)</f>
        <v>0</v>
      </c>
      <c r="BU85">
        <f>(BA85-BG85)/(BA85-BR85)</f>
        <v>0</v>
      </c>
      <c r="BV85">
        <f>(BG85-BF85)/(BG85-AZ85)</f>
        <v>0</v>
      </c>
      <c r="BW85">
        <f>(BA85-BG85)/(BA85-AZ85)</f>
        <v>0</v>
      </c>
      <c r="BX85">
        <f>(BT85*BR85/BF85)</f>
        <v>0</v>
      </c>
      <c r="BY85">
        <f>(1-BX85)</f>
        <v>0</v>
      </c>
      <c r="DH85">
        <f>$B$11*EG85+$C$11*EH85+$F$11*ES85*(1-EV85)</f>
        <v>0</v>
      </c>
      <c r="DI85">
        <f>DH85*DJ85</f>
        <v>0</v>
      </c>
      <c r="DJ85">
        <f>($B$11*$D$9+$C$11*$D$9+$F$11*((FF85+EX85)/MAX(FF85+EX85+FG85, 0.1)*$I$9+FG85/MAX(FF85+EX85+FG85, 0.1)*$J$9))/($B$11+$C$11+$F$11)</f>
        <v>0</v>
      </c>
      <c r="DK85">
        <f>($B$11*$K$9+$C$11*$K$9+$F$11*((FF85+EX85)/MAX(FF85+EX85+FG85, 0.1)*$P$9+FG85/MAX(FF85+EX85+FG85, 0.1)*$Q$9))/($B$11+$C$11+$F$11)</f>
        <v>0</v>
      </c>
      <c r="DL85">
        <v>6</v>
      </c>
      <c r="DM85">
        <v>0.5</v>
      </c>
      <c r="DN85" t="s">
        <v>438</v>
      </c>
      <c r="DO85">
        <v>2</v>
      </c>
      <c r="DP85" t="b">
        <v>1</v>
      </c>
      <c r="DQ85">
        <v>1765310355.5</v>
      </c>
      <c r="DR85">
        <v>100.21129375</v>
      </c>
      <c r="DS85">
        <v>100.00305625</v>
      </c>
      <c r="DT85">
        <v>18.1891375</v>
      </c>
      <c r="DU85">
        <v>18.03930625</v>
      </c>
      <c r="DV85">
        <v>94.38529375</v>
      </c>
      <c r="DW85">
        <v>18.0491375</v>
      </c>
      <c r="DX85">
        <v>500.008</v>
      </c>
      <c r="DY85">
        <v>89.68116875</v>
      </c>
      <c r="DZ85">
        <v>0.099963975</v>
      </c>
      <c r="EA85">
        <v>25.4220875</v>
      </c>
      <c r="EB85">
        <v>25.0190625</v>
      </c>
      <c r="EC85">
        <v>999.9</v>
      </c>
      <c r="ED85">
        <v>0</v>
      </c>
      <c r="EE85">
        <v>0</v>
      </c>
      <c r="EF85">
        <v>10014.016875</v>
      </c>
      <c r="EG85">
        <v>0</v>
      </c>
      <c r="EH85">
        <v>13.3185625</v>
      </c>
      <c r="EI85">
        <v>0.0330514785</v>
      </c>
      <c r="EJ85">
        <v>101.8896875</v>
      </c>
      <c r="EK85">
        <v>101.840375</v>
      </c>
      <c r="EL85">
        <v>0.1538614375</v>
      </c>
      <c r="EM85">
        <v>100.00305625</v>
      </c>
      <c r="EN85">
        <v>18.03930625</v>
      </c>
      <c r="EO85">
        <v>1.631583125</v>
      </c>
      <c r="EP85">
        <v>1.61778625</v>
      </c>
      <c r="EQ85">
        <v>14.260375</v>
      </c>
      <c r="ER85">
        <v>14.12925625</v>
      </c>
      <c r="ES85">
        <v>799.9919375</v>
      </c>
      <c r="ET85">
        <v>0.950006375</v>
      </c>
      <c r="EU85">
        <v>0.04999405625</v>
      </c>
      <c r="EV85">
        <v>0</v>
      </c>
      <c r="EW85">
        <v>945.0536875</v>
      </c>
      <c r="EX85">
        <v>5.00016</v>
      </c>
      <c r="EY85">
        <v>7276.225625</v>
      </c>
      <c r="EZ85">
        <v>7194.6175</v>
      </c>
      <c r="FA85">
        <v>39.937</v>
      </c>
      <c r="FB85">
        <v>42.753875</v>
      </c>
      <c r="FC85">
        <v>41.386625</v>
      </c>
      <c r="FD85">
        <v>42.8159375</v>
      </c>
      <c r="FE85">
        <v>42.5974375</v>
      </c>
      <c r="FF85">
        <v>755.24875</v>
      </c>
      <c r="FG85">
        <v>39.741875</v>
      </c>
      <c r="FH85">
        <v>0</v>
      </c>
      <c r="FI85">
        <v>1765310364.7</v>
      </c>
      <c r="FJ85">
        <v>0</v>
      </c>
      <c r="FK85">
        <v>944.92916</v>
      </c>
      <c r="FL85">
        <v>-0.964307676705241</v>
      </c>
      <c r="FM85">
        <v>-0.160000054042047</v>
      </c>
      <c r="FN85">
        <v>7276.138</v>
      </c>
      <c r="FO85">
        <v>15</v>
      </c>
      <c r="FP85">
        <v>1765310384</v>
      </c>
      <c r="FQ85" t="s">
        <v>653</v>
      </c>
      <c r="FR85">
        <v>1765310384</v>
      </c>
      <c r="FS85">
        <v>1765310382</v>
      </c>
      <c r="FT85">
        <v>69</v>
      </c>
      <c r="FU85">
        <v>0.176</v>
      </c>
      <c r="FV85">
        <v>-0.002</v>
      </c>
      <c r="FW85">
        <v>5.826</v>
      </c>
      <c r="FX85">
        <v>0.14</v>
      </c>
      <c r="FY85">
        <v>100</v>
      </c>
      <c r="FZ85">
        <v>18</v>
      </c>
      <c r="GA85">
        <v>0.23</v>
      </c>
      <c r="GB85">
        <v>0.21</v>
      </c>
      <c r="GC85">
        <v>0.0559673836190476</v>
      </c>
      <c r="GD85">
        <v>-0.326002884155844</v>
      </c>
      <c r="GE85">
        <v>0.0504044006524794</v>
      </c>
      <c r="GF85">
        <v>1</v>
      </c>
      <c r="GG85">
        <v>945.039558823529</v>
      </c>
      <c r="GH85">
        <v>-1.28249044189384</v>
      </c>
      <c r="GI85">
        <v>0.235790933215966</v>
      </c>
      <c r="GJ85">
        <v>-1</v>
      </c>
      <c r="GK85">
        <v>0.154900476190476</v>
      </c>
      <c r="GL85">
        <v>-0.0161082077922076</v>
      </c>
      <c r="GM85">
        <v>0.00186351129448447</v>
      </c>
      <c r="GN85">
        <v>1</v>
      </c>
      <c r="GO85">
        <v>2</v>
      </c>
      <c r="GP85">
        <v>2</v>
      </c>
      <c r="GQ85" t="s">
        <v>440</v>
      </c>
      <c r="GR85">
        <v>3.1249</v>
      </c>
      <c r="GS85">
        <v>2.72563</v>
      </c>
      <c r="GT85">
        <v>0.0241371</v>
      </c>
      <c r="GU85">
        <v>0.0255698</v>
      </c>
      <c r="GV85">
        <v>0.0832453</v>
      </c>
      <c r="GW85">
        <v>0.0828812</v>
      </c>
      <c r="GX85">
        <v>25679.9</v>
      </c>
      <c r="GY85">
        <v>23835.4</v>
      </c>
      <c r="GZ85">
        <v>23525.8</v>
      </c>
      <c r="HA85">
        <v>23809.8</v>
      </c>
      <c r="HB85">
        <v>36721.5</v>
      </c>
      <c r="HC85">
        <v>36103.4</v>
      </c>
      <c r="HD85">
        <v>42374.9</v>
      </c>
      <c r="HE85">
        <v>42413.7</v>
      </c>
      <c r="HF85">
        <v>1.9315</v>
      </c>
      <c r="HG85">
        <v>1.84773</v>
      </c>
      <c r="HH85">
        <v>0.0801682</v>
      </c>
      <c r="HI85">
        <v>0</v>
      </c>
      <c r="HJ85">
        <v>23.6931</v>
      </c>
      <c r="HK85">
        <v>999.9</v>
      </c>
      <c r="HL85">
        <v>48.028</v>
      </c>
      <c r="HM85">
        <v>28.661</v>
      </c>
      <c r="HN85">
        <v>21.1203</v>
      </c>
      <c r="HO85">
        <v>54.9266</v>
      </c>
      <c r="HP85">
        <v>46.0136</v>
      </c>
      <c r="HQ85">
        <v>1</v>
      </c>
      <c r="HR85">
        <v>-0.0892505</v>
      </c>
      <c r="HS85">
        <v>1.59787</v>
      </c>
      <c r="HT85">
        <v>20.2243</v>
      </c>
      <c r="HU85">
        <v>5.23361</v>
      </c>
      <c r="HV85">
        <v>11.992</v>
      </c>
      <c r="HW85">
        <v>4.9566</v>
      </c>
      <c r="HX85">
        <v>3.304</v>
      </c>
      <c r="HY85">
        <v>999.9</v>
      </c>
      <c r="HZ85">
        <v>9999</v>
      </c>
      <c r="IA85">
        <v>9999</v>
      </c>
      <c r="IB85">
        <v>9999</v>
      </c>
      <c r="IC85">
        <v>1.86866</v>
      </c>
      <c r="ID85">
        <v>1.86439</v>
      </c>
      <c r="IE85">
        <v>1.87195</v>
      </c>
      <c r="IF85">
        <v>1.86286</v>
      </c>
      <c r="IG85">
        <v>1.86229</v>
      </c>
      <c r="IH85">
        <v>1.86874</v>
      </c>
      <c r="II85">
        <v>1.85885</v>
      </c>
      <c r="IJ85">
        <v>1.86523</v>
      </c>
      <c r="IK85">
        <v>5</v>
      </c>
      <c r="IL85">
        <v>0</v>
      </c>
      <c r="IM85">
        <v>0</v>
      </c>
      <c r="IN85">
        <v>0</v>
      </c>
      <c r="IO85" t="s">
        <v>441</v>
      </c>
      <c r="IP85" t="s">
        <v>442</v>
      </c>
      <c r="IQ85" t="s">
        <v>443</v>
      </c>
      <c r="IR85" t="s">
        <v>443</v>
      </c>
      <c r="IS85" t="s">
        <v>443</v>
      </c>
      <c r="IT85" t="s">
        <v>443</v>
      </c>
      <c r="IU85">
        <v>0</v>
      </c>
      <c r="IV85">
        <v>100</v>
      </c>
      <c r="IW85">
        <v>100</v>
      </c>
      <c r="IX85">
        <v>5.826</v>
      </c>
      <c r="IY85">
        <v>0.14</v>
      </c>
      <c r="IZ85">
        <v>5.08717016138799</v>
      </c>
      <c r="JA85">
        <v>0.0062698613543794</v>
      </c>
      <c r="JB85">
        <v>-3.23243345529816e-06</v>
      </c>
      <c r="JC85">
        <v>8.00506428382295e-10</v>
      </c>
      <c r="JD85">
        <v>-0.0206228718934624</v>
      </c>
      <c r="JE85">
        <v>-0.0018464610107002</v>
      </c>
      <c r="JF85">
        <v>0.000796540623429801</v>
      </c>
      <c r="JG85">
        <v>-1.04619914107352e-05</v>
      </c>
      <c r="JH85">
        <v>-0</v>
      </c>
      <c r="JI85">
        <v>2101</v>
      </c>
      <c r="JJ85">
        <v>1</v>
      </c>
      <c r="JK85">
        <v>23</v>
      </c>
      <c r="JL85">
        <v>1.4</v>
      </c>
      <c r="JM85">
        <v>1.3</v>
      </c>
      <c r="JN85">
        <v>0.375977</v>
      </c>
      <c r="JO85">
        <v>2.41333</v>
      </c>
      <c r="JP85">
        <v>1.4978</v>
      </c>
      <c r="JQ85">
        <v>2.33887</v>
      </c>
      <c r="JR85">
        <v>1.54419</v>
      </c>
      <c r="JS85">
        <v>2.37183</v>
      </c>
      <c r="JT85">
        <v>34.7379</v>
      </c>
      <c r="JU85">
        <v>24.3414</v>
      </c>
      <c r="JV85">
        <v>18</v>
      </c>
      <c r="JW85">
        <v>547.418</v>
      </c>
      <c r="JX85">
        <v>436.829</v>
      </c>
      <c r="JY85">
        <v>21.8924</v>
      </c>
      <c r="JZ85">
        <v>26.2662</v>
      </c>
      <c r="KA85">
        <v>30.0009</v>
      </c>
      <c r="KB85">
        <v>26.1174</v>
      </c>
      <c r="KC85">
        <v>26.1289</v>
      </c>
      <c r="KD85">
        <v>7.56132</v>
      </c>
      <c r="KE85">
        <v>26.2168</v>
      </c>
      <c r="KF85">
        <v>100</v>
      </c>
      <c r="KG85">
        <v>21.8816</v>
      </c>
      <c r="KH85">
        <v>100</v>
      </c>
      <c r="KI85">
        <v>18.0314</v>
      </c>
      <c r="KJ85">
        <v>95.0037</v>
      </c>
      <c r="KK85">
        <v>98.8865</v>
      </c>
    </row>
    <row r="86" spans="1:297">
      <c r="A86">
        <v>70</v>
      </c>
      <c r="B86">
        <v>1765310457</v>
      </c>
      <c r="C86">
        <v>12508</v>
      </c>
      <c r="D86" t="s">
        <v>654</v>
      </c>
      <c r="E86" t="s">
        <v>655</v>
      </c>
      <c r="F86">
        <v>5</v>
      </c>
      <c r="G86" t="s">
        <v>643</v>
      </c>
      <c r="H86" t="s">
        <v>436</v>
      </c>
      <c r="I86">
        <v>1765310448.5</v>
      </c>
      <c r="J86">
        <f>(K86)/1000</f>
        <v>0</v>
      </c>
      <c r="K86">
        <f>IF(DP86, AN86, AH86)</f>
        <v>0</v>
      </c>
      <c r="L86">
        <f>IF(DP86, AI86, AG86)</f>
        <v>0</v>
      </c>
      <c r="M86">
        <f>DR86 - IF(AU86&gt;1, L86*DL86*100.0/(AW86), 0)</f>
        <v>0</v>
      </c>
      <c r="N86">
        <f>((T86-J86/2)*M86-L86)/(T86+J86/2)</f>
        <v>0</v>
      </c>
      <c r="O86">
        <f>N86*(DY86+DZ86)/1000.0</f>
        <v>0</v>
      </c>
      <c r="P86">
        <f>(DR86 - IF(AU86&gt;1, L86*DL86*100.0/(AW86), 0))*(DY86+DZ86)/1000.0</f>
        <v>0</v>
      </c>
      <c r="Q86">
        <f>2.0/((1/S86-1/R86)+SIGN(S86)*SQRT((1/S86-1/R86)*(1/S86-1/R86) + 4*DM86/((DM86+1)*(DM86+1))*(2*1/S86*1/R86-1/R86*1/R86)))</f>
        <v>0</v>
      </c>
      <c r="R86">
        <f>IF(LEFT(DN86,1)&lt;&gt;"0",IF(LEFT(DN86,1)="1",3.0,DO86),$D$5+$E$5*(EF86*DY86/($K$5*1000))+$F$5*(EF86*DY86/($K$5*1000))*MAX(MIN(DL86,$J$5),$I$5)*MAX(MIN(DL86,$J$5),$I$5)+$G$5*MAX(MIN(DL86,$J$5),$I$5)*(EF86*DY86/($K$5*1000))+$H$5*(EF86*DY86/($K$5*1000))*(EF86*DY86/($K$5*1000)))</f>
        <v>0</v>
      </c>
      <c r="S86">
        <f>J86*(1000-(1000*0.61365*exp(17.502*W86/(240.97+W86))/(DY86+DZ86)+DT86)/2)/(1000*0.61365*exp(17.502*W86/(240.97+W86))/(DY86+DZ86)-DT86)</f>
        <v>0</v>
      </c>
      <c r="T86">
        <f>1/((DM86+1)/(Q86/1.6)+1/(R86/1.37)) + DM86/((DM86+1)/(Q86/1.6) + DM86/(R86/1.37))</f>
        <v>0</v>
      </c>
      <c r="U86">
        <f>(DH86*DK86)</f>
        <v>0</v>
      </c>
      <c r="V86">
        <f>(EA86+(U86+2*0.95*5.67E-8*(((EA86+$B$7)+273)^4-(EA86+273)^4)-44100*J86)/(1.84*29.3*R86+8*0.95*5.67E-8*(EA86+273)^3))</f>
        <v>0</v>
      </c>
      <c r="W86">
        <f>($C$7*EB86+$D$7*EC86+$E$7*V86)</f>
        <v>0</v>
      </c>
      <c r="X86">
        <f>0.61365*exp(17.502*W86/(240.97+W86))</f>
        <v>0</v>
      </c>
      <c r="Y86">
        <f>(Z86/AA86*100)</f>
        <v>0</v>
      </c>
      <c r="Z86">
        <f>DT86*(DY86+DZ86)/1000</f>
        <v>0</v>
      </c>
      <c r="AA86">
        <f>0.61365*exp(17.502*EA86/(240.97+EA86))</f>
        <v>0</v>
      </c>
      <c r="AB86">
        <f>(X86-DT86*(DY86+DZ86)/1000)</f>
        <v>0</v>
      </c>
      <c r="AC86">
        <f>(-J86*44100)</f>
        <v>0</v>
      </c>
      <c r="AD86">
        <f>2*29.3*R86*0.92*(EA86-W86)</f>
        <v>0</v>
      </c>
      <c r="AE86">
        <f>2*0.95*5.67E-8*(((EA86+$B$7)+273)^4-(W86+273)^4)</f>
        <v>0</v>
      </c>
      <c r="AF86">
        <f>U86+AE86+AC86+AD86</f>
        <v>0</v>
      </c>
      <c r="AG86">
        <f>DX86*AU86*(DS86-DR86*(1000-AU86*DU86)/(1000-AU86*DT86))/(100*DL86)</f>
        <v>0</v>
      </c>
      <c r="AH86">
        <f>1000*DX86*AU86*(DT86-DU86)/(100*DL86*(1000-AU86*DT86))</f>
        <v>0</v>
      </c>
      <c r="AI86">
        <f>(AJ86 - AK86 - DY86*1E3/(8.314*(EA86+273.15)) * AM86/DX86 * AL86) * DX86/(100*DL86) * (1000 - DU86)/1000</f>
        <v>0</v>
      </c>
      <c r="AJ86">
        <v>50.9213293150706</v>
      </c>
      <c r="AK86">
        <v>51.0113381818182</v>
      </c>
      <c r="AL86">
        <v>-0.00217867760524506</v>
      </c>
      <c r="AM86">
        <v>63.3501877925834</v>
      </c>
      <c r="AN86">
        <f>(AP86 - AO86 + DY86*1E3/(8.314*(EA86+273.15)) * AR86/DX86 * AQ86) * DX86/(100*DL86) * 1000/(1000 - AP86)</f>
        <v>0</v>
      </c>
      <c r="AO86">
        <v>18.0200584839785</v>
      </c>
      <c r="AP86">
        <v>18.1875436363636</v>
      </c>
      <c r="AQ86">
        <v>-0.0001622741402235</v>
      </c>
      <c r="AR86">
        <v>107.814944942054</v>
      </c>
      <c r="AS86">
        <v>0</v>
      </c>
      <c r="AT86">
        <v>0</v>
      </c>
      <c r="AU86">
        <f>IF(AS86*$H$13&gt;=AW86,1.0,(AW86/(AW86-AS86*$H$13)))</f>
        <v>0</v>
      </c>
      <c r="AV86">
        <f>(AU86-1)*100</f>
        <v>0</v>
      </c>
      <c r="AW86">
        <f>MAX(0,($B$13+$C$13*EF86)/(1+$D$13*EF86)*DY86/(EA86+273)*$E$13)</f>
        <v>0</v>
      </c>
      <c r="AX86" t="s">
        <v>437</v>
      </c>
      <c r="AY86" t="s">
        <v>437</v>
      </c>
      <c r="AZ86">
        <v>0</v>
      </c>
      <c r="BA86">
        <v>0</v>
      </c>
      <c r="BB86">
        <f>1-AZ86/BA86</f>
        <v>0</v>
      </c>
      <c r="BC86">
        <v>0</v>
      </c>
      <c r="BD86" t="s">
        <v>437</v>
      </c>
      <c r="BE86" t="s">
        <v>437</v>
      </c>
      <c r="BF86">
        <v>0</v>
      </c>
      <c r="BG86">
        <v>0</v>
      </c>
      <c r="BH86">
        <f>1-BF86/BG86</f>
        <v>0</v>
      </c>
      <c r="BI86">
        <v>0.5</v>
      </c>
      <c r="BJ86">
        <f>DI86</f>
        <v>0</v>
      </c>
      <c r="BK86">
        <f>L86</f>
        <v>0</v>
      </c>
      <c r="BL86">
        <f>BH86*BI86*BJ86</f>
        <v>0</v>
      </c>
      <c r="BM86">
        <f>(BK86-BC86)/BJ86</f>
        <v>0</v>
      </c>
      <c r="BN86">
        <f>(BA86-BG86)/BG86</f>
        <v>0</v>
      </c>
      <c r="BO86">
        <f>AZ86/(BB86+AZ86/BG86)</f>
        <v>0</v>
      </c>
      <c r="BP86" t="s">
        <v>437</v>
      </c>
      <c r="BQ86">
        <v>0</v>
      </c>
      <c r="BR86">
        <f>IF(BQ86&lt;&gt;0, BQ86, BO86)</f>
        <v>0</v>
      </c>
      <c r="BS86">
        <f>1-BR86/BG86</f>
        <v>0</v>
      </c>
      <c r="BT86">
        <f>(BG86-BF86)/(BG86-BR86)</f>
        <v>0</v>
      </c>
      <c r="BU86">
        <f>(BA86-BG86)/(BA86-BR86)</f>
        <v>0</v>
      </c>
      <c r="BV86">
        <f>(BG86-BF86)/(BG86-AZ86)</f>
        <v>0</v>
      </c>
      <c r="BW86">
        <f>(BA86-BG86)/(BA86-AZ86)</f>
        <v>0</v>
      </c>
      <c r="BX86">
        <f>(BT86*BR86/BF86)</f>
        <v>0</v>
      </c>
      <c r="BY86">
        <f>(1-BX86)</f>
        <v>0</v>
      </c>
      <c r="DH86">
        <f>$B$11*EG86+$C$11*EH86+$F$11*ES86*(1-EV86)</f>
        <v>0</v>
      </c>
      <c r="DI86">
        <f>DH86*DJ86</f>
        <v>0</v>
      </c>
      <c r="DJ86">
        <f>($B$11*$D$9+$C$11*$D$9+$F$11*((FF86+EX86)/MAX(FF86+EX86+FG86, 0.1)*$I$9+FG86/MAX(FF86+EX86+FG86, 0.1)*$J$9))/($B$11+$C$11+$F$11)</f>
        <v>0</v>
      </c>
      <c r="DK86">
        <f>($B$11*$K$9+$C$11*$K$9+$F$11*((FF86+EX86)/MAX(FF86+EX86+FG86, 0.1)*$P$9+FG86/MAX(FF86+EX86+FG86, 0.1)*$Q$9))/($B$11+$C$11+$F$11)</f>
        <v>0</v>
      </c>
      <c r="DL86">
        <v>6</v>
      </c>
      <c r="DM86">
        <v>0.5</v>
      </c>
      <c r="DN86" t="s">
        <v>438</v>
      </c>
      <c r="DO86">
        <v>2</v>
      </c>
      <c r="DP86" t="b">
        <v>1</v>
      </c>
      <c r="DQ86">
        <v>1765310448.5</v>
      </c>
      <c r="DR86">
        <v>50.31810625</v>
      </c>
      <c r="DS86">
        <v>50.01206875</v>
      </c>
      <c r="DT86">
        <v>18.1927</v>
      </c>
      <c r="DU86">
        <v>18.0350875</v>
      </c>
      <c r="DV86">
        <v>44.56510625</v>
      </c>
      <c r="DW86">
        <v>18.0567</v>
      </c>
      <c r="DX86">
        <v>500.010875</v>
      </c>
      <c r="DY86">
        <v>89.6797625</v>
      </c>
      <c r="DZ86">
        <v>0.0999962</v>
      </c>
      <c r="EA86">
        <v>25.41420625</v>
      </c>
      <c r="EB86">
        <v>25.0058</v>
      </c>
      <c r="EC86">
        <v>999.9</v>
      </c>
      <c r="ED86">
        <v>0</v>
      </c>
      <c r="EE86">
        <v>0</v>
      </c>
      <c r="EF86">
        <v>9999.37375</v>
      </c>
      <c r="EG86">
        <v>0</v>
      </c>
      <c r="EH86">
        <v>13.354</v>
      </c>
      <c r="EI86">
        <v>0.089194525</v>
      </c>
      <c r="EJ86">
        <v>51.02996875</v>
      </c>
      <c r="EK86">
        <v>50.93060625</v>
      </c>
      <c r="EL86">
        <v>0.1642429375</v>
      </c>
      <c r="EM86">
        <v>50.01206875</v>
      </c>
      <c r="EN86">
        <v>18.0350875</v>
      </c>
      <c r="EO86">
        <v>1.632110625</v>
      </c>
      <c r="EP86">
        <v>1.617381875</v>
      </c>
      <c r="EQ86">
        <v>14.2653625</v>
      </c>
      <c r="ER86">
        <v>14.1254</v>
      </c>
      <c r="ES86">
        <v>799.999125</v>
      </c>
      <c r="ET86">
        <v>0.950009625</v>
      </c>
      <c r="EU86">
        <v>0.049990775</v>
      </c>
      <c r="EV86">
        <v>0</v>
      </c>
      <c r="EW86">
        <v>943.2008125</v>
      </c>
      <c r="EX86">
        <v>5.00016</v>
      </c>
      <c r="EY86">
        <v>7266.508125</v>
      </c>
      <c r="EZ86">
        <v>7194.69125</v>
      </c>
      <c r="FA86">
        <v>40.062</v>
      </c>
      <c r="FB86">
        <v>42.902125</v>
      </c>
      <c r="FC86">
        <v>41.531</v>
      </c>
      <c r="FD86">
        <v>42.9881875</v>
      </c>
      <c r="FE86">
        <v>42.726375</v>
      </c>
      <c r="FF86">
        <v>755.256875</v>
      </c>
      <c r="FG86">
        <v>39.74</v>
      </c>
      <c r="FH86">
        <v>0</v>
      </c>
      <c r="FI86">
        <v>1765310457.7</v>
      </c>
      <c r="FJ86">
        <v>0</v>
      </c>
      <c r="FK86">
        <v>943.180423076923</v>
      </c>
      <c r="FL86">
        <v>-1.99046152893041</v>
      </c>
      <c r="FM86">
        <v>-7.50393166041382</v>
      </c>
      <c r="FN86">
        <v>7266.345</v>
      </c>
      <c r="FO86">
        <v>15</v>
      </c>
      <c r="FP86">
        <v>1765310478</v>
      </c>
      <c r="FQ86" t="s">
        <v>656</v>
      </c>
      <c r="FR86">
        <v>1765310478</v>
      </c>
      <c r="FS86">
        <v>1765310477</v>
      </c>
      <c r="FT86">
        <v>70</v>
      </c>
      <c r="FU86">
        <v>0.218</v>
      </c>
      <c r="FV86">
        <v>-0.003</v>
      </c>
      <c r="FW86">
        <v>5.753</v>
      </c>
      <c r="FX86">
        <v>0.136</v>
      </c>
      <c r="FY86">
        <v>50</v>
      </c>
      <c r="FZ86">
        <v>18</v>
      </c>
      <c r="GA86">
        <v>0.5</v>
      </c>
      <c r="GB86">
        <v>0.21</v>
      </c>
      <c r="GC86">
        <v>0.11341707</v>
      </c>
      <c r="GD86">
        <v>-0.335255557894737</v>
      </c>
      <c r="GE86">
        <v>0.0639892746261051</v>
      </c>
      <c r="GF86">
        <v>1</v>
      </c>
      <c r="GG86">
        <v>943.309029411765</v>
      </c>
      <c r="GH86">
        <v>-1.75622612320362</v>
      </c>
      <c r="GI86">
        <v>0.274099647540825</v>
      </c>
      <c r="GJ86">
        <v>-1</v>
      </c>
      <c r="GK86">
        <v>0.1627093</v>
      </c>
      <c r="GL86">
        <v>0.0541434586466166</v>
      </c>
      <c r="GM86">
        <v>0.00661205566446623</v>
      </c>
      <c r="GN86">
        <v>1</v>
      </c>
      <c r="GO86">
        <v>2</v>
      </c>
      <c r="GP86">
        <v>2</v>
      </c>
      <c r="GQ86" t="s">
        <v>440</v>
      </c>
      <c r="GR86">
        <v>3.12507</v>
      </c>
      <c r="GS86">
        <v>2.72544</v>
      </c>
      <c r="GT86">
        <v>0.0115492</v>
      </c>
      <c r="GU86">
        <v>0.0129699</v>
      </c>
      <c r="GV86">
        <v>0.0832106</v>
      </c>
      <c r="GW86">
        <v>0.0827821</v>
      </c>
      <c r="GX86">
        <v>25998.2</v>
      </c>
      <c r="GY86">
        <v>24134</v>
      </c>
      <c r="GZ86">
        <v>23514.8</v>
      </c>
      <c r="HA86">
        <v>23801</v>
      </c>
      <c r="HB86">
        <v>36706.5</v>
      </c>
      <c r="HC86">
        <v>36094.5</v>
      </c>
      <c r="HD86">
        <v>42357.2</v>
      </c>
      <c r="HE86">
        <v>42400.2</v>
      </c>
      <c r="HF86">
        <v>1.92988</v>
      </c>
      <c r="HG86">
        <v>1.84473</v>
      </c>
      <c r="HH86">
        <v>0.0781938</v>
      </c>
      <c r="HI86">
        <v>0</v>
      </c>
      <c r="HJ86">
        <v>23.733</v>
      </c>
      <c r="HK86">
        <v>999.9</v>
      </c>
      <c r="HL86">
        <v>48.077</v>
      </c>
      <c r="HM86">
        <v>28.661</v>
      </c>
      <c r="HN86">
        <v>21.1418</v>
      </c>
      <c r="HO86">
        <v>54.6566</v>
      </c>
      <c r="HP86">
        <v>46.0617</v>
      </c>
      <c r="HQ86">
        <v>1</v>
      </c>
      <c r="HR86">
        <v>-0.0748374</v>
      </c>
      <c r="HS86">
        <v>1.56745</v>
      </c>
      <c r="HT86">
        <v>20.2246</v>
      </c>
      <c r="HU86">
        <v>5.23436</v>
      </c>
      <c r="HV86">
        <v>11.992</v>
      </c>
      <c r="HW86">
        <v>4.95575</v>
      </c>
      <c r="HX86">
        <v>3.304</v>
      </c>
      <c r="HY86">
        <v>999.9</v>
      </c>
      <c r="HZ86">
        <v>9999</v>
      </c>
      <c r="IA86">
        <v>9999</v>
      </c>
      <c r="IB86">
        <v>9999</v>
      </c>
      <c r="IC86">
        <v>1.86865</v>
      </c>
      <c r="ID86">
        <v>1.86436</v>
      </c>
      <c r="IE86">
        <v>1.87195</v>
      </c>
      <c r="IF86">
        <v>1.86286</v>
      </c>
      <c r="IG86">
        <v>1.86231</v>
      </c>
      <c r="IH86">
        <v>1.86874</v>
      </c>
      <c r="II86">
        <v>1.85886</v>
      </c>
      <c r="IJ86">
        <v>1.86523</v>
      </c>
      <c r="IK86">
        <v>5</v>
      </c>
      <c r="IL86">
        <v>0</v>
      </c>
      <c r="IM86">
        <v>0</v>
      </c>
      <c r="IN86">
        <v>0</v>
      </c>
      <c r="IO86" t="s">
        <v>441</v>
      </c>
      <c r="IP86" t="s">
        <v>442</v>
      </c>
      <c r="IQ86" t="s">
        <v>443</v>
      </c>
      <c r="IR86" t="s">
        <v>443</v>
      </c>
      <c r="IS86" t="s">
        <v>443</v>
      </c>
      <c r="IT86" t="s">
        <v>443</v>
      </c>
      <c r="IU86">
        <v>0</v>
      </c>
      <c r="IV86">
        <v>100</v>
      </c>
      <c r="IW86">
        <v>100</v>
      </c>
      <c r="IX86">
        <v>5.753</v>
      </c>
      <c r="IY86">
        <v>0.136</v>
      </c>
      <c r="IZ86">
        <v>5.26309690242956</v>
      </c>
      <c r="JA86">
        <v>0.0062698613543794</v>
      </c>
      <c r="JB86">
        <v>-3.23243345529816e-06</v>
      </c>
      <c r="JC86">
        <v>8.00506428382295e-10</v>
      </c>
      <c r="JD86">
        <v>-0.0221537381442469</v>
      </c>
      <c r="JE86">
        <v>-0.0018464610107002</v>
      </c>
      <c r="JF86">
        <v>0.000796540623429801</v>
      </c>
      <c r="JG86">
        <v>-1.04619914107352e-05</v>
      </c>
      <c r="JH86">
        <v>-0</v>
      </c>
      <c r="JI86">
        <v>2101</v>
      </c>
      <c r="JJ86">
        <v>1</v>
      </c>
      <c r="JK86">
        <v>23</v>
      </c>
      <c r="JL86">
        <v>1.2</v>
      </c>
      <c r="JM86">
        <v>1.2</v>
      </c>
      <c r="JN86">
        <v>0.266113</v>
      </c>
      <c r="JO86">
        <v>2.43042</v>
      </c>
      <c r="JP86">
        <v>1.49902</v>
      </c>
      <c r="JQ86">
        <v>2.33887</v>
      </c>
      <c r="JR86">
        <v>1.54419</v>
      </c>
      <c r="JS86">
        <v>2.30835</v>
      </c>
      <c r="JT86">
        <v>34.7837</v>
      </c>
      <c r="JU86">
        <v>24.3414</v>
      </c>
      <c r="JV86">
        <v>18</v>
      </c>
      <c r="JW86">
        <v>547.664</v>
      </c>
      <c r="JX86">
        <v>436.191</v>
      </c>
      <c r="JY86">
        <v>21.8329</v>
      </c>
      <c r="JZ86">
        <v>26.4377</v>
      </c>
      <c r="KA86">
        <v>30.0008</v>
      </c>
      <c r="KB86">
        <v>26.2633</v>
      </c>
      <c r="KC86">
        <v>26.2743</v>
      </c>
      <c r="KD86">
        <v>5.34746</v>
      </c>
      <c r="KE86">
        <v>26.4969</v>
      </c>
      <c r="KF86">
        <v>100</v>
      </c>
      <c r="KG86">
        <v>21.825</v>
      </c>
      <c r="KH86">
        <v>50</v>
      </c>
      <c r="KI86">
        <v>17.9652</v>
      </c>
      <c r="KJ86">
        <v>94.9623</v>
      </c>
      <c r="KK86">
        <v>98.8532</v>
      </c>
    </row>
    <row r="87" spans="1:297">
      <c r="A87">
        <v>71</v>
      </c>
      <c r="B87">
        <v>1765310561</v>
      </c>
      <c r="C87">
        <v>12612</v>
      </c>
      <c r="D87" t="s">
        <v>657</v>
      </c>
      <c r="E87" t="s">
        <v>658</v>
      </c>
      <c r="F87">
        <v>5</v>
      </c>
      <c r="G87" t="s">
        <v>643</v>
      </c>
      <c r="H87" t="s">
        <v>436</v>
      </c>
      <c r="I87">
        <v>1765310552.5</v>
      </c>
      <c r="J87">
        <f>(K87)/1000</f>
        <v>0</v>
      </c>
      <c r="K87">
        <f>IF(DP87, AN87, AH87)</f>
        <v>0</v>
      </c>
      <c r="L87">
        <f>IF(DP87, AI87, AG87)</f>
        <v>0</v>
      </c>
      <c r="M87">
        <f>DR87 - IF(AU87&gt;1, L87*DL87*100.0/(AW87), 0)</f>
        <v>0</v>
      </c>
      <c r="N87">
        <f>((T87-J87/2)*M87-L87)/(T87+J87/2)</f>
        <v>0</v>
      </c>
      <c r="O87">
        <f>N87*(DY87+DZ87)/1000.0</f>
        <v>0</v>
      </c>
      <c r="P87">
        <f>(DR87 - IF(AU87&gt;1, L87*DL87*100.0/(AW87), 0))*(DY87+DZ87)/1000.0</f>
        <v>0</v>
      </c>
      <c r="Q87">
        <f>2.0/((1/S87-1/R87)+SIGN(S87)*SQRT((1/S87-1/R87)*(1/S87-1/R87) + 4*DM87/((DM87+1)*(DM87+1))*(2*1/S87*1/R87-1/R87*1/R87)))</f>
        <v>0</v>
      </c>
      <c r="R87">
        <f>IF(LEFT(DN87,1)&lt;&gt;"0",IF(LEFT(DN87,1)="1",3.0,DO87),$D$5+$E$5*(EF87*DY87/($K$5*1000))+$F$5*(EF87*DY87/($K$5*1000))*MAX(MIN(DL87,$J$5),$I$5)*MAX(MIN(DL87,$J$5),$I$5)+$G$5*MAX(MIN(DL87,$J$5),$I$5)*(EF87*DY87/($K$5*1000))+$H$5*(EF87*DY87/($K$5*1000))*(EF87*DY87/($K$5*1000)))</f>
        <v>0</v>
      </c>
      <c r="S87">
        <f>J87*(1000-(1000*0.61365*exp(17.502*W87/(240.97+W87))/(DY87+DZ87)+DT87)/2)/(1000*0.61365*exp(17.502*W87/(240.97+W87))/(DY87+DZ87)-DT87)</f>
        <v>0</v>
      </c>
      <c r="T87">
        <f>1/((DM87+1)/(Q87/1.6)+1/(R87/1.37)) + DM87/((DM87+1)/(Q87/1.6) + DM87/(R87/1.37))</f>
        <v>0</v>
      </c>
      <c r="U87">
        <f>(DH87*DK87)</f>
        <v>0</v>
      </c>
      <c r="V87">
        <f>(EA87+(U87+2*0.95*5.67E-8*(((EA87+$B$7)+273)^4-(EA87+273)^4)-44100*J87)/(1.84*29.3*R87+8*0.95*5.67E-8*(EA87+273)^3))</f>
        <v>0</v>
      </c>
      <c r="W87">
        <f>($C$7*EB87+$D$7*EC87+$E$7*V87)</f>
        <v>0</v>
      </c>
      <c r="X87">
        <f>0.61365*exp(17.502*W87/(240.97+W87))</f>
        <v>0</v>
      </c>
      <c r="Y87">
        <f>(Z87/AA87*100)</f>
        <v>0</v>
      </c>
      <c r="Z87">
        <f>DT87*(DY87+DZ87)/1000</f>
        <v>0</v>
      </c>
      <c r="AA87">
        <f>0.61365*exp(17.502*EA87/(240.97+EA87))</f>
        <v>0</v>
      </c>
      <c r="AB87">
        <f>(X87-DT87*(DY87+DZ87)/1000)</f>
        <v>0</v>
      </c>
      <c r="AC87">
        <f>(-J87*44100)</f>
        <v>0</v>
      </c>
      <c r="AD87">
        <f>2*29.3*R87*0.92*(EA87-W87)</f>
        <v>0</v>
      </c>
      <c r="AE87">
        <f>2*0.95*5.67E-8*(((EA87+$B$7)+273)^4-(W87+273)^4)</f>
        <v>0</v>
      </c>
      <c r="AF87">
        <f>U87+AE87+AC87+AD87</f>
        <v>0</v>
      </c>
      <c r="AG87">
        <f>DX87*AU87*(DS87-DR87*(1000-AU87*DU87)/(1000-AU87*DT87))/(100*DL87)</f>
        <v>0</v>
      </c>
      <c r="AH87">
        <f>1000*DX87*AU87*(DT87-DU87)/(100*DL87*(1000-AU87*DT87))</f>
        <v>0</v>
      </c>
      <c r="AI87">
        <f>(AJ87 - AK87 - DY87*1E3/(8.314*(EA87+273.15)) * AM87/DX87 * AL87) * DX87/(100*DL87) * (1000 - DU87)/1000</f>
        <v>0</v>
      </c>
      <c r="AJ87">
        <v>407.365448277822</v>
      </c>
      <c r="AK87">
        <v>406.43266060606</v>
      </c>
      <c r="AL87">
        <v>-0.0237388543749402</v>
      </c>
      <c r="AM87">
        <v>63.4433763253066</v>
      </c>
      <c r="AN87">
        <f>(AP87 - AO87 + DY87*1E3/(8.314*(EA87+273.15)) * AR87/DX87 * AQ87) * DX87/(100*DL87) * 1000/(1000 - AP87)</f>
        <v>0</v>
      </c>
      <c r="AO87">
        <v>18.0207142319306</v>
      </c>
      <c r="AP87">
        <v>18.1723187878788</v>
      </c>
      <c r="AQ87">
        <v>-1.43006968425646e-05</v>
      </c>
      <c r="AR87">
        <v>107.248239151709</v>
      </c>
      <c r="AS87">
        <v>0</v>
      </c>
      <c r="AT87">
        <v>0</v>
      </c>
      <c r="AU87">
        <f>IF(AS87*$H$13&gt;=AW87,1.0,(AW87/(AW87-AS87*$H$13)))</f>
        <v>0</v>
      </c>
      <c r="AV87">
        <f>(AU87-1)*100</f>
        <v>0</v>
      </c>
      <c r="AW87">
        <f>MAX(0,($B$13+$C$13*EF87)/(1+$D$13*EF87)*DY87/(EA87+273)*$E$13)</f>
        <v>0</v>
      </c>
      <c r="AX87" t="s">
        <v>437</v>
      </c>
      <c r="AY87" t="s">
        <v>437</v>
      </c>
      <c r="AZ87">
        <v>0</v>
      </c>
      <c r="BA87">
        <v>0</v>
      </c>
      <c r="BB87">
        <f>1-AZ87/BA87</f>
        <v>0</v>
      </c>
      <c r="BC87">
        <v>0</v>
      </c>
      <c r="BD87" t="s">
        <v>437</v>
      </c>
      <c r="BE87" t="s">
        <v>437</v>
      </c>
      <c r="BF87">
        <v>0</v>
      </c>
      <c r="BG87">
        <v>0</v>
      </c>
      <c r="BH87">
        <f>1-BF87/BG87</f>
        <v>0</v>
      </c>
      <c r="BI87">
        <v>0.5</v>
      </c>
      <c r="BJ87">
        <f>DI87</f>
        <v>0</v>
      </c>
      <c r="BK87">
        <f>L87</f>
        <v>0</v>
      </c>
      <c r="BL87">
        <f>BH87*BI87*BJ87</f>
        <v>0</v>
      </c>
      <c r="BM87">
        <f>(BK87-BC87)/BJ87</f>
        <v>0</v>
      </c>
      <c r="BN87">
        <f>(BA87-BG87)/BG87</f>
        <v>0</v>
      </c>
      <c r="BO87">
        <f>AZ87/(BB87+AZ87/BG87)</f>
        <v>0</v>
      </c>
      <c r="BP87" t="s">
        <v>437</v>
      </c>
      <c r="BQ87">
        <v>0</v>
      </c>
      <c r="BR87">
        <f>IF(BQ87&lt;&gt;0, BQ87, BO87)</f>
        <v>0</v>
      </c>
      <c r="BS87">
        <f>1-BR87/BG87</f>
        <v>0</v>
      </c>
      <c r="BT87">
        <f>(BG87-BF87)/(BG87-BR87)</f>
        <v>0</v>
      </c>
      <c r="BU87">
        <f>(BA87-BG87)/(BA87-BR87)</f>
        <v>0</v>
      </c>
      <c r="BV87">
        <f>(BG87-BF87)/(BG87-AZ87)</f>
        <v>0</v>
      </c>
      <c r="BW87">
        <f>(BA87-BG87)/(BA87-AZ87)</f>
        <v>0</v>
      </c>
      <c r="BX87">
        <f>(BT87*BR87/BF87)</f>
        <v>0</v>
      </c>
      <c r="BY87">
        <f>(1-BX87)</f>
        <v>0</v>
      </c>
      <c r="DH87">
        <f>$B$11*EG87+$C$11*EH87+$F$11*ES87*(1-EV87)</f>
        <v>0</v>
      </c>
      <c r="DI87">
        <f>DH87*DJ87</f>
        <v>0</v>
      </c>
      <c r="DJ87">
        <f>($B$11*$D$9+$C$11*$D$9+$F$11*((FF87+EX87)/MAX(FF87+EX87+FG87, 0.1)*$I$9+FG87/MAX(FF87+EX87+FG87, 0.1)*$J$9))/($B$11+$C$11+$F$11)</f>
        <v>0</v>
      </c>
      <c r="DK87">
        <f>($B$11*$K$9+$C$11*$K$9+$F$11*((FF87+EX87)/MAX(FF87+EX87+FG87, 0.1)*$P$9+FG87/MAX(FF87+EX87+FG87, 0.1)*$Q$9))/($B$11+$C$11+$F$11)</f>
        <v>0</v>
      </c>
      <c r="DL87">
        <v>6</v>
      </c>
      <c r="DM87">
        <v>0.5</v>
      </c>
      <c r="DN87" t="s">
        <v>438</v>
      </c>
      <c r="DO87">
        <v>2</v>
      </c>
      <c r="DP87" t="b">
        <v>1</v>
      </c>
      <c r="DQ87">
        <v>1765310552.5</v>
      </c>
      <c r="DR87">
        <v>399.419</v>
      </c>
      <c r="DS87">
        <v>400.0210625</v>
      </c>
      <c r="DT87">
        <v>18.17879375</v>
      </c>
      <c r="DU87">
        <v>18.01983125</v>
      </c>
      <c r="DV87">
        <v>391.607</v>
      </c>
      <c r="DW87">
        <v>18.03479375</v>
      </c>
      <c r="DX87">
        <v>500.0235</v>
      </c>
      <c r="DY87">
        <v>89.66951875</v>
      </c>
      <c r="DZ87">
        <v>0.1000188125</v>
      </c>
      <c r="EA87">
        <v>25.413475</v>
      </c>
      <c r="EB87">
        <v>25.0132625</v>
      </c>
      <c r="EC87">
        <v>999.9</v>
      </c>
      <c r="ED87">
        <v>0</v>
      </c>
      <c r="EE87">
        <v>0</v>
      </c>
      <c r="EF87">
        <v>9988.405</v>
      </c>
      <c r="EG87">
        <v>0</v>
      </c>
      <c r="EH87">
        <v>13.3331625</v>
      </c>
      <c r="EI87">
        <v>-0.9251443125</v>
      </c>
      <c r="EJ87">
        <v>406.48325</v>
      </c>
      <c r="EK87">
        <v>407.3616875</v>
      </c>
      <c r="EL87">
        <v>0.1539296875</v>
      </c>
      <c r="EM87">
        <v>400.0210625</v>
      </c>
      <c r="EN87">
        <v>18.01983125</v>
      </c>
      <c r="EO87">
        <v>1.629634375</v>
      </c>
      <c r="EP87">
        <v>1.615829375</v>
      </c>
      <c r="EQ87">
        <v>14.2418875</v>
      </c>
      <c r="ER87">
        <v>14.11060625</v>
      </c>
      <c r="ES87">
        <v>800.0045</v>
      </c>
      <c r="ET87">
        <v>0.950012</v>
      </c>
      <c r="EU87">
        <v>0.0499885</v>
      </c>
      <c r="EV87">
        <v>0</v>
      </c>
      <c r="EW87">
        <v>938.99775</v>
      </c>
      <c r="EX87">
        <v>5.00016</v>
      </c>
      <c r="EY87">
        <v>7237.63</v>
      </c>
      <c r="EZ87">
        <v>7194.74625</v>
      </c>
      <c r="FA87">
        <v>40.1909375</v>
      </c>
      <c r="FB87">
        <v>43.062</v>
      </c>
      <c r="FC87">
        <v>41.656</v>
      </c>
      <c r="FD87">
        <v>43.1210625</v>
      </c>
      <c r="FE87">
        <v>42.8631875</v>
      </c>
      <c r="FF87">
        <v>755.2625</v>
      </c>
      <c r="FG87">
        <v>39.74</v>
      </c>
      <c r="FH87">
        <v>0</v>
      </c>
      <c r="FI87">
        <v>1765310561.5</v>
      </c>
      <c r="FJ87">
        <v>0</v>
      </c>
      <c r="FK87">
        <v>938.9814</v>
      </c>
      <c r="FL87">
        <v>-1.44976922995289</v>
      </c>
      <c r="FM87">
        <v>-13.5723076661792</v>
      </c>
      <c r="FN87">
        <v>7237.3616</v>
      </c>
      <c r="FO87">
        <v>15</v>
      </c>
      <c r="FP87">
        <v>1765310585</v>
      </c>
      <c r="FQ87" t="s">
        <v>659</v>
      </c>
      <c r="FR87">
        <v>1765310585</v>
      </c>
      <c r="FS87">
        <v>1765310579</v>
      </c>
      <c r="FT87">
        <v>71</v>
      </c>
      <c r="FU87">
        <v>0.32</v>
      </c>
      <c r="FV87">
        <v>0.008</v>
      </c>
      <c r="FW87">
        <v>7.812</v>
      </c>
      <c r="FX87">
        <v>0.144</v>
      </c>
      <c r="FY87">
        <v>400</v>
      </c>
      <c r="FZ87">
        <v>18</v>
      </c>
      <c r="GA87">
        <v>0.44</v>
      </c>
      <c r="GB87">
        <v>0.19</v>
      </c>
      <c r="GC87">
        <v>-0.94416865</v>
      </c>
      <c r="GD87">
        <v>0.447173639097746</v>
      </c>
      <c r="GE87">
        <v>0.0539605753233553</v>
      </c>
      <c r="GF87">
        <v>1</v>
      </c>
      <c r="GG87">
        <v>939.145941176471</v>
      </c>
      <c r="GH87">
        <v>-1.79275783554055</v>
      </c>
      <c r="GI87">
        <v>0.242608852607067</v>
      </c>
      <c r="GJ87">
        <v>-1</v>
      </c>
      <c r="GK87">
        <v>0.15458355</v>
      </c>
      <c r="GL87">
        <v>-0.0148605563909772</v>
      </c>
      <c r="GM87">
        <v>0.00155793704863194</v>
      </c>
      <c r="GN87">
        <v>1</v>
      </c>
      <c r="GO87">
        <v>2</v>
      </c>
      <c r="GP87">
        <v>2</v>
      </c>
      <c r="GQ87" t="s">
        <v>440</v>
      </c>
      <c r="GR87">
        <v>3.1248</v>
      </c>
      <c r="GS87">
        <v>2.72573</v>
      </c>
      <c r="GT87">
        <v>0.0847386</v>
      </c>
      <c r="GU87">
        <v>0.0861142</v>
      </c>
      <c r="GV87">
        <v>0.0831243</v>
      </c>
      <c r="GW87">
        <v>0.0827387</v>
      </c>
      <c r="GX87">
        <v>24059.7</v>
      </c>
      <c r="GY87">
        <v>22337.1</v>
      </c>
      <c r="GZ87">
        <v>23502.4</v>
      </c>
      <c r="HA87">
        <v>23792.8</v>
      </c>
      <c r="HB87">
        <v>36699.3</v>
      </c>
      <c r="HC87">
        <v>36090.3</v>
      </c>
      <c r="HD87">
        <v>42337.7</v>
      </c>
      <c r="HE87">
        <v>42386.8</v>
      </c>
      <c r="HF87">
        <v>1.92763</v>
      </c>
      <c r="HG87">
        <v>1.84298</v>
      </c>
      <c r="HH87">
        <v>0.0757165</v>
      </c>
      <c r="HI87">
        <v>0</v>
      </c>
      <c r="HJ87">
        <v>23.7704</v>
      </c>
      <c r="HK87">
        <v>999.9</v>
      </c>
      <c r="HL87">
        <v>48.102</v>
      </c>
      <c r="HM87">
        <v>28.661</v>
      </c>
      <c r="HN87">
        <v>21.1535</v>
      </c>
      <c r="HO87">
        <v>54.5766</v>
      </c>
      <c r="HP87">
        <v>45.9295</v>
      </c>
      <c r="HQ87">
        <v>1</v>
      </c>
      <c r="HR87">
        <v>-0.0585086</v>
      </c>
      <c r="HS87">
        <v>1.69289</v>
      </c>
      <c r="HT87">
        <v>20.2236</v>
      </c>
      <c r="HU87">
        <v>5.23466</v>
      </c>
      <c r="HV87">
        <v>11.992</v>
      </c>
      <c r="HW87">
        <v>4.9563</v>
      </c>
      <c r="HX87">
        <v>3.304</v>
      </c>
      <c r="HY87">
        <v>999.9</v>
      </c>
      <c r="HZ87">
        <v>9999</v>
      </c>
      <c r="IA87">
        <v>9999</v>
      </c>
      <c r="IB87">
        <v>9999</v>
      </c>
      <c r="IC87">
        <v>1.86867</v>
      </c>
      <c r="ID87">
        <v>1.86437</v>
      </c>
      <c r="IE87">
        <v>1.87195</v>
      </c>
      <c r="IF87">
        <v>1.86289</v>
      </c>
      <c r="IG87">
        <v>1.86231</v>
      </c>
      <c r="IH87">
        <v>1.86872</v>
      </c>
      <c r="II87">
        <v>1.85893</v>
      </c>
      <c r="IJ87">
        <v>1.86523</v>
      </c>
      <c r="IK87">
        <v>5</v>
      </c>
      <c r="IL87">
        <v>0</v>
      </c>
      <c r="IM87">
        <v>0</v>
      </c>
      <c r="IN87">
        <v>0</v>
      </c>
      <c r="IO87" t="s">
        <v>441</v>
      </c>
      <c r="IP87" t="s">
        <v>442</v>
      </c>
      <c r="IQ87" t="s">
        <v>443</v>
      </c>
      <c r="IR87" t="s">
        <v>443</v>
      </c>
      <c r="IS87" t="s">
        <v>443</v>
      </c>
      <c r="IT87" t="s">
        <v>443</v>
      </c>
      <c r="IU87">
        <v>0</v>
      </c>
      <c r="IV87">
        <v>100</v>
      </c>
      <c r="IW87">
        <v>100</v>
      </c>
      <c r="IX87">
        <v>7.812</v>
      </c>
      <c r="IY87">
        <v>0.144</v>
      </c>
      <c r="IZ87">
        <v>5.48134485945609</v>
      </c>
      <c r="JA87">
        <v>0.0062698613543794</v>
      </c>
      <c r="JB87">
        <v>-3.23243345529816e-06</v>
      </c>
      <c r="JC87">
        <v>8.00506428382295e-10</v>
      </c>
      <c r="JD87">
        <v>-0.0254237767634126</v>
      </c>
      <c r="JE87">
        <v>-0.0018464610107002</v>
      </c>
      <c r="JF87">
        <v>0.000796540623429801</v>
      </c>
      <c r="JG87">
        <v>-1.04619914107352e-05</v>
      </c>
      <c r="JH87">
        <v>-0</v>
      </c>
      <c r="JI87">
        <v>2101</v>
      </c>
      <c r="JJ87">
        <v>1</v>
      </c>
      <c r="JK87">
        <v>23</v>
      </c>
      <c r="JL87">
        <v>1.4</v>
      </c>
      <c r="JM87">
        <v>1.4</v>
      </c>
      <c r="JN87">
        <v>1.01074</v>
      </c>
      <c r="JO87">
        <v>2.3938</v>
      </c>
      <c r="JP87">
        <v>1.49902</v>
      </c>
      <c r="JQ87">
        <v>2.33887</v>
      </c>
      <c r="JR87">
        <v>1.54419</v>
      </c>
      <c r="JS87">
        <v>2.28149</v>
      </c>
      <c r="JT87">
        <v>34.8296</v>
      </c>
      <c r="JU87">
        <v>24.3327</v>
      </c>
      <c r="JV87">
        <v>18</v>
      </c>
      <c r="JW87">
        <v>547.729</v>
      </c>
      <c r="JX87">
        <v>436.484</v>
      </c>
      <c r="JY87">
        <v>21.746</v>
      </c>
      <c r="JZ87">
        <v>26.6285</v>
      </c>
      <c r="KA87">
        <v>30.0008</v>
      </c>
      <c r="KB87">
        <v>26.435</v>
      </c>
      <c r="KC87">
        <v>26.4448</v>
      </c>
      <c r="KD87">
        <v>20.2792</v>
      </c>
      <c r="KE87">
        <v>26.7707</v>
      </c>
      <c r="KF87">
        <v>100</v>
      </c>
      <c r="KG87">
        <v>21.7309</v>
      </c>
      <c r="KH87">
        <v>400</v>
      </c>
      <c r="KI87">
        <v>17.9682</v>
      </c>
      <c r="KJ87">
        <v>94.9163</v>
      </c>
      <c r="KK87">
        <v>98.8209</v>
      </c>
    </row>
    <row r="88" spans="1:297">
      <c r="A88">
        <v>72</v>
      </c>
      <c r="B88">
        <v>1765310647</v>
      </c>
      <c r="C88">
        <v>12698</v>
      </c>
      <c r="D88" t="s">
        <v>660</v>
      </c>
      <c r="E88" t="s">
        <v>661</v>
      </c>
      <c r="F88">
        <v>5</v>
      </c>
      <c r="G88" t="s">
        <v>643</v>
      </c>
      <c r="H88" t="s">
        <v>436</v>
      </c>
      <c r="I88">
        <v>1765310639</v>
      </c>
      <c r="J88">
        <f>(K88)/1000</f>
        <v>0</v>
      </c>
      <c r="K88">
        <f>IF(DP88, AN88, AH88)</f>
        <v>0</v>
      </c>
      <c r="L88">
        <f>IF(DP88, AI88, AG88)</f>
        <v>0</v>
      </c>
      <c r="M88">
        <f>DR88 - IF(AU88&gt;1, L88*DL88*100.0/(AW88), 0)</f>
        <v>0</v>
      </c>
      <c r="N88">
        <f>((T88-J88/2)*M88-L88)/(T88+J88/2)</f>
        <v>0</v>
      </c>
      <c r="O88">
        <f>N88*(DY88+DZ88)/1000.0</f>
        <v>0</v>
      </c>
      <c r="P88">
        <f>(DR88 - IF(AU88&gt;1, L88*DL88*100.0/(AW88), 0))*(DY88+DZ88)/1000.0</f>
        <v>0</v>
      </c>
      <c r="Q88">
        <f>2.0/((1/S88-1/R88)+SIGN(S88)*SQRT((1/S88-1/R88)*(1/S88-1/R88) + 4*DM88/((DM88+1)*(DM88+1))*(2*1/S88*1/R88-1/R88*1/R88)))</f>
        <v>0</v>
      </c>
      <c r="R88">
        <f>IF(LEFT(DN88,1)&lt;&gt;"0",IF(LEFT(DN88,1)="1",3.0,DO88),$D$5+$E$5*(EF88*DY88/($K$5*1000))+$F$5*(EF88*DY88/($K$5*1000))*MAX(MIN(DL88,$J$5),$I$5)*MAX(MIN(DL88,$J$5),$I$5)+$G$5*MAX(MIN(DL88,$J$5),$I$5)*(EF88*DY88/($K$5*1000))+$H$5*(EF88*DY88/($K$5*1000))*(EF88*DY88/($K$5*1000)))</f>
        <v>0</v>
      </c>
      <c r="S88">
        <f>J88*(1000-(1000*0.61365*exp(17.502*W88/(240.97+W88))/(DY88+DZ88)+DT88)/2)/(1000*0.61365*exp(17.502*W88/(240.97+W88))/(DY88+DZ88)-DT88)</f>
        <v>0</v>
      </c>
      <c r="T88">
        <f>1/((DM88+1)/(Q88/1.6)+1/(R88/1.37)) + DM88/((DM88+1)/(Q88/1.6) + DM88/(R88/1.37))</f>
        <v>0</v>
      </c>
      <c r="U88">
        <f>(DH88*DK88)</f>
        <v>0</v>
      </c>
      <c r="V88">
        <f>(EA88+(U88+2*0.95*5.67E-8*(((EA88+$B$7)+273)^4-(EA88+273)^4)-44100*J88)/(1.84*29.3*R88+8*0.95*5.67E-8*(EA88+273)^3))</f>
        <v>0</v>
      </c>
      <c r="W88">
        <f>($C$7*EB88+$D$7*EC88+$E$7*V88)</f>
        <v>0</v>
      </c>
      <c r="X88">
        <f>0.61365*exp(17.502*W88/(240.97+W88))</f>
        <v>0</v>
      </c>
      <c r="Y88">
        <f>(Z88/AA88*100)</f>
        <v>0</v>
      </c>
      <c r="Z88">
        <f>DT88*(DY88+DZ88)/1000</f>
        <v>0</v>
      </c>
      <c r="AA88">
        <f>0.61365*exp(17.502*EA88/(240.97+EA88))</f>
        <v>0</v>
      </c>
      <c r="AB88">
        <f>(X88-DT88*(DY88+DZ88)/1000)</f>
        <v>0</v>
      </c>
      <c r="AC88">
        <f>(-J88*44100)</f>
        <v>0</v>
      </c>
      <c r="AD88">
        <f>2*29.3*R88*0.92*(EA88-W88)</f>
        <v>0</v>
      </c>
      <c r="AE88">
        <f>2*0.95*5.67E-8*(((EA88+$B$7)+273)^4-(W88+273)^4)</f>
        <v>0</v>
      </c>
      <c r="AF88">
        <f>U88+AE88+AC88+AD88</f>
        <v>0</v>
      </c>
      <c r="AG88">
        <f>DX88*AU88*(DS88-DR88*(1000-AU88*DU88)/(1000-AU88*DT88))/(100*DL88)</f>
        <v>0</v>
      </c>
      <c r="AH88">
        <f>1000*DX88*AU88*(DT88-DU88)/(100*DL88*(1000-AU88*DT88))</f>
        <v>0</v>
      </c>
      <c r="AI88">
        <f>(AJ88 - AK88 - DY88*1E3/(8.314*(EA88+273.15)) * AM88/DX88 * AL88) * DX88/(100*DL88) * (1000 - DU88)/1000</f>
        <v>0</v>
      </c>
      <c r="AJ88">
        <v>407.352902464376</v>
      </c>
      <c r="AK88">
        <v>406.931824242424</v>
      </c>
      <c r="AL88">
        <v>0.00754797406841593</v>
      </c>
      <c r="AM88">
        <v>63.3231215840209</v>
      </c>
      <c r="AN88">
        <f>(AP88 - AO88 + DY88*1E3/(8.314*(EA88+273.15)) * AR88/DX88 * AQ88) * DX88/(100*DL88) * 1000/(1000 - AP88)</f>
        <v>0</v>
      </c>
      <c r="AO88">
        <v>18.0069790530561</v>
      </c>
      <c r="AP88">
        <v>18.1662236363636</v>
      </c>
      <c r="AQ88">
        <v>-1.49328784681041e-06</v>
      </c>
      <c r="AR88">
        <v>107.982925818183</v>
      </c>
      <c r="AS88">
        <v>0</v>
      </c>
      <c r="AT88">
        <v>0</v>
      </c>
      <c r="AU88">
        <f>IF(AS88*$H$13&gt;=AW88,1.0,(AW88/(AW88-AS88*$H$13)))</f>
        <v>0</v>
      </c>
      <c r="AV88">
        <f>(AU88-1)*100</f>
        <v>0</v>
      </c>
      <c r="AW88">
        <f>MAX(0,($B$13+$C$13*EF88)/(1+$D$13*EF88)*DY88/(EA88+273)*$E$13)</f>
        <v>0</v>
      </c>
      <c r="AX88" t="s">
        <v>437</v>
      </c>
      <c r="AY88" t="s">
        <v>437</v>
      </c>
      <c r="AZ88">
        <v>0</v>
      </c>
      <c r="BA88">
        <v>0</v>
      </c>
      <c r="BB88">
        <f>1-AZ88/BA88</f>
        <v>0</v>
      </c>
      <c r="BC88">
        <v>0</v>
      </c>
      <c r="BD88" t="s">
        <v>437</v>
      </c>
      <c r="BE88" t="s">
        <v>437</v>
      </c>
      <c r="BF88">
        <v>0</v>
      </c>
      <c r="BG88">
        <v>0</v>
      </c>
      <c r="BH88">
        <f>1-BF88/BG88</f>
        <v>0</v>
      </c>
      <c r="BI88">
        <v>0.5</v>
      </c>
      <c r="BJ88">
        <f>DI88</f>
        <v>0</v>
      </c>
      <c r="BK88">
        <f>L88</f>
        <v>0</v>
      </c>
      <c r="BL88">
        <f>BH88*BI88*BJ88</f>
        <v>0</v>
      </c>
      <c r="BM88">
        <f>(BK88-BC88)/BJ88</f>
        <v>0</v>
      </c>
      <c r="BN88">
        <f>(BA88-BG88)/BG88</f>
        <v>0</v>
      </c>
      <c r="BO88">
        <f>AZ88/(BB88+AZ88/BG88)</f>
        <v>0</v>
      </c>
      <c r="BP88" t="s">
        <v>437</v>
      </c>
      <c r="BQ88">
        <v>0</v>
      </c>
      <c r="BR88">
        <f>IF(BQ88&lt;&gt;0, BQ88, BO88)</f>
        <v>0</v>
      </c>
      <c r="BS88">
        <f>1-BR88/BG88</f>
        <v>0</v>
      </c>
      <c r="BT88">
        <f>(BG88-BF88)/(BG88-BR88)</f>
        <v>0</v>
      </c>
      <c r="BU88">
        <f>(BA88-BG88)/(BA88-BR88)</f>
        <v>0</v>
      </c>
      <c r="BV88">
        <f>(BG88-BF88)/(BG88-AZ88)</f>
        <v>0</v>
      </c>
      <c r="BW88">
        <f>(BA88-BG88)/(BA88-AZ88)</f>
        <v>0</v>
      </c>
      <c r="BX88">
        <f>(BT88*BR88/BF88)</f>
        <v>0</v>
      </c>
      <c r="BY88">
        <f>(1-BX88)</f>
        <v>0</v>
      </c>
      <c r="DH88">
        <f>$B$11*EG88+$C$11*EH88+$F$11*ES88*(1-EV88)</f>
        <v>0</v>
      </c>
      <c r="DI88">
        <f>DH88*DJ88</f>
        <v>0</v>
      </c>
      <c r="DJ88">
        <f>($B$11*$D$9+$C$11*$D$9+$F$11*((FF88+EX88)/MAX(FF88+EX88+FG88, 0.1)*$I$9+FG88/MAX(FF88+EX88+FG88, 0.1)*$J$9))/($B$11+$C$11+$F$11)</f>
        <v>0</v>
      </c>
      <c r="DK88">
        <f>($B$11*$K$9+$C$11*$K$9+$F$11*((FF88+EX88)/MAX(FF88+EX88+FG88, 0.1)*$P$9+FG88/MAX(FF88+EX88+FG88, 0.1)*$Q$9))/($B$11+$C$11+$F$11)</f>
        <v>0</v>
      </c>
      <c r="DL88">
        <v>6</v>
      </c>
      <c r="DM88">
        <v>0.5</v>
      </c>
      <c r="DN88" t="s">
        <v>438</v>
      </c>
      <c r="DO88">
        <v>2</v>
      </c>
      <c r="DP88" t="b">
        <v>1</v>
      </c>
      <c r="DQ88">
        <v>1765310639</v>
      </c>
      <c r="DR88">
        <v>399.431733333333</v>
      </c>
      <c r="DS88">
        <v>400.002733333333</v>
      </c>
      <c r="DT88">
        <v>18.1635266666667</v>
      </c>
      <c r="DU88">
        <v>18.0054133333333</v>
      </c>
      <c r="DV88">
        <v>391.641733333333</v>
      </c>
      <c r="DW88">
        <v>18.0205266666667</v>
      </c>
      <c r="DX88">
        <v>500.0216</v>
      </c>
      <c r="DY88">
        <v>89.6666666666667</v>
      </c>
      <c r="DZ88">
        <v>0.0999971866666667</v>
      </c>
      <c r="EA88">
        <v>25.4071</v>
      </c>
      <c r="EB88">
        <v>25.00602</v>
      </c>
      <c r="EC88">
        <v>999.9</v>
      </c>
      <c r="ED88">
        <v>0</v>
      </c>
      <c r="EE88">
        <v>0</v>
      </c>
      <c r="EF88">
        <v>9980.044</v>
      </c>
      <c r="EG88">
        <v>0</v>
      </c>
      <c r="EH88">
        <v>13.34558</v>
      </c>
      <c r="EI88">
        <v>-0.551800666666667</v>
      </c>
      <c r="EJ88">
        <v>406.842266666667</v>
      </c>
      <c r="EK88">
        <v>407.337066666667</v>
      </c>
      <c r="EL88">
        <v>0.161511333333333</v>
      </c>
      <c r="EM88">
        <v>400.002733333333</v>
      </c>
      <c r="EN88">
        <v>18.0054133333333</v>
      </c>
      <c r="EO88">
        <v>1.62896733333333</v>
      </c>
      <c r="EP88">
        <v>1.61448533333333</v>
      </c>
      <c r="EQ88">
        <v>14.2355866666667</v>
      </c>
      <c r="ER88">
        <v>14.0977533333333</v>
      </c>
      <c r="ES88">
        <v>799.9984</v>
      </c>
      <c r="ET88">
        <v>0.949995133333333</v>
      </c>
      <c r="EU88">
        <v>0.0500052466666667</v>
      </c>
      <c r="EV88">
        <v>0</v>
      </c>
      <c r="EW88">
        <v>936.4672</v>
      </c>
      <c r="EX88">
        <v>5.00016</v>
      </c>
      <c r="EY88">
        <v>7221.52333333333</v>
      </c>
      <c r="EZ88">
        <v>7194.64933333333</v>
      </c>
      <c r="FA88">
        <v>40.2954666666667</v>
      </c>
      <c r="FB88">
        <v>43.125</v>
      </c>
      <c r="FC88">
        <v>41.75</v>
      </c>
      <c r="FD88">
        <v>43.1954</v>
      </c>
      <c r="FE88">
        <v>42.937</v>
      </c>
      <c r="FF88">
        <v>755.244666666667</v>
      </c>
      <c r="FG88">
        <v>39.754</v>
      </c>
      <c r="FH88">
        <v>0</v>
      </c>
      <c r="FI88">
        <v>1765310647.3</v>
      </c>
      <c r="FJ88">
        <v>0</v>
      </c>
      <c r="FK88">
        <v>936.466346153846</v>
      </c>
      <c r="FL88">
        <v>-2.24386325127112</v>
      </c>
      <c r="FM88">
        <v>-9.48341880534304</v>
      </c>
      <c r="FN88">
        <v>7221.47269230769</v>
      </c>
      <c r="FO88">
        <v>15</v>
      </c>
      <c r="FP88">
        <v>1765310670</v>
      </c>
      <c r="FQ88" t="s">
        <v>662</v>
      </c>
      <c r="FR88">
        <v>1765310670</v>
      </c>
      <c r="FS88">
        <v>1765310665</v>
      </c>
      <c r="FT88">
        <v>72</v>
      </c>
      <c r="FU88">
        <v>-0.022</v>
      </c>
      <c r="FV88">
        <v>-0.001</v>
      </c>
      <c r="FW88">
        <v>7.79</v>
      </c>
      <c r="FX88">
        <v>0.143</v>
      </c>
      <c r="FY88">
        <v>400</v>
      </c>
      <c r="FZ88">
        <v>18</v>
      </c>
      <c r="GA88">
        <v>0.58</v>
      </c>
      <c r="GB88">
        <v>0.16</v>
      </c>
      <c r="GC88">
        <v>-0.525251285714286</v>
      </c>
      <c r="GD88">
        <v>-0.227135922077922</v>
      </c>
      <c r="GE88">
        <v>0.0612387131199296</v>
      </c>
      <c r="GF88">
        <v>1</v>
      </c>
      <c r="GG88">
        <v>936.584205882353</v>
      </c>
      <c r="GH88">
        <v>-2.13932773561321</v>
      </c>
      <c r="GI88">
        <v>0.289984257119542</v>
      </c>
      <c r="GJ88">
        <v>-1</v>
      </c>
      <c r="GK88">
        <v>0.161248761904762</v>
      </c>
      <c r="GL88">
        <v>-0.00496114285714302</v>
      </c>
      <c r="GM88">
        <v>0.00177986807710069</v>
      </c>
      <c r="GN88">
        <v>1</v>
      </c>
      <c r="GO88">
        <v>2</v>
      </c>
      <c r="GP88">
        <v>2</v>
      </c>
      <c r="GQ88" t="s">
        <v>440</v>
      </c>
      <c r="GR88">
        <v>3.12492</v>
      </c>
      <c r="GS88">
        <v>2.72584</v>
      </c>
      <c r="GT88">
        <v>0.0847353</v>
      </c>
      <c r="GU88">
        <v>0.086076</v>
      </c>
      <c r="GV88">
        <v>0.0830527</v>
      </c>
      <c r="GW88">
        <v>0.0826675</v>
      </c>
      <c r="GX88">
        <v>24050.1</v>
      </c>
      <c r="GY88">
        <v>22330.9</v>
      </c>
      <c r="GZ88">
        <v>23493.5</v>
      </c>
      <c r="HA88">
        <v>23785.8</v>
      </c>
      <c r="HB88">
        <v>36689.4</v>
      </c>
      <c r="HC88">
        <v>36083.4</v>
      </c>
      <c r="HD88">
        <v>42323</v>
      </c>
      <c r="HE88">
        <v>42375.6</v>
      </c>
      <c r="HF88">
        <v>1.92603</v>
      </c>
      <c r="HG88">
        <v>1.84105</v>
      </c>
      <c r="HH88">
        <v>0.0752881</v>
      </c>
      <c r="HI88">
        <v>0</v>
      </c>
      <c r="HJ88">
        <v>23.7759</v>
      </c>
      <c r="HK88">
        <v>999.9</v>
      </c>
      <c r="HL88">
        <v>48.126</v>
      </c>
      <c r="HM88">
        <v>28.671</v>
      </c>
      <c r="HN88">
        <v>21.1786</v>
      </c>
      <c r="HO88">
        <v>55.6066</v>
      </c>
      <c r="HP88">
        <v>45.8534</v>
      </c>
      <c r="HQ88">
        <v>1</v>
      </c>
      <c r="HR88">
        <v>-0.0472586</v>
      </c>
      <c r="HS88">
        <v>1.67876</v>
      </c>
      <c r="HT88">
        <v>20.2235</v>
      </c>
      <c r="HU88">
        <v>5.23436</v>
      </c>
      <c r="HV88">
        <v>11.992</v>
      </c>
      <c r="HW88">
        <v>4.956</v>
      </c>
      <c r="HX88">
        <v>3.304</v>
      </c>
      <c r="HY88">
        <v>999.9</v>
      </c>
      <c r="HZ88">
        <v>9999</v>
      </c>
      <c r="IA88">
        <v>9999</v>
      </c>
      <c r="IB88">
        <v>9999</v>
      </c>
      <c r="IC88">
        <v>1.86866</v>
      </c>
      <c r="ID88">
        <v>1.86439</v>
      </c>
      <c r="IE88">
        <v>1.87195</v>
      </c>
      <c r="IF88">
        <v>1.86294</v>
      </c>
      <c r="IG88">
        <v>1.86233</v>
      </c>
      <c r="IH88">
        <v>1.86873</v>
      </c>
      <c r="II88">
        <v>1.85887</v>
      </c>
      <c r="IJ88">
        <v>1.86525</v>
      </c>
      <c r="IK88">
        <v>5</v>
      </c>
      <c r="IL88">
        <v>0</v>
      </c>
      <c r="IM88">
        <v>0</v>
      </c>
      <c r="IN88">
        <v>0</v>
      </c>
      <c r="IO88" t="s">
        <v>441</v>
      </c>
      <c r="IP88" t="s">
        <v>442</v>
      </c>
      <c r="IQ88" t="s">
        <v>443</v>
      </c>
      <c r="IR88" t="s">
        <v>443</v>
      </c>
      <c r="IS88" t="s">
        <v>443</v>
      </c>
      <c r="IT88" t="s">
        <v>443</v>
      </c>
      <c r="IU88">
        <v>0</v>
      </c>
      <c r="IV88">
        <v>100</v>
      </c>
      <c r="IW88">
        <v>100</v>
      </c>
      <c r="IX88">
        <v>7.79</v>
      </c>
      <c r="IY88">
        <v>0.143</v>
      </c>
      <c r="IZ88">
        <v>5.80154802696286</v>
      </c>
      <c r="JA88">
        <v>0.0062698613543794</v>
      </c>
      <c r="JB88">
        <v>-3.23243345529816e-06</v>
      </c>
      <c r="JC88">
        <v>8.00506428382295e-10</v>
      </c>
      <c r="JD88">
        <v>-0.0177915902098347</v>
      </c>
      <c r="JE88">
        <v>-0.0018464610107002</v>
      </c>
      <c r="JF88">
        <v>0.000796540623429801</v>
      </c>
      <c r="JG88">
        <v>-1.04619914107352e-05</v>
      </c>
      <c r="JH88">
        <v>-0</v>
      </c>
      <c r="JI88">
        <v>2101</v>
      </c>
      <c r="JJ88">
        <v>1</v>
      </c>
      <c r="JK88">
        <v>23</v>
      </c>
      <c r="JL88">
        <v>1</v>
      </c>
      <c r="JM88">
        <v>1.1</v>
      </c>
      <c r="JN88">
        <v>1.01074</v>
      </c>
      <c r="JO88">
        <v>2.39258</v>
      </c>
      <c r="JP88">
        <v>1.49902</v>
      </c>
      <c r="JQ88">
        <v>2.33887</v>
      </c>
      <c r="JR88">
        <v>1.54419</v>
      </c>
      <c r="JS88">
        <v>2.28394</v>
      </c>
      <c r="JT88">
        <v>34.8296</v>
      </c>
      <c r="JU88">
        <v>24.3414</v>
      </c>
      <c r="JV88">
        <v>18</v>
      </c>
      <c r="JW88">
        <v>547.871</v>
      </c>
      <c r="JX88">
        <v>436.392</v>
      </c>
      <c r="JY88">
        <v>21.7224</v>
      </c>
      <c r="JZ88">
        <v>26.769</v>
      </c>
      <c r="KA88">
        <v>30.0007</v>
      </c>
      <c r="KB88">
        <v>26.5685</v>
      </c>
      <c r="KC88">
        <v>26.5797</v>
      </c>
      <c r="KD88">
        <v>20.2773</v>
      </c>
      <c r="KE88">
        <v>27.0457</v>
      </c>
      <c r="KF88">
        <v>100</v>
      </c>
      <c r="KG88">
        <v>21.7196</v>
      </c>
      <c r="KH88">
        <v>400</v>
      </c>
      <c r="KI88">
        <v>17.9603</v>
      </c>
      <c r="KJ88">
        <v>94.8824</v>
      </c>
      <c r="KK88">
        <v>98.7936</v>
      </c>
    </row>
    <row r="89" spans="1:297">
      <c r="A89">
        <v>73</v>
      </c>
      <c r="B89">
        <v>1765310741</v>
      </c>
      <c r="C89">
        <v>12792</v>
      </c>
      <c r="D89" t="s">
        <v>663</v>
      </c>
      <c r="E89" t="s">
        <v>664</v>
      </c>
      <c r="F89">
        <v>5</v>
      </c>
      <c r="G89" t="s">
        <v>643</v>
      </c>
      <c r="H89" t="s">
        <v>436</v>
      </c>
      <c r="I89">
        <v>1765310732.5</v>
      </c>
      <c r="J89">
        <f>(K89)/1000</f>
        <v>0</v>
      </c>
      <c r="K89">
        <f>IF(DP89, AN89, AH89)</f>
        <v>0</v>
      </c>
      <c r="L89">
        <f>IF(DP89, AI89, AG89)</f>
        <v>0</v>
      </c>
      <c r="M89">
        <f>DR89 - IF(AU89&gt;1, L89*DL89*100.0/(AW89), 0)</f>
        <v>0</v>
      </c>
      <c r="N89">
        <f>((T89-J89/2)*M89-L89)/(T89+J89/2)</f>
        <v>0</v>
      </c>
      <c r="O89">
        <f>N89*(DY89+DZ89)/1000.0</f>
        <v>0</v>
      </c>
      <c r="P89">
        <f>(DR89 - IF(AU89&gt;1, L89*DL89*100.0/(AW89), 0))*(DY89+DZ89)/1000.0</f>
        <v>0</v>
      </c>
      <c r="Q89">
        <f>2.0/((1/S89-1/R89)+SIGN(S89)*SQRT((1/S89-1/R89)*(1/S89-1/R89) + 4*DM89/((DM89+1)*(DM89+1))*(2*1/S89*1/R89-1/R89*1/R89)))</f>
        <v>0</v>
      </c>
      <c r="R89">
        <f>IF(LEFT(DN89,1)&lt;&gt;"0",IF(LEFT(DN89,1)="1",3.0,DO89),$D$5+$E$5*(EF89*DY89/($K$5*1000))+$F$5*(EF89*DY89/($K$5*1000))*MAX(MIN(DL89,$J$5),$I$5)*MAX(MIN(DL89,$J$5),$I$5)+$G$5*MAX(MIN(DL89,$J$5),$I$5)*(EF89*DY89/($K$5*1000))+$H$5*(EF89*DY89/($K$5*1000))*(EF89*DY89/($K$5*1000)))</f>
        <v>0</v>
      </c>
      <c r="S89">
        <f>J89*(1000-(1000*0.61365*exp(17.502*W89/(240.97+W89))/(DY89+DZ89)+DT89)/2)/(1000*0.61365*exp(17.502*W89/(240.97+W89))/(DY89+DZ89)-DT89)</f>
        <v>0</v>
      </c>
      <c r="T89">
        <f>1/((DM89+1)/(Q89/1.6)+1/(R89/1.37)) + DM89/((DM89+1)/(Q89/1.6) + DM89/(R89/1.37))</f>
        <v>0</v>
      </c>
      <c r="U89">
        <f>(DH89*DK89)</f>
        <v>0</v>
      </c>
      <c r="V89">
        <f>(EA89+(U89+2*0.95*5.67E-8*(((EA89+$B$7)+273)^4-(EA89+273)^4)-44100*J89)/(1.84*29.3*R89+8*0.95*5.67E-8*(EA89+273)^3))</f>
        <v>0</v>
      </c>
      <c r="W89">
        <f>($C$7*EB89+$D$7*EC89+$E$7*V89)</f>
        <v>0</v>
      </c>
      <c r="X89">
        <f>0.61365*exp(17.502*W89/(240.97+W89))</f>
        <v>0</v>
      </c>
      <c r="Y89">
        <f>(Z89/AA89*100)</f>
        <v>0</v>
      </c>
      <c r="Z89">
        <f>DT89*(DY89+DZ89)/1000</f>
        <v>0</v>
      </c>
      <c r="AA89">
        <f>0.61365*exp(17.502*EA89/(240.97+EA89))</f>
        <v>0</v>
      </c>
      <c r="AB89">
        <f>(X89-DT89*(DY89+DZ89)/1000)</f>
        <v>0</v>
      </c>
      <c r="AC89">
        <f>(-J89*44100)</f>
        <v>0</v>
      </c>
      <c r="AD89">
        <f>2*29.3*R89*0.92*(EA89-W89)</f>
        <v>0</v>
      </c>
      <c r="AE89">
        <f>2*0.95*5.67E-8*(((EA89+$B$7)+273)^4-(W89+273)^4)</f>
        <v>0</v>
      </c>
      <c r="AF89">
        <f>U89+AE89+AC89+AD89</f>
        <v>0</v>
      </c>
      <c r="AG89">
        <f>DX89*AU89*(DS89-DR89*(1000-AU89*DU89)/(1000-AU89*DT89))/(100*DL89)</f>
        <v>0</v>
      </c>
      <c r="AH89">
        <f>1000*DX89*AU89*(DT89-DU89)/(100*DL89*(1000-AU89*DT89))</f>
        <v>0</v>
      </c>
      <c r="AI89">
        <f>(AJ89 - AK89 - DY89*1E3/(8.314*(EA89+273.15)) * AM89/DX89 * AL89) * DX89/(100*DL89) * (1000 - DU89)/1000</f>
        <v>0</v>
      </c>
      <c r="AJ89">
        <v>611.023162434875</v>
      </c>
      <c r="AK89">
        <v>610.019933333333</v>
      </c>
      <c r="AL89">
        <v>-0.0425599875441579</v>
      </c>
      <c r="AM89">
        <v>63.2832964329848</v>
      </c>
      <c r="AN89">
        <f>(AP89 - AO89 + DY89*1E3/(8.314*(EA89+273.15)) * AR89/DX89 * AQ89) * DX89/(100*DL89) * 1000/(1000 - AP89)</f>
        <v>0</v>
      </c>
      <c r="AO89">
        <v>17.9952240745267</v>
      </c>
      <c r="AP89">
        <v>18.1567157575758</v>
      </c>
      <c r="AQ89">
        <v>1.24988129231209e-05</v>
      </c>
      <c r="AR89">
        <v>108.233307297542</v>
      </c>
      <c r="AS89">
        <v>0</v>
      </c>
      <c r="AT89">
        <v>0</v>
      </c>
      <c r="AU89">
        <f>IF(AS89*$H$13&gt;=AW89,1.0,(AW89/(AW89-AS89*$H$13)))</f>
        <v>0</v>
      </c>
      <c r="AV89">
        <f>(AU89-1)*100</f>
        <v>0</v>
      </c>
      <c r="AW89">
        <f>MAX(0,($B$13+$C$13*EF89)/(1+$D$13*EF89)*DY89/(EA89+273)*$E$13)</f>
        <v>0</v>
      </c>
      <c r="AX89" t="s">
        <v>437</v>
      </c>
      <c r="AY89" t="s">
        <v>437</v>
      </c>
      <c r="AZ89">
        <v>0</v>
      </c>
      <c r="BA89">
        <v>0</v>
      </c>
      <c r="BB89">
        <f>1-AZ89/BA89</f>
        <v>0</v>
      </c>
      <c r="BC89">
        <v>0</v>
      </c>
      <c r="BD89" t="s">
        <v>437</v>
      </c>
      <c r="BE89" t="s">
        <v>437</v>
      </c>
      <c r="BF89">
        <v>0</v>
      </c>
      <c r="BG89">
        <v>0</v>
      </c>
      <c r="BH89">
        <f>1-BF89/BG89</f>
        <v>0</v>
      </c>
      <c r="BI89">
        <v>0.5</v>
      </c>
      <c r="BJ89">
        <f>DI89</f>
        <v>0</v>
      </c>
      <c r="BK89">
        <f>L89</f>
        <v>0</v>
      </c>
      <c r="BL89">
        <f>BH89*BI89*BJ89</f>
        <v>0</v>
      </c>
      <c r="BM89">
        <f>(BK89-BC89)/BJ89</f>
        <v>0</v>
      </c>
      <c r="BN89">
        <f>(BA89-BG89)/BG89</f>
        <v>0</v>
      </c>
      <c r="BO89">
        <f>AZ89/(BB89+AZ89/BG89)</f>
        <v>0</v>
      </c>
      <c r="BP89" t="s">
        <v>437</v>
      </c>
      <c r="BQ89">
        <v>0</v>
      </c>
      <c r="BR89">
        <f>IF(BQ89&lt;&gt;0, BQ89, BO89)</f>
        <v>0</v>
      </c>
      <c r="BS89">
        <f>1-BR89/BG89</f>
        <v>0</v>
      </c>
      <c r="BT89">
        <f>(BG89-BF89)/(BG89-BR89)</f>
        <v>0</v>
      </c>
      <c r="BU89">
        <f>(BA89-BG89)/(BA89-BR89)</f>
        <v>0</v>
      </c>
      <c r="BV89">
        <f>(BG89-BF89)/(BG89-AZ89)</f>
        <v>0</v>
      </c>
      <c r="BW89">
        <f>(BA89-BG89)/(BA89-AZ89)</f>
        <v>0</v>
      </c>
      <c r="BX89">
        <f>(BT89*BR89/BF89)</f>
        <v>0</v>
      </c>
      <c r="BY89">
        <f>(1-BX89)</f>
        <v>0</v>
      </c>
      <c r="DH89">
        <f>$B$11*EG89+$C$11*EH89+$F$11*ES89*(1-EV89)</f>
        <v>0</v>
      </c>
      <c r="DI89">
        <f>DH89*DJ89</f>
        <v>0</v>
      </c>
      <c r="DJ89">
        <f>($B$11*$D$9+$C$11*$D$9+$F$11*((FF89+EX89)/MAX(FF89+EX89+FG89, 0.1)*$I$9+FG89/MAX(FF89+EX89+FG89, 0.1)*$J$9))/($B$11+$C$11+$F$11)</f>
        <v>0</v>
      </c>
      <c r="DK89">
        <f>($B$11*$K$9+$C$11*$K$9+$F$11*((FF89+EX89)/MAX(FF89+EX89+FG89, 0.1)*$P$9+FG89/MAX(FF89+EX89+FG89, 0.1)*$Q$9))/($B$11+$C$11+$F$11)</f>
        <v>0</v>
      </c>
      <c r="DL89">
        <v>6</v>
      </c>
      <c r="DM89">
        <v>0.5</v>
      </c>
      <c r="DN89" t="s">
        <v>438</v>
      </c>
      <c r="DO89">
        <v>2</v>
      </c>
      <c r="DP89" t="b">
        <v>1</v>
      </c>
      <c r="DQ89">
        <v>1765310732.5</v>
      </c>
      <c r="DR89">
        <v>598.9651875</v>
      </c>
      <c r="DS89">
        <v>600.013</v>
      </c>
      <c r="DT89">
        <v>18.1552375</v>
      </c>
      <c r="DU89">
        <v>17.99450625</v>
      </c>
      <c r="DV89">
        <v>590.5001875</v>
      </c>
      <c r="DW89">
        <v>18.0112375</v>
      </c>
      <c r="DX89">
        <v>500.004375</v>
      </c>
      <c r="DY89">
        <v>89.670525</v>
      </c>
      <c r="DZ89">
        <v>0.09998991875</v>
      </c>
      <c r="EA89">
        <v>25.409225</v>
      </c>
      <c r="EB89">
        <v>25.0003375</v>
      </c>
      <c r="EC89">
        <v>999.9</v>
      </c>
      <c r="ED89">
        <v>0</v>
      </c>
      <c r="EE89">
        <v>0</v>
      </c>
      <c r="EF89">
        <v>9998.4</v>
      </c>
      <c r="EG89">
        <v>0</v>
      </c>
      <c r="EH89">
        <v>13.29953125</v>
      </c>
      <c r="EI89">
        <v>-0.99308825</v>
      </c>
      <c r="EJ89">
        <v>610.0973125</v>
      </c>
      <c r="EK89">
        <v>611.0079375</v>
      </c>
      <c r="EL89">
        <v>0.1621675</v>
      </c>
      <c r="EM89">
        <v>600.013</v>
      </c>
      <c r="EN89">
        <v>17.99450625</v>
      </c>
      <c r="EO89">
        <v>1.6281175</v>
      </c>
      <c r="EP89">
        <v>1.6135775</v>
      </c>
      <c r="EQ89">
        <v>14.22753125</v>
      </c>
      <c r="ER89">
        <v>14.08908125</v>
      </c>
      <c r="ES89">
        <v>799.9905</v>
      </c>
      <c r="ET89">
        <v>0.949995</v>
      </c>
      <c r="EU89">
        <v>0.0500053625</v>
      </c>
      <c r="EV89">
        <v>0</v>
      </c>
      <c r="EW89">
        <v>934.5398125</v>
      </c>
      <c r="EX89">
        <v>5.00016</v>
      </c>
      <c r="EY89">
        <v>7209.67625</v>
      </c>
      <c r="EZ89">
        <v>7194.57875</v>
      </c>
      <c r="FA89">
        <v>40.375</v>
      </c>
      <c r="FB89">
        <v>43.187</v>
      </c>
      <c r="FC89">
        <v>41.867125</v>
      </c>
      <c r="FD89">
        <v>43.269375</v>
      </c>
      <c r="FE89">
        <v>43.003875</v>
      </c>
      <c r="FF89">
        <v>755.236875</v>
      </c>
      <c r="FG89">
        <v>39.755</v>
      </c>
      <c r="FH89">
        <v>0</v>
      </c>
      <c r="FI89">
        <v>1765310741.5</v>
      </c>
      <c r="FJ89">
        <v>0</v>
      </c>
      <c r="FK89">
        <v>934.50852</v>
      </c>
      <c r="FL89">
        <v>-1.0243846171103</v>
      </c>
      <c r="FM89">
        <v>-8.33923075519399</v>
      </c>
      <c r="FN89">
        <v>7209.5056</v>
      </c>
      <c r="FO89">
        <v>15</v>
      </c>
      <c r="FP89">
        <v>1765310766</v>
      </c>
      <c r="FQ89" t="s">
        <v>665</v>
      </c>
      <c r="FR89">
        <v>1765310766</v>
      </c>
      <c r="FS89">
        <v>1765310759</v>
      </c>
      <c r="FT89">
        <v>73</v>
      </c>
      <c r="FU89">
        <v>-0.059</v>
      </c>
      <c r="FV89">
        <v>0.001</v>
      </c>
      <c r="FW89">
        <v>8.465</v>
      </c>
      <c r="FX89">
        <v>0.144</v>
      </c>
      <c r="FY89">
        <v>600</v>
      </c>
      <c r="FZ89">
        <v>18</v>
      </c>
      <c r="GA89">
        <v>0.54</v>
      </c>
      <c r="GB89">
        <v>0.16</v>
      </c>
      <c r="GC89">
        <v>-1.0051426</v>
      </c>
      <c r="GD89">
        <v>0.258979127819552</v>
      </c>
      <c r="GE89">
        <v>0.075773332578421</v>
      </c>
      <c r="GF89">
        <v>1</v>
      </c>
      <c r="GG89">
        <v>934.5915</v>
      </c>
      <c r="GH89">
        <v>-1.32187929999823</v>
      </c>
      <c r="GI89">
        <v>0.19308779624519</v>
      </c>
      <c r="GJ89">
        <v>-1</v>
      </c>
      <c r="GK89">
        <v>0.1627914</v>
      </c>
      <c r="GL89">
        <v>-0.0197088721804513</v>
      </c>
      <c r="GM89">
        <v>0.00244449365718138</v>
      </c>
      <c r="GN89">
        <v>1</v>
      </c>
      <c r="GO89">
        <v>2</v>
      </c>
      <c r="GP89">
        <v>2</v>
      </c>
      <c r="GQ89" t="s">
        <v>440</v>
      </c>
      <c r="GR89">
        <v>3.12501</v>
      </c>
      <c r="GS89">
        <v>2.72567</v>
      </c>
      <c r="GT89">
        <v>0.11484</v>
      </c>
      <c r="GU89">
        <v>0.11603</v>
      </c>
      <c r="GV89">
        <v>0.0829973</v>
      </c>
      <c r="GW89">
        <v>0.0826013</v>
      </c>
      <c r="GX89">
        <v>23251.2</v>
      </c>
      <c r="GY89">
        <v>21593.9</v>
      </c>
      <c r="GZ89">
        <v>23486</v>
      </c>
      <c r="HA89">
        <v>23780.4</v>
      </c>
      <c r="HB89">
        <v>36684.7</v>
      </c>
      <c r="HC89">
        <v>36081.6</v>
      </c>
      <c r="HD89">
        <v>42312</v>
      </c>
      <c r="HE89">
        <v>42367.8</v>
      </c>
      <c r="HF89">
        <v>1.92517</v>
      </c>
      <c r="HG89">
        <v>1.8394</v>
      </c>
      <c r="HH89">
        <v>0.075642</v>
      </c>
      <c r="HI89">
        <v>0</v>
      </c>
      <c r="HJ89">
        <v>23.7637</v>
      </c>
      <c r="HK89">
        <v>999.9</v>
      </c>
      <c r="HL89">
        <v>48.126</v>
      </c>
      <c r="HM89">
        <v>28.671</v>
      </c>
      <c r="HN89">
        <v>21.1774</v>
      </c>
      <c r="HO89">
        <v>54.8766</v>
      </c>
      <c r="HP89">
        <v>45.8734</v>
      </c>
      <c r="HQ89">
        <v>1</v>
      </c>
      <c r="HR89">
        <v>-0.0377769</v>
      </c>
      <c r="HS89">
        <v>1.62871</v>
      </c>
      <c r="HT89">
        <v>20.2238</v>
      </c>
      <c r="HU89">
        <v>5.23451</v>
      </c>
      <c r="HV89">
        <v>11.992</v>
      </c>
      <c r="HW89">
        <v>4.9558</v>
      </c>
      <c r="HX89">
        <v>3.30398</v>
      </c>
      <c r="HY89">
        <v>999.9</v>
      </c>
      <c r="HZ89">
        <v>9999</v>
      </c>
      <c r="IA89">
        <v>9999</v>
      </c>
      <c r="IB89">
        <v>9999</v>
      </c>
      <c r="IC89">
        <v>1.86866</v>
      </c>
      <c r="ID89">
        <v>1.86434</v>
      </c>
      <c r="IE89">
        <v>1.87195</v>
      </c>
      <c r="IF89">
        <v>1.86295</v>
      </c>
      <c r="IG89">
        <v>1.86233</v>
      </c>
      <c r="IH89">
        <v>1.86874</v>
      </c>
      <c r="II89">
        <v>1.85889</v>
      </c>
      <c r="IJ89">
        <v>1.86525</v>
      </c>
      <c r="IK89">
        <v>5</v>
      </c>
      <c r="IL89">
        <v>0</v>
      </c>
      <c r="IM89">
        <v>0</v>
      </c>
      <c r="IN89">
        <v>0</v>
      </c>
      <c r="IO89" t="s">
        <v>441</v>
      </c>
      <c r="IP89" t="s">
        <v>442</v>
      </c>
      <c r="IQ89" t="s">
        <v>443</v>
      </c>
      <c r="IR89" t="s">
        <v>443</v>
      </c>
      <c r="IS89" t="s">
        <v>443</v>
      </c>
      <c r="IT89" t="s">
        <v>443</v>
      </c>
      <c r="IU89">
        <v>0</v>
      </c>
      <c r="IV89">
        <v>100</v>
      </c>
      <c r="IW89">
        <v>100</v>
      </c>
      <c r="IX89">
        <v>8.465</v>
      </c>
      <c r="IY89">
        <v>0.144</v>
      </c>
      <c r="IZ89">
        <v>5.77975231393535</v>
      </c>
      <c r="JA89">
        <v>0.0062698613543794</v>
      </c>
      <c r="JB89">
        <v>-3.23243345529816e-06</v>
      </c>
      <c r="JC89">
        <v>8.00506428382295e-10</v>
      </c>
      <c r="JD89">
        <v>-0.0185798664736117</v>
      </c>
      <c r="JE89">
        <v>-0.0018464610107002</v>
      </c>
      <c r="JF89">
        <v>0.000796540623429801</v>
      </c>
      <c r="JG89">
        <v>-1.04619914107352e-05</v>
      </c>
      <c r="JH89">
        <v>-0</v>
      </c>
      <c r="JI89">
        <v>2101</v>
      </c>
      <c r="JJ89">
        <v>1</v>
      </c>
      <c r="JK89">
        <v>23</v>
      </c>
      <c r="JL89">
        <v>1.2</v>
      </c>
      <c r="JM89">
        <v>1.3</v>
      </c>
      <c r="JN89">
        <v>1.39526</v>
      </c>
      <c r="JO89">
        <v>2.37183</v>
      </c>
      <c r="JP89">
        <v>1.49902</v>
      </c>
      <c r="JQ89">
        <v>2.33887</v>
      </c>
      <c r="JR89">
        <v>1.54419</v>
      </c>
      <c r="JS89">
        <v>2.2876</v>
      </c>
      <c r="JT89">
        <v>34.8755</v>
      </c>
      <c r="JU89">
        <v>24.3414</v>
      </c>
      <c r="JV89">
        <v>18</v>
      </c>
      <c r="JW89">
        <v>548.45</v>
      </c>
      <c r="JX89">
        <v>436.416</v>
      </c>
      <c r="JY89">
        <v>21.7571</v>
      </c>
      <c r="JZ89">
        <v>26.8923</v>
      </c>
      <c r="KA89">
        <v>30.0005</v>
      </c>
      <c r="KB89">
        <v>26.6968</v>
      </c>
      <c r="KC89">
        <v>26.709</v>
      </c>
      <c r="KD89">
        <v>27.9626</v>
      </c>
      <c r="KE89">
        <v>27.3399</v>
      </c>
      <c r="KF89">
        <v>100</v>
      </c>
      <c r="KG89">
        <v>21.7553</v>
      </c>
      <c r="KH89">
        <v>600</v>
      </c>
      <c r="KI89">
        <v>17.9477</v>
      </c>
      <c r="KJ89">
        <v>94.8557</v>
      </c>
      <c r="KK89">
        <v>98.774</v>
      </c>
    </row>
    <row r="90" spans="1:297">
      <c r="A90">
        <v>74</v>
      </c>
      <c r="B90">
        <v>1765310837</v>
      </c>
      <c r="C90">
        <v>12888</v>
      </c>
      <c r="D90" t="s">
        <v>666</v>
      </c>
      <c r="E90" t="s">
        <v>667</v>
      </c>
      <c r="F90">
        <v>5</v>
      </c>
      <c r="G90" t="s">
        <v>643</v>
      </c>
      <c r="H90" t="s">
        <v>436</v>
      </c>
      <c r="I90">
        <v>1765310828.5</v>
      </c>
      <c r="J90">
        <f>(K90)/1000</f>
        <v>0</v>
      </c>
      <c r="K90">
        <f>IF(DP90, AN90, AH90)</f>
        <v>0</v>
      </c>
      <c r="L90">
        <f>IF(DP90, AI90, AG90)</f>
        <v>0</v>
      </c>
      <c r="M90">
        <f>DR90 - IF(AU90&gt;1, L90*DL90*100.0/(AW90), 0)</f>
        <v>0</v>
      </c>
      <c r="N90">
        <f>((T90-J90/2)*M90-L90)/(T90+J90/2)</f>
        <v>0</v>
      </c>
      <c r="O90">
        <f>N90*(DY90+DZ90)/1000.0</f>
        <v>0</v>
      </c>
      <c r="P90">
        <f>(DR90 - IF(AU90&gt;1, L90*DL90*100.0/(AW90), 0))*(DY90+DZ90)/1000.0</f>
        <v>0</v>
      </c>
      <c r="Q90">
        <f>2.0/((1/S90-1/R90)+SIGN(S90)*SQRT((1/S90-1/R90)*(1/S90-1/R90) + 4*DM90/((DM90+1)*(DM90+1))*(2*1/S90*1/R90-1/R90*1/R90)))</f>
        <v>0</v>
      </c>
      <c r="R90">
        <f>IF(LEFT(DN90,1)&lt;&gt;"0",IF(LEFT(DN90,1)="1",3.0,DO90),$D$5+$E$5*(EF90*DY90/($K$5*1000))+$F$5*(EF90*DY90/($K$5*1000))*MAX(MIN(DL90,$J$5),$I$5)*MAX(MIN(DL90,$J$5),$I$5)+$G$5*MAX(MIN(DL90,$J$5),$I$5)*(EF90*DY90/($K$5*1000))+$H$5*(EF90*DY90/($K$5*1000))*(EF90*DY90/($K$5*1000)))</f>
        <v>0</v>
      </c>
      <c r="S90">
        <f>J90*(1000-(1000*0.61365*exp(17.502*W90/(240.97+W90))/(DY90+DZ90)+DT90)/2)/(1000*0.61365*exp(17.502*W90/(240.97+W90))/(DY90+DZ90)-DT90)</f>
        <v>0</v>
      </c>
      <c r="T90">
        <f>1/((DM90+1)/(Q90/1.6)+1/(R90/1.37)) + DM90/((DM90+1)/(Q90/1.6) + DM90/(R90/1.37))</f>
        <v>0</v>
      </c>
      <c r="U90">
        <f>(DH90*DK90)</f>
        <v>0</v>
      </c>
      <c r="V90">
        <f>(EA90+(U90+2*0.95*5.67E-8*(((EA90+$B$7)+273)^4-(EA90+273)^4)-44100*J90)/(1.84*29.3*R90+8*0.95*5.67E-8*(EA90+273)^3))</f>
        <v>0</v>
      </c>
      <c r="W90">
        <f>($C$7*EB90+$D$7*EC90+$E$7*V90)</f>
        <v>0</v>
      </c>
      <c r="X90">
        <f>0.61365*exp(17.502*W90/(240.97+W90))</f>
        <v>0</v>
      </c>
      <c r="Y90">
        <f>(Z90/AA90*100)</f>
        <v>0</v>
      </c>
      <c r="Z90">
        <f>DT90*(DY90+DZ90)/1000</f>
        <v>0</v>
      </c>
      <c r="AA90">
        <f>0.61365*exp(17.502*EA90/(240.97+EA90))</f>
        <v>0</v>
      </c>
      <c r="AB90">
        <f>(X90-DT90*(DY90+DZ90)/1000)</f>
        <v>0</v>
      </c>
      <c r="AC90">
        <f>(-J90*44100)</f>
        <v>0</v>
      </c>
      <c r="AD90">
        <f>2*29.3*R90*0.92*(EA90-W90)</f>
        <v>0</v>
      </c>
      <c r="AE90">
        <f>2*0.95*5.67E-8*(((EA90+$B$7)+273)^4-(W90+273)^4)</f>
        <v>0</v>
      </c>
      <c r="AF90">
        <f>U90+AE90+AC90+AD90</f>
        <v>0</v>
      </c>
      <c r="AG90">
        <f>DX90*AU90*(DS90-DR90*(1000-AU90*DU90)/(1000-AU90*DT90))/(100*DL90)</f>
        <v>0</v>
      </c>
      <c r="AH90">
        <f>1000*DX90*AU90*(DT90-DU90)/(100*DL90*(1000-AU90*DT90))</f>
        <v>0</v>
      </c>
      <c r="AI90">
        <f>(AJ90 - AK90 - DY90*1E3/(8.314*(EA90+273.15)) * AM90/DX90 * AL90) * DX90/(100*DL90) * (1000 - DU90)/1000</f>
        <v>0</v>
      </c>
      <c r="AJ90">
        <v>814.717231843872</v>
      </c>
      <c r="AK90">
        <v>813.642593939394</v>
      </c>
      <c r="AL90">
        <v>0.0306082856297254</v>
      </c>
      <c r="AM90">
        <v>63.2956628786872</v>
      </c>
      <c r="AN90">
        <f>(AP90 - AO90 + DY90*1E3/(8.314*(EA90+273.15)) * AR90/DX90 * AQ90) * DX90/(100*DL90) * 1000/(1000 - AP90)</f>
        <v>0</v>
      </c>
      <c r="AO90">
        <v>17.978224291813</v>
      </c>
      <c r="AP90">
        <v>18.1629654545455</v>
      </c>
      <c r="AQ90">
        <v>-0.000138775803468741</v>
      </c>
      <c r="AR90">
        <v>108.155246727063</v>
      </c>
      <c r="AS90">
        <v>0</v>
      </c>
      <c r="AT90">
        <v>0</v>
      </c>
      <c r="AU90">
        <f>IF(AS90*$H$13&gt;=AW90,1.0,(AW90/(AW90-AS90*$H$13)))</f>
        <v>0</v>
      </c>
      <c r="AV90">
        <f>(AU90-1)*100</f>
        <v>0</v>
      </c>
      <c r="AW90">
        <f>MAX(0,($B$13+$C$13*EF90)/(1+$D$13*EF90)*DY90/(EA90+273)*$E$13)</f>
        <v>0</v>
      </c>
      <c r="AX90" t="s">
        <v>437</v>
      </c>
      <c r="AY90" t="s">
        <v>437</v>
      </c>
      <c r="AZ90">
        <v>0</v>
      </c>
      <c r="BA90">
        <v>0</v>
      </c>
      <c r="BB90">
        <f>1-AZ90/BA90</f>
        <v>0</v>
      </c>
      <c r="BC90">
        <v>0</v>
      </c>
      <c r="BD90" t="s">
        <v>437</v>
      </c>
      <c r="BE90" t="s">
        <v>437</v>
      </c>
      <c r="BF90">
        <v>0</v>
      </c>
      <c r="BG90">
        <v>0</v>
      </c>
      <c r="BH90">
        <f>1-BF90/BG90</f>
        <v>0</v>
      </c>
      <c r="BI90">
        <v>0.5</v>
      </c>
      <c r="BJ90">
        <f>DI90</f>
        <v>0</v>
      </c>
      <c r="BK90">
        <f>L90</f>
        <v>0</v>
      </c>
      <c r="BL90">
        <f>BH90*BI90*BJ90</f>
        <v>0</v>
      </c>
      <c r="BM90">
        <f>(BK90-BC90)/BJ90</f>
        <v>0</v>
      </c>
      <c r="BN90">
        <f>(BA90-BG90)/BG90</f>
        <v>0</v>
      </c>
      <c r="BO90">
        <f>AZ90/(BB90+AZ90/BG90)</f>
        <v>0</v>
      </c>
      <c r="BP90" t="s">
        <v>437</v>
      </c>
      <c r="BQ90">
        <v>0</v>
      </c>
      <c r="BR90">
        <f>IF(BQ90&lt;&gt;0, BQ90, BO90)</f>
        <v>0</v>
      </c>
      <c r="BS90">
        <f>1-BR90/BG90</f>
        <v>0</v>
      </c>
      <c r="BT90">
        <f>(BG90-BF90)/(BG90-BR90)</f>
        <v>0</v>
      </c>
      <c r="BU90">
        <f>(BA90-BG90)/(BA90-BR90)</f>
        <v>0</v>
      </c>
      <c r="BV90">
        <f>(BG90-BF90)/(BG90-AZ90)</f>
        <v>0</v>
      </c>
      <c r="BW90">
        <f>(BA90-BG90)/(BA90-AZ90)</f>
        <v>0</v>
      </c>
      <c r="BX90">
        <f>(BT90*BR90/BF90)</f>
        <v>0</v>
      </c>
      <c r="BY90">
        <f>(1-BX90)</f>
        <v>0</v>
      </c>
      <c r="DH90">
        <f>$B$11*EG90+$C$11*EH90+$F$11*ES90*(1-EV90)</f>
        <v>0</v>
      </c>
      <c r="DI90">
        <f>DH90*DJ90</f>
        <v>0</v>
      </c>
      <c r="DJ90">
        <f>($B$11*$D$9+$C$11*$D$9+$F$11*((FF90+EX90)/MAX(FF90+EX90+FG90, 0.1)*$I$9+FG90/MAX(FF90+EX90+FG90, 0.1)*$J$9))/($B$11+$C$11+$F$11)</f>
        <v>0</v>
      </c>
      <c r="DK90">
        <f>($B$11*$K$9+$C$11*$K$9+$F$11*((FF90+EX90)/MAX(FF90+EX90+FG90, 0.1)*$P$9+FG90/MAX(FF90+EX90+FG90, 0.1)*$Q$9))/($B$11+$C$11+$F$11)</f>
        <v>0</v>
      </c>
      <c r="DL90">
        <v>6</v>
      </c>
      <c r="DM90">
        <v>0.5</v>
      </c>
      <c r="DN90" t="s">
        <v>438</v>
      </c>
      <c r="DO90">
        <v>2</v>
      </c>
      <c r="DP90" t="b">
        <v>1</v>
      </c>
      <c r="DQ90">
        <v>1765310828.5</v>
      </c>
      <c r="DR90">
        <v>798.672625</v>
      </c>
      <c r="DS90">
        <v>800.0429375</v>
      </c>
      <c r="DT90">
        <v>18.17436875</v>
      </c>
      <c r="DU90">
        <v>18.0061625</v>
      </c>
      <c r="DV90">
        <v>789.738625</v>
      </c>
      <c r="DW90">
        <v>18.02436875</v>
      </c>
      <c r="DX90">
        <v>499.990625</v>
      </c>
      <c r="DY90">
        <v>89.68</v>
      </c>
      <c r="DZ90">
        <v>0.09999191875</v>
      </c>
      <c r="EA90">
        <v>25.417975</v>
      </c>
      <c r="EB90">
        <v>24.99708125</v>
      </c>
      <c r="EC90">
        <v>999.9</v>
      </c>
      <c r="ED90">
        <v>0</v>
      </c>
      <c r="EE90">
        <v>0</v>
      </c>
      <c r="EF90">
        <v>10013.09</v>
      </c>
      <c r="EG90">
        <v>0</v>
      </c>
      <c r="EH90">
        <v>13.3511375</v>
      </c>
      <c r="EI90">
        <v>-1.253280625</v>
      </c>
      <c r="EJ90">
        <v>813.572875</v>
      </c>
      <c r="EK90">
        <v>814.7128125</v>
      </c>
      <c r="EL90">
        <v>0.1646345</v>
      </c>
      <c r="EM90">
        <v>800.0429375</v>
      </c>
      <c r="EN90">
        <v>18.0061625</v>
      </c>
      <c r="EO90">
        <v>1.629556875</v>
      </c>
      <c r="EP90">
        <v>1.614793125</v>
      </c>
      <c r="EQ90">
        <v>14.24118125</v>
      </c>
      <c r="ER90">
        <v>14.1006875</v>
      </c>
      <c r="ES90">
        <v>799.9855625</v>
      </c>
      <c r="ET90">
        <v>0.94999275</v>
      </c>
      <c r="EU90">
        <v>0.0500075875</v>
      </c>
      <c r="EV90">
        <v>0</v>
      </c>
      <c r="EW90">
        <v>932.9955</v>
      </c>
      <c r="EX90">
        <v>5.00016</v>
      </c>
      <c r="EY90">
        <v>7200.6075</v>
      </c>
      <c r="EZ90">
        <v>7194.52875</v>
      </c>
      <c r="FA90">
        <v>40.437</v>
      </c>
      <c r="FB90">
        <v>43.25</v>
      </c>
      <c r="FC90">
        <v>41.937</v>
      </c>
      <c r="FD90">
        <v>43.312</v>
      </c>
      <c r="FE90">
        <v>43.062</v>
      </c>
      <c r="FF90">
        <v>755.23</v>
      </c>
      <c r="FG90">
        <v>39.756875</v>
      </c>
      <c r="FH90">
        <v>0</v>
      </c>
      <c r="FI90">
        <v>1765310837.5</v>
      </c>
      <c r="FJ90">
        <v>0</v>
      </c>
      <c r="FK90">
        <v>932.99604</v>
      </c>
      <c r="FL90">
        <v>-0.640999979521282</v>
      </c>
      <c r="FM90">
        <v>-8.63615385072412</v>
      </c>
      <c r="FN90">
        <v>7200.502</v>
      </c>
      <c r="FO90">
        <v>15</v>
      </c>
      <c r="FP90">
        <v>1765310857</v>
      </c>
      <c r="FQ90" t="s">
        <v>668</v>
      </c>
      <c r="FR90">
        <v>1765310857</v>
      </c>
      <c r="FS90">
        <v>1765310855</v>
      </c>
      <c r="FT90">
        <v>74</v>
      </c>
      <c r="FU90">
        <v>-0.121</v>
      </c>
      <c r="FV90">
        <v>0.007</v>
      </c>
      <c r="FW90">
        <v>8.934</v>
      </c>
      <c r="FX90">
        <v>0.15</v>
      </c>
      <c r="FY90">
        <v>800</v>
      </c>
      <c r="FZ90">
        <v>18</v>
      </c>
      <c r="GA90">
        <v>0.88</v>
      </c>
      <c r="GB90">
        <v>0.17</v>
      </c>
      <c r="GC90">
        <v>-1.3061125</v>
      </c>
      <c r="GD90">
        <v>0.489905413533834</v>
      </c>
      <c r="GE90">
        <v>0.117504994016212</v>
      </c>
      <c r="GF90">
        <v>1</v>
      </c>
      <c r="GG90">
        <v>933.084029411765</v>
      </c>
      <c r="GH90">
        <v>-1.59702061993366</v>
      </c>
      <c r="GI90">
        <v>0.252559309900266</v>
      </c>
      <c r="GJ90">
        <v>-1</v>
      </c>
      <c r="GK90">
        <v>0.1606481</v>
      </c>
      <c r="GL90">
        <v>0.0955616842105265</v>
      </c>
      <c r="GM90">
        <v>0.012528755141274</v>
      </c>
      <c r="GN90">
        <v>1</v>
      </c>
      <c r="GO90">
        <v>2</v>
      </c>
      <c r="GP90">
        <v>2</v>
      </c>
      <c r="GQ90" t="s">
        <v>440</v>
      </c>
      <c r="GR90">
        <v>3.12511</v>
      </c>
      <c r="GS90">
        <v>2.72572</v>
      </c>
      <c r="GT90">
        <v>0.140391</v>
      </c>
      <c r="GU90">
        <v>0.141387</v>
      </c>
      <c r="GV90">
        <v>0.0829845</v>
      </c>
      <c r="GW90">
        <v>0.0825074</v>
      </c>
      <c r="GX90">
        <v>22574.1</v>
      </c>
      <c r="GY90">
        <v>20971</v>
      </c>
      <c r="GZ90">
        <v>23479.9</v>
      </c>
      <c r="HA90">
        <v>23776.7</v>
      </c>
      <c r="HB90">
        <v>36678.1</v>
      </c>
      <c r="HC90">
        <v>36082.8</v>
      </c>
      <c r="HD90">
        <v>42301.3</v>
      </c>
      <c r="HE90">
        <v>42362.6</v>
      </c>
      <c r="HF90">
        <v>1.92455</v>
      </c>
      <c r="HG90">
        <v>1.83845</v>
      </c>
      <c r="HH90">
        <v>0.0756793</v>
      </c>
      <c r="HI90">
        <v>0</v>
      </c>
      <c r="HJ90">
        <v>23.7512</v>
      </c>
      <c r="HK90">
        <v>999.9</v>
      </c>
      <c r="HL90">
        <v>48.175</v>
      </c>
      <c r="HM90">
        <v>28.691</v>
      </c>
      <c r="HN90">
        <v>21.2219</v>
      </c>
      <c r="HO90">
        <v>54.7866</v>
      </c>
      <c r="HP90">
        <v>45.9655</v>
      </c>
      <c r="HQ90">
        <v>1</v>
      </c>
      <c r="HR90">
        <v>-0.0302795</v>
      </c>
      <c r="HS90">
        <v>1.58301</v>
      </c>
      <c r="HT90">
        <v>20.2244</v>
      </c>
      <c r="HU90">
        <v>5.23331</v>
      </c>
      <c r="HV90">
        <v>11.992</v>
      </c>
      <c r="HW90">
        <v>4.95615</v>
      </c>
      <c r="HX90">
        <v>3.304</v>
      </c>
      <c r="HY90">
        <v>999.9</v>
      </c>
      <c r="HZ90">
        <v>9999</v>
      </c>
      <c r="IA90">
        <v>9999</v>
      </c>
      <c r="IB90">
        <v>9999</v>
      </c>
      <c r="IC90">
        <v>1.86863</v>
      </c>
      <c r="ID90">
        <v>1.86436</v>
      </c>
      <c r="IE90">
        <v>1.87197</v>
      </c>
      <c r="IF90">
        <v>1.86294</v>
      </c>
      <c r="IG90">
        <v>1.86233</v>
      </c>
      <c r="IH90">
        <v>1.86874</v>
      </c>
      <c r="II90">
        <v>1.8589</v>
      </c>
      <c r="IJ90">
        <v>1.86524</v>
      </c>
      <c r="IK90">
        <v>5</v>
      </c>
      <c r="IL90">
        <v>0</v>
      </c>
      <c r="IM90">
        <v>0</v>
      </c>
      <c r="IN90">
        <v>0</v>
      </c>
      <c r="IO90" t="s">
        <v>441</v>
      </c>
      <c r="IP90" t="s">
        <v>442</v>
      </c>
      <c r="IQ90" t="s">
        <v>443</v>
      </c>
      <c r="IR90" t="s">
        <v>443</v>
      </c>
      <c r="IS90" t="s">
        <v>443</v>
      </c>
      <c r="IT90" t="s">
        <v>443</v>
      </c>
      <c r="IU90">
        <v>0</v>
      </c>
      <c r="IV90">
        <v>100</v>
      </c>
      <c r="IW90">
        <v>100</v>
      </c>
      <c r="IX90">
        <v>8.934</v>
      </c>
      <c r="IY90">
        <v>0.15</v>
      </c>
      <c r="IZ90">
        <v>5.72117606105703</v>
      </c>
      <c r="JA90">
        <v>0.0062698613543794</v>
      </c>
      <c r="JB90">
        <v>-3.23243345529816e-06</v>
      </c>
      <c r="JC90">
        <v>8.00506428382295e-10</v>
      </c>
      <c r="JD90">
        <v>-0.0178072411287659</v>
      </c>
      <c r="JE90">
        <v>-0.0018464610107002</v>
      </c>
      <c r="JF90">
        <v>0.000796540623429801</v>
      </c>
      <c r="JG90">
        <v>-1.04619914107352e-05</v>
      </c>
      <c r="JH90">
        <v>-0</v>
      </c>
      <c r="JI90">
        <v>2101</v>
      </c>
      <c r="JJ90">
        <v>1</v>
      </c>
      <c r="JK90">
        <v>23</v>
      </c>
      <c r="JL90">
        <v>1.2</v>
      </c>
      <c r="JM90">
        <v>1.3</v>
      </c>
      <c r="JN90">
        <v>1.75781</v>
      </c>
      <c r="JO90">
        <v>2.36206</v>
      </c>
      <c r="JP90">
        <v>1.49902</v>
      </c>
      <c r="JQ90">
        <v>2.33887</v>
      </c>
      <c r="JR90">
        <v>1.54419</v>
      </c>
      <c r="JS90">
        <v>2.29492</v>
      </c>
      <c r="JT90">
        <v>34.9214</v>
      </c>
      <c r="JU90">
        <v>24.3327</v>
      </c>
      <c r="JV90">
        <v>18</v>
      </c>
      <c r="JW90">
        <v>549.038</v>
      </c>
      <c r="JX90">
        <v>436.738</v>
      </c>
      <c r="JY90">
        <v>21.7708</v>
      </c>
      <c r="JZ90">
        <v>26.9909</v>
      </c>
      <c r="KA90">
        <v>30.0004</v>
      </c>
      <c r="KB90">
        <v>26.8099</v>
      </c>
      <c r="KC90">
        <v>26.8235</v>
      </c>
      <c r="KD90">
        <v>35.2053</v>
      </c>
      <c r="KE90">
        <v>27.8912</v>
      </c>
      <c r="KF90">
        <v>100</v>
      </c>
      <c r="KG90">
        <v>21.7725</v>
      </c>
      <c r="KH90">
        <v>800</v>
      </c>
      <c r="KI90">
        <v>17.9557</v>
      </c>
      <c r="KJ90">
        <v>94.8316</v>
      </c>
      <c r="KK90">
        <v>98.7609</v>
      </c>
    </row>
    <row r="91" spans="1:297">
      <c r="A91">
        <v>75</v>
      </c>
      <c r="B91">
        <v>1765310933</v>
      </c>
      <c r="C91">
        <v>12984</v>
      </c>
      <c r="D91" t="s">
        <v>669</v>
      </c>
      <c r="E91" t="s">
        <v>670</v>
      </c>
      <c r="F91">
        <v>5</v>
      </c>
      <c r="G91" t="s">
        <v>643</v>
      </c>
      <c r="H91" t="s">
        <v>436</v>
      </c>
      <c r="I91">
        <v>1765310925</v>
      </c>
      <c r="J91">
        <f>(K91)/1000</f>
        <v>0</v>
      </c>
      <c r="K91">
        <f>IF(DP91, AN91, AH91)</f>
        <v>0</v>
      </c>
      <c r="L91">
        <f>IF(DP91, AI91, AG91)</f>
        <v>0</v>
      </c>
      <c r="M91">
        <f>DR91 - IF(AU91&gt;1, L91*DL91*100.0/(AW91), 0)</f>
        <v>0</v>
      </c>
      <c r="N91">
        <f>((T91-J91/2)*M91-L91)/(T91+J91/2)</f>
        <v>0</v>
      </c>
      <c r="O91">
        <f>N91*(DY91+DZ91)/1000.0</f>
        <v>0</v>
      </c>
      <c r="P91">
        <f>(DR91 - IF(AU91&gt;1, L91*DL91*100.0/(AW91), 0))*(DY91+DZ91)/1000.0</f>
        <v>0</v>
      </c>
      <c r="Q91">
        <f>2.0/((1/S91-1/R91)+SIGN(S91)*SQRT((1/S91-1/R91)*(1/S91-1/R91) + 4*DM91/((DM91+1)*(DM91+1))*(2*1/S91*1/R91-1/R91*1/R91)))</f>
        <v>0</v>
      </c>
      <c r="R91">
        <f>IF(LEFT(DN91,1)&lt;&gt;"0",IF(LEFT(DN91,1)="1",3.0,DO91),$D$5+$E$5*(EF91*DY91/($K$5*1000))+$F$5*(EF91*DY91/($K$5*1000))*MAX(MIN(DL91,$J$5),$I$5)*MAX(MIN(DL91,$J$5),$I$5)+$G$5*MAX(MIN(DL91,$J$5),$I$5)*(EF91*DY91/($K$5*1000))+$H$5*(EF91*DY91/($K$5*1000))*(EF91*DY91/($K$5*1000)))</f>
        <v>0</v>
      </c>
      <c r="S91">
        <f>J91*(1000-(1000*0.61365*exp(17.502*W91/(240.97+W91))/(DY91+DZ91)+DT91)/2)/(1000*0.61365*exp(17.502*W91/(240.97+W91))/(DY91+DZ91)-DT91)</f>
        <v>0</v>
      </c>
      <c r="T91">
        <f>1/((DM91+1)/(Q91/1.6)+1/(R91/1.37)) + DM91/((DM91+1)/(Q91/1.6) + DM91/(R91/1.37))</f>
        <v>0</v>
      </c>
      <c r="U91">
        <f>(DH91*DK91)</f>
        <v>0</v>
      </c>
      <c r="V91">
        <f>(EA91+(U91+2*0.95*5.67E-8*(((EA91+$B$7)+273)^4-(EA91+273)^4)-44100*J91)/(1.84*29.3*R91+8*0.95*5.67E-8*(EA91+273)^3))</f>
        <v>0</v>
      </c>
      <c r="W91">
        <f>($C$7*EB91+$D$7*EC91+$E$7*V91)</f>
        <v>0</v>
      </c>
      <c r="X91">
        <f>0.61365*exp(17.502*W91/(240.97+W91))</f>
        <v>0</v>
      </c>
      <c r="Y91">
        <f>(Z91/AA91*100)</f>
        <v>0</v>
      </c>
      <c r="Z91">
        <f>DT91*(DY91+DZ91)/1000</f>
        <v>0</v>
      </c>
      <c r="AA91">
        <f>0.61365*exp(17.502*EA91/(240.97+EA91))</f>
        <v>0</v>
      </c>
      <c r="AB91">
        <f>(X91-DT91*(DY91+DZ91)/1000)</f>
        <v>0</v>
      </c>
      <c r="AC91">
        <f>(-J91*44100)</f>
        <v>0</v>
      </c>
      <c r="AD91">
        <f>2*29.3*R91*0.92*(EA91-W91)</f>
        <v>0</v>
      </c>
      <c r="AE91">
        <f>2*0.95*5.67E-8*(((EA91+$B$7)+273)^4-(W91+273)^4)</f>
        <v>0</v>
      </c>
      <c r="AF91">
        <f>U91+AE91+AC91+AD91</f>
        <v>0</v>
      </c>
      <c r="AG91">
        <f>DX91*AU91*(DS91-DR91*(1000-AU91*DU91)/(1000-AU91*DT91))/(100*DL91)</f>
        <v>0</v>
      </c>
      <c r="AH91">
        <f>1000*DX91*AU91*(DT91-DU91)/(100*DL91*(1000-AU91*DT91))</f>
        <v>0</v>
      </c>
      <c r="AI91">
        <f>(AJ91 - AK91 - DY91*1E3/(8.314*(EA91+273.15)) * AM91/DX91 * AL91) * DX91/(100*DL91) * (1000 - DU91)/1000</f>
        <v>0</v>
      </c>
      <c r="AJ91">
        <v>1018.34013137937</v>
      </c>
      <c r="AK91">
        <v>1017.05006060606</v>
      </c>
      <c r="AL91">
        <v>0.00829140107107164</v>
      </c>
      <c r="AM91">
        <v>63.2831835073595</v>
      </c>
      <c r="AN91">
        <f>(AP91 - AO91 + DY91*1E3/(8.314*(EA91+273.15)) * AR91/DX91 * AQ91) * DX91/(100*DL91) * 1000/(1000 - AP91)</f>
        <v>0</v>
      </c>
      <c r="AO91">
        <v>18.0094683707856</v>
      </c>
      <c r="AP91">
        <v>18.1707296969697</v>
      </c>
      <c r="AQ91">
        <v>4.82367789496857e-05</v>
      </c>
      <c r="AR91">
        <v>108.23405549999</v>
      </c>
      <c r="AS91">
        <v>0</v>
      </c>
      <c r="AT91">
        <v>0</v>
      </c>
      <c r="AU91">
        <f>IF(AS91*$H$13&gt;=AW91,1.0,(AW91/(AW91-AS91*$H$13)))</f>
        <v>0</v>
      </c>
      <c r="AV91">
        <f>(AU91-1)*100</f>
        <v>0</v>
      </c>
      <c r="AW91">
        <f>MAX(0,($B$13+$C$13*EF91)/(1+$D$13*EF91)*DY91/(EA91+273)*$E$13)</f>
        <v>0</v>
      </c>
      <c r="AX91" t="s">
        <v>437</v>
      </c>
      <c r="AY91" t="s">
        <v>437</v>
      </c>
      <c r="AZ91">
        <v>0</v>
      </c>
      <c r="BA91">
        <v>0</v>
      </c>
      <c r="BB91">
        <f>1-AZ91/BA91</f>
        <v>0</v>
      </c>
      <c r="BC91">
        <v>0</v>
      </c>
      <c r="BD91" t="s">
        <v>437</v>
      </c>
      <c r="BE91" t="s">
        <v>437</v>
      </c>
      <c r="BF91">
        <v>0</v>
      </c>
      <c r="BG91">
        <v>0</v>
      </c>
      <c r="BH91">
        <f>1-BF91/BG91</f>
        <v>0</v>
      </c>
      <c r="BI91">
        <v>0.5</v>
      </c>
      <c r="BJ91">
        <f>DI91</f>
        <v>0</v>
      </c>
      <c r="BK91">
        <f>L91</f>
        <v>0</v>
      </c>
      <c r="BL91">
        <f>BH91*BI91*BJ91</f>
        <v>0</v>
      </c>
      <c r="BM91">
        <f>(BK91-BC91)/BJ91</f>
        <v>0</v>
      </c>
      <c r="BN91">
        <f>(BA91-BG91)/BG91</f>
        <v>0</v>
      </c>
      <c r="BO91">
        <f>AZ91/(BB91+AZ91/BG91)</f>
        <v>0</v>
      </c>
      <c r="BP91" t="s">
        <v>437</v>
      </c>
      <c r="BQ91">
        <v>0</v>
      </c>
      <c r="BR91">
        <f>IF(BQ91&lt;&gt;0, BQ91, BO91)</f>
        <v>0</v>
      </c>
      <c r="BS91">
        <f>1-BR91/BG91</f>
        <v>0</v>
      </c>
      <c r="BT91">
        <f>(BG91-BF91)/(BG91-BR91)</f>
        <v>0</v>
      </c>
      <c r="BU91">
        <f>(BA91-BG91)/(BA91-BR91)</f>
        <v>0</v>
      </c>
      <c r="BV91">
        <f>(BG91-BF91)/(BG91-AZ91)</f>
        <v>0</v>
      </c>
      <c r="BW91">
        <f>(BA91-BG91)/(BA91-AZ91)</f>
        <v>0</v>
      </c>
      <c r="BX91">
        <f>(BT91*BR91/BF91)</f>
        <v>0</v>
      </c>
      <c r="BY91">
        <f>(1-BX91)</f>
        <v>0</v>
      </c>
      <c r="DH91">
        <f>$B$11*EG91+$C$11*EH91+$F$11*ES91*(1-EV91)</f>
        <v>0</v>
      </c>
      <c r="DI91">
        <f>DH91*DJ91</f>
        <v>0</v>
      </c>
      <c r="DJ91">
        <f>($B$11*$D$9+$C$11*$D$9+$F$11*((FF91+EX91)/MAX(FF91+EX91+FG91, 0.1)*$I$9+FG91/MAX(FF91+EX91+FG91, 0.1)*$J$9))/($B$11+$C$11+$F$11)</f>
        <v>0</v>
      </c>
      <c r="DK91">
        <f>($B$11*$K$9+$C$11*$K$9+$F$11*((FF91+EX91)/MAX(FF91+EX91+FG91, 0.1)*$P$9+FG91/MAX(FF91+EX91+FG91, 0.1)*$Q$9))/($B$11+$C$11+$F$11)</f>
        <v>0</v>
      </c>
      <c r="DL91">
        <v>6</v>
      </c>
      <c r="DM91">
        <v>0.5</v>
      </c>
      <c r="DN91" t="s">
        <v>438</v>
      </c>
      <c r="DO91">
        <v>2</v>
      </c>
      <c r="DP91" t="b">
        <v>1</v>
      </c>
      <c r="DQ91">
        <v>1765310925</v>
      </c>
      <c r="DR91">
        <v>998.392266666667</v>
      </c>
      <c r="DS91">
        <v>1000.02446666667</v>
      </c>
      <c r="DT91">
        <v>18.1657</v>
      </c>
      <c r="DU91">
        <v>18.0079266666667</v>
      </c>
      <c r="DV91">
        <v>989.132266666667</v>
      </c>
      <c r="DW91">
        <v>18.0137</v>
      </c>
      <c r="DX91">
        <v>499.967066666667</v>
      </c>
      <c r="DY91">
        <v>89.68502</v>
      </c>
      <c r="DZ91">
        <v>0.09985992</v>
      </c>
      <c r="EA91">
        <v>25.4178466666667</v>
      </c>
      <c r="EB91">
        <v>24.9911466666667</v>
      </c>
      <c r="EC91">
        <v>999.9</v>
      </c>
      <c r="ED91">
        <v>0</v>
      </c>
      <c r="EE91">
        <v>0</v>
      </c>
      <c r="EF91">
        <v>10010.7506666667</v>
      </c>
      <c r="EG91">
        <v>0</v>
      </c>
      <c r="EH91">
        <v>13.3682933333333</v>
      </c>
      <c r="EI91">
        <v>-1.477726</v>
      </c>
      <c r="EJ91">
        <v>1017.022</v>
      </c>
      <c r="EK91">
        <v>1018.362</v>
      </c>
      <c r="EL91">
        <v>0.158799533333333</v>
      </c>
      <c r="EM91">
        <v>1000.02446666667</v>
      </c>
      <c r="EN91">
        <v>18.0079266666667</v>
      </c>
      <c r="EO91">
        <v>1.62928266666667</v>
      </c>
      <c r="EP91">
        <v>1.61504</v>
      </c>
      <c r="EQ91">
        <v>14.23856</v>
      </c>
      <c r="ER91">
        <v>14.10306</v>
      </c>
      <c r="ES91">
        <v>799.989</v>
      </c>
      <c r="ET91">
        <v>0.949993866666666</v>
      </c>
      <c r="EU91">
        <v>0.0500064666666667</v>
      </c>
      <c r="EV91">
        <v>0</v>
      </c>
      <c r="EW91">
        <v>931.722533333333</v>
      </c>
      <c r="EX91">
        <v>5.00016</v>
      </c>
      <c r="EY91">
        <v>7192.536</v>
      </c>
      <c r="EZ91">
        <v>7194.56066666667</v>
      </c>
      <c r="FA91">
        <v>40.4412</v>
      </c>
      <c r="FB91">
        <v>43.2582666666667</v>
      </c>
      <c r="FC91">
        <v>41.9496</v>
      </c>
      <c r="FD91">
        <v>43.3204</v>
      </c>
      <c r="FE91">
        <v>43.1166</v>
      </c>
      <c r="FF91">
        <v>755.235333333333</v>
      </c>
      <c r="FG91">
        <v>39.756</v>
      </c>
      <c r="FH91">
        <v>0</v>
      </c>
      <c r="FI91">
        <v>1765310933.5</v>
      </c>
      <c r="FJ91">
        <v>0</v>
      </c>
      <c r="FK91">
        <v>931.71152</v>
      </c>
      <c r="FL91">
        <v>-0.182384610984046</v>
      </c>
      <c r="FM91">
        <v>-9.41307690656175</v>
      </c>
      <c r="FN91">
        <v>7192.5276</v>
      </c>
      <c r="FO91">
        <v>15</v>
      </c>
      <c r="FP91">
        <v>1765310960</v>
      </c>
      <c r="FQ91" t="s">
        <v>671</v>
      </c>
      <c r="FR91">
        <v>1765310960</v>
      </c>
      <c r="FS91">
        <v>1765310955</v>
      </c>
      <c r="FT91">
        <v>75</v>
      </c>
      <c r="FU91">
        <v>-0.158</v>
      </c>
      <c r="FV91">
        <v>0.002</v>
      </c>
      <c r="FW91">
        <v>9.26</v>
      </c>
      <c r="FX91">
        <v>0.152</v>
      </c>
      <c r="FY91">
        <v>1000</v>
      </c>
      <c r="FZ91">
        <v>18</v>
      </c>
      <c r="GA91">
        <v>0.92</v>
      </c>
      <c r="GB91">
        <v>0.26</v>
      </c>
      <c r="GC91">
        <v>-1.4997215</v>
      </c>
      <c r="GD91">
        <v>0.427420601503761</v>
      </c>
      <c r="GE91">
        <v>0.0835186524241741</v>
      </c>
      <c r="GF91">
        <v>1</v>
      </c>
      <c r="GG91">
        <v>931.764205882353</v>
      </c>
      <c r="GH91">
        <v>-0.580305574612018</v>
      </c>
      <c r="GI91">
        <v>0.188574806409704</v>
      </c>
      <c r="GJ91">
        <v>-1</v>
      </c>
      <c r="GK91">
        <v>0.16013075</v>
      </c>
      <c r="GL91">
        <v>-0.0160915939849622</v>
      </c>
      <c r="GM91">
        <v>0.00246772358409527</v>
      </c>
      <c r="GN91">
        <v>1</v>
      </c>
      <c r="GO91">
        <v>2</v>
      </c>
      <c r="GP91">
        <v>2</v>
      </c>
      <c r="GQ91" t="s">
        <v>440</v>
      </c>
      <c r="GR91">
        <v>3.12489</v>
      </c>
      <c r="GS91">
        <v>2.72591</v>
      </c>
      <c r="GT91">
        <v>0.162842</v>
      </c>
      <c r="GU91">
        <v>0.163706</v>
      </c>
      <c r="GV91">
        <v>0.0829912</v>
      </c>
      <c r="GW91">
        <v>0.0826223</v>
      </c>
      <c r="GX91">
        <v>21979.9</v>
      </c>
      <c r="GY91">
        <v>20423.6</v>
      </c>
      <c r="GZ91">
        <v>23475.1</v>
      </c>
      <c r="HA91">
        <v>23774.2</v>
      </c>
      <c r="HB91">
        <v>36673.5</v>
      </c>
      <c r="HC91">
        <v>36076.9</v>
      </c>
      <c r="HD91">
        <v>42294.2</v>
      </c>
      <c r="HE91">
        <v>42359.1</v>
      </c>
      <c r="HF91">
        <v>1.92342</v>
      </c>
      <c r="HG91">
        <v>1.8384</v>
      </c>
      <c r="HH91">
        <v>0.0761896</v>
      </c>
      <c r="HI91">
        <v>0</v>
      </c>
      <c r="HJ91">
        <v>23.7234</v>
      </c>
      <c r="HK91">
        <v>999.9</v>
      </c>
      <c r="HL91">
        <v>48.224</v>
      </c>
      <c r="HM91">
        <v>28.701</v>
      </c>
      <c r="HN91">
        <v>21.2527</v>
      </c>
      <c r="HO91">
        <v>54.7266</v>
      </c>
      <c r="HP91">
        <v>45.8974</v>
      </c>
      <c r="HQ91">
        <v>1</v>
      </c>
      <c r="HR91">
        <v>-0.0253811</v>
      </c>
      <c r="HS91">
        <v>1.50696</v>
      </c>
      <c r="HT91">
        <v>20.2252</v>
      </c>
      <c r="HU91">
        <v>5.23451</v>
      </c>
      <c r="HV91">
        <v>11.992</v>
      </c>
      <c r="HW91">
        <v>4.95585</v>
      </c>
      <c r="HX91">
        <v>3.30398</v>
      </c>
      <c r="HY91">
        <v>999.9</v>
      </c>
      <c r="HZ91">
        <v>9999</v>
      </c>
      <c r="IA91">
        <v>9999</v>
      </c>
      <c r="IB91">
        <v>9999</v>
      </c>
      <c r="IC91">
        <v>1.86861</v>
      </c>
      <c r="ID91">
        <v>1.86439</v>
      </c>
      <c r="IE91">
        <v>1.87196</v>
      </c>
      <c r="IF91">
        <v>1.86294</v>
      </c>
      <c r="IG91">
        <v>1.86232</v>
      </c>
      <c r="IH91">
        <v>1.86873</v>
      </c>
      <c r="II91">
        <v>1.85889</v>
      </c>
      <c r="IJ91">
        <v>1.86523</v>
      </c>
      <c r="IK91">
        <v>5</v>
      </c>
      <c r="IL91">
        <v>0</v>
      </c>
      <c r="IM91">
        <v>0</v>
      </c>
      <c r="IN91">
        <v>0</v>
      </c>
      <c r="IO91" t="s">
        <v>441</v>
      </c>
      <c r="IP91" t="s">
        <v>442</v>
      </c>
      <c r="IQ91" t="s">
        <v>443</v>
      </c>
      <c r="IR91" t="s">
        <v>443</v>
      </c>
      <c r="IS91" t="s">
        <v>443</v>
      </c>
      <c r="IT91" t="s">
        <v>443</v>
      </c>
      <c r="IU91">
        <v>0</v>
      </c>
      <c r="IV91">
        <v>100</v>
      </c>
      <c r="IW91">
        <v>100</v>
      </c>
      <c r="IX91">
        <v>9.26</v>
      </c>
      <c r="IY91">
        <v>0.152</v>
      </c>
      <c r="IZ91">
        <v>5.60039815438276</v>
      </c>
      <c r="JA91">
        <v>0.0062698613543794</v>
      </c>
      <c r="JB91">
        <v>-3.23243345529816e-06</v>
      </c>
      <c r="JC91">
        <v>8.00506428382295e-10</v>
      </c>
      <c r="JD91">
        <v>-0.0110357034396696</v>
      </c>
      <c r="JE91">
        <v>-0.0018464610107002</v>
      </c>
      <c r="JF91">
        <v>0.000796540623429801</v>
      </c>
      <c r="JG91">
        <v>-1.04619914107352e-05</v>
      </c>
      <c r="JH91">
        <v>-0</v>
      </c>
      <c r="JI91">
        <v>2101</v>
      </c>
      <c r="JJ91">
        <v>1</v>
      </c>
      <c r="JK91">
        <v>23</v>
      </c>
      <c r="JL91">
        <v>1.3</v>
      </c>
      <c r="JM91">
        <v>1.3</v>
      </c>
      <c r="JN91">
        <v>2.10327</v>
      </c>
      <c r="JO91">
        <v>2.34253</v>
      </c>
      <c r="JP91">
        <v>1.4978</v>
      </c>
      <c r="JQ91">
        <v>2.33887</v>
      </c>
      <c r="JR91">
        <v>1.54419</v>
      </c>
      <c r="JS91">
        <v>2.37305</v>
      </c>
      <c r="JT91">
        <v>34.9674</v>
      </c>
      <c r="JU91">
        <v>24.3414</v>
      </c>
      <c r="JV91">
        <v>18</v>
      </c>
      <c r="JW91">
        <v>549.086</v>
      </c>
      <c r="JX91">
        <v>437.413</v>
      </c>
      <c r="JY91">
        <v>21.8084</v>
      </c>
      <c r="JZ91">
        <v>27.0598</v>
      </c>
      <c r="KA91">
        <v>30.0002</v>
      </c>
      <c r="KB91">
        <v>26.8986</v>
      </c>
      <c r="KC91">
        <v>26.9146</v>
      </c>
      <c r="KD91">
        <v>42.122</v>
      </c>
      <c r="KE91">
        <v>27.8912</v>
      </c>
      <c r="KF91">
        <v>100</v>
      </c>
      <c r="KG91">
        <v>21.8126</v>
      </c>
      <c r="KH91">
        <v>1000</v>
      </c>
      <c r="KI91">
        <v>17.969</v>
      </c>
      <c r="KJ91">
        <v>94.8143</v>
      </c>
      <c r="KK91">
        <v>98.7517</v>
      </c>
    </row>
    <row r="92" spans="1:297">
      <c r="A92">
        <v>76</v>
      </c>
      <c r="B92">
        <v>1765311031.1</v>
      </c>
      <c r="C92">
        <v>13082.0999999046</v>
      </c>
      <c r="D92" t="s">
        <v>672</v>
      </c>
      <c r="E92" t="s">
        <v>673</v>
      </c>
      <c r="F92">
        <v>5</v>
      </c>
      <c r="G92" t="s">
        <v>643</v>
      </c>
      <c r="H92" t="s">
        <v>436</v>
      </c>
      <c r="I92">
        <v>1765311022.6</v>
      </c>
      <c r="J92">
        <f>(K92)/1000</f>
        <v>0</v>
      </c>
      <c r="K92">
        <f>IF(DP92, AN92, AH92)</f>
        <v>0</v>
      </c>
      <c r="L92">
        <f>IF(DP92, AI92, AG92)</f>
        <v>0</v>
      </c>
      <c r="M92">
        <f>DR92 - IF(AU92&gt;1, L92*DL92*100.0/(AW92), 0)</f>
        <v>0</v>
      </c>
      <c r="N92">
        <f>((T92-J92/2)*M92-L92)/(T92+J92/2)</f>
        <v>0</v>
      </c>
      <c r="O92">
        <f>N92*(DY92+DZ92)/1000.0</f>
        <v>0</v>
      </c>
      <c r="P92">
        <f>(DR92 - IF(AU92&gt;1, L92*DL92*100.0/(AW92), 0))*(DY92+DZ92)/1000.0</f>
        <v>0</v>
      </c>
      <c r="Q92">
        <f>2.0/((1/S92-1/R92)+SIGN(S92)*SQRT((1/S92-1/R92)*(1/S92-1/R92) + 4*DM92/((DM92+1)*(DM92+1))*(2*1/S92*1/R92-1/R92*1/R92)))</f>
        <v>0</v>
      </c>
      <c r="R92">
        <f>IF(LEFT(DN92,1)&lt;&gt;"0",IF(LEFT(DN92,1)="1",3.0,DO92),$D$5+$E$5*(EF92*DY92/($K$5*1000))+$F$5*(EF92*DY92/($K$5*1000))*MAX(MIN(DL92,$J$5),$I$5)*MAX(MIN(DL92,$J$5),$I$5)+$G$5*MAX(MIN(DL92,$J$5),$I$5)*(EF92*DY92/($K$5*1000))+$H$5*(EF92*DY92/($K$5*1000))*(EF92*DY92/($K$5*1000)))</f>
        <v>0</v>
      </c>
      <c r="S92">
        <f>J92*(1000-(1000*0.61365*exp(17.502*W92/(240.97+W92))/(DY92+DZ92)+DT92)/2)/(1000*0.61365*exp(17.502*W92/(240.97+W92))/(DY92+DZ92)-DT92)</f>
        <v>0</v>
      </c>
      <c r="T92">
        <f>1/((DM92+1)/(Q92/1.6)+1/(R92/1.37)) + DM92/((DM92+1)/(Q92/1.6) + DM92/(R92/1.37))</f>
        <v>0</v>
      </c>
      <c r="U92">
        <f>(DH92*DK92)</f>
        <v>0</v>
      </c>
      <c r="V92">
        <f>(EA92+(U92+2*0.95*5.67E-8*(((EA92+$B$7)+273)^4-(EA92+273)^4)-44100*J92)/(1.84*29.3*R92+8*0.95*5.67E-8*(EA92+273)^3))</f>
        <v>0</v>
      </c>
      <c r="W92">
        <f>($C$7*EB92+$D$7*EC92+$E$7*V92)</f>
        <v>0</v>
      </c>
      <c r="X92">
        <f>0.61365*exp(17.502*W92/(240.97+W92))</f>
        <v>0</v>
      </c>
      <c r="Y92">
        <f>(Z92/AA92*100)</f>
        <v>0</v>
      </c>
      <c r="Z92">
        <f>DT92*(DY92+DZ92)/1000</f>
        <v>0</v>
      </c>
      <c r="AA92">
        <f>0.61365*exp(17.502*EA92/(240.97+EA92))</f>
        <v>0</v>
      </c>
      <c r="AB92">
        <f>(X92-DT92*(DY92+DZ92)/1000)</f>
        <v>0</v>
      </c>
      <c r="AC92">
        <f>(-J92*44100)</f>
        <v>0</v>
      </c>
      <c r="AD92">
        <f>2*29.3*R92*0.92*(EA92-W92)</f>
        <v>0</v>
      </c>
      <c r="AE92">
        <f>2*0.95*5.67E-8*(((EA92+$B$7)+273)^4-(W92+273)^4)</f>
        <v>0</v>
      </c>
      <c r="AF92">
        <f>U92+AE92+AC92+AD92</f>
        <v>0</v>
      </c>
      <c r="AG92">
        <f>DX92*AU92*(DS92-DR92*(1000-AU92*DU92)/(1000-AU92*DT92))/(100*DL92)</f>
        <v>0</v>
      </c>
      <c r="AH92">
        <f>1000*DX92*AU92*(DT92-DU92)/(100*DL92*(1000-AU92*DT92))</f>
        <v>0</v>
      </c>
      <c r="AI92">
        <f>(AJ92 - AK92 - DY92*1E3/(8.314*(EA92+273.15)) * AM92/DX92 * AL92) * DX92/(100*DL92) * (1000 - DU92)/1000</f>
        <v>0</v>
      </c>
      <c r="AJ92">
        <v>1222.0250721241</v>
      </c>
      <c r="AK92">
        <v>1219.71818181818</v>
      </c>
      <c r="AL92">
        <v>-0.00199671074996539</v>
      </c>
      <c r="AM92">
        <v>63.2473578185021</v>
      </c>
      <c r="AN92">
        <f>(AP92 - AO92 + DY92*1E3/(8.314*(EA92+273.15)) * AR92/DX92 * AQ92) * DX92/(100*DL92) * 1000/(1000 - AP92)</f>
        <v>0</v>
      </c>
      <c r="AO92">
        <v>18.0119044368171</v>
      </c>
      <c r="AP92">
        <v>18.1781654545455</v>
      </c>
      <c r="AQ92">
        <v>1.5863078646385e-06</v>
      </c>
      <c r="AR92">
        <v>108.46278231843</v>
      </c>
      <c r="AS92">
        <v>0</v>
      </c>
      <c r="AT92">
        <v>0</v>
      </c>
      <c r="AU92">
        <f>IF(AS92*$H$13&gt;=AW92,1.0,(AW92/(AW92-AS92*$H$13)))</f>
        <v>0</v>
      </c>
      <c r="AV92">
        <f>(AU92-1)*100</f>
        <v>0</v>
      </c>
      <c r="AW92">
        <f>MAX(0,($B$13+$C$13*EF92)/(1+$D$13*EF92)*DY92/(EA92+273)*$E$13)</f>
        <v>0</v>
      </c>
      <c r="AX92" t="s">
        <v>437</v>
      </c>
      <c r="AY92" t="s">
        <v>437</v>
      </c>
      <c r="AZ92">
        <v>0</v>
      </c>
      <c r="BA92">
        <v>0</v>
      </c>
      <c r="BB92">
        <f>1-AZ92/BA92</f>
        <v>0</v>
      </c>
      <c r="BC92">
        <v>0</v>
      </c>
      <c r="BD92" t="s">
        <v>437</v>
      </c>
      <c r="BE92" t="s">
        <v>437</v>
      </c>
      <c r="BF92">
        <v>0</v>
      </c>
      <c r="BG92">
        <v>0</v>
      </c>
      <c r="BH92">
        <f>1-BF92/BG92</f>
        <v>0</v>
      </c>
      <c r="BI92">
        <v>0.5</v>
      </c>
      <c r="BJ92">
        <f>DI92</f>
        <v>0</v>
      </c>
      <c r="BK92">
        <f>L92</f>
        <v>0</v>
      </c>
      <c r="BL92">
        <f>BH92*BI92*BJ92</f>
        <v>0</v>
      </c>
      <c r="BM92">
        <f>(BK92-BC92)/BJ92</f>
        <v>0</v>
      </c>
      <c r="BN92">
        <f>(BA92-BG92)/BG92</f>
        <v>0</v>
      </c>
      <c r="BO92">
        <f>AZ92/(BB92+AZ92/BG92)</f>
        <v>0</v>
      </c>
      <c r="BP92" t="s">
        <v>437</v>
      </c>
      <c r="BQ92">
        <v>0</v>
      </c>
      <c r="BR92">
        <f>IF(BQ92&lt;&gt;0, BQ92, BO92)</f>
        <v>0</v>
      </c>
      <c r="BS92">
        <f>1-BR92/BG92</f>
        <v>0</v>
      </c>
      <c r="BT92">
        <f>(BG92-BF92)/(BG92-BR92)</f>
        <v>0</v>
      </c>
      <c r="BU92">
        <f>(BA92-BG92)/(BA92-BR92)</f>
        <v>0</v>
      </c>
      <c r="BV92">
        <f>(BG92-BF92)/(BG92-AZ92)</f>
        <v>0</v>
      </c>
      <c r="BW92">
        <f>(BA92-BG92)/(BA92-AZ92)</f>
        <v>0</v>
      </c>
      <c r="BX92">
        <f>(BT92*BR92/BF92)</f>
        <v>0</v>
      </c>
      <c r="BY92">
        <f>(1-BX92)</f>
        <v>0</v>
      </c>
      <c r="DH92">
        <f>$B$11*EG92+$C$11*EH92+$F$11*ES92*(1-EV92)</f>
        <v>0</v>
      </c>
      <c r="DI92">
        <f>DH92*DJ92</f>
        <v>0</v>
      </c>
      <c r="DJ92">
        <f>($B$11*$D$9+$C$11*$D$9+$F$11*((FF92+EX92)/MAX(FF92+EX92+FG92, 0.1)*$I$9+FG92/MAX(FF92+EX92+FG92, 0.1)*$J$9))/($B$11+$C$11+$F$11)</f>
        <v>0</v>
      </c>
      <c r="DK92">
        <f>($B$11*$K$9+$C$11*$K$9+$F$11*((FF92+EX92)/MAX(FF92+EX92+FG92, 0.1)*$P$9+FG92/MAX(FF92+EX92+FG92, 0.1)*$Q$9))/($B$11+$C$11+$F$11)</f>
        <v>0</v>
      </c>
      <c r="DL92">
        <v>6</v>
      </c>
      <c r="DM92">
        <v>0.5</v>
      </c>
      <c r="DN92" t="s">
        <v>438</v>
      </c>
      <c r="DO92">
        <v>2</v>
      </c>
      <c r="DP92" t="b">
        <v>1</v>
      </c>
      <c r="DQ92">
        <v>1765311022.6</v>
      </c>
      <c r="DR92">
        <v>1198.131</v>
      </c>
      <c r="DS92">
        <v>1200.044375</v>
      </c>
      <c r="DT92">
        <v>18.1771125</v>
      </c>
      <c r="DU92">
        <v>18.0114125</v>
      </c>
      <c r="DV92">
        <v>1187.9</v>
      </c>
      <c r="DW92">
        <v>18.0221125</v>
      </c>
      <c r="DX92">
        <v>499.995625</v>
      </c>
      <c r="DY92">
        <v>89.69124375</v>
      </c>
      <c r="DZ92">
        <v>0.10004645625</v>
      </c>
      <c r="EA92">
        <v>25.41874375</v>
      </c>
      <c r="EB92">
        <v>24.98179375</v>
      </c>
      <c r="EC92">
        <v>999.9</v>
      </c>
      <c r="ED92">
        <v>0</v>
      </c>
      <c r="EE92">
        <v>0</v>
      </c>
      <c r="EF92">
        <v>9996.839375</v>
      </c>
      <c r="EG92">
        <v>0</v>
      </c>
      <c r="EH92">
        <v>13.2984</v>
      </c>
      <c r="EI92">
        <v>-2.474059375</v>
      </c>
      <c r="EJ92">
        <v>1219.74375</v>
      </c>
      <c r="EK92">
        <v>1222.055625</v>
      </c>
      <c r="EL92">
        <v>0.16577075</v>
      </c>
      <c r="EM92">
        <v>1200.044375</v>
      </c>
      <c r="EN92">
        <v>18.0114125</v>
      </c>
      <c r="EO92">
        <v>1.630333125</v>
      </c>
      <c r="EP92">
        <v>1.615465</v>
      </c>
      <c r="EQ92">
        <v>14.24855</v>
      </c>
      <c r="ER92">
        <v>14.107125</v>
      </c>
      <c r="ES92">
        <v>799.9845</v>
      </c>
      <c r="ET92">
        <v>0.9499928125</v>
      </c>
      <c r="EU92">
        <v>0.05000755</v>
      </c>
      <c r="EV92">
        <v>0</v>
      </c>
      <c r="EW92">
        <v>930.48075</v>
      </c>
      <c r="EX92">
        <v>5.00016</v>
      </c>
      <c r="EY92">
        <v>7183.998125</v>
      </c>
      <c r="EZ92">
        <v>7194.519375</v>
      </c>
      <c r="FA92">
        <v>40.4881875</v>
      </c>
      <c r="FB92">
        <v>43.25</v>
      </c>
      <c r="FC92">
        <v>41.9960625</v>
      </c>
      <c r="FD92">
        <v>43.312</v>
      </c>
      <c r="FE92">
        <v>43.125</v>
      </c>
      <c r="FF92">
        <v>755.23</v>
      </c>
      <c r="FG92">
        <v>39.756875</v>
      </c>
      <c r="FH92">
        <v>0</v>
      </c>
      <c r="FI92">
        <v>1765311031.9</v>
      </c>
      <c r="FJ92">
        <v>0</v>
      </c>
      <c r="FK92">
        <v>930.47476</v>
      </c>
      <c r="FL92">
        <v>0.850153841936958</v>
      </c>
      <c r="FM92">
        <v>-6.57923072913657</v>
      </c>
      <c r="FN92">
        <v>7184.0984</v>
      </c>
      <c r="FO92">
        <v>15</v>
      </c>
      <c r="FP92">
        <v>1765311054.1</v>
      </c>
      <c r="FQ92" t="s">
        <v>674</v>
      </c>
      <c r="FR92">
        <v>1765311054.1</v>
      </c>
      <c r="FS92">
        <v>1765311049.1</v>
      </c>
      <c r="FT92">
        <v>76</v>
      </c>
      <c r="FU92">
        <v>0.557</v>
      </c>
      <c r="FV92">
        <v>0.003</v>
      </c>
      <c r="FW92">
        <v>10.231</v>
      </c>
      <c r="FX92">
        <v>0.155</v>
      </c>
      <c r="FY92">
        <v>1200</v>
      </c>
      <c r="FZ92">
        <v>18</v>
      </c>
      <c r="GA92">
        <v>0.88</v>
      </c>
      <c r="GB92">
        <v>0.14</v>
      </c>
      <c r="GC92">
        <v>-2.50778904761905</v>
      </c>
      <c r="GD92">
        <v>0.491287012987013</v>
      </c>
      <c r="GE92">
        <v>0.0648148225922466</v>
      </c>
      <c r="GF92">
        <v>1</v>
      </c>
      <c r="GG92">
        <v>930.508147058824</v>
      </c>
      <c r="GH92">
        <v>-0.581405650382537</v>
      </c>
      <c r="GI92">
        <v>0.193187524312963</v>
      </c>
      <c r="GJ92">
        <v>-1</v>
      </c>
      <c r="GK92">
        <v>0.16687280952381</v>
      </c>
      <c r="GL92">
        <v>-0.0100905194805195</v>
      </c>
      <c r="GM92">
        <v>0.00231019039864781</v>
      </c>
      <c r="GN92">
        <v>1</v>
      </c>
      <c r="GO92">
        <v>2</v>
      </c>
      <c r="GP92">
        <v>2</v>
      </c>
      <c r="GQ92" t="s">
        <v>440</v>
      </c>
      <c r="GR92">
        <v>3.12496</v>
      </c>
      <c r="GS92">
        <v>2.7251</v>
      </c>
      <c r="GT92">
        <v>0.183005</v>
      </c>
      <c r="GU92">
        <v>0.183811</v>
      </c>
      <c r="GV92">
        <v>0.0830024</v>
      </c>
      <c r="GW92">
        <v>0.0826244</v>
      </c>
      <c r="GX92">
        <v>21449</v>
      </c>
      <c r="GY92">
        <v>19931.8</v>
      </c>
      <c r="GZ92">
        <v>23473.3</v>
      </c>
      <c r="HA92">
        <v>23773.1</v>
      </c>
      <c r="HB92">
        <v>36672.2</v>
      </c>
      <c r="HC92">
        <v>36076.9</v>
      </c>
      <c r="HD92">
        <v>42291.2</v>
      </c>
      <c r="HE92">
        <v>42357.4</v>
      </c>
      <c r="HF92">
        <v>1.92353</v>
      </c>
      <c r="HG92">
        <v>1.83818</v>
      </c>
      <c r="HH92">
        <v>0.0786223</v>
      </c>
      <c r="HI92">
        <v>0</v>
      </c>
      <c r="HJ92">
        <v>23.6998</v>
      </c>
      <c r="HK92">
        <v>999.9</v>
      </c>
      <c r="HL92">
        <v>48.272</v>
      </c>
      <c r="HM92">
        <v>28.721</v>
      </c>
      <c r="HN92">
        <v>21.2973</v>
      </c>
      <c r="HO92">
        <v>54.2212</v>
      </c>
      <c r="HP92">
        <v>45.9054</v>
      </c>
      <c r="HQ92">
        <v>1</v>
      </c>
      <c r="HR92">
        <v>-0.0243471</v>
      </c>
      <c r="HS92">
        <v>1.38208</v>
      </c>
      <c r="HT92">
        <v>20.226</v>
      </c>
      <c r="HU92">
        <v>5.23331</v>
      </c>
      <c r="HV92">
        <v>11.992</v>
      </c>
      <c r="HW92">
        <v>4.95595</v>
      </c>
      <c r="HX92">
        <v>3.304</v>
      </c>
      <c r="HY92">
        <v>999.9</v>
      </c>
      <c r="HZ92">
        <v>9999</v>
      </c>
      <c r="IA92">
        <v>9999</v>
      </c>
      <c r="IB92">
        <v>9999</v>
      </c>
      <c r="IC92">
        <v>1.86865</v>
      </c>
      <c r="ID92">
        <v>1.86435</v>
      </c>
      <c r="IE92">
        <v>1.87196</v>
      </c>
      <c r="IF92">
        <v>1.86293</v>
      </c>
      <c r="IG92">
        <v>1.86234</v>
      </c>
      <c r="IH92">
        <v>1.8687</v>
      </c>
      <c r="II92">
        <v>1.8589</v>
      </c>
      <c r="IJ92">
        <v>1.86523</v>
      </c>
      <c r="IK92">
        <v>5</v>
      </c>
      <c r="IL92">
        <v>0</v>
      </c>
      <c r="IM92">
        <v>0</v>
      </c>
      <c r="IN92">
        <v>0</v>
      </c>
      <c r="IO92" t="s">
        <v>441</v>
      </c>
      <c r="IP92" t="s">
        <v>442</v>
      </c>
      <c r="IQ92" t="s">
        <v>443</v>
      </c>
      <c r="IR92" t="s">
        <v>443</v>
      </c>
      <c r="IS92" t="s">
        <v>443</v>
      </c>
      <c r="IT92" t="s">
        <v>443</v>
      </c>
      <c r="IU92">
        <v>0</v>
      </c>
      <c r="IV92">
        <v>100</v>
      </c>
      <c r="IW92">
        <v>100</v>
      </c>
      <c r="IX92">
        <v>10.231</v>
      </c>
      <c r="IY92">
        <v>0.155</v>
      </c>
      <c r="IZ92">
        <v>5.44216768467742</v>
      </c>
      <c r="JA92">
        <v>0.0062698613543794</v>
      </c>
      <c r="JB92">
        <v>-3.23243345529816e-06</v>
      </c>
      <c r="JC92">
        <v>8.00506428382295e-10</v>
      </c>
      <c r="JD92">
        <v>-0.00912543171990615</v>
      </c>
      <c r="JE92">
        <v>-0.0018464610107002</v>
      </c>
      <c r="JF92">
        <v>0.000796540623429801</v>
      </c>
      <c r="JG92">
        <v>-1.04619914107352e-05</v>
      </c>
      <c r="JH92">
        <v>-0</v>
      </c>
      <c r="JI92">
        <v>2101</v>
      </c>
      <c r="JJ92">
        <v>1</v>
      </c>
      <c r="JK92">
        <v>23</v>
      </c>
      <c r="JL92">
        <v>1.2</v>
      </c>
      <c r="JM92">
        <v>1.3</v>
      </c>
      <c r="JN92">
        <v>2.4353</v>
      </c>
      <c r="JO92">
        <v>2.34741</v>
      </c>
      <c r="JP92">
        <v>1.49902</v>
      </c>
      <c r="JQ92">
        <v>2.33887</v>
      </c>
      <c r="JR92">
        <v>1.54419</v>
      </c>
      <c r="JS92">
        <v>2.28882</v>
      </c>
      <c r="JT92">
        <v>34.9904</v>
      </c>
      <c r="JU92">
        <v>24.3414</v>
      </c>
      <c r="JV92">
        <v>18</v>
      </c>
      <c r="JW92">
        <v>549.634</v>
      </c>
      <c r="JX92">
        <v>437.725</v>
      </c>
      <c r="JY92">
        <v>21.8921</v>
      </c>
      <c r="JZ92">
        <v>27.0871</v>
      </c>
      <c r="KA92">
        <v>30.0001</v>
      </c>
      <c r="KB92">
        <v>26.9537</v>
      </c>
      <c r="KC92">
        <v>26.9723</v>
      </c>
      <c r="KD92">
        <v>48.7421</v>
      </c>
      <c r="KE92">
        <v>28.1676</v>
      </c>
      <c r="KF92">
        <v>100</v>
      </c>
      <c r="KG92">
        <v>21.8995</v>
      </c>
      <c r="KH92">
        <v>1200</v>
      </c>
      <c r="KI92">
        <v>17.9619</v>
      </c>
      <c r="KJ92">
        <v>94.8074</v>
      </c>
      <c r="KK92">
        <v>98.7477</v>
      </c>
    </row>
    <row r="93" spans="1:297">
      <c r="A93">
        <v>77</v>
      </c>
      <c r="B93">
        <v>1765311141.1</v>
      </c>
      <c r="C93">
        <v>13192.0999999046</v>
      </c>
      <c r="D93" t="s">
        <v>675</v>
      </c>
      <c r="E93" t="s">
        <v>676</v>
      </c>
      <c r="F93">
        <v>5</v>
      </c>
      <c r="G93" t="s">
        <v>643</v>
      </c>
      <c r="H93" t="s">
        <v>436</v>
      </c>
      <c r="I93">
        <v>1765311132.6</v>
      </c>
      <c r="J93">
        <f>(K93)/1000</f>
        <v>0</v>
      </c>
      <c r="K93">
        <f>IF(DP93, AN93, AH93)</f>
        <v>0</v>
      </c>
      <c r="L93">
        <f>IF(DP93, AI93, AG93)</f>
        <v>0</v>
      </c>
      <c r="M93">
        <f>DR93 - IF(AU93&gt;1, L93*DL93*100.0/(AW93), 0)</f>
        <v>0</v>
      </c>
      <c r="N93">
        <f>((T93-J93/2)*M93-L93)/(T93+J93/2)</f>
        <v>0</v>
      </c>
      <c r="O93">
        <f>N93*(DY93+DZ93)/1000.0</f>
        <v>0</v>
      </c>
      <c r="P93">
        <f>(DR93 - IF(AU93&gt;1, L93*DL93*100.0/(AW93), 0))*(DY93+DZ93)/1000.0</f>
        <v>0</v>
      </c>
      <c r="Q93">
        <f>2.0/((1/S93-1/R93)+SIGN(S93)*SQRT((1/S93-1/R93)*(1/S93-1/R93) + 4*DM93/((DM93+1)*(DM93+1))*(2*1/S93*1/R93-1/R93*1/R93)))</f>
        <v>0</v>
      </c>
      <c r="R93">
        <f>IF(LEFT(DN93,1)&lt;&gt;"0",IF(LEFT(DN93,1)="1",3.0,DO93),$D$5+$E$5*(EF93*DY93/($K$5*1000))+$F$5*(EF93*DY93/($K$5*1000))*MAX(MIN(DL93,$J$5),$I$5)*MAX(MIN(DL93,$J$5),$I$5)+$G$5*MAX(MIN(DL93,$J$5),$I$5)*(EF93*DY93/($K$5*1000))+$H$5*(EF93*DY93/($K$5*1000))*(EF93*DY93/($K$5*1000)))</f>
        <v>0</v>
      </c>
      <c r="S93">
        <f>J93*(1000-(1000*0.61365*exp(17.502*W93/(240.97+W93))/(DY93+DZ93)+DT93)/2)/(1000*0.61365*exp(17.502*W93/(240.97+W93))/(DY93+DZ93)-DT93)</f>
        <v>0</v>
      </c>
      <c r="T93">
        <f>1/((DM93+1)/(Q93/1.6)+1/(R93/1.37)) + DM93/((DM93+1)/(Q93/1.6) + DM93/(R93/1.37))</f>
        <v>0</v>
      </c>
      <c r="U93">
        <f>(DH93*DK93)</f>
        <v>0</v>
      </c>
      <c r="V93">
        <f>(EA93+(U93+2*0.95*5.67E-8*(((EA93+$B$7)+273)^4-(EA93+273)^4)-44100*J93)/(1.84*29.3*R93+8*0.95*5.67E-8*(EA93+273)^3))</f>
        <v>0</v>
      </c>
      <c r="W93">
        <f>($C$7*EB93+$D$7*EC93+$E$7*V93)</f>
        <v>0</v>
      </c>
      <c r="X93">
        <f>0.61365*exp(17.502*W93/(240.97+W93))</f>
        <v>0</v>
      </c>
      <c r="Y93">
        <f>(Z93/AA93*100)</f>
        <v>0</v>
      </c>
      <c r="Z93">
        <f>DT93*(DY93+DZ93)/1000</f>
        <v>0</v>
      </c>
      <c r="AA93">
        <f>0.61365*exp(17.502*EA93/(240.97+EA93))</f>
        <v>0</v>
      </c>
      <c r="AB93">
        <f>(X93-DT93*(DY93+DZ93)/1000)</f>
        <v>0</v>
      </c>
      <c r="AC93">
        <f>(-J93*44100)</f>
        <v>0</v>
      </c>
      <c r="AD93">
        <f>2*29.3*R93*0.92*(EA93-W93)</f>
        <v>0</v>
      </c>
      <c r="AE93">
        <f>2*0.95*5.67E-8*(((EA93+$B$7)+273)^4-(W93+273)^4)</f>
        <v>0</v>
      </c>
      <c r="AF93">
        <f>U93+AE93+AC93+AD93</f>
        <v>0</v>
      </c>
      <c r="AG93">
        <f>DX93*AU93*(DS93-DR93*(1000-AU93*DU93)/(1000-AU93*DT93))/(100*DL93)</f>
        <v>0</v>
      </c>
      <c r="AH93">
        <f>1000*DX93*AU93*(DT93-DU93)/(100*DL93*(1000-AU93*DT93))</f>
        <v>0</v>
      </c>
      <c r="AI93">
        <f>(AJ93 - AK93 - DY93*1E3/(8.314*(EA93+273.15)) * AM93/DX93 * AL93) * DX93/(100*DL93) * (1000 - DU93)/1000</f>
        <v>0</v>
      </c>
      <c r="AJ93">
        <v>1527.51560788915</v>
      </c>
      <c r="AK93">
        <v>1525.60812121212</v>
      </c>
      <c r="AL93">
        <v>-0.00121136075307988</v>
      </c>
      <c r="AM93">
        <v>63.223772387497</v>
      </c>
      <c r="AN93">
        <f>(AP93 - AO93 + DY93*1E3/(8.314*(EA93+273.15)) * AR93/DX93 * AQ93) * DX93/(100*DL93) * 1000/(1000 - AP93)</f>
        <v>0</v>
      </c>
      <c r="AO93">
        <v>17.9778962376422</v>
      </c>
      <c r="AP93">
        <v>18.1556478787879</v>
      </c>
      <c r="AQ93">
        <v>-3.95362918953499e-05</v>
      </c>
      <c r="AR93">
        <v>108.615817534375</v>
      </c>
      <c r="AS93">
        <v>0</v>
      </c>
      <c r="AT93">
        <v>0</v>
      </c>
      <c r="AU93">
        <f>IF(AS93*$H$13&gt;=AW93,1.0,(AW93/(AW93-AS93*$H$13)))</f>
        <v>0</v>
      </c>
      <c r="AV93">
        <f>(AU93-1)*100</f>
        <v>0</v>
      </c>
      <c r="AW93">
        <f>MAX(0,($B$13+$C$13*EF93)/(1+$D$13*EF93)*DY93/(EA93+273)*$E$13)</f>
        <v>0</v>
      </c>
      <c r="AX93" t="s">
        <v>437</v>
      </c>
      <c r="AY93" t="s">
        <v>437</v>
      </c>
      <c r="AZ93">
        <v>0</v>
      </c>
      <c r="BA93">
        <v>0</v>
      </c>
      <c r="BB93">
        <f>1-AZ93/BA93</f>
        <v>0</v>
      </c>
      <c r="BC93">
        <v>0</v>
      </c>
      <c r="BD93" t="s">
        <v>437</v>
      </c>
      <c r="BE93" t="s">
        <v>437</v>
      </c>
      <c r="BF93">
        <v>0</v>
      </c>
      <c r="BG93">
        <v>0</v>
      </c>
      <c r="BH93">
        <f>1-BF93/BG93</f>
        <v>0</v>
      </c>
      <c r="BI93">
        <v>0.5</v>
      </c>
      <c r="BJ93">
        <f>DI93</f>
        <v>0</v>
      </c>
      <c r="BK93">
        <f>L93</f>
        <v>0</v>
      </c>
      <c r="BL93">
        <f>BH93*BI93*BJ93</f>
        <v>0</v>
      </c>
      <c r="BM93">
        <f>(BK93-BC93)/BJ93</f>
        <v>0</v>
      </c>
      <c r="BN93">
        <f>(BA93-BG93)/BG93</f>
        <v>0</v>
      </c>
      <c r="BO93">
        <f>AZ93/(BB93+AZ93/BG93)</f>
        <v>0</v>
      </c>
      <c r="BP93" t="s">
        <v>437</v>
      </c>
      <c r="BQ93">
        <v>0</v>
      </c>
      <c r="BR93">
        <f>IF(BQ93&lt;&gt;0, BQ93, BO93)</f>
        <v>0</v>
      </c>
      <c r="BS93">
        <f>1-BR93/BG93</f>
        <v>0</v>
      </c>
      <c r="BT93">
        <f>(BG93-BF93)/(BG93-BR93)</f>
        <v>0</v>
      </c>
      <c r="BU93">
        <f>(BA93-BG93)/(BA93-BR93)</f>
        <v>0</v>
      </c>
      <c r="BV93">
        <f>(BG93-BF93)/(BG93-AZ93)</f>
        <v>0</v>
      </c>
      <c r="BW93">
        <f>(BA93-BG93)/(BA93-AZ93)</f>
        <v>0</v>
      </c>
      <c r="BX93">
        <f>(BT93*BR93/BF93)</f>
        <v>0</v>
      </c>
      <c r="BY93">
        <f>(1-BX93)</f>
        <v>0</v>
      </c>
      <c r="DH93">
        <f>$B$11*EG93+$C$11*EH93+$F$11*ES93*(1-EV93)</f>
        <v>0</v>
      </c>
      <c r="DI93">
        <f>DH93*DJ93</f>
        <v>0</v>
      </c>
      <c r="DJ93">
        <f>($B$11*$D$9+$C$11*$D$9+$F$11*((FF93+EX93)/MAX(FF93+EX93+FG93, 0.1)*$I$9+FG93/MAX(FF93+EX93+FG93, 0.1)*$J$9))/($B$11+$C$11+$F$11)</f>
        <v>0</v>
      </c>
      <c r="DK93">
        <f>($B$11*$K$9+$C$11*$K$9+$F$11*((FF93+EX93)/MAX(FF93+EX93+FG93, 0.1)*$P$9+FG93/MAX(FF93+EX93+FG93, 0.1)*$Q$9))/($B$11+$C$11+$F$11)</f>
        <v>0</v>
      </c>
      <c r="DL93">
        <v>6</v>
      </c>
      <c r="DM93">
        <v>0.5</v>
      </c>
      <c r="DN93" t="s">
        <v>438</v>
      </c>
      <c r="DO93">
        <v>2</v>
      </c>
      <c r="DP93" t="b">
        <v>1</v>
      </c>
      <c r="DQ93">
        <v>1765311132.6</v>
      </c>
      <c r="DR93">
        <v>1497.85275</v>
      </c>
      <c r="DS93">
        <v>1500.004375</v>
      </c>
      <c r="DT93">
        <v>18.15050625</v>
      </c>
      <c r="DU93">
        <v>17.9774875</v>
      </c>
      <c r="DV93">
        <v>1487.10875</v>
      </c>
      <c r="DW93">
        <v>17.99950625</v>
      </c>
      <c r="DX93">
        <v>500.014375</v>
      </c>
      <c r="DY93">
        <v>89.687975</v>
      </c>
      <c r="DZ93">
        <v>0.10001660625</v>
      </c>
      <c r="EA93">
        <v>25.44580625</v>
      </c>
      <c r="EB93">
        <v>24.99429375</v>
      </c>
      <c r="EC93">
        <v>999.9</v>
      </c>
      <c r="ED93">
        <v>0</v>
      </c>
      <c r="EE93">
        <v>0</v>
      </c>
      <c r="EF93">
        <v>10012.15125</v>
      </c>
      <c r="EG93">
        <v>0</v>
      </c>
      <c r="EH93">
        <v>13.2984</v>
      </c>
      <c r="EI93">
        <v>-2.088128125</v>
      </c>
      <c r="EJ93">
        <v>1525.616875</v>
      </c>
      <c r="EK93">
        <v>1527.463125</v>
      </c>
      <c r="EL93">
        <v>0.17974225</v>
      </c>
      <c r="EM93">
        <v>1500.004375</v>
      </c>
      <c r="EN93">
        <v>17.9774875</v>
      </c>
      <c r="EO93">
        <v>1.628486875</v>
      </c>
      <c r="EP93">
        <v>1.61236625</v>
      </c>
      <c r="EQ93">
        <v>14.231025</v>
      </c>
      <c r="ER93">
        <v>14.07748125</v>
      </c>
      <c r="ES93">
        <v>799.998625</v>
      </c>
      <c r="ET93">
        <v>0.9499984375</v>
      </c>
      <c r="EU93">
        <v>0.0500019625</v>
      </c>
      <c r="EV93">
        <v>0</v>
      </c>
      <c r="EW93">
        <v>928.428375</v>
      </c>
      <c r="EX93">
        <v>5.00016</v>
      </c>
      <c r="EY93">
        <v>7168.648125</v>
      </c>
      <c r="EZ93">
        <v>7194.66</v>
      </c>
      <c r="FA93">
        <v>40.444875</v>
      </c>
      <c r="FB93">
        <v>43.187</v>
      </c>
      <c r="FC93">
        <v>41.98425</v>
      </c>
      <c r="FD93">
        <v>43.242125</v>
      </c>
      <c r="FE93">
        <v>43.0738125</v>
      </c>
      <c r="FF93">
        <v>755.246875</v>
      </c>
      <c r="FG93">
        <v>39.75125</v>
      </c>
      <c r="FH93">
        <v>0</v>
      </c>
      <c r="FI93">
        <v>1765311141.7</v>
      </c>
      <c r="FJ93">
        <v>0</v>
      </c>
      <c r="FK93">
        <v>928.458769230769</v>
      </c>
      <c r="FL93">
        <v>-2.24499146122861</v>
      </c>
      <c r="FM93">
        <v>-19.0058119972213</v>
      </c>
      <c r="FN93">
        <v>7168.57</v>
      </c>
      <c r="FO93">
        <v>15</v>
      </c>
      <c r="FP93">
        <v>1765311182.1</v>
      </c>
      <c r="FQ93" t="s">
        <v>677</v>
      </c>
      <c r="FR93">
        <v>1765311182.1</v>
      </c>
      <c r="FS93">
        <v>1765311159.1</v>
      </c>
      <c r="FT93">
        <v>77</v>
      </c>
      <c r="FU93">
        <v>-0.067</v>
      </c>
      <c r="FV93">
        <v>-0.004</v>
      </c>
      <c r="FW93">
        <v>10.744</v>
      </c>
      <c r="FX93">
        <v>0.151</v>
      </c>
      <c r="FY93">
        <v>1500</v>
      </c>
      <c r="FZ93">
        <v>18</v>
      </c>
      <c r="GA93">
        <v>1.31</v>
      </c>
      <c r="GB93">
        <v>0.16</v>
      </c>
      <c r="GC93">
        <v>-2.10858476190476</v>
      </c>
      <c r="GD93">
        <v>0.372018701298703</v>
      </c>
      <c r="GE93">
        <v>0.0833085635350691</v>
      </c>
      <c r="GF93">
        <v>1</v>
      </c>
      <c r="GG93">
        <v>928.467441176471</v>
      </c>
      <c r="GH93">
        <v>-1.85477463262627</v>
      </c>
      <c r="GI93">
        <v>0.37851452619389</v>
      </c>
      <c r="GJ93">
        <v>-1</v>
      </c>
      <c r="GK93">
        <v>0.179461</v>
      </c>
      <c r="GL93">
        <v>0.00561662337662337</v>
      </c>
      <c r="GM93">
        <v>0.00092168804762938</v>
      </c>
      <c r="GN93">
        <v>1</v>
      </c>
      <c r="GO93">
        <v>2</v>
      </c>
      <c r="GP93">
        <v>2</v>
      </c>
      <c r="GQ93" t="s">
        <v>440</v>
      </c>
      <c r="GR93">
        <v>3.12497</v>
      </c>
      <c r="GS93">
        <v>2.72542</v>
      </c>
      <c r="GT93">
        <v>0.210156</v>
      </c>
      <c r="GU93">
        <v>0.210815</v>
      </c>
      <c r="GV93">
        <v>0.0829097</v>
      </c>
      <c r="GW93">
        <v>0.0824994</v>
      </c>
      <c r="GX93">
        <v>20737</v>
      </c>
      <c r="GY93">
        <v>19274.3</v>
      </c>
      <c r="GZ93">
        <v>23473.8</v>
      </c>
      <c r="HA93">
        <v>23775</v>
      </c>
      <c r="HB93">
        <v>36678.5</v>
      </c>
      <c r="HC93">
        <v>36086.4</v>
      </c>
      <c r="HD93">
        <v>42291.5</v>
      </c>
      <c r="HE93">
        <v>42360.3</v>
      </c>
      <c r="HF93">
        <v>1.92435</v>
      </c>
      <c r="HG93">
        <v>1.83915</v>
      </c>
      <c r="HH93">
        <v>0.0816211</v>
      </c>
      <c r="HI93">
        <v>0</v>
      </c>
      <c r="HJ93">
        <v>23.6468</v>
      </c>
      <c r="HK93">
        <v>999.9</v>
      </c>
      <c r="HL93">
        <v>48.272</v>
      </c>
      <c r="HM93">
        <v>28.732</v>
      </c>
      <c r="HN93">
        <v>21.312</v>
      </c>
      <c r="HO93">
        <v>54.6812</v>
      </c>
      <c r="HP93">
        <v>45.7973</v>
      </c>
      <c r="HQ93">
        <v>1</v>
      </c>
      <c r="HR93">
        <v>-0.0273399</v>
      </c>
      <c r="HS93">
        <v>1.22593</v>
      </c>
      <c r="HT93">
        <v>20.2273</v>
      </c>
      <c r="HU93">
        <v>5.23496</v>
      </c>
      <c r="HV93">
        <v>11.992</v>
      </c>
      <c r="HW93">
        <v>4.95605</v>
      </c>
      <c r="HX93">
        <v>3.304</v>
      </c>
      <c r="HY93">
        <v>999.9</v>
      </c>
      <c r="HZ93">
        <v>9999</v>
      </c>
      <c r="IA93">
        <v>9999</v>
      </c>
      <c r="IB93">
        <v>9999</v>
      </c>
      <c r="IC93">
        <v>1.86866</v>
      </c>
      <c r="ID93">
        <v>1.86438</v>
      </c>
      <c r="IE93">
        <v>1.87195</v>
      </c>
      <c r="IF93">
        <v>1.86292</v>
      </c>
      <c r="IG93">
        <v>1.86231</v>
      </c>
      <c r="IH93">
        <v>1.86866</v>
      </c>
      <c r="II93">
        <v>1.85884</v>
      </c>
      <c r="IJ93">
        <v>1.86523</v>
      </c>
      <c r="IK93">
        <v>5</v>
      </c>
      <c r="IL93">
        <v>0</v>
      </c>
      <c r="IM93">
        <v>0</v>
      </c>
      <c r="IN93">
        <v>0</v>
      </c>
      <c r="IO93" t="s">
        <v>441</v>
      </c>
      <c r="IP93" t="s">
        <v>442</v>
      </c>
      <c r="IQ93" t="s">
        <v>443</v>
      </c>
      <c r="IR93" t="s">
        <v>443</v>
      </c>
      <c r="IS93" t="s">
        <v>443</v>
      </c>
      <c r="IT93" t="s">
        <v>443</v>
      </c>
      <c r="IU93">
        <v>0</v>
      </c>
      <c r="IV93">
        <v>100</v>
      </c>
      <c r="IW93">
        <v>100</v>
      </c>
      <c r="IX93">
        <v>10.744</v>
      </c>
      <c r="IY93">
        <v>0.151</v>
      </c>
      <c r="IZ93">
        <v>5.99840068219232</v>
      </c>
      <c r="JA93">
        <v>0.0062698613543794</v>
      </c>
      <c r="JB93">
        <v>-3.23243345529816e-06</v>
      </c>
      <c r="JC93">
        <v>8.00506428382295e-10</v>
      </c>
      <c r="JD93">
        <v>-0.00608673168738982</v>
      </c>
      <c r="JE93">
        <v>-0.0018464610107002</v>
      </c>
      <c r="JF93">
        <v>0.000796540623429801</v>
      </c>
      <c r="JG93">
        <v>-1.04619914107352e-05</v>
      </c>
      <c r="JH93">
        <v>-0</v>
      </c>
      <c r="JI93">
        <v>2101</v>
      </c>
      <c r="JJ93">
        <v>1</v>
      </c>
      <c r="JK93">
        <v>23</v>
      </c>
      <c r="JL93">
        <v>1.4</v>
      </c>
      <c r="JM93">
        <v>1.5</v>
      </c>
      <c r="JN93">
        <v>2.91016</v>
      </c>
      <c r="JO93">
        <v>2.32056</v>
      </c>
      <c r="JP93">
        <v>1.4978</v>
      </c>
      <c r="JQ93">
        <v>2.33887</v>
      </c>
      <c r="JR93">
        <v>1.54419</v>
      </c>
      <c r="JS93">
        <v>2.33398</v>
      </c>
      <c r="JT93">
        <v>35.0134</v>
      </c>
      <c r="JU93">
        <v>24.3414</v>
      </c>
      <c r="JV93">
        <v>18</v>
      </c>
      <c r="JW93">
        <v>550.34</v>
      </c>
      <c r="JX93">
        <v>438.48</v>
      </c>
      <c r="JY93">
        <v>22.1495</v>
      </c>
      <c r="JZ93">
        <v>27.0679</v>
      </c>
      <c r="KA93">
        <v>30</v>
      </c>
      <c r="KB93">
        <v>26.9732</v>
      </c>
      <c r="KC93">
        <v>26.9948</v>
      </c>
      <c r="KD93">
        <v>58.2304</v>
      </c>
      <c r="KE93">
        <v>28.4606</v>
      </c>
      <c r="KF93">
        <v>100</v>
      </c>
      <c r="KG93">
        <v>22.1482</v>
      </c>
      <c r="KH93">
        <v>1500</v>
      </c>
      <c r="KI93">
        <v>17.9568</v>
      </c>
      <c r="KJ93">
        <v>94.8086</v>
      </c>
      <c r="KK93">
        <v>98.7549</v>
      </c>
    </row>
    <row r="94" spans="1:297">
      <c r="A94">
        <v>78</v>
      </c>
      <c r="B94">
        <v>1765311272.1</v>
      </c>
      <c r="C94">
        <v>13323.0999999046</v>
      </c>
      <c r="D94" t="s">
        <v>678</v>
      </c>
      <c r="E94" t="s">
        <v>679</v>
      </c>
      <c r="F94">
        <v>5</v>
      </c>
      <c r="G94" t="s">
        <v>643</v>
      </c>
      <c r="H94" t="s">
        <v>436</v>
      </c>
      <c r="I94">
        <v>1765311264.1</v>
      </c>
      <c r="J94">
        <f>(K94)/1000</f>
        <v>0</v>
      </c>
      <c r="K94">
        <f>IF(DP94, AN94, AH94)</f>
        <v>0</v>
      </c>
      <c r="L94">
        <f>IF(DP94, AI94, AG94)</f>
        <v>0</v>
      </c>
      <c r="M94">
        <f>DR94 - IF(AU94&gt;1, L94*DL94*100.0/(AW94), 0)</f>
        <v>0</v>
      </c>
      <c r="N94">
        <f>((T94-J94/2)*M94-L94)/(T94+J94/2)</f>
        <v>0</v>
      </c>
      <c r="O94">
        <f>N94*(DY94+DZ94)/1000.0</f>
        <v>0</v>
      </c>
      <c r="P94">
        <f>(DR94 - IF(AU94&gt;1, L94*DL94*100.0/(AW94), 0))*(DY94+DZ94)/1000.0</f>
        <v>0</v>
      </c>
      <c r="Q94">
        <f>2.0/((1/S94-1/R94)+SIGN(S94)*SQRT((1/S94-1/R94)*(1/S94-1/R94) + 4*DM94/((DM94+1)*(DM94+1))*(2*1/S94*1/R94-1/R94*1/R94)))</f>
        <v>0</v>
      </c>
      <c r="R94">
        <f>IF(LEFT(DN94,1)&lt;&gt;"0",IF(LEFT(DN94,1)="1",3.0,DO94),$D$5+$E$5*(EF94*DY94/($K$5*1000))+$F$5*(EF94*DY94/($K$5*1000))*MAX(MIN(DL94,$J$5),$I$5)*MAX(MIN(DL94,$J$5),$I$5)+$G$5*MAX(MIN(DL94,$J$5),$I$5)*(EF94*DY94/($K$5*1000))+$H$5*(EF94*DY94/($K$5*1000))*(EF94*DY94/($K$5*1000)))</f>
        <v>0</v>
      </c>
      <c r="S94">
        <f>J94*(1000-(1000*0.61365*exp(17.502*W94/(240.97+W94))/(DY94+DZ94)+DT94)/2)/(1000*0.61365*exp(17.502*W94/(240.97+W94))/(DY94+DZ94)-DT94)</f>
        <v>0</v>
      </c>
      <c r="T94">
        <f>1/((DM94+1)/(Q94/1.6)+1/(R94/1.37)) + DM94/((DM94+1)/(Q94/1.6) + DM94/(R94/1.37))</f>
        <v>0</v>
      </c>
      <c r="U94">
        <f>(DH94*DK94)</f>
        <v>0</v>
      </c>
      <c r="V94">
        <f>(EA94+(U94+2*0.95*5.67E-8*(((EA94+$B$7)+273)^4-(EA94+273)^4)-44100*J94)/(1.84*29.3*R94+8*0.95*5.67E-8*(EA94+273)^3))</f>
        <v>0</v>
      </c>
      <c r="W94">
        <f>($C$7*EB94+$D$7*EC94+$E$7*V94)</f>
        <v>0</v>
      </c>
      <c r="X94">
        <f>0.61365*exp(17.502*W94/(240.97+W94))</f>
        <v>0</v>
      </c>
      <c r="Y94">
        <f>(Z94/AA94*100)</f>
        <v>0</v>
      </c>
      <c r="Z94">
        <f>DT94*(DY94+DZ94)/1000</f>
        <v>0</v>
      </c>
      <c r="AA94">
        <f>0.61365*exp(17.502*EA94/(240.97+EA94))</f>
        <v>0</v>
      </c>
      <c r="AB94">
        <f>(X94-DT94*(DY94+DZ94)/1000)</f>
        <v>0</v>
      </c>
      <c r="AC94">
        <f>(-J94*44100)</f>
        <v>0</v>
      </c>
      <c r="AD94">
        <f>2*29.3*R94*0.92*(EA94-W94)</f>
        <v>0</v>
      </c>
      <c r="AE94">
        <f>2*0.95*5.67E-8*(((EA94+$B$7)+273)^4-(W94+273)^4)</f>
        <v>0</v>
      </c>
      <c r="AF94">
        <f>U94+AE94+AC94+AD94</f>
        <v>0</v>
      </c>
      <c r="AG94">
        <f>DX94*AU94*(DS94-DR94*(1000-AU94*DU94)/(1000-AU94*DT94))/(100*DL94)</f>
        <v>0</v>
      </c>
      <c r="AH94">
        <f>1000*DX94*AU94*(DT94-DU94)/(100*DL94*(1000-AU94*DT94))</f>
        <v>0</v>
      </c>
      <c r="AI94">
        <f>(AJ94 - AK94 - DY94*1E3/(8.314*(EA94+273.15)) * AM94/DX94 * AL94) * DX94/(100*DL94) * (1000 - DU94)/1000</f>
        <v>0</v>
      </c>
      <c r="AJ94">
        <v>407.317335109122</v>
      </c>
      <c r="AK94">
        <v>407.404866666667</v>
      </c>
      <c r="AL94">
        <v>-0.0217128594258531</v>
      </c>
      <c r="AM94">
        <v>63.3067879277725</v>
      </c>
      <c r="AN94">
        <f>(AP94 - AO94 + DY94*1E3/(8.314*(EA94+273.15)) * AR94/DX94 * AQ94) * DX94/(100*DL94) * 1000/(1000 - AP94)</f>
        <v>0</v>
      </c>
      <c r="AO94">
        <v>17.9827297187334</v>
      </c>
      <c r="AP94">
        <v>18.1581103030303</v>
      </c>
      <c r="AQ94">
        <v>2.80269429938748e-05</v>
      </c>
      <c r="AR94">
        <v>108.085405898829</v>
      </c>
      <c r="AS94">
        <v>0</v>
      </c>
      <c r="AT94">
        <v>0</v>
      </c>
      <c r="AU94">
        <f>IF(AS94*$H$13&gt;=AW94,1.0,(AW94/(AW94-AS94*$H$13)))</f>
        <v>0</v>
      </c>
      <c r="AV94">
        <f>(AU94-1)*100</f>
        <v>0</v>
      </c>
      <c r="AW94">
        <f>MAX(0,($B$13+$C$13*EF94)/(1+$D$13*EF94)*DY94/(EA94+273)*$E$13)</f>
        <v>0</v>
      </c>
      <c r="AX94" t="s">
        <v>437</v>
      </c>
      <c r="AY94" t="s">
        <v>437</v>
      </c>
      <c r="AZ94">
        <v>0</v>
      </c>
      <c r="BA94">
        <v>0</v>
      </c>
      <c r="BB94">
        <f>1-AZ94/BA94</f>
        <v>0</v>
      </c>
      <c r="BC94">
        <v>0</v>
      </c>
      <c r="BD94" t="s">
        <v>437</v>
      </c>
      <c r="BE94" t="s">
        <v>437</v>
      </c>
      <c r="BF94">
        <v>0</v>
      </c>
      <c r="BG94">
        <v>0</v>
      </c>
      <c r="BH94">
        <f>1-BF94/BG94</f>
        <v>0</v>
      </c>
      <c r="BI94">
        <v>0.5</v>
      </c>
      <c r="BJ94">
        <f>DI94</f>
        <v>0</v>
      </c>
      <c r="BK94">
        <f>L94</f>
        <v>0</v>
      </c>
      <c r="BL94">
        <f>BH94*BI94*BJ94</f>
        <v>0</v>
      </c>
      <c r="BM94">
        <f>(BK94-BC94)/BJ94</f>
        <v>0</v>
      </c>
      <c r="BN94">
        <f>(BA94-BG94)/BG94</f>
        <v>0</v>
      </c>
      <c r="BO94">
        <f>AZ94/(BB94+AZ94/BG94)</f>
        <v>0</v>
      </c>
      <c r="BP94" t="s">
        <v>437</v>
      </c>
      <c r="BQ94">
        <v>0</v>
      </c>
      <c r="BR94">
        <f>IF(BQ94&lt;&gt;0, BQ94, BO94)</f>
        <v>0</v>
      </c>
      <c r="BS94">
        <f>1-BR94/BG94</f>
        <v>0</v>
      </c>
      <c r="BT94">
        <f>(BG94-BF94)/(BG94-BR94)</f>
        <v>0</v>
      </c>
      <c r="BU94">
        <f>(BA94-BG94)/(BA94-BR94)</f>
        <v>0</v>
      </c>
      <c r="BV94">
        <f>(BG94-BF94)/(BG94-AZ94)</f>
        <v>0</v>
      </c>
      <c r="BW94">
        <f>(BA94-BG94)/(BA94-AZ94)</f>
        <v>0</v>
      </c>
      <c r="BX94">
        <f>(BT94*BR94/BF94)</f>
        <v>0</v>
      </c>
      <c r="BY94">
        <f>(1-BX94)</f>
        <v>0</v>
      </c>
      <c r="DH94">
        <f>$B$11*EG94+$C$11*EH94+$F$11*ES94*(1-EV94)</f>
        <v>0</v>
      </c>
      <c r="DI94">
        <f>DH94*DJ94</f>
        <v>0</v>
      </c>
      <c r="DJ94">
        <f>($B$11*$D$9+$C$11*$D$9+$F$11*((FF94+EX94)/MAX(FF94+EX94+FG94, 0.1)*$I$9+FG94/MAX(FF94+EX94+FG94, 0.1)*$J$9))/($B$11+$C$11+$F$11)</f>
        <v>0</v>
      </c>
      <c r="DK94">
        <f>($B$11*$K$9+$C$11*$K$9+$F$11*((FF94+EX94)/MAX(FF94+EX94+FG94, 0.1)*$P$9+FG94/MAX(FF94+EX94+FG94, 0.1)*$Q$9))/($B$11+$C$11+$F$11)</f>
        <v>0</v>
      </c>
      <c r="DL94">
        <v>6</v>
      </c>
      <c r="DM94">
        <v>0.5</v>
      </c>
      <c r="DN94" t="s">
        <v>438</v>
      </c>
      <c r="DO94">
        <v>2</v>
      </c>
      <c r="DP94" t="b">
        <v>1</v>
      </c>
      <c r="DQ94">
        <v>1765311264.1</v>
      </c>
      <c r="DR94">
        <v>399.861066666667</v>
      </c>
      <c r="DS94">
        <v>399.966333333333</v>
      </c>
      <c r="DT94">
        <v>18.1492133333333</v>
      </c>
      <c r="DU94">
        <v>17.9827266666667</v>
      </c>
      <c r="DV94">
        <v>392.153066666667</v>
      </c>
      <c r="DW94">
        <v>18.0022133333333</v>
      </c>
      <c r="DX94">
        <v>500.0282</v>
      </c>
      <c r="DY94">
        <v>89.6887</v>
      </c>
      <c r="DZ94">
        <v>0.100021553333333</v>
      </c>
      <c r="EA94">
        <v>25.4416133333333</v>
      </c>
      <c r="EB94">
        <v>24.99146</v>
      </c>
      <c r="EC94">
        <v>999.9</v>
      </c>
      <c r="ED94">
        <v>0</v>
      </c>
      <c r="EE94">
        <v>0</v>
      </c>
      <c r="EF94">
        <v>10002.708</v>
      </c>
      <c r="EG94">
        <v>0</v>
      </c>
      <c r="EH94">
        <v>13.2984</v>
      </c>
      <c r="EI94">
        <v>0.128037526666667</v>
      </c>
      <c r="EJ94">
        <v>407.492666666667</v>
      </c>
      <c r="EK94">
        <v>407.290533333333</v>
      </c>
      <c r="EL94">
        <v>0.173132466666667</v>
      </c>
      <c r="EM94">
        <v>399.966333333333</v>
      </c>
      <c r="EN94">
        <v>17.9827266666667</v>
      </c>
      <c r="EO94">
        <v>1.62837533333333</v>
      </c>
      <c r="EP94">
        <v>1.61284733333333</v>
      </c>
      <c r="EQ94">
        <v>14.22996</v>
      </c>
      <c r="ER94">
        <v>14.0820933333333</v>
      </c>
      <c r="ES94">
        <v>799.998133333333</v>
      </c>
      <c r="ET94">
        <v>0.949999933333333</v>
      </c>
      <c r="EU94">
        <v>0.0500004666666667</v>
      </c>
      <c r="EV94">
        <v>0</v>
      </c>
      <c r="EW94">
        <v>923.658466666667</v>
      </c>
      <c r="EX94">
        <v>5.00016</v>
      </c>
      <c r="EY94">
        <v>7130.04533333333</v>
      </c>
      <c r="EZ94">
        <v>7194.658</v>
      </c>
      <c r="FA94">
        <v>40.3832666666667</v>
      </c>
      <c r="FB94">
        <v>43.125</v>
      </c>
      <c r="FC94">
        <v>41.937</v>
      </c>
      <c r="FD94">
        <v>43.125</v>
      </c>
      <c r="FE94">
        <v>43.062</v>
      </c>
      <c r="FF94">
        <v>755.249333333333</v>
      </c>
      <c r="FG94">
        <v>39.75</v>
      </c>
      <c r="FH94">
        <v>0</v>
      </c>
      <c r="FI94">
        <v>1765311272.5</v>
      </c>
      <c r="FJ94">
        <v>0</v>
      </c>
      <c r="FK94">
        <v>923.663884615385</v>
      </c>
      <c r="FL94">
        <v>0.303213670241656</v>
      </c>
      <c r="FM94">
        <v>-8.64991451855924</v>
      </c>
      <c r="FN94">
        <v>7130.01192307692</v>
      </c>
      <c r="FO94">
        <v>15</v>
      </c>
      <c r="FP94">
        <v>1765311295.1</v>
      </c>
      <c r="FQ94" t="s">
        <v>680</v>
      </c>
      <c r="FR94">
        <v>1765311295.1</v>
      </c>
      <c r="FS94">
        <v>1765311290.1</v>
      </c>
      <c r="FT94">
        <v>78</v>
      </c>
      <c r="FU94">
        <v>-0.234</v>
      </c>
      <c r="FV94">
        <v>-0.004</v>
      </c>
      <c r="FW94">
        <v>7.708</v>
      </c>
      <c r="FX94">
        <v>0.147</v>
      </c>
      <c r="FY94">
        <v>400</v>
      </c>
      <c r="FZ94">
        <v>18</v>
      </c>
      <c r="GA94">
        <v>0.58</v>
      </c>
      <c r="GB94">
        <v>0.11</v>
      </c>
      <c r="GC94">
        <v>0.147540852380952</v>
      </c>
      <c r="GD94">
        <v>-0.434754116883117</v>
      </c>
      <c r="GE94">
        <v>0.0508604940017357</v>
      </c>
      <c r="GF94">
        <v>1</v>
      </c>
      <c r="GG94">
        <v>923.724764705882</v>
      </c>
      <c r="GH94">
        <v>-0.887486630378799</v>
      </c>
      <c r="GI94">
        <v>0.215545826821598</v>
      </c>
      <c r="GJ94">
        <v>-1</v>
      </c>
      <c r="GK94">
        <v>0.172650761904762</v>
      </c>
      <c r="GL94">
        <v>0.00916441558441577</v>
      </c>
      <c r="GM94">
        <v>0.00118755442601138</v>
      </c>
      <c r="GN94">
        <v>1</v>
      </c>
      <c r="GO94">
        <v>2</v>
      </c>
      <c r="GP94">
        <v>2</v>
      </c>
      <c r="GQ94" t="s">
        <v>440</v>
      </c>
      <c r="GR94">
        <v>3.12486</v>
      </c>
      <c r="GS94">
        <v>2.72546</v>
      </c>
      <c r="GT94">
        <v>0.0847257</v>
      </c>
      <c r="GU94">
        <v>0.0859931</v>
      </c>
      <c r="GV94">
        <v>0.0829345</v>
      </c>
      <c r="GW94">
        <v>0.0825201</v>
      </c>
      <c r="GX94">
        <v>24029.8</v>
      </c>
      <c r="GY94">
        <v>22325.4</v>
      </c>
      <c r="GZ94">
        <v>23474.5</v>
      </c>
      <c r="HA94">
        <v>23778.9</v>
      </c>
      <c r="HB94">
        <v>36668.2</v>
      </c>
      <c r="HC94">
        <v>36081.2</v>
      </c>
      <c r="HD94">
        <v>42293</v>
      </c>
      <c r="HE94">
        <v>42366.5</v>
      </c>
      <c r="HF94">
        <v>1.92362</v>
      </c>
      <c r="HG94">
        <v>1.83695</v>
      </c>
      <c r="HH94">
        <v>0.0847727</v>
      </c>
      <c r="HI94">
        <v>0</v>
      </c>
      <c r="HJ94">
        <v>23.6028</v>
      </c>
      <c r="HK94">
        <v>999.9</v>
      </c>
      <c r="HL94">
        <v>48.272</v>
      </c>
      <c r="HM94">
        <v>28.742</v>
      </c>
      <c r="HN94">
        <v>21.3235</v>
      </c>
      <c r="HO94">
        <v>54.9912</v>
      </c>
      <c r="HP94">
        <v>45.7853</v>
      </c>
      <c r="HQ94">
        <v>1</v>
      </c>
      <c r="HR94">
        <v>-0.0321748</v>
      </c>
      <c r="HS94">
        <v>1.19663</v>
      </c>
      <c r="HT94">
        <v>20.2273</v>
      </c>
      <c r="HU94">
        <v>5.23511</v>
      </c>
      <c r="HV94">
        <v>11.992</v>
      </c>
      <c r="HW94">
        <v>4.9558</v>
      </c>
      <c r="HX94">
        <v>3.304</v>
      </c>
      <c r="HY94">
        <v>999.9</v>
      </c>
      <c r="HZ94">
        <v>9999</v>
      </c>
      <c r="IA94">
        <v>9999</v>
      </c>
      <c r="IB94">
        <v>9999</v>
      </c>
      <c r="IC94">
        <v>1.86863</v>
      </c>
      <c r="ID94">
        <v>1.86435</v>
      </c>
      <c r="IE94">
        <v>1.87195</v>
      </c>
      <c r="IF94">
        <v>1.86293</v>
      </c>
      <c r="IG94">
        <v>1.86229</v>
      </c>
      <c r="IH94">
        <v>1.86873</v>
      </c>
      <c r="II94">
        <v>1.85884</v>
      </c>
      <c r="IJ94">
        <v>1.86523</v>
      </c>
      <c r="IK94">
        <v>5</v>
      </c>
      <c r="IL94">
        <v>0</v>
      </c>
      <c r="IM94">
        <v>0</v>
      </c>
      <c r="IN94">
        <v>0</v>
      </c>
      <c r="IO94" t="s">
        <v>441</v>
      </c>
      <c r="IP94" t="s">
        <v>442</v>
      </c>
      <c r="IQ94" t="s">
        <v>443</v>
      </c>
      <c r="IR94" t="s">
        <v>443</v>
      </c>
      <c r="IS94" t="s">
        <v>443</v>
      </c>
      <c r="IT94" t="s">
        <v>443</v>
      </c>
      <c r="IU94">
        <v>0</v>
      </c>
      <c r="IV94">
        <v>100</v>
      </c>
      <c r="IW94">
        <v>100</v>
      </c>
      <c r="IX94">
        <v>7.708</v>
      </c>
      <c r="IY94">
        <v>0.147</v>
      </c>
      <c r="IZ94">
        <v>5.93129254952026</v>
      </c>
      <c r="JA94">
        <v>0.0062698613543794</v>
      </c>
      <c r="JB94">
        <v>-3.23243345529816e-06</v>
      </c>
      <c r="JC94">
        <v>8.00506428382295e-10</v>
      </c>
      <c r="JD94">
        <v>-0.010226050130568</v>
      </c>
      <c r="JE94">
        <v>-0.0018464610107002</v>
      </c>
      <c r="JF94">
        <v>0.000796540623429801</v>
      </c>
      <c r="JG94">
        <v>-1.04619914107352e-05</v>
      </c>
      <c r="JH94">
        <v>-0</v>
      </c>
      <c r="JI94">
        <v>2101</v>
      </c>
      <c r="JJ94">
        <v>1</v>
      </c>
      <c r="JK94">
        <v>23</v>
      </c>
      <c r="JL94">
        <v>1.5</v>
      </c>
      <c r="JM94">
        <v>1.9</v>
      </c>
      <c r="JN94">
        <v>1.0083</v>
      </c>
      <c r="JO94">
        <v>2.34741</v>
      </c>
      <c r="JP94">
        <v>1.4978</v>
      </c>
      <c r="JQ94">
        <v>2.33887</v>
      </c>
      <c r="JR94">
        <v>1.54419</v>
      </c>
      <c r="JS94">
        <v>2.35107</v>
      </c>
      <c r="JT94">
        <v>35.0134</v>
      </c>
      <c r="JU94">
        <v>24.3502</v>
      </c>
      <c r="JV94">
        <v>18</v>
      </c>
      <c r="JW94">
        <v>549.85</v>
      </c>
      <c r="JX94">
        <v>437.17</v>
      </c>
      <c r="JY94">
        <v>22.1341</v>
      </c>
      <c r="JZ94">
        <v>27.0227</v>
      </c>
      <c r="KA94">
        <v>29.9999</v>
      </c>
      <c r="KB94">
        <v>26.9709</v>
      </c>
      <c r="KC94">
        <v>26.9948</v>
      </c>
      <c r="KD94">
        <v>20.243</v>
      </c>
      <c r="KE94">
        <v>27.8902</v>
      </c>
      <c r="KF94">
        <v>100</v>
      </c>
      <c r="KG94">
        <v>22.1334</v>
      </c>
      <c r="KH94">
        <v>400</v>
      </c>
      <c r="KI94">
        <v>18.0325</v>
      </c>
      <c r="KJ94">
        <v>94.8118</v>
      </c>
      <c r="KK94">
        <v>98.7698</v>
      </c>
    </row>
    <row r="95" spans="1:297">
      <c r="A95">
        <v>79</v>
      </c>
      <c r="B95">
        <v>1765311984.1</v>
      </c>
      <c r="C95">
        <v>14035.0999999046</v>
      </c>
      <c r="D95" t="s">
        <v>681</v>
      </c>
      <c r="E95" t="s">
        <v>682</v>
      </c>
      <c r="F95">
        <v>5</v>
      </c>
      <c r="G95" t="s">
        <v>683</v>
      </c>
      <c r="H95" t="s">
        <v>436</v>
      </c>
      <c r="I95">
        <v>1765311975.6</v>
      </c>
      <c r="J95">
        <f>(K95)/1000</f>
        <v>0</v>
      </c>
      <c r="K95">
        <f>IF(DP95, AN95, AH95)</f>
        <v>0</v>
      </c>
      <c r="L95">
        <f>IF(DP95, AI95, AG95)</f>
        <v>0</v>
      </c>
      <c r="M95">
        <f>DR95 - IF(AU95&gt;1, L95*DL95*100.0/(AW95), 0)</f>
        <v>0</v>
      </c>
      <c r="N95">
        <f>((T95-J95/2)*M95-L95)/(T95+J95/2)</f>
        <v>0</v>
      </c>
      <c r="O95">
        <f>N95*(DY95+DZ95)/1000.0</f>
        <v>0</v>
      </c>
      <c r="P95">
        <f>(DR95 - IF(AU95&gt;1, L95*DL95*100.0/(AW95), 0))*(DY95+DZ95)/1000.0</f>
        <v>0</v>
      </c>
      <c r="Q95">
        <f>2.0/((1/S95-1/R95)+SIGN(S95)*SQRT((1/S95-1/R95)*(1/S95-1/R95) + 4*DM95/((DM95+1)*(DM95+1))*(2*1/S95*1/R95-1/R95*1/R95)))</f>
        <v>0</v>
      </c>
      <c r="R95">
        <f>IF(LEFT(DN95,1)&lt;&gt;"0",IF(LEFT(DN95,1)="1",3.0,DO95),$D$5+$E$5*(EF95*DY95/($K$5*1000))+$F$5*(EF95*DY95/($K$5*1000))*MAX(MIN(DL95,$J$5),$I$5)*MAX(MIN(DL95,$J$5),$I$5)+$G$5*MAX(MIN(DL95,$J$5),$I$5)*(EF95*DY95/($K$5*1000))+$H$5*(EF95*DY95/($K$5*1000))*(EF95*DY95/($K$5*1000)))</f>
        <v>0</v>
      </c>
      <c r="S95">
        <f>J95*(1000-(1000*0.61365*exp(17.502*W95/(240.97+W95))/(DY95+DZ95)+DT95)/2)/(1000*0.61365*exp(17.502*W95/(240.97+W95))/(DY95+DZ95)-DT95)</f>
        <v>0</v>
      </c>
      <c r="T95">
        <f>1/((DM95+1)/(Q95/1.6)+1/(R95/1.37)) + DM95/((DM95+1)/(Q95/1.6) + DM95/(R95/1.37))</f>
        <v>0</v>
      </c>
      <c r="U95">
        <f>(DH95*DK95)</f>
        <v>0</v>
      </c>
      <c r="V95">
        <f>(EA95+(U95+2*0.95*5.67E-8*(((EA95+$B$7)+273)^4-(EA95+273)^4)-44100*J95)/(1.84*29.3*R95+8*0.95*5.67E-8*(EA95+273)^3))</f>
        <v>0</v>
      </c>
      <c r="W95">
        <f>($C$7*EB95+$D$7*EC95+$E$7*V95)</f>
        <v>0</v>
      </c>
      <c r="X95">
        <f>0.61365*exp(17.502*W95/(240.97+W95))</f>
        <v>0</v>
      </c>
      <c r="Y95">
        <f>(Z95/AA95*100)</f>
        <v>0</v>
      </c>
      <c r="Z95">
        <f>DT95*(DY95+DZ95)/1000</f>
        <v>0</v>
      </c>
      <c r="AA95">
        <f>0.61365*exp(17.502*EA95/(240.97+EA95))</f>
        <v>0</v>
      </c>
      <c r="AB95">
        <f>(X95-DT95*(DY95+DZ95)/1000)</f>
        <v>0</v>
      </c>
      <c r="AC95">
        <f>(-J95*44100)</f>
        <v>0</v>
      </c>
      <c r="AD95">
        <f>2*29.3*R95*0.92*(EA95-W95)</f>
        <v>0</v>
      </c>
      <c r="AE95">
        <f>2*0.95*5.67E-8*(((EA95+$B$7)+273)^4-(W95+273)^4)</f>
        <v>0</v>
      </c>
      <c r="AF95">
        <f>U95+AE95+AC95+AD95</f>
        <v>0</v>
      </c>
      <c r="AG95">
        <f>DX95*AU95*(DS95-DR95*(1000-AU95*DU95)/(1000-AU95*DT95))/(100*DL95)</f>
        <v>0</v>
      </c>
      <c r="AH95">
        <f>1000*DX95*AU95*(DT95-DU95)/(100*DL95*(1000-AU95*DT95))</f>
        <v>0</v>
      </c>
      <c r="AI95">
        <f>(AJ95 - AK95 - DY95*1E3/(8.314*(EA95+273.15)) * AM95/DX95 * AL95) * DX95/(100*DL95) * (1000 - DU95)/1000</f>
        <v>0</v>
      </c>
      <c r="AJ95">
        <v>407.308910297378</v>
      </c>
      <c r="AK95">
        <v>407.304557575758</v>
      </c>
      <c r="AL95">
        <v>-0.000608887899248046</v>
      </c>
      <c r="AM95">
        <v>62.9325149503377</v>
      </c>
      <c r="AN95">
        <f>(AP95 - AO95 + DY95*1E3/(8.314*(EA95+273.15)) * AR95/DX95 * AQ95) * DX95/(100*DL95) * 1000/(1000 - AP95)</f>
        <v>0</v>
      </c>
      <c r="AO95">
        <v>17.9552259415508</v>
      </c>
      <c r="AP95">
        <v>18.0214096969697</v>
      </c>
      <c r="AQ95">
        <v>-2.22485653097905e-05</v>
      </c>
      <c r="AR95">
        <v>110.847563295487</v>
      </c>
      <c r="AS95">
        <v>0</v>
      </c>
      <c r="AT95">
        <v>0</v>
      </c>
      <c r="AU95">
        <f>IF(AS95*$H$13&gt;=AW95,1.0,(AW95/(AW95-AS95*$H$13)))</f>
        <v>0</v>
      </c>
      <c r="AV95">
        <f>(AU95-1)*100</f>
        <v>0</v>
      </c>
      <c r="AW95">
        <f>MAX(0,($B$13+$C$13*EF95)/(1+$D$13*EF95)*DY95/(EA95+273)*$E$13)</f>
        <v>0</v>
      </c>
      <c r="AX95" t="s">
        <v>437</v>
      </c>
      <c r="AY95" t="s">
        <v>437</v>
      </c>
      <c r="AZ95">
        <v>0</v>
      </c>
      <c r="BA95">
        <v>0</v>
      </c>
      <c r="BB95">
        <f>1-AZ95/BA95</f>
        <v>0</v>
      </c>
      <c r="BC95">
        <v>0</v>
      </c>
      <c r="BD95" t="s">
        <v>437</v>
      </c>
      <c r="BE95" t="s">
        <v>437</v>
      </c>
      <c r="BF95">
        <v>0</v>
      </c>
      <c r="BG95">
        <v>0</v>
      </c>
      <c r="BH95">
        <f>1-BF95/BG95</f>
        <v>0</v>
      </c>
      <c r="BI95">
        <v>0.5</v>
      </c>
      <c r="BJ95">
        <f>DI95</f>
        <v>0</v>
      </c>
      <c r="BK95">
        <f>L95</f>
        <v>0</v>
      </c>
      <c r="BL95">
        <f>BH95*BI95*BJ95</f>
        <v>0</v>
      </c>
      <c r="BM95">
        <f>(BK95-BC95)/BJ95</f>
        <v>0</v>
      </c>
      <c r="BN95">
        <f>(BA95-BG95)/BG95</f>
        <v>0</v>
      </c>
      <c r="BO95">
        <f>AZ95/(BB95+AZ95/BG95)</f>
        <v>0</v>
      </c>
      <c r="BP95" t="s">
        <v>437</v>
      </c>
      <c r="BQ95">
        <v>0</v>
      </c>
      <c r="BR95">
        <f>IF(BQ95&lt;&gt;0, BQ95, BO95)</f>
        <v>0</v>
      </c>
      <c r="BS95">
        <f>1-BR95/BG95</f>
        <v>0</v>
      </c>
      <c r="BT95">
        <f>(BG95-BF95)/(BG95-BR95)</f>
        <v>0</v>
      </c>
      <c r="BU95">
        <f>(BA95-BG95)/(BA95-BR95)</f>
        <v>0</v>
      </c>
      <c r="BV95">
        <f>(BG95-BF95)/(BG95-AZ95)</f>
        <v>0</v>
      </c>
      <c r="BW95">
        <f>(BA95-BG95)/(BA95-AZ95)</f>
        <v>0</v>
      </c>
      <c r="BX95">
        <f>(BT95*BR95/BF95)</f>
        <v>0</v>
      </c>
      <c r="BY95">
        <f>(1-BX95)</f>
        <v>0</v>
      </c>
      <c r="DH95">
        <f>$B$11*EG95+$C$11*EH95+$F$11*ES95*(1-EV95)</f>
        <v>0</v>
      </c>
      <c r="DI95">
        <f>DH95*DJ95</f>
        <v>0</v>
      </c>
      <c r="DJ95">
        <f>($B$11*$D$9+$C$11*$D$9+$F$11*((FF95+EX95)/MAX(FF95+EX95+FG95, 0.1)*$I$9+FG95/MAX(FF95+EX95+FG95, 0.1)*$J$9))/($B$11+$C$11+$F$11)</f>
        <v>0</v>
      </c>
      <c r="DK95">
        <f>($B$11*$K$9+$C$11*$K$9+$F$11*((FF95+EX95)/MAX(FF95+EX95+FG95, 0.1)*$P$9+FG95/MAX(FF95+EX95+FG95, 0.1)*$Q$9))/($B$11+$C$11+$F$11)</f>
        <v>0</v>
      </c>
      <c r="DL95">
        <v>6</v>
      </c>
      <c r="DM95">
        <v>0.5</v>
      </c>
      <c r="DN95" t="s">
        <v>438</v>
      </c>
      <c r="DO95">
        <v>2</v>
      </c>
      <c r="DP95" t="b">
        <v>1</v>
      </c>
      <c r="DQ95">
        <v>1765311975.6</v>
      </c>
      <c r="DR95">
        <v>399.9866875</v>
      </c>
      <c r="DS95">
        <v>400.0039375</v>
      </c>
      <c r="DT95">
        <v>18.036025</v>
      </c>
      <c r="DU95">
        <v>17.9542375</v>
      </c>
      <c r="DV95">
        <v>392.2396875</v>
      </c>
      <c r="DW95">
        <v>17.885025</v>
      </c>
      <c r="DX95">
        <v>500.003</v>
      </c>
      <c r="DY95">
        <v>89.6783125</v>
      </c>
      <c r="DZ95">
        <v>0.099958075</v>
      </c>
      <c r="EA95">
        <v>25.3256375</v>
      </c>
      <c r="EB95">
        <v>25.00074375</v>
      </c>
      <c r="EC95">
        <v>999.9</v>
      </c>
      <c r="ED95">
        <v>0</v>
      </c>
      <c r="EE95">
        <v>0</v>
      </c>
      <c r="EF95">
        <v>10004.65</v>
      </c>
      <c r="EG95">
        <v>0</v>
      </c>
      <c r="EH95">
        <v>12.5194</v>
      </c>
      <c r="EI95">
        <v>-0.056470894125</v>
      </c>
      <c r="EJ95">
        <v>407.2919375</v>
      </c>
      <c r="EK95">
        <v>407.317</v>
      </c>
      <c r="EL95">
        <v>0.078204625</v>
      </c>
      <c r="EM95">
        <v>400.0039375</v>
      </c>
      <c r="EN95">
        <v>17.9542375</v>
      </c>
      <c r="EO95">
        <v>1.61711875</v>
      </c>
      <c r="EP95">
        <v>1.61010625</v>
      </c>
      <c r="EQ95">
        <v>14.1229</v>
      </c>
      <c r="ER95">
        <v>14.055875</v>
      </c>
      <c r="ES95">
        <v>800.0016875</v>
      </c>
      <c r="ET95">
        <v>0.9500065</v>
      </c>
      <c r="EU95">
        <v>0.0499932625</v>
      </c>
      <c r="EV95">
        <v>0</v>
      </c>
      <c r="EW95">
        <v>828.34475</v>
      </c>
      <c r="EX95">
        <v>5.00016</v>
      </c>
      <c r="EY95">
        <v>6431.2575</v>
      </c>
      <c r="EZ95">
        <v>7194.706875</v>
      </c>
      <c r="FA95">
        <v>40.062</v>
      </c>
      <c r="FB95">
        <v>42.8159375</v>
      </c>
      <c r="FC95">
        <v>41.562</v>
      </c>
      <c r="FD95">
        <v>42.742125</v>
      </c>
      <c r="FE95">
        <v>42.6909375</v>
      </c>
      <c r="FF95">
        <v>755.2575</v>
      </c>
      <c r="FG95">
        <v>39.74375</v>
      </c>
      <c r="FH95">
        <v>0</v>
      </c>
      <c r="FI95">
        <v>1765311984.7</v>
      </c>
      <c r="FJ95">
        <v>0</v>
      </c>
      <c r="FK95">
        <v>828.323</v>
      </c>
      <c r="FL95">
        <v>-3.23807693093149</v>
      </c>
      <c r="FM95">
        <v>-23.5484615408769</v>
      </c>
      <c r="FN95">
        <v>6430.7312</v>
      </c>
      <c r="FO95">
        <v>15</v>
      </c>
      <c r="FP95">
        <v>1765312002.1</v>
      </c>
      <c r="FQ95" t="s">
        <v>684</v>
      </c>
      <c r="FR95">
        <v>1765312000.1</v>
      </c>
      <c r="FS95">
        <v>1765312002.1</v>
      </c>
      <c r="FT95">
        <v>79</v>
      </c>
      <c r="FU95">
        <v>0.039</v>
      </c>
      <c r="FV95">
        <v>0.005</v>
      </c>
      <c r="FW95">
        <v>7.747</v>
      </c>
      <c r="FX95">
        <v>0.151</v>
      </c>
      <c r="FY95">
        <v>400</v>
      </c>
      <c r="FZ95">
        <v>18</v>
      </c>
      <c r="GA95">
        <v>0.32</v>
      </c>
      <c r="GB95">
        <v>0.14</v>
      </c>
      <c r="GC95">
        <v>-0.0712723153</v>
      </c>
      <c r="GD95">
        <v>0.312307914676692</v>
      </c>
      <c r="GE95">
        <v>0.0497625804490872</v>
      </c>
      <c r="GF95">
        <v>1</v>
      </c>
      <c r="GG95">
        <v>828.4505</v>
      </c>
      <c r="GH95">
        <v>-1.85590526934403</v>
      </c>
      <c r="GI95">
        <v>0.27232228419758</v>
      </c>
      <c r="GJ95">
        <v>-1</v>
      </c>
      <c r="GK95">
        <v>0.08030042</v>
      </c>
      <c r="GL95">
        <v>-0.0557790947368421</v>
      </c>
      <c r="GM95">
        <v>0.00622615419336849</v>
      </c>
      <c r="GN95">
        <v>1</v>
      </c>
      <c r="GO95">
        <v>2</v>
      </c>
      <c r="GP95">
        <v>2</v>
      </c>
      <c r="GQ95" t="s">
        <v>440</v>
      </c>
      <c r="GR95">
        <v>3.12484</v>
      </c>
      <c r="GS95">
        <v>2.72576</v>
      </c>
      <c r="GT95">
        <v>0.0848139</v>
      </c>
      <c r="GU95">
        <v>0.0860488</v>
      </c>
      <c r="GV95">
        <v>0.0825387</v>
      </c>
      <c r="GW95">
        <v>0.0824717</v>
      </c>
      <c r="GX95">
        <v>24042.7</v>
      </c>
      <c r="GY95">
        <v>22345.5</v>
      </c>
      <c r="GZ95">
        <v>23487.8</v>
      </c>
      <c r="HA95">
        <v>23800.1</v>
      </c>
      <c r="HB95">
        <v>36701.2</v>
      </c>
      <c r="HC95">
        <v>36113.5</v>
      </c>
      <c r="HD95">
        <v>42312.6</v>
      </c>
      <c r="HE95">
        <v>42401.7</v>
      </c>
      <c r="HF95">
        <v>1.92743</v>
      </c>
      <c r="HG95">
        <v>1.8424</v>
      </c>
      <c r="HH95">
        <v>0.09045</v>
      </c>
      <c r="HI95">
        <v>0</v>
      </c>
      <c r="HJ95">
        <v>23.5127</v>
      </c>
      <c r="HK95">
        <v>999.9</v>
      </c>
      <c r="HL95">
        <v>48.37</v>
      </c>
      <c r="HM95">
        <v>28.742</v>
      </c>
      <c r="HN95">
        <v>21.3705</v>
      </c>
      <c r="HO95">
        <v>54.9812</v>
      </c>
      <c r="HP95">
        <v>46.0537</v>
      </c>
      <c r="HQ95">
        <v>1</v>
      </c>
      <c r="HR95">
        <v>-0.0632368</v>
      </c>
      <c r="HS95">
        <v>1.3597</v>
      </c>
      <c r="HT95">
        <v>20.2261</v>
      </c>
      <c r="HU95">
        <v>5.23436</v>
      </c>
      <c r="HV95">
        <v>11.992</v>
      </c>
      <c r="HW95">
        <v>4.9558</v>
      </c>
      <c r="HX95">
        <v>3.304</v>
      </c>
      <c r="HY95">
        <v>999.9</v>
      </c>
      <c r="HZ95">
        <v>9999</v>
      </c>
      <c r="IA95">
        <v>9999</v>
      </c>
      <c r="IB95">
        <v>9999</v>
      </c>
      <c r="IC95">
        <v>1.86864</v>
      </c>
      <c r="ID95">
        <v>1.86433</v>
      </c>
      <c r="IE95">
        <v>1.87195</v>
      </c>
      <c r="IF95">
        <v>1.86292</v>
      </c>
      <c r="IG95">
        <v>1.8623</v>
      </c>
      <c r="IH95">
        <v>1.86871</v>
      </c>
      <c r="II95">
        <v>1.85891</v>
      </c>
      <c r="IJ95">
        <v>1.86523</v>
      </c>
      <c r="IK95">
        <v>5</v>
      </c>
      <c r="IL95">
        <v>0</v>
      </c>
      <c r="IM95">
        <v>0</v>
      </c>
      <c r="IN95">
        <v>0</v>
      </c>
      <c r="IO95" t="s">
        <v>441</v>
      </c>
      <c r="IP95" t="s">
        <v>442</v>
      </c>
      <c r="IQ95" t="s">
        <v>443</v>
      </c>
      <c r="IR95" t="s">
        <v>443</v>
      </c>
      <c r="IS95" t="s">
        <v>443</v>
      </c>
      <c r="IT95" t="s">
        <v>443</v>
      </c>
      <c r="IU95">
        <v>0</v>
      </c>
      <c r="IV95">
        <v>100</v>
      </c>
      <c r="IW95">
        <v>100</v>
      </c>
      <c r="IX95">
        <v>7.747</v>
      </c>
      <c r="IY95">
        <v>0.151</v>
      </c>
      <c r="IZ95">
        <v>5.69751379331896</v>
      </c>
      <c r="JA95">
        <v>0.0062698613543794</v>
      </c>
      <c r="JB95">
        <v>-3.23243345529816e-06</v>
      </c>
      <c r="JC95">
        <v>8.00506428382295e-10</v>
      </c>
      <c r="JD95">
        <v>-0.0145082622578486</v>
      </c>
      <c r="JE95">
        <v>-0.0018464610107002</v>
      </c>
      <c r="JF95">
        <v>0.000796540623429801</v>
      </c>
      <c r="JG95">
        <v>-1.04619914107352e-05</v>
      </c>
      <c r="JH95">
        <v>-0</v>
      </c>
      <c r="JI95">
        <v>2101</v>
      </c>
      <c r="JJ95">
        <v>1</v>
      </c>
      <c r="JK95">
        <v>23</v>
      </c>
      <c r="JL95">
        <v>11.5</v>
      </c>
      <c r="JM95">
        <v>11.6</v>
      </c>
      <c r="JN95">
        <v>1.00952</v>
      </c>
      <c r="JO95">
        <v>2.35352</v>
      </c>
      <c r="JP95">
        <v>1.49902</v>
      </c>
      <c r="JQ95">
        <v>2.34009</v>
      </c>
      <c r="JR95">
        <v>1.54419</v>
      </c>
      <c r="JS95">
        <v>2.33398</v>
      </c>
      <c r="JT95">
        <v>34.9674</v>
      </c>
      <c r="JU95">
        <v>24.3414</v>
      </c>
      <c r="JV95">
        <v>18</v>
      </c>
      <c r="JW95">
        <v>549.832</v>
      </c>
      <c r="JX95">
        <v>438.258</v>
      </c>
      <c r="JY95">
        <v>22.0274</v>
      </c>
      <c r="JZ95">
        <v>26.6607</v>
      </c>
      <c r="KA95">
        <v>29.9998</v>
      </c>
      <c r="KB95">
        <v>26.6883</v>
      </c>
      <c r="KC95">
        <v>26.7165</v>
      </c>
      <c r="KD95">
        <v>20.251</v>
      </c>
      <c r="KE95">
        <v>28.4565</v>
      </c>
      <c r="KF95">
        <v>100</v>
      </c>
      <c r="KG95">
        <v>22.0453</v>
      </c>
      <c r="KH95">
        <v>400</v>
      </c>
      <c r="KI95">
        <v>17.92</v>
      </c>
      <c r="KJ95">
        <v>94.8592</v>
      </c>
      <c r="KK95">
        <v>98.8541</v>
      </c>
    </row>
    <row r="96" spans="1:297">
      <c r="A96">
        <v>80</v>
      </c>
      <c r="B96">
        <v>1765312075.1</v>
      </c>
      <c r="C96">
        <v>14126.0999999046</v>
      </c>
      <c r="D96" t="s">
        <v>685</v>
      </c>
      <c r="E96" t="s">
        <v>686</v>
      </c>
      <c r="F96">
        <v>5</v>
      </c>
      <c r="G96" t="s">
        <v>683</v>
      </c>
      <c r="H96" t="s">
        <v>436</v>
      </c>
      <c r="I96">
        <v>1765312066.6</v>
      </c>
      <c r="J96">
        <f>(K96)/1000</f>
        <v>0</v>
      </c>
      <c r="K96">
        <f>IF(DP96, AN96, AH96)</f>
        <v>0</v>
      </c>
      <c r="L96">
        <f>IF(DP96, AI96, AG96)</f>
        <v>0</v>
      </c>
      <c r="M96">
        <f>DR96 - IF(AU96&gt;1, L96*DL96*100.0/(AW96), 0)</f>
        <v>0</v>
      </c>
      <c r="N96">
        <f>((T96-J96/2)*M96-L96)/(T96+J96/2)</f>
        <v>0</v>
      </c>
      <c r="O96">
        <f>N96*(DY96+DZ96)/1000.0</f>
        <v>0</v>
      </c>
      <c r="P96">
        <f>(DR96 - IF(AU96&gt;1, L96*DL96*100.0/(AW96), 0))*(DY96+DZ96)/1000.0</f>
        <v>0</v>
      </c>
      <c r="Q96">
        <f>2.0/((1/S96-1/R96)+SIGN(S96)*SQRT((1/S96-1/R96)*(1/S96-1/R96) + 4*DM96/((DM96+1)*(DM96+1))*(2*1/S96*1/R96-1/R96*1/R96)))</f>
        <v>0</v>
      </c>
      <c r="R96">
        <f>IF(LEFT(DN96,1)&lt;&gt;"0",IF(LEFT(DN96,1)="1",3.0,DO96),$D$5+$E$5*(EF96*DY96/($K$5*1000))+$F$5*(EF96*DY96/($K$5*1000))*MAX(MIN(DL96,$J$5),$I$5)*MAX(MIN(DL96,$J$5),$I$5)+$G$5*MAX(MIN(DL96,$J$5),$I$5)*(EF96*DY96/($K$5*1000))+$H$5*(EF96*DY96/($K$5*1000))*(EF96*DY96/($K$5*1000)))</f>
        <v>0</v>
      </c>
      <c r="S96">
        <f>J96*(1000-(1000*0.61365*exp(17.502*W96/(240.97+W96))/(DY96+DZ96)+DT96)/2)/(1000*0.61365*exp(17.502*W96/(240.97+W96))/(DY96+DZ96)-DT96)</f>
        <v>0</v>
      </c>
      <c r="T96">
        <f>1/((DM96+1)/(Q96/1.6)+1/(R96/1.37)) + DM96/((DM96+1)/(Q96/1.6) + DM96/(R96/1.37))</f>
        <v>0</v>
      </c>
      <c r="U96">
        <f>(DH96*DK96)</f>
        <v>0</v>
      </c>
      <c r="V96">
        <f>(EA96+(U96+2*0.95*5.67E-8*(((EA96+$B$7)+273)^4-(EA96+273)^4)-44100*J96)/(1.84*29.3*R96+8*0.95*5.67E-8*(EA96+273)^3))</f>
        <v>0</v>
      </c>
      <c r="W96">
        <f>($C$7*EB96+$D$7*EC96+$E$7*V96)</f>
        <v>0</v>
      </c>
      <c r="X96">
        <f>0.61365*exp(17.502*W96/(240.97+W96))</f>
        <v>0</v>
      </c>
      <c r="Y96">
        <f>(Z96/AA96*100)</f>
        <v>0</v>
      </c>
      <c r="Z96">
        <f>DT96*(DY96+DZ96)/1000</f>
        <v>0</v>
      </c>
      <c r="AA96">
        <f>0.61365*exp(17.502*EA96/(240.97+EA96))</f>
        <v>0</v>
      </c>
      <c r="AB96">
        <f>(X96-DT96*(DY96+DZ96)/1000)</f>
        <v>0</v>
      </c>
      <c r="AC96">
        <f>(-J96*44100)</f>
        <v>0</v>
      </c>
      <c r="AD96">
        <f>2*29.3*R96*0.92*(EA96-W96)</f>
        <v>0</v>
      </c>
      <c r="AE96">
        <f>2*0.95*5.67E-8*(((EA96+$B$7)+273)^4-(W96+273)^4)</f>
        <v>0</v>
      </c>
      <c r="AF96">
        <f>U96+AE96+AC96+AD96</f>
        <v>0</v>
      </c>
      <c r="AG96">
        <f>DX96*AU96*(DS96-DR96*(1000-AU96*DU96)/(1000-AU96*DT96))/(100*DL96)</f>
        <v>0</v>
      </c>
      <c r="AH96">
        <f>1000*DX96*AU96*(DT96-DU96)/(100*DL96*(1000-AU96*DT96))</f>
        <v>0</v>
      </c>
      <c r="AI96">
        <f>(AJ96 - AK96 - DY96*1E3/(8.314*(EA96+273.15)) * AM96/DX96 * AL96) * DX96/(100*DL96) * (1000 - DU96)/1000</f>
        <v>0</v>
      </c>
      <c r="AJ96">
        <v>305.451245583976</v>
      </c>
      <c r="AK96">
        <v>306.020103030303</v>
      </c>
      <c r="AL96">
        <v>-0.00066568171580824</v>
      </c>
      <c r="AM96">
        <v>63.3488629263035</v>
      </c>
      <c r="AN96">
        <f>(AP96 - AO96 + DY96*1E3/(8.314*(EA96+273.15)) * AR96/DX96 * AQ96) * DX96/(100*DL96) * 1000/(1000 - AP96)</f>
        <v>0</v>
      </c>
      <c r="AO96">
        <v>17.9467636850682</v>
      </c>
      <c r="AP96">
        <v>18.03324</v>
      </c>
      <c r="AQ96">
        <v>1.97178702981538e-05</v>
      </c>
      <c r="AR96">
        <v>107.822974725973</v>
      </c>
      <c r="AS96">
        <v>0</v>
      </c>
      <c r="AT96">
        <v>0</v>
      </c>
      <c r="AU96">
        <f>IF(AS96*$H$13&gt;=AW96,1.0,(AW96/(AW96-AS96*$H$13)))</f>
        <v>0</v>
      </c>
      <c r="AV96">
        <f>(AU96-1)*100</f>
        <v>0</v>
      </c>
      <c r="AW96">
        <f>MAX(0,($B$13+$C$13*EF96)/(1+$D$13*EF96)*DY96/(EA96+273)*$E$13)</f>
        <v>0</v>
      </c>
      <c r="AX96" t="s">
        <v>437</v>
      </c>
      <c r="AY96" t="s">
        <v>437</v>
      </c>
      <c r="AZ96">
        <v>0</v>
      </c>
      <c r="BA96">
        <v>0</v>
      </c>
      <c r="BB96">
        <f>1-AZ96/BA96</f>
        <v>0</v>
      </c>
      <c r="BC96">
        <v>0</v>
      </c>
      <c r="BD96" t="s">
        <v>437</v>
      </c>
      <c r="BE96" t="s">
        <v>437</v>
      </c>
      <c r="BF96">
        <v>0</v>
      </c>
      <c r="BG96">
        <v>0</v>
      </c>
      <c r="BH96">
        <f>1-BF96/BG96</f>
        <v>0</v>
      </c>
      <c r="BI96">
        <v>0.5</v>
      </c>
      <c r="BJ96">
        <f>DI96</f>
        <v>0</v>
      </c>
      <c r="BK96">
        <f>L96</f>
        <v>0</v>
      </c>
      <c r="BL96">
        <f>BH96*BI96*BJ96</f>
        <v>0</v>
      </c>
      <c r="BM96">
        <f>(BK96-BC96)/BJ96</f>
        <v>0</v>
      </c>
      <c r="BN96">
        <f>(BA96-BG96)/BG96</f>
        <v>0</v>
      </c>
      <c r="BO96">
        <f>AZ96/(BB96+AZ96/BG96)</f>
        <v>0</v>
      </c>
      <c r="BP96" t="s">
        <v>437</v>
      </c>
      <c r="BQ96">
        <v>0</v>
      </c>
      <c r="BR96">
        <f>IF(BQ96&lt;&gt;0, BQ96, BO96)</f>
        <v>0</v>
      </c>
      <c r="BS96">
        <f>1-BR96/BG96</f>
        <v>0</v>
      </c>
      <c r="BT96">
        <f>(BG96-BF96)/(BG96-BR96)</f>
        <v>0</v>
      </c>
      <c r="BU96">
        <f>(BA96-BG96)/(BA96-BR96)</f>
        <v>0</v>
      </c>
      <c r="BV96">
        <f>(BG96-BF96)/(BG96-AZ96)</f>
        <v>0</v>
      </c>
      <c r="BW96">
        <f>(BA96-BG96)/(BA96-AZ96)</f>
        <v>0</v>
      </c>
      <c r="BX96">
        <f>(BT96*BR96/BF96)</f>
        <v>0</v>
      </c>
      <c r="BY96">
        <f>(1-BX96)</f>
        <v>0</v>
      </c>
      <c r="DH96">
        <f>$B$11*EG96+$C$11*EH96+$F$11*ES96*(1-EV96)</f>
        <v>0</v>
      </c>
      <c r="DI96">
        <f>DH96*DJ96</f>
        <v>0</v>
      </c>
      <c r="DJ96">
        <f>($B$11*$D$9+$C$11*$D$9+$F$11*((FF96+EX96)/MAX(FF96+EX96+FG96, 0.1)*$I$9+FG96/MAX(FF96+EX96+FG96, 0.1)*$J$9))/($B$11+$C$11+$F$11)</f>
        <v>0</v>
      </c>
      <c r="DK96">
        <f>($B$11*$K$9+$C$11*$K$9+$F$11*((FF96+EX96)/MAX(FF96+EX96+FG96, 0.1)*$P$9+FG96/MAX(FF96+EX96+FG96, 0.1)*$Q$9))/($B$11+$C$11+$F$11)</f>
        <v>0</v>
      </c>
      <c r="DL96">
        <v>6</v>
      </c>
      <c r="DM96">
        <v>0.5</v>
      </c>
      <c r="DN96" t="s">
        <v>438</v>
      </c>
      <c r="DO96">
        <v>2</v>
      </c>
      <c r="DP96" t="b">
        <v>1</v>
      </c>
      <c r="DQ96">
        <v>1765312066.6</v>
      </c>
      <c r="DR96">
        <v>300.104125</v>
      </c>
      <c r="DS96">
        <v>300.0120625</v>
      </c>
      <c r="DT96">
        <v>18.027675</v>
      </c>
      <c r="DU96">
        <v>17.94639375</v>
      </c>
      <c r="DV96">
        <v>293.221125</v>
      </c>
      <c r="DW96">
        <v>17.878675</v>
      </c>
      <c r="DX96">
        <v>499.9990625</v>
      </c>
      <c r="DY96">
        <v>89.6712875</v>
      </c>
      <c r="DZ96">
        <v>0.09995161875</v>
      </c>
      <c r="EA96">
        <v>25.34011875</v>
      </c>
      <c r="EB96">
        <v>24.99658125</v>
      </c>
      <c r="EC96">
        <v>999.9</v>
      </c>
      <c r="ED96">
        <v>0</v>
      </c>
      <c r="EE96">
        <v>0</v>
      </c>
      <c r="EF96">
        <v>10004.725625</v>
      </c>
      <c r="EG96">
        <v>0</v>
      </c>
      <c r="EH96">
        <v>12.5194</v>
      </c>
      <c r="EI96">
        <v>0.526029625</v>
      </c>
      <c r="EJ96">
        <v>306.0565</v>
      </c>
      <c r="EK96">
        <v>305.49475</v>
      </c>
      <c r="EL96">
        <v>0.08425103125</v>
      </c>
      <c r="EM96">
        <v>300.0120625</v>
      </c>
      <c r="EN96">
        <v>17.94639375</v>
      </c>
      <c r="EO96">
        <v>1.6168325</v>
      </c>
      <c r="EP96">
        <v>1.60927625</v>
      </c>
      <c r="EQ96">
        <v>14.12016875</v>
      </c>
      <c r="ER96">
        <v>14.047925</v>
      </c>
      <c r="ES96">
        <v>800.0009375</v>
      </c>
      <c r="ET96">
        <v>0.9499998125</v>
      </c>
      <c r="EU96">
        <v>0.04999995625</v>
      </c>
      <c r="EV96">
        <v>0</v>
      </c>
      <c r="EW96">
        <v>825.65</v>
      </c>
      <c r="EX96">
        <v>5.00016</v>
      </c>
      <c r="EY96">
        <v>6408.17875</v>
      </c>
      <c r="EZ96">
        <v>7194.685</v>
      </c>
      <c r="FA96">
        <v>40.02325</v>
      </c>
      <c r="FB96">
        <v>42.812</v>
      </c>
      <c r="FC96">
        <v>41.558125</v>
      </c>
      <c r="FD96">
        <v>42.7066875</v>
      </c>
      <c r="FE96">
        <v>42.687</v>
      </c>
      <c r="FF96">
        <v>755.25</v>
      </c>
      <c r="FG96">
        <v>39.749375</v>
      </c>
      <c r="FH96">
        <v>0</v>
      </c>
      <c r="FI96">
        <v>1765312075.9</v>
      </c>
      <c r="FJ96">
        <v>0</v>
      </c>
      <c r="FK96">
        <v>825.56248</v>
      </c>
      <c r="FL96">
        <v>-1.13423075120153</v>
      </c>
      <c r="FM96">
        <v>-10.5546153863779</v>
      </c>
      <c r="FN96">
        <v>6407.9024</v>
      </c>
      <c r="FO96">
        <v>15</v>
      </c>
      <c r="FP96">
        <v>1765312098.1</v>
      </c>
      <c r="FQ96" t="s">
        <v>687</v>
      </c>
      <c r="FR96">
        <v>1765312098.1</v>
      </c>
      <c r="FS96">
        <v>1765312093.1</v>
      </c>
      <c r="FT96">
        <v>80</v>
      </c>
      <c r="FU96">
        <v>-0.434</v>
      </c>
      <c r="FV96">
        <v>-0.002</v>
      </c>
      <c r="FW96">
        <v>6.883</v>
      </c>
      <c r="FX96">
        <v>0.149</v>
      </c>
      <c r="FY96">
        <v>300</v>
      </c>
      <c r="FZ96">
        <v>18</v>
      </c>
      <c r="GA96">
        <v>0.55</v>
      </c>
      <c r="GB96">
        <v>0.09</v>
      </c>
      <c r="GC96">
        <v>0.559730095238095</v>
      </c>
      <c r="GD96">
        <v>-0.426266415584413</v>
      </c>
      <c r="GE96">
        <v>0.0716048078845367</v>
      </c>
      <c r="GF96">
        <v>1</v>
      </c>
      <c r="GG96">
        <v>825.699970588235</v>
      </c>
      <c r="GH96">
        <v>-1.54195568963233</v>
      </c>
      <c r="GI96">
        <v>0.248067292257335</v>
      </c>
      <c r="GJ96">
        <v>-1</v>
      </c>
      <c r="GK96">
        <v>0.0846834476190476</v>
      </c>
      <c r="GL96">
        <v>-0.00171797922077924</v>
      </c>
      <c r="GM96">
        <v>0.00178603985920942</v>
      </c>
      <c r="GN96">
        <v>1</v>
      </c>
      <c r="GO96">
        <v>2</v>
      </c>
      <c r="GP96">
        <v>2</v>
      </c>
      <c r="GQ96" t="s">
        <v>440</v>
      </c>
      <c r="GR96">
        <v>3.12487</v>
      </c>
      <c r="GS96">
        <v>2.72582</v>
      </c>
      <c r="GT96">
        <v>0.0672064</v>
      </c>
      <c r="GU96">
        <v>0.0684856</v>
      </c>
      <c r="GV96">
        <v>0.0825539</v>
      </c>
      <c r="GW96">
        <v>0.082445</v>
      </c>
      <c r="GX96">
        <v>24506.6</v>
      </c>
      <c r="GY96">
        <v>22776.7</v>
      </c>
      <c r="GZ96">
        <v>23489</v>
      </c>
      <c r="HA96">
        <v>23801.9</v>
      </c>
      <c r="HB96">
        <v>36700.6</v>
      </c>
      <c r="HC96">
        <v>36115.6</v>
      </c>
      <c r="HD96">
        <v>42314.4</v>
      </c>
      <c r="HE96">
        <v>42404.4</v>
      </c>
      <c r="HF96">
        <v>1.92792</v>
      </c>
      <c r="HG96">
        <v>1.84295</v>
      </c>
      <c r="HH96">
        <v>0.09102</v>
      </c>
      <c r="HI96">
        <v>0</v>
      </c>
      <c r="HJ96">
        <v>23.5196</v>
      </c>
      <c r="HK96">
        <v>999.9</v>
      </c>
      <c r="HL96">
        <v>48.395</v>
      </c>
      <c r="HM96">
        <v>28.732</v>
      </c>
      <c r="HN96">
        <v>21.3711</v>
      </c>
      <c r="HO96">
        <v>54.6112</v>
      </c>
      <c r="HP96">
        <v>46.0296</v>
      </c>
      <c r="HQ96">
        <v>1</v>
      </c>
      <c r="HR96">
        <v>-0.0675457</v>
      </c>
      <c r="HS96">
        <v>1.05474</v>
      </c>
      <c r="HT96">
        <v>20.2283</v>
      </c>
      <c r="HU96">
        <v>5.23466</v>
      </c>
      <c r="HV96">
        <v>11.992</v>
      </c>
      <c r="HW96">
        <v>4.9561</v>
      </c>
      <c r="HX96">
        <v>3.304</v>
      </c>
      <c r="HY96">
        <v>999.9</v>
      </c>
      <c r="HZ96">
        <v>9999</v>
      </c>
      <c r="IA96">
        <v>9999</v>
      </c>
      <c r="IB96">
        <v>9999</v>
      </c>
      <c r="IC96">
        <v>1.86861</v>
      </c>
      <c r="ID96">
        <v>1.86436</v>
      </c>
      <c r="IE96">
        <v>1.87195</v>
      </c>
      <c r="IF96">
        <v>1.86291</v>
      </c>
      <c r="IG96">
        <v>1.86231</v>
      </c>
      <c r="IH96">
        <v>1.8687</v>
      </c>
      <c r="II96">
        <v>1.85885</v>
      </c>
      <c r="IJ96">
        <v>1.86523</v>
      </c>
      <c r="IK96">
        <v>5</v>
      </c>
      <c r="IL96">
        <v>0</v>
      </c>
      <c r="IM96">
        <v>0</v>
      </c>
      <c r="IN96">
        <v>0</v>
      </c>
      <c r="IO96" t="s">
        <v>441</v>
      </c>
      <c r="IP96" t="s">
        <v>442</v>
      </c>
      <c r="IQ96" t="s">
        <v>443</v>
      </c>
      <c r="IR96" t="s">
        <v>443</v>
      </c>
      <c r="IS96" t="s">
        <v>443</v>
      </c>
      <c r="IT96" t="s">
        <v>443</v>
      </c>
      <c r="IU96">
        <v>0</v>
      </c>
      <c r="IV96">
        <v>100</v>
      </c>
      <c r="IW96">
        <v>100</v>
      </c>
      <c r="IX96">
        <v>6.883</v>
      </c>
      <c r="IY96">
        <v>0.149</v>
      </c>
      <c r="IZ96">
        <v>5.73628827863966</v>
      </c>
      <c r="JA96">
        <v>0.0062698613543794</v>
      </c>
      <c r="JB96">
        <v>-3.23243345529816e-06</v>
      </c>
      <c r="JC96">
        <v>8.00506428382295e-10</v>
      </c>
      <c r="JD96">
        <v>-0.00982890195974828</v>
      </c>
      <c r="JE96">
        <v>-0.0018464610107002</v>
      </c>
      <c r="JF96">
        <v>0.000796540623429801</v>
      </c>
      <c r="JG96">
        <v>-1.04619914107352e-05</v>
      </c>
      <c r="JH96">
        <v>-0</v>
      </c>
      <c r="JI96">
        <v>2101</v>
      </c>
      <c r="JJ96">
        <v>1</v>
      </c>
      <c r="JK96">
        <v>23</v>
      </c>
      <c r="JL96">
        <v>1.2</v>
      </c>
      <c r="JM96">
        <v>1.2</v>
      </c>
      <c r="JN96">
        <v>0.806885</v>
      </c>
      <c r="JO96">
        <v>2.35962</v>
      </c>
      <c r="JP96">
        <v>1.4978</v>
      </c>
      <c r="JQ96">
        <v>2.33887</v>
      </c>
      <c r="JR96">
        <v>1.54419</v>
      </c>
      <c r="JS96">
        <v>2.37427</v>
      </c>
      <c r="JT96">
        <v>34.9674</v>
      </c>
      <c r="JU96">
        <v>24.3502</v>
      </c>
      <c r="JV96">
        <v>18</v>
      </c>
      <c r="JW96">
        <v>549.796</v>
      </c>
      <c r="JX96">
        <v>438.259</v>
      </c>
      <c r="JY96">
        <v>22.2057</v>
      </c>
      <c r="JZ96">
        <v>26.6162</v>
      </c>
      <c r="KA96">
        <v>30</v>
      </c>
      <c r="KB96">
        <v>26.6476</v>
      </c>
      <c r="KC96">
        <v>26.6745</v>
      </c>
      <c r="KD96">
        <v>16.1904</v>
      </c>
      <c r="KE96">
        <v>28.4565</v>
      </c>
      <c r="KF96">
        <v>100</v>
      </c>
      <c r="KG96">
        <v>22.2061</v>
      </c>
      <c r="KH96">
        <v>300</v>
      </c>
      <c r="KI96">
        <v>17.9243</v>
      </c>
      <c r="KJ96">
        <v>94.8634</v>
      </c>
      <c r="KK96">
        <v>98.8609</v>
      </c>
    </row>
    <row r="97" spans="1:297">
      <c r="A97">
        <v>81</v>
      </c>
      <c r="B97">
        <v>1765312170.1</v>
      </c>
      <c r="C97">
        <v>14221.0999999046</v>
      </c>
      <c r="D97" t="s">
        <v>688</v>
      </c>
      <c r="E97" t="s">
        <v>689</v>
      </c>
      <c r="F97">
        <v>5</v>
      </c>
      <c r="G97" t="s">
        <v>683</v>
      </c>
      <c r="H97" t="s">
        <v>436</v>
      </c>
      <c r="I97">
        <v>1765312162.1</v>
      </c>
      <c r="J97">
        <f>(K97)/1000</f>
        <v>0</v>
      </c>
      <c r="K97">
        <f>IF(DP97, AN97, AH97)</f>
        <v>0</v>
      </c>
      <c r="L97">
        <f>IF(DP97, AI97, AG97)</f>
        <v>0</v>
      </c>
      <c r="M97">
        <f>DR97 - IF(AU97&gt;1, L97*DL97*100.0/(AW97), 0)</f>
        <v>0</v>
      </c>
      <c r="N97">
        <f>((T97-J97/2)*M97-L97)/(T97+J97/2)</f>
        <v>0</v>
      </c>
      <c r="O97">
        <f>N97*(DY97+DZ97)/1000.0</f>
        <v>0</v>
      </c>
      <c r="P97">
        <f>(DR97 - IF(AU97&gt;1, L97*DL97*100.0/(AW97), 0))*(DY97+DZ97)/1000.0</f>
        <v>0</v>
      </c>
      <c r="Q97">
        <f>2.0/((1/S97-1/R97)+SIGN(S97)*SQRT((1/S97-1/R97)*(1/S97-1/R97) + 4*DM97/((DM97+1)*(DM97+1))*(2*1/S97*1/R97-1/R97*1/R97)))</f>
        <v>0</v>
      </c>
      <c r="R97">
        <f>IF(LEFT(DN97,1)&lt;&gt;"0",IF(LEFT(DN97,1)="1",3.0,DO97),$D$5+$E$5*(EF97*DY97/($K$5*1000))+$F$5*(EF97*DY97/($K$5*1000))*MAX(MIN(DL97,$J$5),$I$5)*MAX(MIN(DL97,$J$5),$I$5)+$G$5*MAX(MIN(DL97,$J$5),$I$5)*(EF97*DY97/($K$5*1000))+$H$5*(EF97*DY97/($K$5*1000))*(EF97*DY97/($K$5*1000)))</f>
        <v>0</v>
      </c>
      <c r="S97">
        <f>J97*(1000-(1000*0.61365*exp(17.502*W97/(240.97+W97))/(DY97+DZ97)+DT97)/2)/(1000*0.61365*exp(17.502*W97/(240.97+W97))/(DY97+DZ97)-DT97)</f>
        <v>0</v>
      </c>
      <c r="T97">
        <f>1/((DM97+1)/(Q97/1.6)+1/(R97/1.37)) + DM97/((DM97+1)/(Q97/1.6) + DM97/(R97/1.37))</f>
        <v>0</v>
      </c>
      <c r="U97">
        <f>(DH97*DK97)</f>
        <v>0</v>
      </c>
      <c r="V97">
        <f>(EA97+(U97+2*0.95*5.67E-8*(((EA97+$B$7)+273)^4-(EA97+273)^4)-44100*J97)/(1.84*29.3*R97+8*0.95*5.67E-8*(EA97+273)^3))</f>
        <v>0</v>
      </c>
      <c r="W97">
        <f>($C$7*EB97+$D$7*EC97+$E$7*V97)</f>
        <v>0</v>
      </c>
      <c r="X97">
        <f>0.61365*exp(17.502*W97/(240.97+W97))</f>
        <v>0</v>
      </c>
      <c r="Y97">
        <f>(Z97/AA97*100)</f>
        <v>0</v>
      </c>
      <c r="Z97">
        <f>DT97*(DY97+DZ97)/1000</f>
        <v>0</v>
      </c>
      <c r="AA97">
        <f>0.61365*exp(17.502*EA97/(240.97+EA97))</f>
        <v>0</v>
      </c>
      <c r="AB97">
        <f>(X97-DT97*(DY97+DZ97)/1000)</f>
        <v>0</v>
      </c>
      <c r="AC97">
        <f>(-J97*44100)</f>
        <v>0</v>
      </c>
      <c r="AD97">
        <f>2*29.3*R97*0.92*(EA97-W97)</f>
        <v>0</v>
      </c>
      <c r="AE97">
        <f>2*0.95*5.67E-8*(((EA97+$B$7)+273)^4-(W97+273)^4)</f>
        <v>0</v>
      </c>
      <c r="AF97">
        <f>U97+AE97+AC97+AD97</f>
        <v>0</v>
      </c>
      <c r="AG97">
        <f>DX97*AU97*(DS97-DR97*(1000-AU97*DU97)/(1000-AU97*DT97))/(100*DL97)</f>
        <v>0</v>
      </c>
      <c r="AH97">
        <f>1000*DX97*AU97*(DT97-DU97)/(100*DL97*(1000-AU97*DT97))</f>
        <v>0</v>
      </c>
      <c r="AI97">
        <f>(AJ97 - AK97 - DY97*1E3/(8.314*(EA97+273.15)) * AM97/DX97 * AL97) * DX97/(100*DL97) * (1000 - DU97)/1000</f>
        <v>0</v>
      </c>
      <c r="AJ97">
        <v>203.699719869456</v>
      </c>
      <c r="AK97">
        <v>204.042636363636</v>
      </c>
      <c r="AL97">
        <v>0.00138172431555528</v>
      </c>
      <c r="AM97">
        <v>63.8170879966501</v>
      </c>
      <c r="AN97">
        <f>(AP97 - AO97 + DY97*1E3/(8.314*(EA97+273.15)) * AR97/DX97 * AQ97) * DX97/(100*DL97) * 1000/(1000 - AP97)</f>
        <v>0</v>
      </c>
      <c r="AO97">
        <v>17.943611252291</v>
      </c>
      <c r="AP97">
        <v>18.0183206060606</v>
      </c>
      <c r="AQ97">
        <v>-2.68270843306658e-05</v>
      </c>
      <c r="AR97">
        <v>105.112062840582</v>
      </c>
      <c r="AS97">
        <v>0</v>
      </c>
      <c r="AT97">
        <v>0</v>
      </c>
      <c r="AU97">
        <f>IF(AS97*$H$13&gt;=AW97,1.0,(AW97/(AW97-AS97*$H$13)))</f>
        <v>0</v>
      </c>
      <c r="AV97">
        <f>(AU97-1)*100</f>
        <v>0</v>
      </c>
      <c r="AW97">
        <f>MAX(0,($B$13+$C$13*EF97)/(1+$D$13*EF97)*DY97/(EA97+273)*$E$13)</f>
        <v>0</v>
      </c>
      <c r="AX97" t="s">
        <v>437</v>
      </c>
      <c r="AY97" t="s">
        <v>437</v>
      </c>
      <c r="AZ97">
        <v>0</v>
      </c>
      <c r="BA97">
        <v>0</v>
      </c>
      <c r="BB97">
        <f>1-AZ97/BA97</f>
        <v>0</v>
      </c>
      <c r="BC97">
        <v>0</v>
      </c>
      <c r="BD97" t="s">
        <v>437</v>
      </c>
      <c r="BE97" t="s">
        <v>437</v>
      </c>
      <c r="BF97">
        <v>0</v>
      </c>
      <c r="BG97">
        <v>0</v>
      </c>
      <c r="BH97">
        <f>1-BF97/BG97</f>
        <v>0</v>
      </c>
      <c r="BI97">
        <v>0.5</v>
      </c>
      <c r="BJ97">
        <f>DI97</f>
        <v>0</v>
      </c>
      <c r="BK97">
        <f>L97</f>
        <v>0</v>
      </c>
      <c r="BL97">
        <f>BH97*BI97*BJ97</f>
        <v>0</v>
      </c>
      <c r="BM97">
        <f>(BK97-BC97)/BJ97</f>
        <v>0</v>
      </c>
      <c r="BN97">
        <f>(BA97-BG97)/BG97</f>
        <v>0</v>
      </c>
      <c r="BO97">
        <f>AZ97/(BB97+AZ97/BG97)</f>
        <v>0</v>
      </c>
      <c r="BP97" t="s">
        <v>437</v>
      </c>
      <c r="BQ97">
        <v>0</v>
      </c>
      <c r="BR97">
        <f>IF(BQ97&lt;&gt;0, BQ97, BO97)</f>
        <v>0</v>
      </c>
      <c r="BS97">
        <f>1-BR97/BG97</f>
        <v>0</v>
      </c>
      <c r="BT97">
        <f>(BG97-BF97)/(BG97-BR97)</f>
        <v>0</v>
      </c>
      <c r="BU97">
        <f>(BA97-BG97)/(BA97-BR97)</f>
        <v>0</v>
      </c>
      <c r="BV97">
        <f>(BG97-BF97)/(BG97-AZ97)</f>
        <v>0</v>
      </c>
      <c r="BW97">
        <f>(BA97-BG97)/(BA97-AZ97)</f>
        <v>0</v>
      </c>
      <c r="BX97">
        <f>(BT97*BR97/BF97)</f>
        <v>0</v>
      </c>
      <c r="BY97">
        <f>(1-BX97)</f>
        <v>0</v>
      </c>
      <c r="DH97">
        <f>$B$11*EG97+$C$11*EH97+$F$11*ES97*(1-EV97)</f>
        <v>0</v>
      </c>
      <c r="DI97">
        <f>DH97*DJ97</f>
        <v>0</v>
      </c>
      <c r="DJ97">
        <f>($B$11*$D$9+$C$11*$D$9+$F$11*((FF97+EX97)/MAX(FF97+EX97+FG97, 0.1)*$I$9+FG97/MAX(FF97+EX97+FG97, 0.1)*$J$9))/($B$11+$C$11+$F$11)</f>
        <v>0</v>
      </c>
      <c r="DK97">
        <f>($B$11*$K$9+$C$11*$K$9+$F$11*((FF97+EX97)/MAX(FF97+EX97+FG97, 0.1)*$P$9+FG97/MAX(FF97+EX97+FG97, 0.1)*$Q$9))/($B$11+$C$11+$F$11)</f>
        <v>0</v>
      </c>
      <c r="DL97">
        <v>6</v>
      </c>
      <c r="DM97">
        <v>0.5</v>
      </c>
      <c r="DN97" t="s">
        <v>438</v>
      </c>
      <c r="DO97">
        <v>2</v>
      </c>
      <c r="DP97" t="b">
        <v>1</v>
      </c>
      <c r="DQ97">
        <v>1765312162.1</v>
      </c>
      <c r="DR97">
        <v>200.2048</v>
      </c>
      <c r="DS97">
        <v>200.008466666667</v>
      </c>
      <c r="DT97">
        <v>18.02172</v>
      </c>
      <c r="DU97">
        <v>17.9436933333333</v>
      </c>
      <c r="DV97">
        <v>193.9628</v>
      </c>
      <c r="DW97">
        <v>17.87072</v>
      </c>
      <c r="DX97">
        <v>499.993866666667</v>
      </c>
      <c r="DY97">
        <v>89.65792</v>
      </c>
      <c r="DZ97">
        <v>0.0999781333333333</v>
      </c>
      <c r="EA97">
        <v>25.3404066666667</v>
      </c>
      <c r="EB97">
        <v>24.9996733333333</v>
      </c>
      <c r="EC97">
        <v>999.9</v>
      </c>
      <c r="ED97">
        <v>0</v>
      </c>
      <c r="EE97">
        <v>0</v>
      </c>
      <c r="EF97">
        <v>10007.0433333333</v>
      </c>
      <c r="EG97">
        <v>0</v>
      </c>
      <c r="EH97">
        <v>12.5257933333333</v>
      </c>
      <c r="EI97">
        <v>0.3571564</v>
      </c>
      <c r="EJ97">
        <v>204.042466666667</v>
      </c>
      <c r="EK97">
        <v>203.6628</v>
      </c>
      <c r="EL97">
        <v>0.0767634066666667</v>
      </c>
      <c r="EM97">
        <v>200.008466666667</v>
      </c>
      <c r="EN97">
        <v>17.9436933333333</v>
      </c>
      <c r="EO97">
        <v>1.615676</v>
      </c>
      <c r="EP97">
        <v>1.60879466666667</v>
      </c>
      <c r="EQ97">
        <v>14.1091266666667</v>
      </c>
      <c r="ER97">
        <v>14.0432866666667</v>
      </c>
      <c r="ES97">
        <v>800.007666666667</v>
      </c>
      <c r="ET97">
        <v>0.950011</v>
      </c>
      <c r="EU97">
        <v>0.0499888</v>
      </c>
      <c r="EV97">
        <v>0</v>
      </c>
      <c r="EW97">
        <v>822.9972</v>
      </c>
      <c r="EX97">
        <v>5.00016</v>
      </c>
      <c r="EY97">
        <v>6387.67466666667</v>
      </c>
      <c r="EZ97">
        <v>7194.77266666667</v>
      </c>
      <c r="FA97">
        <v>40</v>
      </c>
      <c r="FB97">
        <v>42.7789333333333</v>
      </c>
      <c r="FC97">
        <v>41.5</v>
      </c>
      <c r="FD97">
        <v>42.6954</v>
      </c>
      <c r="FE97">
        <v>42.6828666666667</v>
      </c>
      <c r="FF97">
        <v>755.266666666667</v>
      </c>
      <c r="FG97">
        <v>39.74</v>
      </c>
      <c r="FH97">
        <v>0</v>
      </c>
      <c r="FI97">
        <v>1765312170.7</v>
      </c>
      <c r="FJ97">
        <v>0</v>
      </c>
      <c r="FK97">
        <v>823.01976</v>
      </c>
      <c r="FL97">
        <v>-1.61323078048565</v>
      </c>
      <c r="FM97">
        <v>-12.7707692311308</v>
      </c>
      <c r="FN97">
        <v>6387.5588</v>
      </c>
      <c r="FO97">
        <v>15</v>
      </c>
      <c r="FP97">
        <v>1765312191.1</v>
      </c>
      <c r="FQ97" t="s">
        <v>690</v>
      </c>
      <c r="FR97">
        <v>1765312190.1</v>
      </c>
      <c r="FS97">
        <v>1765312191.1</v>
      </c>
      <c r="FT97">
        <v>81</v>
      </c>
      <c r="FU97">
        <v>-0.159</v>
      </c>
      <c r="FV97">
        <v>0.002</v>
      </c>
      <c r="FW97">
        <v>6.242</v>
      </c>
      <c r="FX97">
        <v>0.151</v>
      </c>
      <c r="FY97">
        <v>200</v>
      </c>
      <c r="FZ97">
        <v>18</v>
      </c>
      <c r="GA97">
        <v>0.19</v>
      </c>
      <c r="GB97">
        <v>0.19</v>
      </c>
      <c r="GC97">
        <v>0.37686775</v>
      </c>
      <c r="GD97">
        <v>-0.357854842105263</v>
      </c>
      <c r="GE97">
        <v>0.053274502621681</v>
      </c>
      <c r="GF97">
        <v>1</v>
      </c>
      <c r="GG97">
        <v>823.101</v>
      </c>
      <c r="GH97">
        <v>-1.94661573561477</v>
      </c>
      <c r="GI97">
        <v>0.265840509461195</v>
      </c>
      <c r="GJ97">
        <v>-1</v>
      </c>
      <c r="GK97">
        <v>0.07671384</v>
      </c>
      <c r="GL97">
        <v>-0.000112610526315833</v>
      </c>
      <c r="GM97">
        <v>0.00112581189743225</v>
      </c>
      <c r="GN97">
        <v>1</v>
      </c>
      <c r="GO97">
        <v>2</v>
      </c>
      <c r="GP97">
        <v>2</v>
      </c>
      <c r="GQ97" t="s">
        <v>440</v>
      </c>
      <c r="GR97">
        <v>3.12501</v>
      </c>
      <c r="GS97">
        <v>2.72568</v>
      </c>
      <c r="GT97">
        <v>0.0471478</v>
      </c>
      <c r="GU97">
        <v>0.0484908</v>
      </c>
      <c r="GV97">
        <v>0.082521</v>
      </c>
      <c r="GW97">
        <v>0.0824306</v>
      </c>
      <c r="GX97">
        <v>25033</v>
      </c>
      <c r="GY97">
        <v>23266</v>
      </c>
      <c r="GZ97">
        <v>23488.4</v>
      </c>
      <c r="HA97">
        <v>23802.3</v>
      </c>
      <c r="HB97">
        <v>36699.1</v>
      </c>
      <c r="HC97">
        <v>36114.8</v>
      </c>
      <c r="HD97">
        <v>42313</v>
      </c>
      <c r="HE97">
        <v>42404.6</v>
      </c>
      <c r="HF97">
        <v>1.9284</v>
      </c>
      <c r="HG97">
        <v>1.84253</v>
      </c>
      <c r="HH97">
        <v>0.0907816</v>
      </c>
      <c r="HI97">
        <v>0</v>
      </c>
      <c r="HJ97">
        <v>23.5205</v>
      </c>
      <c r="HK97">
        <v>999.9</v>
      </c>
      <c r="HL97">
        <v>48.395</v>
      </c>
      <c r="HM97">
        <v>28.742</v>
      </c>
      <c r="HN97">
        <v>21.3872</v>
      </c>
      <c r="HO97">
        <v>54.5312</v>
      </c>
      <c r="HP97">
        <v>46.0497</v>
      </c>
      <c r="HQ97">
        <v>1</v>
      </c>
      <c r="HR97">
        <v>-0.0684985</v>
      </c>
      <c r="HS97">
        <v>1.13057</v>
      </c>
      <c r="HT97">
        <v>20.2279</v>
      </c>
      <c r="HU97">
        <v>5.23511</v>
      </c>
      <c r="HV97">
        <v>11.992</v>
      </c>
      <c r="HW97">
        <v>4.95575</v>
      </c>
      <c r="HX97">
        <v>3.304</v>
      </c>
      <c r="HY97">
        <v>999.9</v>
      </c>
      <c r="HZ97">
        <v>9999</v>
      </c>
      <c r="IA97">
        <v>9999</v>
      </c>
      <c r="IB97">
        <v>9999</v>
      </c>
      <c r="IC97">
        <v>1.86861</v>
      </c>
      <c r="ID97">
        <v>1.86434</v>
      </c>
      <c r="IE97">
        <v>1.87195</v>
      </c>
      <c r="IF97">
        <v>1.86289</v>
      </c>
      <c r="IG97">
        <v>1.86227</v>
      </c>
      <c r="IH97">
        <v>1.86869</v>
      </c>
      <c r="II97">
        <v>1.85886</v>
      </c>
      <c r="IJ97">
        <v>1.86523</v>
      </c>
      <c r="IK97">
        <v>5</v>
      </c>
      <c r="IL97">
        <v>0</v>
      </c>
      <c r="IM97">
        <v>0</v>
      </c>
      <c r="IN97">
        <v>0</v>
      </c>
      <c r="IO97" t="s">
        <v>441</v>
      </c>
      <c r="IP97" t="s">
        <v>442</v>
      </c>
      <c r="IQ97" t="s">
        <v>443</v>
      </c>
      <c r="IR97" t="s">
        <v>443</v>
      </c>
      <c r="IS97" t="s">
        <v>443</v>
      </c>
      <c r="IT97" t="s">
        <v>443</v>
      </c>
      <c r="IU97">
        <v>0</v>
      </c>
      <c r="IV97">
        <v>100</v>
      </c>
      <c r="IW97">
        <v>100</v>
      </c>
      <c r="IX97">
        <v>6.242</v>
      </c>
      <c r="IY97">
        <v>0.151</v>
      </c>
      <c r="IZ97">
        <v>5.30234087509725</v>
      </c>
      <c r="JA97">
        <v>0.0062698613543794</v>
      </c>
      <c r="JB97">
        <v>-3.23243345529816e-06</v>
      </c>
      <c r="JC97">
        <v>8.00506428382295e-10</v>
      </c>
      <c r="JD97">
        <v>-0.0119442920337423</v>
      </c>
      <c r="JE97">
        <v>-0.0018464610107002</v>
      </c>
      <c r="JF97">
        <v>0.000796540623429801</v>
      </c>
      <c r="JG97">
        <v>-1.04619914107352e-05</v>
      </c>
      <c r="JH97">
        <v>-0</v>
      </c>
      <c r="JI97">
        <v>2101</v>
      </c>
      <c r="JJ97">
        <v>1</v>
      </c>
      <c r="JK97">
        <v>23</v>
      </c>
      <c r="JL97">
        <v>1.2</v>
      </c>
      <c r="JM97">
        <v>1.3</v>
      </c>
      <c r="JN97">
        <v>0.594482</v>
      </c>
      <c r="JO97">
        <v>2.39258</v>
      </c>
      <c r="JP97">
        <v>1.4978</v>
      </c>
      <c r="JQ97">
        <v>2.34009</v>
      </c>
      <c r="JR97">
        <v>1.54419</v>
      </c>
      <c r="JS97">
        <v>2.34985</v>
      </c>
      <c r="JT97">
        <v>34.9444</v>
      </c>
      <c r="JU97">
        <v>24.3414</v>
      </c>
      <c r="JV97">
        <v>18</v>
      </c>
      <c r="JW97">
        <v>549.839</v>
      </c>
      <c r="JX97">
        <v>437.767</v>
      </c>
      <c r="JY97">
        <v>22.1085</v>
      </c>
      <c r="JZ97">
        <v>26.5922</v>
      </c>
      <c r="KA97">
        <v>30</v>
      </c>
      <c r="KB97">
        <v>26.6175</v>
      </c>
      <c r="KC97">
        <v>26.6439</v>
      </c>
      <c r="KD97">
        <v>11.9465</v>
      </c>
      <c r="KE97">
        <v>28.17</v>
      </c>
      <c r="KF97">
        <v>100</v>
      </c>
      <c r="KG97">
        <v>22.1113</v>
      </c>
      <c r="KH97">
        <v>200</v>
      </c>
      <c r="KI97">
        <v>18.0179</v>
      </c>
      <c r="KJ97">
        <v>94.8607</v>
      </c>
      <c r="KK97">
        <v>98.8618</v>
      </c>
    </row>
    <row r="98" spans="1:297">
      <c r="A98">
        <v>82</v>
      </c>
      <c r="B98">
        <v>1765312262.1</v>
      </c>
      <c r="C98">
        <v>14313.0999999046</v>
      </c>
      <c r="D98" t="s">
        <v>691</v>
      </c>
      <c r="E98" t="s">
        <v>692</v>
      </c>
      <c r="F98">
        <v>5</v>
      </c>
      <c r="G98" t="s">
        <v>683</v>
      </c>
      <c r="H98" t="s">
        <v>436</v>
      </c>
      <c r="I98">
        <v>1765312253.6</v>
      </c>
      <c r="J98">
        <f>(K98)/1000</f>
        <v>0</v>
      </c>
      <c r="K98">
        <f>IF(DP98, AN98, AH98)</f>
        <v>0</v>
      </c>
      <c r="L98">
        <f>IF(DP98, AI98, AG98)</f>
        <v>0</v>
      </c>
      <c r="M98">
        <f>DR98 - IF(AU98&gt;1, L98*DL98*100.0/(AW98), 0)</f>
        <v>0</v>
      </c>
      <c r="N98">
        <f>((T98-J98/2)*M98-L98)/(T98+J98/2)</f>
        <v>0</v>
      </c>
      <c r="O98">
        <f>N98*(DY98+DZ98)/1000.0</f>
        <v>0</v>
      </c>
      <c r="P98">
        <f>(DR98 - IF(AU98&gt;1, L98*DL98*100.0/(AW98), 0))*(DY98+DZ98)/1000.0</f>
        <v>0</v>
      </c>
      <c r="Q98">
        <f>2.0/((1/S98-1/R98)+SIGN(S98)*SQRT((1/S98-1/R98)*(1/S98-1/R98) + 4*DM98/((DM98+1)*(DM98+1))*(2*1/S98*1/R98-1/R98*1/R98)))</f>
        <v>0</v>
      </c>
      <c r="R98">
        <f>IF(LEFT(DN98,1)&lt;&gt;"0",IF(LEFT(DN98,1)="1",3.0,DO98),$D$5+$E$5*(EF98*DY98/($K$5*1000))+$F$5*(EF98*DY98/($K$5*1000))*MAX(MIN(DL98,$J$5),$I$5)*MAX(MIN(DL98,$J$5),$I$5)+$G$5*MAX(MIN(DL98,$J$5),$I$5)*(EF98*DY98/($K$5*1000))+$H$5*(EF98*DY98/($K$5*1000))*(EF98*DY98/($K$5*1000)))</f>
        <v>0</v>
      </c>
      <c r="S98">
        <f>J98*(1000-(1000*0.61365*exp(17.502*W98/(240.97+W98))/(DY98+DZ98)+DT98)/2)/(1000*0.61365*exp(17.502*W98/(240.97+W98))/(DY98+DZ98)-DT98)</f>
        <v>0</v>
      </c>
      <c r="T98">
        <f>1/((DM98+1)/(Q98/1.6)+1/(R98/1.37)) + DM98/((DM98+1)/(Q98/1.6) + DM98/(R98/1.37))</f>
        <v>0</v>
      </c>
      <c r="U98">
        <f>(DH98*DK98)</f>
        <v>0</v>
      </c>
      <c r="V98">
        <f>(EA98+(U98+2*0.95*5.67E-8*(((EA98+$B$7)+273)^4-(EA98+273)^4)-44100*J98)/(1.84*29.3*R98+8*0.95*5.67E-8*(EA98+273)^3))</f>
        <v>0</v>
      </c>
      <c r="W98">
        <f>($C$7*EB98+$D$7*EC98+$E$7*V98)</f>
        <v>0</v>
      </c>
      <c r="X98">
        <f>0.61365*exp(17.502*W98/(240.97+W98))</f>
        <v>0</v>
      </c>
      <c r="Y98">
        <f>(Z98/AA98*100)</f>
        <v>0</v>
      </c>
      <c r="Z98">
        <f>DT98*(DY98+DZ98)/1000</f>
        <v>0</v>
      </c>
      <c r="AA98">
        <f>0.61365*exp(17.502*EA98/(240.97+EA98))</f>
        <v>0</v>
      </c>
      <c r="AB98">
        <f>(X98-DT98*(DY98+DZ98)/1000)</f>
        <v>0</v>
      </c>
      <c r="AC98">
        <f>(-J98*44100)</f>
        <v>0</v>
      </c>
      <c r="AD98">
        <f>2*29.3*R98*0.92*(EA98-W98)</f>
        <v>0</v>
      </c>
      <c r="AE98">
        <f>2*0.95*5.67E-8*(((EA98+$B$7)+273)^4-(W98+273)^4)</f>
        <v>0</v>
      </c>
      <c r="AF98">
        <f>U98+AE98+AC98+AD98</f>
        <v>0</v>
      </c>
      <c r="AG98">
        <f>DX98*AU98*(DS98-DR98*(1000-AU98*DU98)/(1000-AU98*DT98))/(100*DL98)</f>
        <v>0</v>
      </c>
      <c r="AH98">
        <f>1000*DX98*AU98*(DT98-DU98)/(100*DL98*(1000-AU98*DT98))</f>
        <v>0</v>
      </c>
      <c r="AI98">
        <f>(AJ98 - AK98 - DY98*1E3/(8.314*(EA98+273.15)) * AM98/DX98 * AL98) * DX98/(100*DL98) * (1000 - DU98)/1000</f>
        <v>0</v>
      </c>
      <c r="AJ98">
        <v>101.845455554516</v>
      </c>
      <c r="AK98">
        <v>102.019133333333</v>
      </c>
      <c r="AL98">
        <v>-0.000777928922959699</v>
      </c>
      <c r="AM98">
        <v>63.3802858417047</v>
      </c>
      <c r="AN98">
        <f>(AP98 - AO98 + DY98*1E3/(8.314*(EA98+273.15)) * AR98/DX98 * AQ98) * DX98/(100*DL98) * 1000/(1000 - AP98)</f>
        <v>0</v>
      </c>
      <c r="AO98">
        <v>18.0002095873171</v>
      </c>
      <c r="AP98">
        <v>18.0774545454545</v>
      </c>
      <c r="AQ98">
        <v>-7.99685709327404e-06</v>
      </c>
      <c r="AR98">
        <v>107.629895411834</v>
      </c>
      <c r="AS98">
        <v>0</v>
      </c>
      <c r="AT98">
        <v>0</v>
      </c>
      <c r="AU98">
        <f>IF(AS98*$H$13&gt;=AW98,1.0,(AW98/(AW98-AS98*$H$13)))</f>
        <v>0</v>
      </c>
      <c r="AV98">
        <f>(AU98-1)*100</f>
        <v>0</v>
      </c>
      <c r="AW98">
        <f>MAX(0,($B$13+$C$13*EF98)/(1+$D$13*EF98)*DY98/(EA98+273)*$E$13)</f>
        <v>0</v>
      </c>
      <c r="AX98" t="s">
        <v>437</v>
      </c>
      <c r="AY98" t="s">
        <v>437</v>
      </c>
      <c r="AZ98">
        <v>0</v>
      </c>
      <c r="BA98">
        <v>0</v>
      </c>
      <c r="BB98">
        <f>1-AZ98/BA98</f>
        <v>0</v>
      </c>
      <c r="BC98">
        <v>0</v>
      </c>
      <c r="BD98" t="s">
        <v>437</v>
      </c>
      <c r="BE98" t="s">
        <v>437</v>
      </c>
      <c r="BF98">
        <v>0</v>
      </c>
      <c r="BG98">
        <v>0</v>
      </c>
      <c r="BH98">
        <f>1-BF98/BG98</f>
        <v>0</v>
      </c>
      <c r="BI98">
        <v>0.5</v>
      </c>
      <c r="BJ98">
        <f>DI98</f>
        <v>0</v>
      </c>
      <c r="BK98">
        <f>L98</f>
        <v>0</v>
      </c>
      <c r="BL98">
        <f>BH98*BI98*BJ98</f>
        <v>0</v>
      </c>
      <c r="BM98">
        <f>(BK98-BC98)/BJ98</f>
        <v>0</v>
      </c>
      <c r="BN98">
        <f>(BA98-BG98)/BG98</f>
        <v>0</v>
      </c>
      <c r="BO98">
        <f>AZ98/(BB98+AZ98/BG98)</f>
        <v>0</v>
      </c>
      <c r="BP98" t="s">
        <v>437</v>
      </c>
      <c r="BQ98">
        <v>0</v>
      </c>
      <c r="BR98">
        <f>IF(BQ98&lt;&gt;0, BQ98, BO98)</f>
        <v>0</v>
      </c>
      <c r="BS98">
        <f>1-BR98/BG98</f>
        <v>0</v>
      </c>
      <c r="BT98">
        <f>(BG98-BF98)/(BG98-BR98)</f>
        <v>0</v>
      </c>
      <c r="BU98">
        <f>(BA98-BG98)/(BA98-BR98)</f>
        <v>0</v>
      </c>
      <c r="BV98">
        <f>(BG98-BF98)/(BG98-AZ98)</f>
        <v>0</v>
      </c>
      <c r="BW98">
        <f>(BA98-BG98)/(BA98-AZ98)</f>
        <v>0</v>
      </c>
      <c r="BX98">
        <f>(BT98*BR98/BF98)</f>
        <v>0</v>
      </c>
      <c r="BY98">
        <f>(1-BX98)</f>
        <v>0</v>
      </c>
      <c r="DH98">
        <f>$B$11*EG98+$C$11*EH98+$F$11*ES98*(1-EV98)</f>
        <v>0</v>
      </c>
      <c r="DI98">
        <f>DH98*DJ98</f>
        <v>0</v>
      </c>
      <c r="DJ98">
        <f>($B$11*$D$9+$C$11*$D$9+$F$11*((FF98+EX98)/MAX(FF98+EX98+FG98, 0.1)*$I$9+FG98/MAX(FF98+EX98+FG98, 0.1)*$J$9))/($B$11+$C$11+$F$11)</f>
        <v>0</v>
      </c>
      <c r="DK98">
        <f>($B$11*$K$9+$C$11*$K$9+$F$11*((FF98+EX98)/MAX(FF98+EX98+FG98, 0.1)*$P$9+FG98/MAX(FF98+EX98+FG98, 0.1)*$Q$9))/($B$11+$C$11+$F$11)</f>
        <v>0</v>
      </c>
      <c r="DL98">
        <v>6</v>
      </c>
      <c r="DM98">
        <v>0.5</v>
      </c>
      <c r="DN98" t="s">
        <v>438</v>
      </c>
      <c r="DO98">
        <v>2</v>
      </c>
      <c r="DP98" t="b">
        <v>1</v>
      </c>
      <c r="DQ98">
        <v>1765312253.6</v>
      </c>
      <c r="DR98">
        <v>100.3022</v>
      </c>
      <c r="DS98">
        <v>99.9967375</v>
      </c>
      <c r="DT98">
        <v>18.07433125</v>
      </c>
      <c r="DU98">
        <v>17.9999</v>
      </c>
      <c r="DV98">
        <v>94.4552</v>
      </c>
      <c r="DW98">
        <v>17.92533125</v>
      </c>
      <c r="DX98">
        <v>500.0126875</v>
      </c>
      <c r="DY98">
        <v>89.64811875</v>
      </c>
      <c r="DZ98">
        <v>0.100018675</v>
      </c>
      <c r="EA98">
        <v>25.34508125</v>
      </c>
      <c r="EB98">
        <v>25.01195</v>
      </c>
      <c r="EC98">
        <v>999.9</v>
      </c>
      <c r="ED98">
        <v>0</v>
      </c>
      <c r="EE98">
        <v>0</v>
      </c>
      <c r="EF98">
        <v>10000.474375</v>
      </c>
      <c r="EG98">
        <v>0</v>
      </c>
      <c r="EH98">
        <v>12.5741375</v>
      </c>
      <c r="EI98">
        <v>0.1658149375</v>
      </c>
      <c r="EJ98">
        <v>102.0065</v>
      </c>
      <c r="EK98">
        <v>101.8294375</v>
      </c>
      <c r="EL98">
        <v>0.0779504875</v>
      </c>
      <c r="EM98">
        <v>99.9967375</v>
      </c>
      <c r="EN98">
        <v>17.9999</v>
      </c>
      <c r="EO98">
        <v>1.620643125</v>
      </c>
      <c r="EP98">
        <v>1.613656875</v>
      </c>
      <c r="EQ98">
        <v>14.1565</v>
      </c>
      <c r="ER98">
        <v>14.08983125</v>
      </c>
      <c r="ES98">
        <v>799.9859375</v>
      </c>
      <c r="ET98">
        <v>0.9500088125</v>
      </c>
      <c r="EU98">
        <v>0.0499910375</v>
      </c>
      <c r="EV98">
        <v>0</v>
      </c>
      <c r="EW98">
        <v>821.2728125</v>
      </c>
      <c r="EX98">
        <v>5.00016</v>
      </c>
      <c r="EY98">
        <v>6372.320625</v>
      </c>
      <c r="EZ98">
        <v>7194.57</v>
      </c>
      <c r="FA98">
        <v>40</v>
      </c>
      <c r="FB98">
        <v>42.75</v>
      </c>
      <c r="FC98">
        <v>41.5</v>
      </c>
      <c r="FD98">
        <v>42.6909375</v>
      </c>
      <c r="FE98">
        <v>42.625</v>
      </c>
      <c r="FF98">
        <v>755.24375</v>
      </c>
      <c r="FG98">
        <v>39.74</v>
      </c>
      <c r="FH98">
        <v>0</v>
      </c>
      <c r="FI98">
        <v>1765312262.5</v>
      </c>
      <c r="FJ98">
        <v>0</v>
      </c>
      <c r="FK98">
        <v>821.1725</v>
      </c>
      <c r="FL98">
        <v>-1.8578803245337</v>
      </c>
      <c r="FM98">
        <v>-20.6119657453505</v>
      </c>
      <c r="FN98">
        <v>6372.09769230769</v>
      </c>
      <c r="FO98">
        <v>15</v>
      </c>
      <c r="FP98">
        <v>1765312282.1</v>
      </c>
      <c r="FQ98" t="s">
        <v>693</v>
      </c>
      <c r="FR98">
        <v>1765312282.1</v>
      </c>
      <c r="FS98">
        <v>1765312280.1</v>
      </c>
      <c r="FT98">
        <v>82</v>
      </c>
      <c r="FU98">
        <v>0.141</v>
      </c>
      <c r="FV98">
        <v>-0.002</v>
      </c>
      <c r="FW98">
        <v>5.847</v>
      </c>
      <c r="FX98">
        <v>0.149</v>
      </c>
      <c r="FY98">
        <v>100</v>
      </c>
      <c r="FZ98">
        <v>18</v>
      </c>
      <c r="GA98">
        <v>0.44</v>
      </c>
      <c r="GB98">
        <v>0.19</v>
      </c>
      <c r="GC98">
        <v>0.1937626</v>
      </c>
      <c r="GD98">
        <v>-0.414102586466165</v>
      </c>
      <c r="GE98">
        <v>0.0580344827963513</v>
      </c>
      <c r="GF98">
        <v>1</v>
      </c>
      <c r="GG98">
        <v>821.320970588235</v>
      </c>
      <c r="GH98">
        <v>-2.05633307736607</v>
      </c>
      <c r="GI98">
        <v>0.301240326697913</v>
      </c>
      <c r="GJ98">
        <v>-1</v>
      </c>
      <c r="GK98">
        <v>0.077303035</v>
      </c>
      <c r="GL98">
        <v>0.00938652180451128</v>
      </c>
      <c r="GM98">
        <v>0.00171817651807811</v>
      </c>
      <c r="GN98">
        <v>1</v>
      </c>
      <c r="GO98">
        <v>2</v>
      </c>
      <c r="GP98">
        <v>2</v>
      </c>
      <c r="GQ98" t="s">
        <v>440</v>
      </c>
      <c r="GR98">
        <v>3.12495</v>
      </c>
      <c r="GS98">
        <v>2.72552</v>
      </c>
      <c r="GT98">
        <v>0.0241046</v>
      </c>
      <c r="GU98">
        <v>0.0255212</v>
      </c>
      <c r="GV98">
        <v>0.0826948</v>
      </c>
      <c r="GW98">
        <v>0.0826112</v>
      </c>
      <c r="GX98">
        <v>25637.8</v>
      </c>
      <c r="GY98">
        <v>23828.6</v>
      </c>
      <c r="GZ98">
        <v>23487.8</v>
      </c>
      <c r="HA98">
        <v>23803.2</v>
      </c>
      <c r="HB98">
        <v>36688.8</v>
      </c>
      <c r="HC98">
        <v>36107.4</v>
      </c>
      <c r="HD98">
        <v>42311.6</v>
      </c>
      <c r="HE98">
        <v>42406.4</v>
      </c>
      <c r="HF98">
        <v>1.92815</v>
      </c>
      <c r="HG98">
        <v>1.8426</v>
      </c>
      <c r="HH98">
        <v>0.0911839</v>
      </c>
      <c r="HI98">
        <v>0</v>
      </c>
      <c r="HJ98">
        <v>23.5146</v>
      </c>
      <c r="HK98">
        <v>999.9</v>
      </c>
      <c r="HL98">
        <v>48.419</v>
      </c>
      <c r="HM98">
        <v>28.732</v>
      </c>
      <c r="HN98">
        <v>21.3872</v>
      </c>
      <c r="HO98">
        <v>54.5412</v>
      </c>
      <c r="HP98">
        <v>45.9776</v>
      </c>
      <c r="HQ98">
        <v>1</v>
      </c>
      <c r="HR98">
        <v>-0.0692353</v>
      </c>
      <c r="HS98">
        <v>1.21813</v>
      </c>
      <c r="HT98">
        <v>20.2275</v>
      </c>
      <c r="HU98">
        <v>5.23481</v>
      </c>
      <c r="HV98">
        <v>11.992</v>
      </c>
      <c r="HW98">
        <v>4.95595</v>
      </c>
      <c r="HX98">
        <v>3.304</v>
      </c>
      <c r="HY98">
        <v>999.9</v>
      </c>
      <c r="HZ98">
        <v>9999</v>
      </c>
      <c r="IA98">
        <v>9999</v>
      </c>
      <c r="IB98">
        <v>9999</v>
      </c>
      <c r="IC98">
        <v>1.86862</v>
      </c>
      <c r="ID98">
        <v>1.86434</v>
      </c>
      <c r="IE98">
        <v>1.87195</v>
      </c>
      <c r="IF98">
        <v>1.86291</v>
      </c>
      <c r="IG98">
        <v>1.8623</v>
      </c>
      <c r="IH98">
        <v>1.86872</v>
      </c>
      <c r="II98">
        <v>1.85886</v>
      </c>
      <c r="IJ98">
        <v>1.86523</v>
      </c>
      <c r="IK98">
        <v>5</v>
      </c>
      <c r="IL98">
        <v>0</v>
      </c>
      <c r="IM98">
        <v>0</v>
      </c>
      <c r="IN98">
        <v>0</v>
      </c>
      <c r="IO98" t="s">
        <v>441</v>
      </c>
      <c r="IP98" t="s">
        <v>442</v>
      </c>
      <c r="IQ98" t="s">
        <v>443</v>
      </c>
      <c r="IR98" t="s">
        <v>443</v>
      </c>
      <c r="IS98" t="s">
        <v>443</v>
      </c>
      <c r="IT98" t="s">
        <v>443</v>
      </c>
      <c r="IU98">
        <v>0</v>
      </c>
      <c r="IV98">
        <v>100</v>
      </c>
      <c r="IW98">
        <v>100</v>
      </c>
      <c r="IX98">
        <v>5.847</v>
      </c>
      <c r="IY98">
        <v>0.149</v>
      </c>
      <c r="IZ98">
        <v>5.14318929602491</v>
      </c>
      <c r="JA98">
        <v>0.0062698613543794</v>
      </c>
      <c r="JB98">
        <v>-3.23243345529816e-06</v>
      </c>
      <c r="JC98">
        <v>8.00506428382295e-10</v>
      </c>
      <c r="JD98">
        <v>-0.0100773954719545</v>
      </c>
      <c r="JE98">
        <v>-0.0018464610107002</v>
      </c>
      <c r="JF98">
        <v>0.000796540623429801</v>
      </c>
      <c r="JG98">
        <v>-1.04619914107352e-05</v>
      </c>
      <c r="JH98">
        <v>-0</v>
      </c>
      <c r="JI98">
        <v>2101</v>
      </c>
      <c r="JJ98">
        <v>1</v>
      </c>
      <c r="JK98">
        <v>23</v>
      </c>
      <c r="JL98">
        <v>1.2</v>
      </c>
      <c r="JM98">
        <v>1.2</v>
      </c>
      <c r="JN98">
        <v>0.374756</v>
      </c>
      <c r="JO98">
        <v>2.41333</v>
      </c>
      <c r="JP98">
        <v>1.4978</v>
      </c>
      <c r="JQ98">
        <v>2.34009</v>
      </c>
      <c r="JR98">
        <v>1.54419</v>
      </c>
      <c r="JS98">
        <v>2.34253</v>
      </c>
      <c r="JT98">
        <v>34.9444</v>
      </c>
      <c r="JU98">
        <v>24.3414</v>
      </c>
      <c r="JV98">
        <v>18</v>
      </c>
      <c r="JW98">
        <v>549.492</v>
      </c>
      <c r="JX98">
        <v>437.638</v>
      </c>
      <c r="JY98">
        <v>22.101</v>
      </c>
      <c r="JZ98">
        <v>26.5788</v>
      </c>
      <c r="KA98">
        <v>30.0002</v>
      </c>
      <c r="KB98">
        <v>26.5966</v>
      </c>
      <c r="KC98">
        <v>26.6216</v>
      </c>
      <c r="KD98">
        <v>7.53926</v>
      </c>
      <c r="KE98">
        <v>27.897</v>
      </c>
      <c r="KF98">
        <v>100</v>
      </c>
      <c r="KG98">
        <v>22.0917</v>
      </c>
      <c r="KH98">
        <v>100</v>
      </c>
      <c r="KI98">
        <v>18.0238</v>
      </c>
      <c r="KJ98">
        <v>94.8577</v>
      </c>
      <c r="KK98">
        <v>98.8658</v>
      </c>
    </row>
    <row r="99" spans="1:297">
      <c r="A99">
        <v>83</v>
      </c>
      <c r="B99">
        <v>1765312351.1</v>
      </c>
      <c r="C99">
        <v>14402.0999999046</v>
      </c>
      <c r="D99" t="s">
        <v>694</v>
      </c>
      <c r="E99" t="s">
        <v>695</v>
      </c>
      <c r="F99">
        <v>5</v>
      </c>
      <c r="G99" t="s">
        <v>683</v>
      </c>
      <c r="H99" t="s">
        <v>436</v>
      </c>
      <c r="I99">
        <v>1765312342.6</v>
      </c>
      <c r="J99">
        <f>(K99)/1000</f>
        <v>0</v>
      </c>
      <c r="K99">
        <f>IF(DP99, AN99, AH99)</f>
        <v>0</v>
      </c>
      <c r="L99">
        <f>IF(DP99, AI99, AG99)</f>
        <v>0</v>
      </c>
      <c r="M99">
        <f>DR99 - IF(AU99&gt;1, L99*DL99*100.0/(AW99), 0)</f>
        <v>0</v>
      </c>
      <c r="N99">
        <f>((T99-J99/2)*M99-L99)/(T99+J99/2)</f>
        <v>0</v>
      </c>
      <c r="O99">
        <f>N99*(DY99+DZ99)/1000.0</f>
        <v>0</v>
      </c>
      <c r="P99">
        <f>(DR99 - IF(AU99&gt;1, L99*DL99*100.0/(AW99), 0))*(DY99+DZ99)/1000.0</f>
        <v>0</v>
      </c>
      <c r="Q99">
        <f>2.0/((1/S99-1/R99)+SIGN(S99)*SQRT((1/S99-1/R99)*(1/S99-1/R99) + 4*DM99/((DM99+1)*(DM99+1))*(2*1/S99*1/R99-1/R99*1/R99)))</f>
        <v>0</v>
      </c>
      <c r="R99">
        <f>IF(LEFT(DN99,1)&lt;&gt;"0",IF(LEFT(DN99,1)="1",3.0,DO99),$D$5+$E$5*(EF99*DY99/($K$5*1000))+$F$5*(EF99*DY99/($K$5*1000))*MAX(MIN(DL99,$J$5),$I$5)*MAX(MIN(DL99,$J$5),$I$5)+$G$5*MAX(MIN(DL99,$J$5),$I$5)*(EF99*DY99/($K$5*1000))+$H$5*(EF99*DY99/($K$5*1000))*(EF99*DY99/($K$5*1000)))</f>
        <v>0</v>
      </c>
      <c r="S99">
        <f>J99*(1000-(1000*0.61365*exp(17.502*W99/(240.97+W99))/(DY99+DZ99)+DT99)/2)/(1000*0.61365*exp(17.502*W99/(240.97+W99))/(DY99+DZ99)-DT99)</f>
        <v>0</v>
      </c>
      <c r="T99">
        <f>1/((DM99+1)/(Q99/1.6)+1/(R99/1.37)) + DM99/((DM99+1)/(Q99/1.6) + DM99/(R99/1.37))</f>
        <v>0</v>
      </c>
      <c r="U99">
        <f>(DH99*DK99)</f>
        <v>0</v>
      </c>
      <c r="V99">
        <f>(EA99+(U99+2*0.95*5.67E-8*(((EA99+$B$7)+273)^4-(EA99+273)^4)-44100*J99)/(1.84*29.3*R99+8*0.95*5.67E-8*(EA99+273)^3))</f>
        <v>0</v>
      </c>
      <c r="W99">
        <f>($C$7*EB99+$D$7*EC99+$E$7*V99)</f>
        <v>0</v>
      </c>
      <c r="X99">
        <f>0.61365*exp(17.502*W99/(240.97+W99))</f>
        <v>0</v>
      </c>
      <c r="Y99">
        <f>(Z99/AA99*100)</f>
        <v>0</v>
      </c>
      <c r="Z99">
        <f>DT99*(DY99+DZ99)/1000</f>
        <v>0</v>
      </c>
      <c r="AA99">
        <f>0.61365*exp(17.502*EA99/(240.97+EA99))</f>
        <v>0</v>
      </c>
      <c r="AB99">
        <f>(X99-DT99*(DY99+DZ99)/1000)</f>
        <v>0</v>
      </c>
      <c r="AC99">
        <f>(-J99*44100)</f>
        <v>0</v>
      </c>
      <c r="AD99">
        <f>2*29.3*R99*0.92*(EA99-W99)</f>
        <v>0</v>
      </c>
      <c r="AE99">
        <f>2*0.95*5.67E-8*(((EA99+$B$7)+273)^4-(W99+273)^4)</f>
        <v>0</v>
      </c>
      <c r="AF99">
        <f>U99+AE99+AC99+AD99</f>
        <v>0</v>
      </c>
      <c r="AG99">
        <f>DX99*AU99*(DS99-DR99*(1000-AU99*DU99)/(1000-AU99*DT99))/(100*DL99)</f>
        <v>0</v>
      </c>
      <c r="AH99">
        <f>1000*DX99*AU99*(DT99-DU99)/(100*DL99*(1000-AU99*DT99))</f>
        <v>0</v>
      </c>
      <c r="AI99">
        <f>(AJ99 - AK99 - DY99*1E3/(8.314*(EA99+273.15)) * AM99/DX99 * AL99) * DX99/(100*DL99) * (1000 - DU99)/1000</f>
        <v>0</v>
      </c>
      <c r="AJ99">
        <v>50.890150983607</v>
      </c>
      <c r="AK99">
        <v>50.8774963636363</v>
      </c>
      <c r="AL99">
        <v>-0.0151074068091974</v>
      </c>
      <c r="AM99">
        <v>63.2668987392712</v>
      </c>
      <c r="AN99">
        <f>(AP99 - AO99 + DY99*1E3/(8.314*(EA99+273.15)) * AR99/DX99 * AQ99) * DX99/(100*DL99) * 1000/(1000 - AP99)</f>
        <v>0</v>
      </c>
      <c r="AO99">
        <v>18.0007192956112</v>
      </c>
      <c r="AP99">
        <v>18.07628</v>
      </c>
      <c r="AQ99">
        <v>-2.99084291779933e-05</v>
      </c>
      <c r="AR99">
        <v>108.337572114167</v>
      </c>
      <c r="AS99">
        <v>0</v>
      </c>
      <c r="AT99">
        <v>0</v>
      </c>
      <c r="AU99">
        <f>IF(AS99*$H$13&gt;=AW99,1.0,(AW99/(AW99-AS99*$H$13)))</f>
        <v>0</v>
      </c>
      <c r="AV99">
        <f>(AU99-1)*100</f>
        <v>0</v>
      </c>
      <c r="AW99">
        <f>MAX(0,($B$13+$C$13*EF99)/(1+$D$13*EF99)*DY99/(EA99+273)*$E$13)</f>
        <v>0</v>
      </c>
      <c r="AX99" t="s">
        <v>437</v>
      </c>
      <c r="AY99" t="s">
        <v>437</v>
      </c>
      <c r="AZ99">
        <v>0</v>
      </c>
      <c r="BA99">
        <v>0</v>
      </c>
      <c r="BB99">
        <f>1-AZ99/BA99</f>
        <v>0</v>
      </c>
      <c r="BC99">
        <v>0</v>
      </c>
      <c r="BD99" t="s">
        <v>437</v>
      </c>
      <c r="BE99" t="s">
        <v>437</v>
      </c>
      <c r="BF99">
        <v>0</v>
      </c>
      <c r="BG99">
        <v>0</v>
      </c>
      <c r="BH99">
        <f>1-BF99/BG99</f>
        <v>0</v>
      </c>
      <c r="BI99">
        <v>0.5</v>
      </c>
      <c r="BJ99">
        <f>DI99</f>
        <v>0</v>
      </c>
      <c r="BK99">
        <f>L99</f>
        <v>0</v>
      </c>
      <c r="BL99">
        <f>BH99*BI99*BJ99</f>
        <v>0</v>
      </c>
      <c r="BM99">
        <f>(BK99-BC99)/BJ99</f>
        <v>0</v>
      </c>
      <c r="BN99">
        <f>(BA99-BG99)/BG99</f>
        <v>0</v>
      </c>
      <c r="BO99">
        <f>AZ99/(BB99+AZ99/BG99)</f>
        <v>0</v>
      </c>
      <c r="BP99" t="s">
        <v>437</v>
      </c>
      <c r="BQ99">
        <v>0</v>
      </c>
      <c r="BR99">
        <f>IF(BQ99&lt;&gt;0, BQ99, BO99)</f>
        <v>0</v>
      </c>
      <c r="BS99">
        <f>1-BR99/BG99</f>
        <v>0</v>
      </c>
      <c r="BT99">
        <f>(BG99-BF99)/(BG99-BR99)</f>
        <v>0</v>
      </c>
      <c r="BU99">
        <f>(BA99-BG99)/(BA99-BR99)</f>
        <v>0</v>
      </c>
      <c r="BV99">
        <f>(BG99-BF99)/(BG99-AZ99)</f>
        <v>0</v>
      </c>
      <c r="BW99">
        <f>(BA99-BG99)/(BA99-AZ99)</f>
        <v>0</v>
      </c>
      <c r="BX99">
        <f>(BT99*BR99/BF99)</f>
        <v>0</v>
      </c>
      <c r="BY99">
        <f>(1-BX99)</f>
        <v>0</v>
      </c>
      <c r="DH99">
        <f>$B$11*EG99+$C$11*EH99+$F$11*ES99*(1-EV99)</f>
        <v>0</v>
      </c>
      <c r="DI99">
        <f>DH99*DJ99</f>
        <v>0</v>
      </c>
      <c r="DJ99">
        <f>($B$11*$D$9+$C$11*$D$9+$F$11*((FF99+EX99)/MAX(FF99+EX99+FG99, 0.1)*$I$9+FG99/MAX(FF99+EX99+FG99, 0.1)*$J$9))/($B$11+$C$11+$F$11)</f>
        <v>0</v>
      </c>
      <c r="DK99">
        <f>($B$11*$K$9+$C$11*$K$9+$F$11*((FF99+EX99)/MAX(FF99+EX99+FG99, 0.1)*$P$9+FG99/MAX(FF99+EX99+FG99, 0.1)*$Q$9))/($B$11+$C$11+$F$11)</f>
        <v>0</v>
      </c>
      <c r="DL99">
        <v>6</v>
      </c>
      <c r="DM99">
        <v>0.5</v>
      </c>
      <c r="DN99" t="s">
        <v>438</v>
      </c>
      <c r="DO99">
        <v>2</v>
      </c>
      <c r="DP99" t="b">
        <v>1</v>
      </c>
      <c r="DQ99">
        <v>1765312342.6</v>
      </c>
      <c r="DR99">
        <v>50.26148125</v>
      </c>
      <c r="DS99">
        <v>49.99598125</v>
      </c>
      <c r="DT99">
        <v>18.07478125</v>
      </c>
      <c r="DU99">
        <v>18.0012875</v>
      </c>
      <c r="DV99">
        <v>44.48648125</v>
      </c>
      <c r="DW99">
        <v>17.92578125</v>
      </c>
      <c r="DX99">
        <v>500.00425</v>
      </c>
      <c r="DY99">
        <v>89.64270625</v>
      </c>
      <c r="DZ99">
        <v>0.10000583125</v>
      </c>
      <c r="EA99">
        <v>25.3370875</v>
      </c>
      <c r="EB99">
        <v>25.001775</v>
      </c>
      <c r="EC99">
        <v>999.9</v>
      </c>
      <c r="ED99">
        <v>0</v>
      </c>
      <c r="EE99">
        <v>0</v>
      </c>
      <c r="EF99">
        <v>10005.315</v>
      </c>
      <c r="EG99">
        <v>0</v>
      </c>
      <c r="EH99">
        <v>12.5751</v>
      </c>
      <c r="EI99">
        <v>0.04748935</v>
      </c>
      <c r="EJ99">
        <v>50.96471875</v>
      </c>
      <c r="EK99">
        <v>50.9124875</v>
      </c>
      <c r="EL99">
        <v>0.07504785625</v>
      </c>
      <c r="EM99">
        <v>49.99598125</v>
      </c>
      <c r="EN99">
        <v>18.0012875</v>
      </c>
      <c r="EO99">
        <v>1.62041125</v>
      </c>
      <c r="EP99">
        <v>1.6136825</v>
      </c>
      <c r="EQ99">
        <v>14.1542875</v>
      </c>
      <c r="ER99">
        <v>14.0901</v>
      </c>
      <c r="ES99">
        <v>799.9965</v>
      </c>
      <c r="ET99">
        <v>0.95000875</v>
      </c>
      <c r="EU99">
        <v>0.049991025</v>
      </c>
      <c r="EV99">
        <v>0</v>
      </c>
      <c r="EW99">
        <v>819.57675</v>
      </c>
      <c r="EX99">
        <v>5.00016</v>
      </c>
      <c r="EY99">
        <v>6358.21375</v>
      </c>
      <c r="EZ99">
        <v>7194.6675</v>
      </c>
      <c r="FA99">
        <v>39.992125</v>
      </c>
      <c r="FB99">
        <v>42.742125</v>
      </c>
      <c r="FC99">
        <v>41.4960625</v>
      </c>
      <c r="FD99">
        <v>42.6909375</v>
      </c>
      <c r="FE99">
        <v>42.625</v>
      </c>
      <c r="FF99">
        <v>755.25375</v>
      </c>
      <c r="FG99">
        <v>39.74</v>
      </c>
      <c r="FH99">
        <v>0</v>
      </c>
      <c r="FI99">
        <v>1765312351.9</v>
      </c>
      <c r="FJ99">
        <v>0</v>
      </c>
      <c r="FK99">
        <v>819.53432</v>
      </c>
      <c r="FL99">
        <v>-1.36046153488409</v>
      </c>
      <c r="FM99">
        <v>-13.5823076586729</v>
      </c>
      <c r="FN99">
        <v>6358.0448</v>
      </c>
      <c r="FO99">
        <v>15</v>
      </c>
      <c r="FP99">
        <v>1765312386.1</v>
      </c>
      <c r="FQ99" t="s">
        <v>696</v>
      </c>
      <c r="FR99">
        <v>1765312386.1</v>
      </c>
      <c r="FS99">
        <v>1765312369.1</v>
      </c>
      <c r="FT99">
        <v>83</v>
      </c>
      <c r="FU99">
        <v>0.22</v>
      </c>
      <c r="FV99">
        <v>-0</v>
      </c>
      <c r="FW99">
        <v>5.775</v>
      </c>
      <c r="FX99">
        <v>0.149</v>
      </c>
      <c r="FY99">
        <v>50</v>
      </c>
      <c r="FZ99">
        <v>18</v>
      </c>
      <c r="GA99">
        <v>0.35</v>
      </c>
      <c r="GB99">
        <v>0.09</v>
      </c>
      <c r="GC99">
        <v>0.0810353952380952</v>
      </c>
      <c r="GD99">
        <v>-0.452727537662338</v>
      </c>
      <c r="GE99">
        <v>0.0701563501741474</v>
      </c>
      <c r="GF99">
        <v>1</v>
      </c>
      <c r="GG99">
        <v>819.613235294118</v>
      </c>
      <c r="GH99">
        <v>-1.38200152847482</v>
      </c>
      <c r="GI99">
        <v>0.224727162527923</v>
      </c>
      <c r="GJ99">
        <v>-1</v>
      </c>
      <c r="GK99">
        <v>0.0748777857142857</v>
      </c>
      <c r="GL99">
        <v>0.00541890389610395</v>
      </c>
      <c r="GM99">
        <v>0.00140388732361788</v>
      </c>
      <c r="GN99">
        <v>1</v>
      </c>
      <c r="GO99">
        <v>2</v>
      </c>
      <c r="GP99">
        <v>2</v>
      </c>
      <c r="GQ99" t="s">
        <v>440</v>
      </c>
      <c r="GR99">
        <v>3.12493</v>
      </c>
      <c r="GS99">
        <v>2.72572</v>
      </c>
      <c r="GT99">
        <v>0.0115134</v>
      </c>
      <c r="GU99">
        <v>0.0129779</v>
      </c>
      <c r="GV99">
        <v>0.0827005</v>
      </c>
      <c r="GW99">
        <v>0.0826166</v>
      </c>
      <c r="GX99">
        <v>25967.3</v>
      </c>
      <c r="GY99">
        <v>24135.3</v>
      </c>
      <c r="GZ99">
        <v>23486.6</v>
      </c>
      <c r="HA99">
        <v>23803.1</v>
      </c>
      <c r="HB99">
        <v>36685.6</v>
      </c>
      <c r="HC99">
        <v>36106.1</v>
      </c>
      <c r="HD99">
        <v>42309.4</v>
      </c>
      <c r="HE99">
        <v>42406.3</v>
      </c>
      <c r="HF99">
        <v>1.92827</v>
      </c>
      <c r="HG99">
        <v>1.8426</v>
      </c>
      <c r="HH99">
        <v>0.0900142</v>
      </c>
      <c r="HI99">
        <v>0</v>
      </c>
      <c r="HJ99">
        <v>23.53</v>
      </c>
      <c r="HK99">
        <v>999.9</v>
      </c>
      <c r="HL99">
        <v>48.443</v>
      </c>
      <c r="HM99">
        <v>28.732</v>
      </c>
      <c r="HN99">
        <v>21.3991</v>
      </c>
      <c r="HO99">
        <v>54.2512</v>
      </c>
      <c r="HP99">
        <v>46.0938</v>
      </c>
      <c r="HQ99">
        <v>1</v>
      </c>
      <c r="HR99">
        <v>-0.0697866</v>
      </c>
      <c r="HS99">
        <v>1.15421</v>
      </c>
      <c r="HT99">
        <v>20.228</v>
      </c>
      <c r="HU99">
        <v>5.23511</v>
      </c>
      <c r="HV99">
        <v>11.992</v>
      </c>
      <c r="HW99">
        <v>4.9557</v>
      </c>
      <c r="HX99">
        <v>3.304</v>
      </c>
      <c r="HY99">
        <v>999.9</v>
      </c>
      <c r="HZ99">
        <v>9999</v>
      </c>
      <c r="IA99">
        <v>9999</v>
      </c>
      <c r="IB99">
        <v>9999</v>
      </c>
      <c r="IC99">
        <v>1.86859</v>
      </c>
      <c r="ID99">
        <v>1.86433</v>
      </c>
      <c r="IE99">
        <v>1.87195</v>
      </c>
      <c r="IF99">
        <v>1.86289</v>
      </c>
      <c r="IG99">
        <v>1.8623</v>
      </c>
      <c r="IH99">
        <v>1.86868</v>
      </c>
      <c r="II99">
        <v>1.85884</v>
      </c>
      <c r="IJ99">
        <v>1.86523</v>
      </c>
      <c r="IK99">
        <v>5</v>
      </c>
      <c r="IL99">
        <v>0</v>
      </c>
      <c r="IM99">
        <v>0</v>
      </c>
      <c r="IN99">
        <v>0</v>
      </c>
      <c r="IO99" t="s">
        <v>441</v>
      </c>
      <c r="IP99" t="s">
        <v>442</v>
      </c>
      <c r="IQ99" t="s">
        <v>443</v>
      </c>
      <c r="IR99" t="s">
        <v>443</v>
      </c>
      <c r="IS99" t="s">
        <v>443</v>
      </c>
      <c r="IT99" t="s">
        <v>443</v>
      </c>
      <c r="IU99">
        <v>0</v>
      </c>
      <c r="IV99">
        <v>100</v>
      </c>
      <c r="IW99">
        <v>100</v>
      </c>
      <c r="IX99">
        <v>5.775</v>
      </c>
      <c r="IY99">
        <v>0.149</v>
      </c>
      <c r="IZ99">
        <v>5.28439693131359</v>
      </c>
      <c r="JA99">
        <v>0.0062698613543794</v>
      </c>
      <c r="JB99">
        <v>-3.23243345529816e-06</v>
      </c>
      <c r="JC99">
        <v>8.00506428382295e-10</v>
      </c>
      <c r="JD99">
        <v>-0.0120420377854069</v>
      </c>
      <c r="JE99">
        <v>-0.0018464610107002</v>
      </c>
      <c r="JF99">
        <v>0.000796540623429801</v>
      </c>
      <c r="JG99">
        <v>-1.04619914107352e-05</v>
      </c>
      <c r="JH99">
        <v>-0</v>
      </c>
      <c r="JI99">
        <v>2101</v>
      </c>
      <c r="JJ99">
        <v>1</v>
      </c>
      <c r="JK99">
        <v>23</v>
      </c>
      <c r="JL99">
        <v>1.1</v>
      </c>
      <c r="JM99">
        <v>1.2</v>
      </c>
      <c r="JN99">
        <v>0.264893</v>
      </c>
      <c r="JO99">
        <v>2.43774</v>
      </c>
      <c r="JP99">
        <v>1.49902</v>
      </c>
      <c r="JQ99">
        <v>2.33887</v>
      </c>
      <c r="JR99">
        <v>1.54419</v>
      </c>
      <c r="JS99">
        <v>2.30957</v>
      </c>
      <c r="JT99">
        <v>34.9214</v>
      </c>
      <c r="JU99">
        <v>24.3414</v>
      </c>
      <c r="JV99">
        <v>18</v>
      </c>
      <c r="JW99">
        <v>549.436</v>
      </c>
      <c r="JX99">
        <v>437.517</v>
      </c>
      <c r="JY99">
        <v>22.088</v>
      </c>
      <c r="JZ99">
        <v>26.572</v>
      </c>
      <c r="KA99">
        <v>30.0002</v>
      </c>
      <c r="KB99">
        <v>26.581</v>
      </c>
      <c r="KC99">
        <v>26.6059</v>
      </c>
      <c r="KD99">
        <v>5.3238</v>
      </c>
      <c r="KE99">
        <v>27.897</v>
      </c>
      <c r="KF99">
        <v>100</v>
      </c>
      <c r="KG99">
        <v>22.0882</v>
      </c>
      <c r="KH99">
        <v>50</v>
      </c>
      <c r="KI99">
        <v>18.0265</v>
      </c>
      <c r="KJ99">
        <v>94.8528</v>
      </c>
      <c r="KK99">
        <v>98.8654</v>
      </c>
    </row>
    <row r="100" spans="1:297">
      <c r="A100">
        <v>84</v>
      </c>
      <c r="B100">
        <v>1765312470.1</v>
      </c>
      <c r="C100">
        <v>14521.0999999046</v>
      </c>
      <c r="D100" t="s">
        <v>697</v>
      </c>
      <c r="E100" t="s">
        <v>698</v>
      </c>
      <c r="F100">
        <v>5</v>
      </c>
      <c r="G100" t="s">
        <v>683</v>
      </c>
      <c r="H100" t="s">
        <v>436</v>
      </c>
      <c r="I100">
        <v>1765312462.1</v>
      </c>
      <c r="J100">
        <f>(K100)/1000</f>
        <v>0</v>
      </c>
      <c r="K100">
        <f>IF(DP100, AN100, AH100)</f>
        <v>0</v>
      </c>
      <c r="L100">
        <f>IF(DP100, AI100, AG100)</f>
        <v>0</v>
      </c>
      <c r="M100">
        <f>DR100 - IF(AU100&gt;1, L100*DL100*100.0/(AW100), 0)</f>
        <v>0</v>
      </c>
      <c r="N100">
        <f>((T100-J100/2)*M100-L100)/(T100+J100/2)</f>
        <v>0</v>
      </c>
      <c r="O100">
        <f>N100*(DY100+DZ100)/1000.0</f>
        <v>0</v>
      </c>
      <c r="P100">
        <f>(DR100 - IF(AU100&gt;1, L100*DL100*100.0/(AW100), 0))*(DY100+DZ100)/1000.0</f>
        <v>0</v>
      </c>
      <c r="Q100">
        <f>2.0/((1/S100-1/R100)+SIGN(S100)*SQRT((1/S100-1/R100)*(1/S100-1/R100) + 4*DM100/((DM100+1)*(DM100+1))*(2*1/S100*1/R100-1/R100*1/R100)))</f>
        <v>0</v>
      </c>
      <c r="R100">
        <f>IF(LEFT(DN100,1)&lt;&gt;"0",IF(LEFT(DN100,1)="1",3.0,DO100),$D$5+$E$5*(EF100*DY100/($K$5*1000))+$F$5*(EF100*DY100/($K$5*1000))*MAX(MIN(DL100,$J$5),$I$5)*MAX(MIN(DL100,$J$5),$I$5)+$G$5*MAX(MIN(DL100,$J$5),$I$5)*(EF100*DY100/($K$5*1000))+$H$5*(EF100*DY100/($K$5*1000))*(EF100*DY100/($K$5*1000)))</f>
        <v>0</v>
      </c>
      <c r="S100">
        <f>J100*(1000-(1000*0.61365*exp(17.502*W100/(240.97+W100))/(DY100+DZ100)+DT100)/2)/(1000*0.61365*exp(17.502*W100/(240.97+W100))/(DY100+DZ100)-DT100)</f>
        <v>0</v>
      </c>
      <c r="T100">
        <f>1/((DM100+1)/(Q100/1.6)+1/(R100/1.37)) + DM100/((DM100+1)/(Q100/1.6) + DM100/(R100/1.37))</f>
        <v>0</v>
      </c>
      <c r="U100">
        <f>(DH100*DK100)</f>
        <v>0</v>
      </c>
      <c r="V100">
        <f>(EA100+(U100+2*0.95*5.67E-8*(((EA100+$B$7)+273)^4-(EA100+273)^4)-44100*J100)/(1.84*29.3*R100+8*0.95*5.67E-8*(EA100+273)^3))</f>
        <v>0</v>
      </c>
      <c r="W100">
        <f>($C$7*EB100+$D$7*EC100+$E$7*V100)</f>
        <v>0</v>
      </c>
      <c r="X100">
        <f>0.61365*exp(17.502*W100/(240.97+W100))</f>
        <v>0</v>
      </c>
      <c r="Y100">
        <f>(Z100/AA100*100)</f>
        <v>0</v>
      </c>
      <c r="Z100">
        <f>DT100*(DY100+DZ100)/1000</f>
        <v>0</v>
      </c>
      <c r="AA100">
        <f>0.61365*exp(17.502*EA100/(240.97+EA100))</f>
        <v>0</v>
      </c>
      <c r="AB100">
        <f>(X100-DT100*(DY100+DZ100)/1000)</f>
        <v>0</v>
      </c>
      <c r="AC100">
        <f>(-J100*44100)</f>
        <v>0</v>
      </c>
      <c r="AD100">
        <f>2*29.3*R100*0.92*(EA100-W100)</f>
        <v>0</v>
      </c>
      <c r="AE100">
        <f>2*0.95*5.67E-8*(((EA100+$B$7)+273)^4-(W100+273)^4)</f>
        <v>0</v>
      </c>
      <c r="AF100">
        <f>U100+AE100+AC100+AD100</f>
        <v>0</v>
      </c>
      <c r="AG100">
        <f>DX100*AU100*(DS100-DR100*(1000-AU100*DU100)/(1000-AU100*DT100))/(100*DL100)</f>
        <v>0</v>
      </c>
      <c r="AH100">
        <f>1000*DX100*AU100*(DT100-DU100)/(100*DL100*(1000-AU100*DT100))</f>
        <v>0</v>
      </c>
      <c r="AI100">
        <f>(AJ100 - AK100 - DY100*1E3/(8.314*(EA100+273.15)) * AM100/DX100 * AL100) * DX100/(100*DL100) * (1000 - DU100)/1000</f>
        <v>0</v>
      </c>
      <c r="AJ100">
        <v>407.356070825998</v>
      </c>
      <c r="AK100">
        <v>406.927478787879</v>
      </c>
      <c r="AL100">
        <v>-0.00717856470421226</v>
      </c>
      <c r="AM100">
        <v>63.2458982752674</v>
      </c>
      <c r="AN100">
        <f>(AP100 - AO100 + DY100*1E3/(8.314*(EA100+273.15)) * AR100/DX100 * AQ100) * DX100/(100*DL100) * 1000/(1000 - AP100)</f>
        <v>0</v>
      </c>
      <c r="AO100">
        <v>18.0176313759971</v>
      </c>
      <c r="AP100">
        <v>18.0918248484848</v>
      </c>
      <c r="AQ100">
        <v>-1.23085111447844e-06</v>
      </c>
      <c r="AR100">
        <v>108.472259543949</v>
      </c>
      <c r="AS100">
        <v>0</v>
      </c>
      <c r="AT100">
        <v>0</v>
      </c>
      <c r="AU100">
        <f>IF(AS100*$H$13&gt;=AW100,1.0,(AW100/(AW100-AS100*$H$13)))</f>
        <v>0</v>
      </c>
      <c r="AV100">
        <f>(AU100-1)*100</f>
        <v>0</v>
      </c>
      <c r="AW100">
        <f>MAX(0,($B$13+$C$13*EF100)/(1+$D$13*EF100)*DY100/(EA100+273)*$E$13)</f>
        <v>0</v>
      </c>
      <c r="AX100" t="s">
        <v>437</v>
      </c>
      <c r="AY100" t="s">
        <v>437</v>
      </c>
      <c r="AZ100">
        <v>0</v>
      </c>
      <c r="BA100">
        <v>0</v>
      </c>
      <c r="BB100">
        <f>1-AZ100/BA100</f>
        <v>0</v>
      </c>
      <c r="BC100">
        <v>0</v>
      </c>
      <c r="BD100" t="s">
        <v>437</v>
      </c>
      <c r="BE100" t="s">
        <v>437</v>
      </c>
      <c r="BF100">
        <v>0</v>
      </c>
      <c r="BG100">
        <v>0</v>
      </c>
      <c r="BH100">
        <f>1-BF100/BG100</f>
        <v>0</v>
      </c>
      <c r="BI100">
        <v>0.5</v>
      </c>
      <c r="BJ100">
        <f>DI100</f>
        <v>0</v>
      </c>
      <c r="BK100">
        <f>L100</f>
        <v>0</v>
      </c>
      <c r="BL100">
        <f>BH100*BI100*BJ100</f>
        <v>0</v>
      </c>
      <c r="BM100">
        <f>(BK100-BC100)/BJ100</f>
        <v>0</v>
      </c>
      <c r="BN100">
        <f>(BA100-BG100)/BG100</f>
        <v>0</v>
      </c>
      <c r="BO100">
        <f>AZ100/(BB100+AZ100/BG100)</f>
        <v>0</v>
      </c>
      <c r="BP100" t="s">
        <v>437</v>
      </c>
      <c r="BQ100">
        <v>0</v>
      </c>
      <c r="BR100">
        <f>IF(BQ100&lt;&gt;0, BQ100, BO100)</f>
        <v>0</v>
      </c>
      <c r="BS100">
        <f>1-BR100/BG100</f>
        <v>0</v>
      </c>
      <c r="BT100">
        <f>(BG100-BF100)/(BG100-BR100)</f>
        <v>0</v>
      </c>
      <c r="BU100">
        <f>(BA100-BG100)/(BA100-BR100)</f>
        <v>0</v>
      </c>
      <c r="BV100">
        <f>(BG100-BF100)/(BG100-AZ100)</f>
        <v>0</v>
      </c>
      <c r="BW100">
        <f>(BA100-BG100)/(BA100-AZ100)</f>
        <v>0</v>
      </c>
      <c r="BX100">
        <f>(BT100*BR100/BF100)</f>
        <v>0</v>
      </c>
      <c r="BY100">
        <f>(1-BX100)</f>
        <v>0</v>
      </c>
      <c r="DH100">
        <f>$B$11*EG100+$C$11*EH100+$F$11*ES100*(1-EV100)</f>
        <v>0</v>
      </c>
      <c r="DI100">
        <f>DH100*DJ100</f>
        <v>0</v>
      </c>
      <c r="DJ100">
        <f>($B$11*$D$9+$C$11*$D$9+$F$11*((FF100+EX100)/MAX(FF100+EX100+FG100, 0.1)*$I$9+FG100/MAX(FF100+EX100+FG100, 0.1)*$J$9))/($B$11+$C$11+$F$11)</f>
        <v>0</v>
      </c>
      <c r="DK100">
        <f>($B$11*$K$9+$C$11*$K$9+$F$11*((FF100+EX100)/MAX(FF100+EX100+FG100, 0.1)*$P$9+FG100/MAX(FF100+EX100+FG100, 0.1)*$Q$9))/($B$11+$C$11+$F$11)</f>
        <v>0</v>
      </c>
      <c r="DL100">
        <v>6</v>
      </c>
      <c r="DM100">
        <v>0.5</v>
      </c>
      <c r="DN100" t="s">
        <v>438</v>
      </c>
      <c r="DO100">
        <v>2</v>
      </c>
      <c r="DP100" t="b">
        <v>1</v>
      </c>
      <c r="DQ100">
        <v>1765312462.1</v>
      </c>
      <c r="DR100">
        <v>399.864866666667</v>
      </c>
      <c r="DS100">
        <v>400.013933333333</v>
      </c>
      <c r="DT100">
        <v>18.0997133333333</v>
      </c>
      <c r="DU100">
        <v>18.0185466666667</v>
      </c>
      <c r="DV100">
        <v>392.044866666667</v>
      </c>
      <c r="DW100">
        <v>17.9447133333333</v>
      </c>
      <c r="DX100">
        <v>499.9858</v>
      </c>
      <c r="DY100">
        <v>89.6427066666667</v>
      </c>
      <c r="DZ100">
        <v>0.099949</v>
      </c>
      <c r="EA100">
        <v>25.3262333333333</v>
      </c>
      <c r="EB100">
        <v>25.0046333333333</v>
      </c>
      <c r="EC100">
        <v>999.9</v>
      </c>
      <c r="ED100">
        <v>0</v>
      </c>
      <c r="EE100">
        <v>0</v>
      </c>
      <c r="EF100">
        <v>10006.622</v>
      </c>
      <c r="EG100">
        <v>0</v>
      </c>
      <c r="EH100">
        <v>12.5751</v>
      </c>
      <c r="EI100">
        <v>-0.454939666666667</v>
      </c>
      <c r="EJ100">
        <v>406.9224</v>
      </c>
      <c r="EK100">
        <v>407.353933333333</v>
      </c>
      <c r="EL100">
        <v>0.0767296866666667</v>
      </c>
      <c r="EM100">
        <v>400.013933333333</v>
      </c>
      <c r="EN100">
        <v>18.0185466666667</v>
      </c>
      <c r="EO100">
        <v>1.62210933333333</v>
      </c>
      <c r="EP100">
        <v>1.61522933333333</v>
      </c>
      <c r="EQ100">
        <v>14.1704533333333</v>
      </c>
      <c r="ER100">
        <v>14.10488</v>
      </c>
      <c r="ES100">
        <v>799.961066666667</v>
      </c>
      <c r="ET100">
        <v>0.950006333333333</v>
      </c>
      <c r="EU100">
        <v>0.04999352</v>
      </c>
      <c r="EV100">
        <v>0</v>
      </c>
      <c r="EW100">
        <v>817.580666666667</v>
      </c>
      <c r="EX100">
        <v>5.00016</v>
      </c>
      <c r="EY100">
        <v>6342.06466666667</v>
      </c>
      <c r="EZ100">
        <v>7194.34</v>
      </c>
      <c r="FA100">
        <v>39.9664</v>
      </c>
      <c r="FB100">
        <v>42.729</v>
      </c>
      <c r="FC100">
        <v>41.4622</v>
      </c>
      <c r="FD100">
        <v>42.687</v>
      </c>
      <c r="FE100">
        <v>42.625</v>
      </c>
      <c r="FF100">
        <v>755.218</v>
      </c>
      <c r="FG100">
        <v>39.74</v>
      </c>
      <c r="FH100">
        <v>0</v>
      </c>
      <c r="FI100">
        <v>1765312470.7</v>
      </c>
      <c r="FJ100">
        <v>0</v>
      </c>
      <c r="FK100">
        <v>817.56372</v>
      </c>
      <c r="FL100">
        <v>-0.591000000329789</v>
      </c>
      <c r="FM100">
        <v>-6.95461538142102</v>
      </c>
      <c r="FN100">
        <v>6342.1472</v>
      </c>
      <c r="FO100">
        <v>15</v>
      </c>
      <c r="FP100">
        <v>1765312488.1</v>
      </c>
      <c r="FQ100" t="s">
        <v>699</v>
      </c>
      <c r="FR100">
        <v>1765312486.1</v>
      </c>
      <c r="FS100">
        <v>1765312488.1</v>
      </c>
      <c r="FT100">
        <v>84</v>
      </c>
      <c r="FU100">
        <v>0.306</v>
      </c>
      <c r="FV100">
        <v>0.006</v>
      </c>
      <c r="FW100">
        <v>7.82</v>
      </c>
      <c r="FX100">
        <v>0.155</v>
      </c>
      <c r="FY100">
        <v>400</v>
      </c>
      <c r="FZ100">
        <v>18</v>
      </c>
      <c r="GA100">
        <v>0.54</v>
      </c>
      <c r="GB100">
        <v>0.16</v>
      </c>
      <c r="GC100">
        <v>-0.48437185</v>
      </c>
      <c r="GD100">
        <v>0.484784075187971</v>
      </c>
      <c r="GE100">
        <v>0.0558865272505592</v>
      </c>
      <c r="GF100">
        <v>1</v>
      </c>
      <c r="GG100">
        <v>817.563970588235</v>
      </c>
      <c r="GH100">
        <v>-0.321420932720271</v>
      </c>
      <c r="GI100">
        <v>0.192557170317888</v>
      </c>
      <c r="GJ100">
        <v>-1</v>
      </c>
      <c r="GK100">
        <v>0.07953308</v>
      </c>
      <c r="GL100">
        <v>-0.0477539187969924</v>
      </c>
      <c r="GM100">
        <v>0.00467099594632665</v>
      </c>
      <c r="GN100">
        <v>1</v>
      </c>
      <c r="GO100">
        <v>2</v>
      </c>
      <c r="GP100">
        <v>2</v>
      </c>
      <c r="GQ100" t="s">
        <v>440</v>
      </c>
      <c r="GR100">
        <v>3.12502</v>
      </c>
      <c r="GS100">
        <v>2.7255</v>
      </c>
      <c r="GT100">
        <v>0.0847667</v>
      </c>
      <c r="GU100">
        <v>0.0860507</v>
      </c>
      <c r="GV100">
        <v>0.0827574</v>
      </c>
      <c r="GW100">
        <v>0.0826757</v>
      </c>
      <c r="GX100">
        <v>24042.7</v>
      </c>
      <c r="GY100">
        <v>22348.9</v>
      </c>
      <c r="GZ100">
        <v>23486.2</v>
      </c>
      <c r="HA100">
        <v>23803.3</v>
      </c>
      <c r="HB100">
        <v>36688.8</v>
      </c>
      <c r="HC100">
        <v>36109.8</v>
      </c>
      <c r="HD100">
        <v>42308.5</v>
      </c>
      <c r="HE100">
        <v>42406.7</v>
      </c>
      <c r="HF100">
        <v>1.92875</v>
      </c>
      <c r="HG100">
        <v>1.84343</v>
      </c>
      <c r="HH100">
        <v>0.0888854</v>
      </c>
      <c r="HI100">
        <v>0</v>
      </c>
      <c r="HJ100">
        <v>23.5385</v>
      </c>
      <c r="HK100">
        <v>999.9</v>
      </c>
      <c r="HL100">
        <v>48.443</v>
      </c>
      <c r="HM100">
        <v>28.732</v>
      </c>
      <c r="HN100">
        <v>21.398</v>
      </c>
      <c r="HO100">
        <v>54.4112</v>
      </c>
      <c r="HP100">
        <v>46.0457</v>
      </c>
      <c r="HQ100">
        <v>1</v>
      </c>
      <c r="HR100">
        <v>-0.0705183</v>
      </c>
      <c r="HS100">
        <v>1.16994</v>
      </c>
      <c r="HT100">
        <v>20.2278</v>
      </c>
      <c r="HU100">
        <v>5.23511</v>
      </c>
      <c r="HV100">
        <v>11.992</v>
      </c>
      <c r="HW100">
        <v>4.9563</v>
      </c>
      <c r="HX100">
        <v>3.304</v>
      </c>
      <c r="HY100">
        <v>999.9</v>
      </c>
      <c r="HZ100">
        <v>9999</v>
      </c>
      <c r="IA100">
        <v>9999</v>
      </c>
      <c r="IB100">
        <v>9999</v>
      </c>
      <c r="IC100">
        <v>1.86865</v>
      </c>
      <c r="ID100">
        <v>1.86434</v>
      </c>
      <c r="IE100">
        <v>1.87195</v>
      </c>
      <c r="IF100">
        <v>1.86291</v>
      </c>
      <c r="IG100">
        <v>1.8623</v>
      </c>
      <c r="IH100">
        <v>1.86868</v>
      </c>
      <c r="II100">
        <v>1.85884</v>
      </c>
      <c r="IJ100">
        <v>1.86524</v>
      </c>
      <c r="IK100">
        <v>5</v>
      </c>
      <c r="IL100">
        <v>0</v>
      </c>
      <c r="IM100">
        <v>0</v>
      </c>
      <c r="IN100">
        <v>0</v>
      </c>
      <c r="IO100" t="s">
        <v>441</v>
      </c>
      <c r="IP100" t="s">
        <v>442</v>
      </c>
      <c r="IQ100" t="s">
        <v>443</v>
      </c>
      <c r="IR100" t="s">
        <v>443</v>
      </c>
      <c r="IS100" t="s">
        <v>443</v>
      </c>
      <c r="IT100" t="s">
        <v>443</v>
      </c>
      <c r="IU100">
        <v>0</v>
      </c>
      <c r="IV100">
        <v>100</v>
      </c>
      <c r="IW100">
        <v>100</v>
      </c>
      <c r="IX100">
        <v>7.82</v>
      </c>
      <c r="IY100">
        <v>0.155</v>
      </c>
      <c r="IZ100">
        <v>5.50459544396375</v>
      </c>
      <c r="JA100">
        <v>0.0062698613543794</v>
      </c>
      <c r="JB100">
        <v>-3.23243345529816e-06</v>
      </c>
      <c r="JC100">
        <v>8.00506428382295e-10</v>
      </c>
      <c r="JD100">
        <v>-0.0123407850731345</v>
      </c>
      <c r="JE100">
        <v>-0.0018464610107002</v>
      </c>
      <c r="JF100">
        <v>0.000796540623429801</v>
      </c>
      <c r="JG100">
        <v>-1.04619914107352e-05</v>
      </c>
      <c r="JH100">
        <v>-0</v>
      </c>
      <c r="JI100">
        <v>2101</v>
      </c>
      <c r="JJ100">
        <v>1</v>
      </c>
      <c r="JK100">
        <v>23</v>
      </c>
      <c r="JL100">
        <v>1.4</v>
      </c>
      <c r="JM100">
        <v>1.7</v>
      </c>
      <c r="JN100">
        <v>1.00952</v>
      </c>
      <c r="JO100">
        <v>2.37183</v>
      </c>
      <c r="JP100">
        <v>1.4978</v>
      </c>
      <c r="JQ100">
        <v>2.34009</v>
      </c>
      <c r="JR100">
        <v>1.54419</v>
      </c>
      <c r="JS100">
        <v>2.37183</v>
      </c>
      <c r="JT100">
        <v>34.9214</v>
      </c>
      <c r="JU100">
        <v>24.3414</v>
      </c>
      <c r="JV100">
        <v>18</v>
      </c>
      <c r="JW100">
        <v>549.57</v>
      </c>
      <c r="JX100">
        <v>437.868</v>
      </c>
      <c r="JY100">
        <v>22.067</v>
      </c>
      <c r="JZ100">
        <v>26.5601</v>
      </c>
      <c r="KA100">
        <v>30.0001</v>
      </c>
      <c r="KB100">
        <v>26.5614</v>
      </c>
      <c r="KC100">
        <v>26.588</v>
      </c>
      <c r="KD100">
        <v>20.2492</v>
      </c>
      <c r="KE100">
        <v>28.1881</v>
      </c>
      <c r="KF100">
        <v>100</v>
      </c>
      <c r="KG100">
        <v>22.0618</v>
      </c>
      <c r="KH100">
        <v>400</v>
      </c>
      <c r="KI100">
        <v>17.9739</v>
      </c>
      <c r="KJ100">
        <v>94.8509</v>
      </c>
      <c r="KK100">
        <v>98.8663</v>
      </c>
    </row>
    <row r="101" spans="1:297">
      <c r="A101">
        <v>85</v>
      </c>
      <c r="B101">
        <v>1765312551</v>
      </c>
      <c r="C101">
        <v>14602</v>
      </c>
      <c r="D101" t="s">
        <v>700</v>
      </c>
      <c r="E101" t="s">
        <v>701</v>
      </c>
      <c r="F101">
        <v>5</v>
      </c>
      <c r="G101" t="s">
        <v>683</v>
      </c>
      <c r="H101" t="s">
        <v>436</v>
      </c>
      <c r="I101">
        <v>1765312542.56875</v>
      </c>
      <c r="J101">
        <f>(K101)/1000</f>
        <v>0</v>
      </c>
      <c r="K101">
        <f>IF(DP101, AN101, AH101)</f>
        <v>0</v>
      </c>
      <c r="L101">
        <f>IF(DP101, AI101, AG101)</f>
        <v>0</v>
      </c>
      <c r="M101">
        <f>DR101 - IF(AU101&gt;1, L101*DL101*100.0/(AW101), 0)</f>
        <v>0</v>
      </c>
      <c r="N101">
        <f>((T101-J101/2)*M101-L101)/(T101+J101/2)</f>
        <v>0</v>
      </c>
      <c r="O101">
        <f>N101*(DY101+DZ101)/1000.0</f>
        <v>0</v>
      </c>
      <c r="P101">
        <f>(DR101 - IF(AU101&gt;1, L101*DL101*100.0/(AW101), 0))*(DY101+DZ101)/1000.0</f>
        <v>0</v>
      </c>
      <c r="Q101">
        <f>2.0/((1/S101-1/R101)+SIGN(S101)*SQRT((1/S101-1/R101)*(1/S101-1/R101) + 4*DM101/((DM101+1)*(DM101+1))*(2*1/S101*1/R101-1/R101*1/R101)))</f>
        <v>0</v>
      </c>
      <c r="R101">
        <f>IF(LEFT(DN101,1)&lt;&gt;"0",IF(LEFT(DN101,1)="1",3.0,DO101),$D$5+$E$5*(EF101*DY101/($K$5*1000))+$F$5*(EF101*DY101/($K$5*1000))*MAX(MIN(DL101,$J$5),$I$5)*MAX(MIN(DL101,$J$5),$I$5)+$G$5*MAX(MIN(DL101,$J$5),$I$5)*(EF101*DY101/($K$5*1000))+$H$5*(EF101*DY101/($K$5*1000))*(EF101*DY101/($K$5*1000)))</f>
        <v>0</v>
      </c>
      <c r="S101">
        <f>J101*(1000-(1000*0.61365*exp(17.502*W101/(240.97+W101))/(DY101+DZ101)+DT101)/2)/(1000*0.61365*exp(17.502*W101/(240.97+W101))/(DY101+DZ101)-DT101)</f>
        <v>0</v>
      </c>
      <c r="T101">
        <f>1/((DM101+1)/(Q101/1.6)+1/(R101/1.37)) + DM101/((DM101+1)/(Q101/1.6) + DM101/(R101/1.37))</f>
        <v>0</v>
      </c>
      <c r="U101">
        <f>(DH101*DK101)</f>
        <v>0</v>
      </c>
      <c r="V101">
        <f>(EA101+(U101+2*0.95*5.67E-8*(((EA101+$B$7)+273)^4-(EA101+273)^4)-44100*J101)/(1.84*29.3*R101+8*0.95*5.67E-8*(EA101+273)^3))</f>
        <v>0</v>
      </c>
      <c r="W101">
        <f>($C$7*EB101+$D$7*EC101+$E$7*V101)</f>
        <v>0</v>
      </c>
      <c r="X101">
        <f>0.61365*exp(17.502*W101/(240.97+W101))</f>
        <v>0</v>
      </c>
      <c r="Y101">
        <f>(Z101/AA101*100)</f>
        <v>0</v>
      </c>
      <c r="Z101">
        <f>DT101*(DY101+DZ101)/1000</f>
        <v>0</v>
      </c>
      <c r="AA101">
        <f>0.61365*exp(17.502*EA101/(240.97+EA101))</f>
        <v>0</v>
      </c>
      <c r="AB101">
        <f>(X101-DT101*(DY101+DZ101)/1000)</f>
        <v>0</v>
      </c>
      <c r="AC101">
        <f>(-J101*44100)</f>
        <v>0</v>
      </c>
      <c r="AD101">
        <f>2*29.3*R101*0.92*(EA101-W101)</f>
        <v>0</v>
      </c>
      <c r="AE101">
        <f>2*0.95*5.67E-8*(((EA101+$B$7)+273)^4-(W101+273)^4)</f>
        <v>0</v>
      </c>
      <c r="AF101">
        <f>U101+AE101+AC101+AD101</f>
        <v>0</v>
      </c>
      <c r="AG101">
        <f>DX101*AU101*(DS101-DR101*(1000-AU101*DU101)/(1000-AU101*DT101))/(100*DL101)</f>
        <v>0</v>
      </c>
      <c r="AH101">
        <f>1000*DX101*AU101*(DT101-DU101)/(100*DL101*(1000-AU101*DT101))</f>
        <v>0</v>
      </c>
      <c r="AI101">
        <f>(AJ101 - AK101 - DY101*1E3/(8.314*(EA101+273.15)) * AM101/DX101 * AL101) * DX101/(100*DL101) * (1000 - DU101)/1000</f>
        <v>0</v>
      </c>
      <c r="AJ101">
        <v>407.319137632073</v>
      </c>
      <c r="AK101">
        <v>407.227444213963</v>
      </c>
      <c r="AL101">
        <v>-0.021403590764064</v>
      </c>
      <c r="AM101">
        <v>63.3592843037281</v>
      </c>
      <c r="AN101">
        <f>(AP101 - AO101 + DY101*1E3/(8.314*(EA101+273.15)) * AR101/DX101 * AQ101) * DX101/(100*DL101) * 1000/(1000 - AP101)</f>
        <v>0</v>
      </c>
      <c r="AO101">
        <v>18.000902037617</v>
      </c>
      <c r="AP101">
        <v>18.0806542631108</v>
      </c>
      <c r="AQ101">
        <v>-2.85022919008824e-05</v>
      </c>
      <c r="AR101">
        <v>107.75886415848</v>
      </c>
      <c r="AS101">
        <v>0</v>
      </c>
      <c r="AT101">
        <v>0</v>
      </c>
      <c r="AU101">
        <f>IF(AS101*$H$13&gt;=AW101,1.0,(AW101/(AW101-AS101*$H$13)))</f>
        <v>0</v>
      </c>
      <c r="AV101">
        <f>(AU101-1)*100</f>
        <v>0</v>
      </c>
      <c r="AW101">
        <f>MAX(0,($B$13+$C$13*EF101)/(1+$D$13*EF101)*DY101/(EA101+273)*$E$13)</f>
        <v>0</v>
      </c>
      <c r="AX101" t="s">
        <v>437</v>
      </c>
      <c r="AY101" t="s">
        <v>437</v>
      </c>
      <c r="AZ101">
        <v>0</v>
      </c>
      <c r="BA101">
        <v>0</v>
      </c>
      <c r="BB101">
        <f>1-AZ101/BA101</f>
        <v>0</v>
      </c>
      <c r="BC101">
        <v>0</v>
      </c>
      <c r="BD101" t="s">
        <v>437</v>
      </c>
      <c r="BE101" t="s">
        <v>437</v>
      </c>
      <c r="BF101">
        <v>0</v>
      </c>
      <c r="BG101">
        <v>0</v>
      </c>
      <c r="BH101">
        <f>1-BF101/BG101</f>
        <v>0</v>
      </c>
      <c r="BI101">
        <v>0.5</v>
      </c>
      <c r="BJ101">
        <f>DI101</f>
        <v>0</v>
      </c>
      <c r="BK101">
        <f>L101</f>
        <v>0</v>
      </c>
      <c r="BL101">
        <f>BH101*BI101*BJ101</f>
        <v>0</v>
      </c>
      <c r="BM101">
        <f>(BK101-BC101)/BJ101</f>
        <v>0</v>
      </c>
      <c r="BN101">
        <f>(BA101-BG101)/BG101</f>
        <v>0</v>
      </c>
      <c r="BO101">
        <f>AZ101/(BB101+AZ101/BG101)</f>
        <v>0</v>
      </c>
      <c r="BP101" t="s">
        <v>437</v>
      </c>
      <c r="BQ101">
        <v>0</v>
      </c>
      <c r="BR101">
        <f>IF(BQ101&lt;&gt;0, BQ101, BO101)</f>
        <v>0</v>
      </c>
      <c r="BS101">
        <f>1-BR101/BG101</f>
        <v>0</v>
      </c>
      <c r="BT101">
        <f>(BG101-BF101)/(BG101-BR101)</f>
        <v>0</v>
      </c>
      <c r="BU101">
        <f>(BA101-BG101)/(BA101-BR101)</f>
        <v>0</v>
      </c>
      <c r="BV101">
        <f>(BG101-BF101)/(BG101-AZ101)</f>
        <v>0</v>
      </c>
      <c r="BW101">
        <f>(BA101-BG101)/(BA101-AZ101)</f>
        <v>0</v>
      </c>
      <c r="BX101">
        <f>(BT101*BR101/BF101)</f>
        <v>0</v>
      </c>
      <c r="BY101">
        <f>(1-BX101)</f>
        <v>0</v>
      </c>
      <c r="DH101">
        <f>$B$11*EG101+$C$11*EH101+$F$11*ES101*(1-EV101)</f>
        <v>0</v>
      </c>
      <c r="DI101">
        <f>DH101*DJ101</f>
        <v>0</v>
      </c>
      <c r="DJ101">
        <f>($B$11*$D$9+$C$11*$D$9+$F$11*((FF101+EX101)/MAX(FF101+EX101+FG101, 0.1)*$I$9+FG101/MAX(FF101+EX101+FG101, 0.1)*$J$9))/($B$11+$C$11+$F$11)</f>
        <v>0</v>
      </c>
      <c r="DK101">
        <f>($B$11*$K$9+$C$11*$K$9+$F$11*((FF101+EX101)/MAX(FF101+EX101+FG101, 0.1)*$P$9+FG101/MAX(FF101+EX101+FG101, 0.1)*$Q$9))/($B$11+$C$11+$F$11)</f>
        <v>0</v>
      </c>
      <c r="DL101">
        <v>6</v>
      </c>
      <c r="DM101">
        <v>0.5</v>
      </c>
      <c r="DN101" t="s">
        <v>438</v>
      </c>
      <c r="DO101">
        <v>2</v>
      </c>
      <c r="DP101" t="b">
        <v>1</v>
      </c>
      <c r="DQ101">
        <v>1765312542.56875</v>
      </c>
      <c r="DR101">
        <v>399.9518125</v>
      </c>
      <c r="DS101">
        <v>399.998625</v>
      </c>
      <c r="DT101">
        <v>18.082725</v>
      </c>
      <c r="DU101">
        <v>18.0030375</v>
      </c>
      <c r="DV101">
        <v>392.1028125</v>
      </c>
      <c r="DW101">
        <v>17.926725</v>
      </c>
      <c r="DX101">
        <v>499.9981875</v>
      </c>
      <c r="DY101">
        <v>89.64456875</v>
      </c>
      <c r="DZ101">
        <v>0.10000550625</v>
      </c>
      <c r="EA101">
        <v>25.318025</v>
      </c>
      <c r="EB101">
        <v>24.98713125</v>
      </c>
      <c r="EC101">
        <v>999.9</v>
      </c>
      <c r="ED101">
        <v>0</v>
      </c>
      <c r="EE101">
        <v>0</v>
      </c>
      <c r="EF101">
        <v>10012.504375</v>
      </c>
      <c r="EG101">
        <v>0</v>
      </c>
      <c r="EH101">
        <v>12.5453875</v>
      </c>
      <c r="EI101">
        <v>-0.0761547</v>
      </c>
      <c r="EJ101">
        <v>407.2875625</v>
      </c>
      <c r="EK101">
        <v>407.33175</v>
      </c>
      <c r="EL101">
        <v>0.08002841875</v>
      </c>
      <c r="EM101">
        <v>399.998625</v>
      </c>
      <c r="EN101">
        <v>18.0030375</v>
      </c>
      <c r="EO101">
        <v>1.621050625</v>
      </c>
      <c r="EP101">
        <v>1.613875625</v>
      </c>
      <c r="EQ101">
        <v>14.16034375</v>
      </c>
      <c r="ER101">
        <v>14.09193125</v>
      </c>
      <c r="ES101">
        <v>800.008</v>
      </c>
      <c r="ET101">
        <v>0.95000875</v>
      </c>
      <c r="EU101">
        <v>0.04999105</v>
      </c>
      <c r="EV101">
        <v>0</v>
      </c>
      <c r="EW101">
        <v>816.47125</v>
      </c>
      <c r="EX101">
        <v>5.00016</v>
      </c>
      <c r="EY101">
        <v>6333.934375</v>
      </c>
      <c r="EZ101">
        <v>7194.77125</v>
      </c>
      <c r="FA101">
        <v>39.960625</v>
      </c>
      <c r="FB101">
        <v>42.687</v>
      </c>
      <c r="FC101">
        <v>41.45275</v>
      </c>
      <c r="FD101">
        <v>42.687</v>
      </c>
      <c r="FE101">
        <v>42.6210625</v>
      </c>
      <c r="FF101">
        <v>755.265</v>
      </c>
      <c r="FG101">
        <v>39.74</v>
      </c>
      <c r="FH101">
        <v>0</v>
      </c>
      <c r="FI101">
        <v>1765312551.7</v>
      </c>
      <c r="FJ101">
        <v>0</v>
      </c>
      <c r="FK101">
        <v>816.426269230769</v>
      </c>
      <c r="FL101">
        <v>-0.747384610598337</v>
      </c>
      <c r="FM101">
        <v>-8.69709405516221</v>
      </c>
      <c r="FN101">
        <v>6333.79115384615</v>
      </c>
      <c r="FO101">
        <v>15</v>
      </c>
      <c r="FP101">
        <v>1765312569</v>
      </c>
      <c r="FQ101" t="s">
        <v>702</v>
      </c>
      <c r="FR101">
        <v>1765312565</v>
      </c>
      <c r="FS101">
        <v>1765312569</v>
      </c>
      <c r="FT101">
        <v>85</v>
      </c>
      <c r="FU101">
        <v>0.029</v>
      </c>
      <c r="FV101">
        <v>0.001</v>
      </c>
      <c r="FW101">
        <v>7.849</v>
      </c>
      <c r="FX101">
        <v>0.156</v>
      </c>
      <c r="FY101">
        <v>400</v>
      </c>
      <c r="FZ101">
        <v>18</v>
      </c>
      <c r="GA101">
        <v>0.5</v>
      </c>
      <c r="GB101">
        <v>0.14</v>
      </c>
      <c r="GC101">
        <v>-0.0692560428571429</v>
      </c>
      <c r="GD101">
        <v>-0.124774301979985</v>
      </c>
      <c r="GE101">
        <v>0.0514021412185058</v>
      </c>
      <c r="GF101">
        <v>1</v>
      </c>
      <c r="GG101">
        <v>816.527117647059</v>
      </c>
      <c r="GH101">
        <v>-0.85894575421023</v>
      </c>
      <c r="GI101">
        <v>0.226064119574875</v>
      </c>
      <c r="GJ101">
        <v>-1</v>
      </c>
      <c r="GK101">
        <v>0.0791636</v>
      </c>
      <c r="GL101">
        <v>0.0129764580069247</v>
      </c>
      <c r="GM101">
        <v>0.00157437976933624</v>
      </c>
      <c r="GN101">
        <v>1</v>
      </c>
      <c r="GO101">
        <v>2</v>
      </c>
      <c r="GP101">
        <v>2</v>
      </c>
      <c r="GQ101" t="s">
        <v>440</v>
      </c>
      <c r="GR101">
        <v>3.12504</v>
      </c>
      <c r="GS101">
        <v>2.72559</v>
      </c>
      <c r="GT101">
        <v>0.0847715</v>
      </c>
      <c r="GU101">
        <v>0.0860689</v>
      </c>
      <c r="GV101">
        <v>0.0827046</v>
      </c>
      <c r="GW101">
        <v>0.0826196</v>
      </c>
      <c r="GX101">
        <v>24042.8</v>
      </c>
      <c r="GY101">
        <v>22349.7</v>
      </c>
      <c r="GZ101">
        <v>23486.3</v>
      </c>
      <c r="HA101">
        <v>23804.6</v>
      </c>
      <c r="HB101">
        <v>36691.3</v>
      </c>
      <c r="HC101">
        <v>36113.9</v>
      </c>
      <c r="HD101">
        <v>42308.9</v>
      </c>
      <c r="HE101">
        <v>42408.8</v>
      </c>
      <c r="HF101">
        <v>1.92887</v>
      </c>
      <c r="HG101">
        <v>1.84385</v>
      </c>
      <c r="HH101">
        <v>0.0877082</v>
      </c>
      <c r="HI101">
        <v>0</v>
      </c>
      <c r="HJ101">
        <v>23.5464</v>
      </c>
      <c r="HK101">
        <v>999.9</v>
      </c>
      <c r="HL101">
        <v>48.419</v>
      </c>
      <c r="HM101">
        <v>28.742</v>
      </c>
      <c r="HN101">
        <v>21.4007</v>
      </c>
      <c r="HO101">
        <v>54.2612</v>
      </c>
      <c r="HP101">
        <v>46.0256</v>
      </c>
      <c r="HQ101">
        <v>1</v>
      </c>
      <c r="HR101">
        <v>-0.0725584</v>
      </c>
      <c r="HS101">
        <v>1.04734</v>
      </c>
      <c r="HT101">
        <v>20.2287</v>
      </c>
      <c r="HU101">
        <v>5.23511</v>
      </c>
      <c r="HV101">
        <v>11.992</v>
      </c>
      <c r="HW101">
        <v>4.9557</v>
      </c>
      <c r="HX101">
        <v>3.304</v>
      </c>
      <c r="HY101">
        <v>999.9</v>
      </c>
      <c r="HZ101">
        <v>9999</v>
      </c>
      <c r="IA101">
        <v>9999</v>
      </c>
      <c r="IB101">
        <v>9999</v>
      </c>
      <c r="IC101">
        <v>1.86866</v>
      </c>
      <c r="ID101">
        <v>1.86435</v>
      </c>
      <c r="IE101">
        <v>1.87195</v>
      </c>
      <c r="IF101">
        <v>1.8629</v>
      </c>
      <c r="IG101">
        <v>1.86233</v>
      </c>
      <c r="IH101">
        <v>1.86865</v>
      </c>
      <c r="II101">
        <v>1.85884</v>
      </c>
      <c r="IJ101">
        <v>1.86523</v>
      </c>
      <c r="IK101">
        <v>5</v>
      </c>
      <c r="IL101">
        <v>0</v>
      </c>
      <c r="IM101">
        <v>0</v>
      </c>
      <c r="IN101">
        <v>0</v>
      </c>
      <c r="IO101" t="s">
        <v>441</v>
      </c>
      <c r="IP101" t="s">
        <v>442</v>
      </c>
      <c r="IQ101" t="s">
        <v>443</v>
      </c>
      <c r="IR101" t="s">
        <v>443</v>
      </c>
      <c r="IS101" t="s">
        <v>443</v>
      </c>
      <c r="IT101" t="s">
        <v>443</v>
      </c>
      <c r="IU101">
        <v>0</v>
      </c>
      <c r="IV101">
        <v>100</v>
      </c>
      <c r="IW101">
        <v>100</v>
      </c>
      <c r="IX101">
        <v>7.849</v>
      </c>
      <c r="IY101">
        <v>0.156</v>
      </c>
      <c r="IZ101">
        <v>5.80997236796408</v>
      </c>
      <c r="JA101">
        <v>0.0062698613543794</v>
      </c>
      <c r="JB101">
        <v>-3.23243345529816e-06</v>
      </c>
      <c r="JC101">
        <v>8.00506428382295e-10</v>
      </c>
      <c r="JD101">
        <v>-0.00624970974582101</v>
      </c>
      <c r="JE101">
        <v>-0.0018464610107002</v>
      </c>
      <c r="JF101">
        <v>0.000796540623429801</v>
      </c>
      <c r="JG101">
        <v>-1.04619914107352e-05</v>
      </c>
      <c r="JH101">
        <v>-0</v>
      </c>
      <c r="JI101">
        <v>2101</v>
      </c>
      <c r="JJ101">
        <v>1</v>
      </c>
      <c r="JK101">
        <v>23</v>
      </c>
      <c r="JL101">
        <v>1.1</v>
      </c>
      <c r="JM101">
        <v>1</v>
      </c>
      <c r="JN101">
        <v>1.0083</v>
      </c>
      <c r="JO101">
        <v>2.38647</v>
      </c>
      <c r="JP101">
        <v>1.4978</v>
      </c>
      <c r="JQ101">
        <v>2.33887</v>
      </c>
      <c r="JR101">
        <v>1.54419</v>
      </c>
      <c r="JS101">
        <v>2.36816</v>
      </c>
      <c r="JT101">
        <v>34.9444</v>
      </c>
      <c r="JU101">
        <v>24.3414</v>
      </c>
      <c r="JV101">
        <v>18</v>
      </c>
      <c r="JW101">
        <v>549.471</v>
      </c>
      <c r="JX101">
        <v>437.96</v>
      </c>
      <c r="JY101">
        <v>22.1045</v>
      </c>
      <c r="JZ101">
        <v>26.5404</v>
      </c>
      <c r="KA101">
        <v>29.9999</v>
      </c>
      <c r="KB101">
        <v>26.541</v>
      </c>
      <c r="KC101">
        <v>26.5674</v>
      </c>
      <c r="KD101">
        <v>20.2427</v>
      </c>
      <c r="KE101">
        <v>28.1881</v>
      </c>
      <c r="KF101">
        <v>100</v>
      </c>
      <c r="KG101">
        <v>22.1069</v>
      </c>
      <c r="KH101">
        <v>400</v>
      </c>
      <c r="KI101">
        <v>17.9748</v>
      </c>
      <c r="KJ101">
        <v>94.8518</v>
      </c>
      <c r="KK101">
        <v>98.8713</v>
      </c>
    </row>
    <row r="102" spans="1:297">
      <c r="A102">
        <v>86</v>
      </c>
      <c r="B102">
        <v>1765312644</v>
      </c>
      <c r="C102">
        <v>14695</v>
      </c>
      <c r="D102" t="s">
        <v>703</v>
      </c>
      <c r="E102" t="s">
        <v>704</v>
      </c>
      <c r="F102">
        <v>5</v>
      </c>
      <c r="G102" t="s">
        <v>683</v>
      </c>
      <c r="H102" t="s">
        <v>436</v>
      </c>
      <c r="I102">
        <v>1765312635.5</v>
      </c>
      <c r="J102">
        <f>(K102)/1000</f>
        <v>0</v>
      </c>
      <c r="K102">
        <f>IF(DP102, AN102, AH102)</f>
        <v>0</v>
      </c>
      <c r="L102">
        <f>IF(DP102, AI102, AG102)</f>
        <v>0</v>
      </c>
      <c r="M102">
        <f>DR102 - IF(AU102&gt;1, L102*DL102*100.0/(AW102), 0)</f>
        <v>0</v>
      </c>
      <c r="N102">
        <f>((T102-J102/2)*M102-L102)/(T102+J102/2)</f>
        <v>0</v>
      </c>
      <c r="O102">
        <f>N102*(DY102+DZ102)/1000.0</f>
        <v>0</v>
      </c>
      <c r="P102">
        <f>(DR102 - IF(AU102&gt;1, L102*DL102*100.0/(AW102), 0))*(DY102+DZ102)/1000.0</f>
        <v>0</v>
      </c>
      <c r="Q102">
        <f>2.0/((1/S102-1/R102)+SIGN(S102)*SQRT((1/S102-1/R102)*(1/S102-1/R102) + 4*DM102/((DM102+1)*(DM102+1))*(2*1/S102*1/R102-1/R102*1/R102)))</f>
        <v>0</v>
      </c>
      <c r="R102">
        <f>IF(LEFT(DN102,1)&lt;&gt;"0",IF(LEFT(DN102,1)="1",3.0,DO102),$D$5+$E$5*(EF102*DY102/($K$5*1000))+$F$5*(EF102*DY102/($K$5*1000))*MAX(MIN(DL102,$J$5),$I$5)*MAX(MIN(DL102,$J$5),$I$5)+$G$5*MAX(MIN(DL102,$J$5),$I$5)*(EF102*DY102/($K$5*1000))+$H$5*(EF102*DY102/($K$5*1000))*(EF102*DY102/($K$5*1000)))</f>
        <v>0</v>
      </c>
      <c r="S102">
        <f>J102*(1000-(1000*0.61365*exp(17.502*W102/(240.97+W102))/(DY102+DZ102)+DT102)/2)/(1000*0.61365*exp(17.502*W102/(240.97+W102))/(DY102+DZ102)-DT102)</f>
        <v>0</v>
      </c>
      <c r="T102">
        <f>1/((DM102+1)/(Q102/1.6)+1/(R102/1.37)) + DM102/((DM102+1)/(Q102/1.6) + DM102/(R102/1.37))</f>
        <v>0</v>
      </c>
      <c r="U102">
        <f>(DH102*DK102)</f>
        <v>0</v>
      </c>
      <c r="V102">
        <f>(EA102+(U102+2*0.95*5.67E-8*(((EA102+$B$7)+273)^4-(EA102+273)^4)-44100*J102)/(1.84*29.3*R102+8*0.95*5.67E-8*(EA102+273)^3))</f>
        <v>0</v>
      </c>
      <c r="W102">
        <f>($C$7*EB102+$D$7*EC102+$E$7*V102)</f>
        <v>0</v>
      </c>
      <c r="X102">
        <f>0.61365*exp(17.502*W102/(240.97+W102))</f>
        <v>0</v>
      </c>
      <c r="Y102">
        <f>(Z102/AA102*100)</f>
        <v>0</v>
      </c>
      <c r="Z102">
        <f>DT102*(DY102+DZ102)/1000</f>
        <v>0</v>
      </c>
      <c r="AA102">
        <f>0.61365*exp(17.502*EA102/(240.97+EA102))</f>
        <v>0</v>
      </c>
      <c r="AB102">
        <f>(X102-DT102*(DY102+DZ102)/1000)</f>
        <v>0</v>
      </c>
      <c r="AC102">
        <f>(-J102*44100)</f>
        <v>0</v>
      </c>
      <c r="AD102">
        <f>2*29.3*R102*0.92*(EA102-W102)</f>
        <v>0</v>
      </c>
      <c r="AE102">
        <f>2*0.95*5.67E-8*(((EA102+$B$7)+273)^4-(W102+273)^4)</f>
        <v>0</v>
      </c>
      <c r="AF102">
        <f>U102+AE102+AC102+AD102</f>
        <v>0</v>
      </c>
      <c r="AG102">
        <f>DX102*AU102*(DS102-DR102*(1000-AU102*DU102)/(1000-AU102*DT102))/(100*DL102)</f>
        <v>0</v>
      </c>
      <c r="AH102">
        <f>1000*DX102*AU102*(DT102-DU102)/(100*DL102*(1000-AU102*DT102))</f>
        <v>0</v>
      </c>
      <c r="AI102">
        <f>(AJ102 - AK102 - DY102*1E3/(8.314*(EA102+273.15)) * AM102/DX102 * AL102) * DX102/(100*DL102) * (1000 - DU102)/1000</f>
        <v>0</v>
      </c>
      <c r="AJ102">
        <v>611.026426084891</v>
      </c>
      <c r="AK102">
        <v>610.792127272727</v>
      </c>
      <c r="AL102">
        <v>-0.0110181763596974</v>
      </c>
      <c r="AM102">
        <v>63.3432590867064</v>
      </c>
      <c r="AN102">
        <f>(AP102 - AO102 + DY102*1E3/(8.314*(EA102+273.15)) * AR102/DX102 * AQ102) * DX102/(100*DL102) * 1000/(1000 - AP102)</f>
        <v>0</v>
      </c>
      <c r="AO102">
        <v>17.9848701649156</v>
      </c>
      <c r="AP102">
        <v>18.0696848484848</v>
      </c>
      <c r="AQ102">
        <v>-1.66156524330395e-05</v>
      </c>
      <c r="AR102">
        <v>107.857769735132</v>
      </c>
      <c r="AS102">
        <v>0</v>
      </c>
      <c r="AT102">
        <v>0</v>
      </c>
      <c r="AU102">
        <f>IF(AS102*$H$13&gt;=AW102,1.0,(AW102/(AW102-AS102*$H$13)))</f>
        <v>0</v>
      </c>
      <c r="AV102">
        <f>(AU102-1)*100</f>
        <v>0</v>
      </c>
      <c r="AW102">
        <f>MAX(0,($B$13+$C$13*EF102)/(1+$D$13*EF102)*DY102/(EA102+273)*$E$13)</f>
        <v>0</v>
      </c>
      <c r="AX102" t="s">
        <v>437</v>
      </c>
      <c r="AY102" t="s">
        <v>437</v>
      </c>
      <c r="AZ102">
        <v>0</v>
      </c>
      <c r="BA102">
        <v>0</v>
      </c>
      <c r="BB102">
        <f>1-AZ102/BA102</f>
        <v>0</v>
      </c>
      <c r="BC102">
        <v>0</v>
      </c>
      <c r="BD102" t="s">
        <v>437</v>
      </c>
      <c r="BE102" t="s">
        <v>437</v>
      </c>
      <c r="BF102">
        <v>0</v>
      </c>
      <c r="BG102">
        <v>0</v>
      </c>
      <c r="BH102">
        <f>1-BF102/BG102</f>
        <v>0</v>
      </c>
      <c r="BI102">
        <v>0.5</v>
      </c>
      <c r="BJ102">
        <f>DI102</f>
        <v>0</v>
      </c>
      <c r="BK102">
        <f>L102</f>
        <v>0</v>
      </c>
      <c r="BL102">
        <f>BH102*BI102*BJ102</f>
        <v>0</v>
      </c>
      <c r="BM102">
        <f>(BK102-BC102)/BJ102</f>
        <v>0</v>
      </c>
      <c r="BN102">
        <f>(BA102-BG102)/BG102</f>
        <v>0</v>
      </c>
      <c r="BO102">
        <f>AZ102/(BB102+AZ102/BG102)</f>
        <v>0</v>
      </c>
      <c r="BP102" t="s">
        <v>437</v>
      </c>
      <c r="BQ102">
        <v>0</v>
      </c>
      <c r="BR102">
        <f>IF(BQ102&lt;&gt;0, BQ102, BO102)</f>
        <v>0</v>
      </c>
      <c r="BS102">
        <f>1-BR102/BG102</f>
        <v>0</v>
      </c>
      <c r="BT102">
        <f>(BG102-BF102)/(BG102-BR102)</f>
        <v>0</v>
      </c>
      <c r="BU102">
        <f>(BA102-BG102)/(BA102-BR102)</f>
        <v>0</v>
      </c>
      <c r="BV102">
        <f>(BG102-BF102)/(BG102-AZ102)</f>
        <v>0</v>
      </c>
      <c r="BW102">
        <f>(BA102-BG102)/(BA102-AZ102)</f>
        <v>0</v>
      </c>
      <c r="BX102">
        <f>(BT102*BR102/BF102)</f>
        <v>0</v>
      </c>
      <c r="BY102">
        <f>(1-BX102)</f>
        <v>0</v>
      </c>
      <c r="DH102">
        <f>$B$11*EG102+$C$11*EH102+$F$11*ES102*(1-EV102)</f>
        <v>0</v>
      </c>
      <c r="DI102">
        <f>DH102*DJ102</f>
        <v>0</v>
      </c>
      <c r="DJ102">
        <f>($B$11*$D$9+$C$11*$D$9+$F$11*((FF102+EX102)/MAX(FF102+EX102+FG102, 0.1)*$I$9+FG102/MAX(FF102+EX102+FG102, 0.1)*$J$9))/($B$11+$C$11+$F$11)</f>
        <v>0</v>
      </c>
      <c r="DK102">
        <f>($B$11*$K$9+$C$11*$K$9+$F$11*((FF102+EX102)/MAX(FF102+EX102+FG102, 0.1)*$P$9+FG102/MAX(FF102+EX102+FG102, 0.1)*$Q$9))/($B$11+$C$11+$F$11)</f>
        <v>0</v>
      </c>
      <c r="DL102">
        <v>6</v>
      </c>
      <c r="DM102">
        <v>0.5</v>
      </c>
      <c r="DN102" t="s">
        <v>438</v>
      </c>
      <c r="DO102">
        <v>2</v>
      </c>
      <c r="DP102" t="b">
        <v>1</v>
      </c>
      <c r="DQ102">
        <v>1765312635.5</v>
      </c>
      <c r="DR102">
        <v>599.7898125</v>
      </c>
      <c r="DS102">
        <v>600.0406875</v>
      </c>
      <c r="DT102">
        <v>18.0672375</v>
      </c>
      <c r="DU102">
        <v>17.98653125</v>
      </c>
      <c r="DV102">
        <v>591.2288125</v>
      </c>
      <c r="DW102">
        <v>17.9152375</v>
      </c>
      <c r="DX102">
        <v>500.0125625</v>
      </c>
      <c r="DY102">
        <v>89.64160625</v>
      </c>
      <c r="DZ102">
        <v>0.1000210125</v>
      </c>
      <c r="EA102">
        <v>25.3191</v>
      </c>
      <c r="EB102">
        <v>24.98685</v>
      </c>
      <c r="EC102">
        <v>999.9</v>
      </c>
      <c r="ED102">
        <v>0</v>
      </c>
      <c r="EE102">
        <v>0</v>
      </c>
      <c r="EF102">
        <v>10001.015</v>
      </c>
      <c r="EG102">
        <v>0</v>
      </c>
      <c r="EH102">
        <v>12.574225</v>
      </c>
      <c r="EI102">
        <v>-0.2301025</v>
      </c>
      <c r="EJ102">
        <v>610.8500625</v>
      </c>
      <c r="EK102">
        <v>611.0308125</v>
      </c>
      <c r="EL102">
        <v>0.08583725</v>
      </c>
      <c r="EM102">
        <v>600.0406875</v>
      </c>
      <c r="EN102">
        <v>17.98653125</v>
      </c>
      <c r="EO102">
        <v>1.620035625</v>
      </c>
      <c r="EP102">
        <v>1.6123425</v>
      </c>
      <c r="EQ102">
        <v>14.15071875</v>
      </c>
      <c r="ER102">
        <v>14.07726875</v>
      </c>
      <c r="ES102">
        <v>800.0206875</v>
      </c>
      <c r="ET102">
        <v>0.95000875</v>
      </c>
      <c r="EU102">
        <v>0.04999105</v>
      </c>
      <c r="EV102">
        <v>0</v>
      </c>
      <c r="EW102">
        <v>815.9593125</v>
      </c>
      <c r="EX102">
        <v>5.00016</v>
      </c>
      <c r="EY102">
        <v>6329.4975</v>
      </c>
      <c r="EZ102">
        <v>7194.885625</v>
      </c>
      <c r="FA102">
        <v>39.933125</v>
      </c>
      <c r="FB102">
        <v>42.625</v>
      </c>
      <c r="FC102">
        <v>41.437</v>
      </c>
      <c r="FD102">
        <v>42.625</v>
      </c>
      <c r="FE102">
        <v>42.562</v>
      </c>
      <c r="FF102">
        <v>755.275625</v>
      </c>
      <c r="FG102">
        <v>39.74</v>
      </c>
      <c r="FH102">
        <v>0</v>
      </c>
      <c r="FI102">
        <v>1765312644.7</v>
      </c>
      <c r="FJ102">
        <v>0</v>
      </c>
      <c r="FK102">
        <v>816.01596</v>
      </c>
      <c r="FL102">
        <v>-0.487384622920265</v>
      </c>
      <c r="FM102">
        <v>-6.72846150765702</v>
      </c>
      <c r="FN102">
        <v>6329.2348</v>
      </c>
      <c r="FO102">
        <v>15</v>
      </c>
      <c r="FP102">
        <v>1765312662</v>
      </c>
      <c r="FQ102" t="s">
        <v>705</v>
      </c>
      <c r="FR102">
        <v>1765312662</v>
      </c>
      <c r="FS102">
        <v>1765312662</v>
      </c>
      <c r="FT102">
        <v>86</v>
      </c>
      <c r="FU102">
        <v>-0.021</v>
      </c>
      <c r="FV102">
        <v>-0.003</v>
      </c>
      <c r="FW102">
        <v>8.561</v>
      </c>
      <c r="FX102">
        <v>0.152</v>
      </c>
      <c r="FY102">
        <v>600</v>
      </c>
      <c r="FZ102">
        <v>18</v>
      </c>
      <c r="GA102">
        <v>0.7</v>
      </c>
      <c r="GB102">
        <v>0.23</v>
      </c>
      <c r="GC102">
        <v>-0.24527585</v>
      </c>
      <c r="GD102">
        <v>0.133581157894737</v>
      </c>
      <c r="GE102">
        <v>0.058671226910876</v>
      </c>
      <c r="GF102">
        <v>1</v>
      </c>
      <c r="GG102">
        <v>816.051529411765</v>
      </c>
      <c r="GH102">
        <v>-0.667257449759732</v>
      </c>
      <c r="GI102">
        <v>0.203851335001781</v>
      </c>
      <c r="GJ102">
        <v>-1</v>
      </c>
      <c r="GK102">
        <v>0.08514147</v>
      </c>
      <c r="GL102">
        <v>0.00374366616541346</v>
      </c>
      <c r="GM102">
        <v>0.00172186638886413</v>
      </c>
      <c r="GN102">
        <v>1</v>
      </c>
      <c r="GO102">
        <v>2</v>
      </c>
      <c r="GP102">
        <v>2</v>
      </c>
      <c r="GQ102" t="s">
        <v>440</v>
      </c>
      <c r="GR102">
        <v>3.12502</v>
      </c>
      <c r="GS102">
        <v>2.72555</v>
      </c>
      <c r="GT102">
        <v>0.114964</v>
      </c>
      <c r="GU102">
        <v>0.116032</v>
      </c>
      <c r="GV102">
        <v>0.0826775</v>
      </c>
      <c r="GW102">
        <v>0.0825712</v>
      </c>
      <c r="GX102">
        <v>23250.8</v>
      </c>
      <c r="GY102">
        <v>21618.9</v>
      </c>
      <c r="GZ102">
        <v>23487.2</v>
      </c>
      <c r="HA102">
        <v>23806.4</v>
      </c>
      <c r="HB102">
        <v>36695.8</v>
      </c>
      <c r="HC102">
        <v>36121.1</v>
      </c>
      <c r="HD102">
        <v>42309.9</v>
      </c>
      <c r="HE102">
        <v>42412.2</v>
      </c>
      <c r="HF102">
        <v>1.9293</v>
      </c>
      <c r="HG102">
        <v>1.8446</v>
      </c>
      <c r="HH102">
        <v>0.0886545</v>
      </c>
      <c r="HI102">
        <v>0</v>
      </c>
      <c r="HJ102">
        <v>23.5364</v>
      </c>
      <c r="HK102">
        <v>999.9</v>
      </c>
      <c r="HL102">
        <v>48.37</v>
      </c>
      <c r="HM102">
        <v>28.732</v>
      </c>
      <c r="HN102">
        <v>21.3651</v>
      </c>
      <c r="HO102">
        <v>54.5313</v>
      </c>
      <c r="HP102">
        <v>45.7973</v>
      </c>
      <c r="HQ102">
        <v>1</v>
      </c>
      <c r="HR102">
        <v>-0.075564</v>
      </c>
      <c r="HS102">
        <v>0.970637</v>
      </c>
      <c r="HT102">
        <v>20.2294</v>
      </c>
      <c r="HU102">
        <v>5.23511</v>
      </c>
      <c r="HV102">
        <v>11.992</v>
      </c>
      <c r="HW102">
        <v>4.95605</v>
      </c>
      <c r="HX102">
        <v>3.304</v>
      </c>
      <c r="HY102">
        <v>999.9</v>
      </c>
      <c r="HZ102">
        <v>9999</v>
      </c>
      <c r="IA102">
        <v>9999</v>
      </c>
      <c r="IB102">
        <v>9999</v>
      </c>
      <c r="IC102">
        <v>1.86862</v>
      </c>
      <c r="ID102">
        <v>1.86434</v>
      </c>
      <c r="IE102">
        <v>1.87195</v>
      </c>
      <c r="IF102">
        <v>1.86291</v>
      </c>
      <c r="IG102">
        <v>1.86229</v>
      </c>
      <c r="IH102">
        <v>1.86871</v>
      </c>
      <c r="II102">
        <v>1.85886</v>
      </c>
      <c r="IJ102">
        <v>1.86523</v>
      </c>
      <c r="IK102">
        <v>5</v>
      </c>
      <c r="IL102">
        <v>0</v>
      </c>
      <c r="IM102">
        <v>0</v>
      </c>
      <c r="IN102">
        <v>0</v>
      </c>
      <c r="IO102" t="s">
        <v>441</v>
      </c>
      <c r="IP102" t="s">
        <v>442</v>
      </c>
      <c r="IQ102" t="s">
        <v>443</v>
      </c>
      <c r="IR102" t="s">
        <v>443</v>
      </c>
      <c r="IS102" t="s">
        <v>443</v>
      </c>
      <c r="IT102" t="s">
        <v>443</v>
      </c>
      <c r="IU102">
        <v>0</v>
      </c>
      <c r="IV102">
        <v>100</v>
      </c>
      <c r="IW102">
        <v>100</v>
      </c>
      <c r="IX102">
        <v>8.561</v>
      </c>
      <c r="IY102">
        <v>0.152</v>
      </c>
      <c r="IZ102">
        <v>5.83924390799784</v>
      </c>
      <c r="JA102">
        <v>0.0062698613543794</v>
      </c>
      <c r="JB102">
        <v>-3.23243345529816e-06</v>
      </c>
      <c r="JC102">
        <v>8.00506428382295e-10</v>
      </c>
      <c r="JD102">
        <v>-0.00529088217244728</v>
      </c>
      <c r="JE102">
        <v>-0.0018464610107002</v>
      </c>
      <c r="JF102">
        <v>0.000796540623429801</v>
      </c>
      <c r="JG102">
        <v>-1.04619914107352e-05</v>
      </c>
      <c r="JH102">
        <v>-0</v>
      </c>
      <c r="JI102">
        <v>2101</v>
      </c>
      <c r="JJ102">
        <v>1</v>
      </c>
      <c r="JK102">
        <v>23</v>
      </c>
      <c r="JL102">
        <v>1.3</v>
      </c>
      <c r="JM102">
        <v>1.2</v>
      </c>
      <c r="JN102">
        <v>1.39282</v>
      </c>
      <c r="JO102">
        <v>2.36328</v>
      </c>
      <c r="JP102">
        <v>1.4978</v>
      </c>
      <c r="JQ102">
        <v>2.34009</v>
      </c>
      <c r="JR102">
        <v>1.54419</v>
      </c>
      <c r="JS102">
        <v>2.3584</v>
      </c>
      <c r="JT102">
        <v>34.9214</v>
      </c>
      <c r="JU102">
        <v>24.3414</v>
      </c>
      <c r="JV102">
        <v>18</v>
      </c>
      <c r="JW102">
        <v>549.49</v>
      </c>
      <c r="JX102">
        <v>438.185</v>
      </c>
      <c r="JY102">
        <v>22.1989</v>
      </c>
      <c r="JZ102">
        <v>26.5091</v>
      </c>
      <c r="KA102">
        <v>29.9999</v>
      </c>
      <c r="KB102">
        <v>26.512</v>
      </c>
      <c r="KC102">
        <v>26.5392</v>
      </c>
      <c r="KD102">
        <v>27.9239</v>
      </c>
      <c r="KE102">
        <v>28.1881</v>
      </c>
      <c r="KF102">
        <v>100</v>
      </c>
      <c r="KG102">
        <v>22.1994</v>
      </c>
      <c r="KH102">
        <v>600</v>
      </c>
      <c r="KI102">
        <v>17.9768</v>
      </c>
      <c r="KJ102">
        <v>94.8544</v>
      </c>
      <c r="KK102">
        <v>98.8791</v>
      </c>
    </row>
    <row r="103" spans="1:297">
      <c r="A103">
        <v>87</v>
      </c>
      <c r="B103">
        <v>1765312737</v>
      </c>
      <c r="C103">
        <v>14788</v>
      </c>
      <c r="D103" t="s">
        <v>706</v>
      </c>
      <c r="E103" t="s">
        <v>707</v>
      </c>
      <c r="F103">
        <v>5</v>
      </c>
      <c r="G103" t="s">
        <v>683</v>
      </c>
      <c r="H103" t="s">
        <v>436</v>
      </c>
      <c r="I103">
        <v>1765312728.5</v>
      </c>
      <c r="J103">
        <f>(K103)/1000</f>
        <v>0</v>
      </c>
      <c r="K103">
        <f>IF(DP103, AN103, AH103)</f>
        <v>0</v>
      </c>
      <c r="L103">
        <f>IF(DP103, AI103, AG103)</f>
        <v>0</v>
      </c>
      <c r="M103">
        <f>DR103 - IF(AU103&gt;1, L103*DL103*100.0/(AW103), 0)</f>
        <v>0</v>
      </c>
      <c r="N103">
        <f>((T103-J103/2)*M103-L103)/(T103+J103/2)</f>
        <v>0</v>
      </c>
      <c r="O103">
        <f>N103*(DY103+DZ103)/1000.0</f>
        <v>0</v>
      </c>
      <c r="P103">
        <f>(DR103 - IF(AU103&gt;1, L103*DL103*100.0/(AW103), 0))*(DY103+DZ103)/1000.0</f>
        <v>0</v>
      </c>
      <c r="Q103">
        <f>2.0/((1/S103-1/R103)+SIGN(S103)*SQRT((1/S103-1/R103)*(1/S103-1/R103) + 4*DM103/((DM103+1)*(DM103+1))*(2*1/S103*1/R103-1/R103*1/R103)))</f>
        <v>0</v>
      </c>
      <c r="R103">
        <f>IF(LEFT(DN103,1)&lt;&gt;"0",IF(LEFT(DN103,1)="1",3.0,DO103),$D$5+$E$5*(EF103*DY103/($K$5*1000))+$F$5*(EF103*DY103/($K$5*1000))*MAX(MIN(DL103,$J$5),$I$5)*MAX(MIN(DL103,$J$5),$I$5)+$G$5*MAX(MIN(DL103,$J$5),$I$5)*(EF103*DY103/($K$5*1000))+$H$5*(EF103*DY103/($K$5*1000))*(EF103*DY103/($K$5*1000)))</f>
        <v>0</v>
      </c>
      <c r="S103">
        <f>J103*(1000-(1000*0.61365*exp(17.502*W103/(240.97+W103))/(DY103+DZ103)+DT103)/2)/(1000*0.61365*exp(17.502*W103/(240.97+W103))/(DY103+DZ103)-DT103)</f>
        <v>0</v>
      </c>
      <c r="T103">
        <f>1/((DM103+1)/(Q103/1.6)+1/(R103/1.37)) + DM103/((DM103+1)/(Q103/1.6) + DM103/(R103/1.37))</f>
        <v>0</v>
      </c>
      <c r="U103">
        <f>(DH103*DK103)</f>
        <v>0</v>
      </c>
      <c r="V103">
        <f>(EA103+(U103+2*0.95*5.67E-8*(((EA103+$B$7)+273)^4-(EA103+273)^4)-44100*J103)/(1.84*29.3*R103+8*0.95*5.67E-8*(EA103+273)^3))</f>
        <v>0</v>
      </c>
      <c r="W103">
        <f>($C$7*EB103+$D$7*EC103+$E$7*V103)</f>
        <v>0</v>
      </c>
      <c r="X103">
        <f>0.61365*exp(17.502*W103/(240.97+W103))</f>
        <v>0</v>
      </c>
      <c r="Y103">
        <f>(Z103/AA103*100)</f>
        <v>0</v>
      </c>
      <c r="Z103">
        <f>DT103*(DY103+DZ103)/1000</f>
        <v>0</v>
      </c>
      <c r="AA103">
        <f>0.61365*exp(17.502*EA103/(240.97+EA103))</f>
        <v>0</v>
      </c>
      <c r="AB103">
        <f>(X103-DT103*(DY103+DZ103)/1000)</f>
        <v>0</v>
      </c>
      <c r="AC103">
        <f>(-J103*44100)</f>
        <v>0</v>
      </c>
      <c r="AD103">
        <f>2*29.3*R103*0.92*(EA103-W103)</f>
        <v>0</v>
      </c>
      <c r="AE103">
        <f>2*0.95*5.67E-8*(((EA103+$B$7)+273)^4-(W103+273)^4)</f>
        <v>0</v>
      </c>
      <c r="AF103">
        <f>U103+AE103+AC103+AD103</f>
        <v>0</v>
      </c>
      <c r="AG103">
        <f>DX103*AU103*(DS103-DR103*(1000-AU103*DU103)/(1000-AU103*DT103))/(100*DL103)</f>
        <v>0</v>
      </c>
      <c r="AH103">
        <f>1000*DX103*AU103*(DT103-DU103)/(100*DL103*(1000-AU103*DT103))</f>
        <v>0</v>
      </c>
      <c r="AI103">
        <f>(AJ103 - AK103 - DY103*1E3/(8.314*(EA103+273.15)) * AM103/DX103 * AL103) * DX103/(100*DL103) * (1000 - DU103)/1000</f>
        <v>0</v>
      </c>
      <c r="AJ103">
        <v>814.659533038226</v>
      </c>
      <c r="AK103">
        <v>814.590503030303</v>
      </c>
      <c r="AL103">
        <v>0.0724401256386663</v>
      </c>
      <c r="AM103">
        <v>63.3971394875633</v>
      </c>
      <c r="AN103">
        <f>(AP103 - AO103 + DY103*1E3/(8.314*(EA103+273.15)) * AR103/DX103 * AQ103) * DX103/(100*DL103) * 1000/(1000 - AP103)</f>
        <v>0</v>
      </c>
      <c r="AO103">
        <v>17.9711412556559</v>
      </c>
      <c r="AP103">
        <v>18.0434606060606</v>
      </c>
      <c r="AQ103">
        <v>-2.31862740569517e-05</v>
      </c>
      <c r="AR103">
        <v>107.526984491582</v>
      </c>
      <c r="AS103">
        <v>0</v>
      </c>
      <c r="AT103">
        <v>0</v>
      </c>
      <c r="AU103">
        <f>IF(AS103*$H$13&gt;=AW103,1.0,(AW103/(AW103-AS103*$H$13)))</f>
        <v>0</v>
      </c>
      <c r="AV103">
        <f>(AU103-1)*100</f>
        <v>0</v>
      </c>
      <c r="AW103">
        <f>MAX(0,($B$13+$C$13*EF103)/(1+$D$13*EF103)*DY103/(EA103+273)*$E$13)</f>
        <v>0</v>
      </c>
      <c r="AX103" t="s">
        <v>437</v>
      </c>
      <c r="AY103" t="s">
        <v>437</v>
      </c>
      <c r="AZ103">
        <v>0</v>
      </c>
      <c r="BA103">
        <v>0</v>
      </c>
      <c r="BB103">
        <f>1-AZ103/BA103</f>
        <v>0</v>
      </c>
      <c r="BC103">
        <v>0</v>
      </c>
      <c r="BD103" t="s">
        <v>437</v>
      </c>
      <c r="BE103" t="s">
        <v>437</v>
      </c>
      <c r="BF103">
        <v>0</v>
      </c>
      <c r="BG103">
        <v>0</v>
      </c>
      <c r="BH103">
        <f>1-BF103/BG103</f>
        <v>0</v>
      </c>
      <c r="BI103">
        <v>0.5</v>
      </c>
      <c r="BJ103">
        <f>DI103</f>
        <v>0</v>
      </c>
      <c r="BK103">
        <f>L103</f>
        <v>0</v>
      </c>
      <c r="BL103">
        <f>BH103*BI103*BJ103</f>
        <v>0</v>
      </c>
      <c r="BM103">
        <f>(BK103-BC103)/BJ103</f>
        <v>0</v>
      </c>
      <c r="BN103">
        <f>(BA103-BG103)/BG103</f>
        <v>0</v>
      </c>
      <c r="BO103">
        <f>AZ103/(BB103+AZ103/BG103)</f>
        <v>0</v>
      </c>
      <c r="BP103" t="s">
        <v>437</v>
      </c>
      <c r="BQ103">
        <v>0</v>
      </c>
      <c r="BR103">
        <f>IF(BQ103&lt;&gt;0, BQ103, BO103)</f>
        <v>0</v>
      </c>
      <c r="BS103">
        <f>1-BR103/BG103</f>
        <v>0</v>
      </c>
      <c r="BT103">
        <f>(BG103-BF103)/(BG103-BR103)</f>
        <v>0</v>
      </c>
      <c r="BU103">
        <f>(BA103-BG103)/(BA103-BR103)</f>
        <v>0</v>
      </c>
      <c r="BV103">
        <f>(BG103-BF103)/(BG103-AZ103)</f>
        <v>0</v>
      </c>
      <c r="BW103">
        <f>(BA103-BG103)/(BA103-AZ103)</f>
        <v>0</v>
      </c>
      <c r="BX103">
        <f>(BT103*BR103/BF103)</f>
        <v>0</v>
      </c>
      <c r="BY103">
        <f>(1-BX103)</f>
        <v>0</v>
      </c>
      <c r="DH103">
        <f>$B$11*EG103+$C$11*EH103+$F$11*ES103*(1-EV103)</f>
        <v>0</v>
      </c>
      <c r="DI103">
        <f>DH103*DJ103</f>
        <v>0</v>
      </c>
      <c r="DJ103">
        <f>($B$11*$D$9+$C$11*$D$9+$F$11*((FF103+EX103)/MAX(FF103+EX103+FG103, 0.1)*$I$9+FG103/MAX(FF103+EX103+FG103, 0.1)*$J$9))/($B$11+$C$11+$F$11)</f>
        <v>0</v>
      </c>
      <c r="DK103">
        <f>($B$11*$K$9+$C$11*$K$9+$F$11*((FF103+EX103)/MAX(FF103+EX103+FG103, 0.1)*$P$9+FG103/MAX(FF103+EX103+FG103, 0.1)*$Q$9))/($B$11+$C$11+$F$11)</f>
        <v>0</v>
      </c>
      <c r="DL103">
        <v>6</v>
      </c>
      <c r="DM103">
        <v>0.5</v>
      </c>
      <c r="DN103" t="s">
        <v>438</v>
      </c>
      <c r="DO103">
        <v>2</v>
      </c>
      <c r="DP103" t="b">
        <v>1</v>
      </c>
      <c r="DQ103">
        <v>1765312728.5</v>
      </c>
      <c r="DR103">
        <v>799.579375</v>
      </c>
      <c r="DS103">
        <v>800.014875</v>
      </c>
      <c r="DT103">
        <v>18.0521875</v>
      </c>
      <c r="DU103">
        <v>17.97334375</v>
      </c>
      <c r="DV103">
        <v>790.541375</v>
      </c>
      <c r="DW103">
        <v>17.8921875</v>
      </c>
      <c r="DX103">
        <v>500.0035</v>
      </c>
      <c r="DY103">
        <v>89.64593125</v>
      </c>
      <c r="DZ103">
        <v>0.0999718125</v>
      </c>
      <c r="EA103">
        <v>25.31366875</v>
      </c>
      <c r="EB103">
        <v>24.9886375</v>
      </c>
      <c r="EC103">
        <v>999.9</v>
      </c>
      <c r="ED103">
        <v>0</v>
      </c>
      <c r="EE103">
        <v>0</v>
      </c>
      <c r="EF103">
        <v>10011.328125</v>
      </c>
      <c r="EG103">
        <v>0</v>
      </c>
      <c r="EH103">
        <v>12.56290625</v>
      </c>
      <c r="EI103">
        <v>-0.3233986875</v>
      </c>
      <c r="EJ103">
        <v>814.3876875</v>
      </c>
      <c r="EK103">
        <v>814.6568125</v>
      </c>
      <c r="EL103">
        <v>0.0723924625</v>
      </c>
      <c r="EM103">
        <v>800.014875</v>
      </c>
      <c r="EN103">
        <v>17.97334375</v>
      </c>
      <c r="EO103">
        <v>1.617726875</v>
      </c>
      <c r="EP103">
        <v>1.6112375</v>
      </c>
      <c r="EQ103">
        <v>14.1287</v>
      </c>
      <c r="ER103">
        <v>14.06668125</v>
      </c>
      <c r="ES103">
        <v>800.025</v>
      </c>
      <c r="ET103">
        <v>0.9500076875</v>
      </c>
      <c r="EU103">
        <v>0.04999215</v>
      </c>
      <c r="EV103">
        <v>0</v>
      </c>
      <c r="EW103">
        <v>814.6709375</v>
      </c>
      <c r="EX103">
        <v>5.00016</v>
      </c>
      <c r="EY103">
        <v>6317.4275</v>
      </c>
      <c r="EZ103">
        <v>7194.9225</v>
      </c>
      <c r="FA103">
        <v>39.875</v>
      </c>
      <c r="FB103">
        <v>42.569875</v>
      </c>
      <c r="FC103">
        <v>41.38275</v>
      </c>
      <c r="FD103">
        <v>42.562</v>
      </c>
      <c r="FE103">
        <v>42.55425</v>
      </c>
      <c r="FF103">
        <v>755.278125</v>
      </c>
      <c r="FG103">
        <v>39.74625</v>
      </c>
      <c r="FH103">
        <v>0</v>
      </c>
      <c r="FI103">
        <v>1765312737.7</v>
      </c>
      <c r="FJ103">
        <v>0</v>
      </c>
      <c r="FK103">
        <v>814.635</v>
      </c>
      <c r="FL103">
        <v>-0.524991442614823</v>
      </c>
      <c r="FM103">
        <v>-7.37846153372795</v>
      </c>
      <c r="FN103">
        <v>6317.25384615385</v>
      </c>
      <c r="FO103">
        <v>15</v>
      </c>
      <c r="FP103">
        <v>1765312766</v>
      </c>
      <c r="FQ103" t="s">
        <v>708</v>
      </c>
      <c r="FR103">
        <v>1765312766</v>
      </c>
      <c r="FS103">
        <v>1765312755</v>
      </c>
      <c r="FT103">
        <v>87</v>
      </c>
      <c r="FU103">
        <v>-0.113</v>
      </c>
      <c r="FV103">
        <v>0.008</v>
      </c>
      <c r="FW103">
        <v>9.038</v>
      </c>
      <c r="FX103">
        <v>0.16</v>
      </c>
      <c r="FY103">
        <v>800</v>
      </c>
      <c r="FZ103">
        <v>18</v>
      </c>
      <c r="GA103">
        <v>0.43</v>
      </c>
      <c r="GB103">
        <v>0.16</v>
      </c>
      <c r="GC103">
        <v>-0.361499714285714</v>
      </c>
      <c r="GD103">
        <v>0.401034467532467</v>
      </c>
      <c r="GE103">
        <v>0.08302052165989</v>
      </c>
      <c r="GF103">
        <v>1</v>
      </c>
      <c r="GG103">
        <v>814.675176470588</v>
      </c>
      <c r="GH103">
        <v>-0.601344529973604</v>
      </c>
      <c r="GI103">
        <v>0.167736745875659</v>
      </c>
      <c r="GJ103">
        <v>-1</v>
      </c>
      <c r="GK103">
        <v>0.0725011333333333</v>
      </c>
      <c r="GL103">
        <v>0.000886270129870184</v>
      </c>
      <c r="GM103">
        <v>0.00111257930068713</v>
      </c>
      <c r="GN103">
        <v>1</v>
      </c>
      <c r="GO103">
        <v>2</v>
      </c>
      <c r="GP103">
        <v>2</v>
      </c>
      <c r="GQ103" t="s">
        <v>440</v>
      </c>
      <c r="GR103">
        <v>3.12496</v>
      </c>
      <c r="GS103">
        <v>2.7256</v>
      </c>
      <c r="GT103">
        <v>0.14055</v>
      </c>
      <c r="GU103">
        <v>0.14145</v>
      </c>
      <c r="GV103">
        <v>0.0826056</v>
      </c>
      <c r="GW103">
        <v>0.0825357</v>
      </c>
      <c r="GX103">
        <v>22581.3</v>
      </c>
      <c r="GY103">
        <v>21000.1</v>
      </c>
      <c r="GZ103">
        <v>23489.5</v>
      </c>
      <c r="HA103">
        <v>23809</v>
      </c>
      <c r="HB103">
        <v>36703.7</v>
      </c>
      <c r="HC103">
        <v>36128.3</v>
      </c>
      <c r="HD103">
        <v>42313.2</v>
      </c>
      <c r="HE103">
        <v>42416.7</v>
      </c>
      <c r="HF103">
        <v>1.93</v>
      </c>
      <c r="HG103">
        <v>1.8459</v>
      </c>
      <c r="HH103">
        <v>0.0897199</v>
      </c>
      <c r="HI103">
        <v>0</v>
      </c>
      <c r="HJ103">
        <v>23.5206</v>
      </c>
      <c r="HK103">
        <v>999.9</v>
      </c>
      <c r="HL103">
        <v>48.321</v>
      </c>
      <c r="HM103">
        <v>28.732</v>
      </c>
      <c r="HN103">
        <v>21.3439</v>
      </c>
      <c r="HO103">
        <v>54.5613</v>
      </c>
      <c r="HP103">
        <v>45.8934</v>
      </c>
      <c r="HQ103">
        <v>1</v>
      </c>
      <c r="HR103">
        <v>-0.0798628</v>
      </c>
      <c r="HS103">
        <v>0.92521</v>
      </c>
      <c r="HT103">
        <v>20.2297</v>
      </c>
      <c r="HU103">
        <v>5.23511</v>
      </c>
      <c r="HV103">
        <v>11.992</v>
      </c>
      <c r="HW103">
        <v>4.95575</v>
      </c>
      <c r="HX103">
        <v>3.304</v>
      </c>
      <c r="HY103">
        <v>999.9</v>
      </c>
      <c r="HZ103">
        <v>9999</v>
      </c>
      <c r="IA103">
        <v>9999</v>
      </c>
      <c r="IB103">
        <v>9999</v>
      </c>
      <c r="IC103">
        <v>1.8686</v>
      </c>
      <c r="ID103">
        <v>1.86436</v>
      </c>
      <c r="IE103">
        <v>1.87195</v>
      </c>
      <c r="IF103">
        <v>1.86284</v>
      </c>
      <c r="IG103">
        <v>1.86222</v>
      </c>
      <c r="IH103">
        <v>1.86863</v>
      </c>
      <c r="II103">
        <v>1.85883</v>
      </c>
      <c r="IJ103">
        <v>1.86523</v>
      </c>
      <c r="IK103">
        <v>5</v>
      </c>
      <c r="IL103">
        <v>0</v>
      </c>
      <c r="IM103">
        <v>0</v>
      </c>
      <c r="IN103">
        <v>0</v>
      </c>
      <c r="IO103" t="s">
        <v>441</v>
      </c>
      <c r="IP103" t="s">
        <v>442</v>
      </c>
      <c r="IQ103" t="s">
        <v>443</v>
      </c>
      <c r="IR103" t="s">
        <v>443</v>
      </c>
      <c r="IS103" t="s">
        <v>443</v>
      </c>
      <c r="IT103" t="s">
        <v>443</v>
      </c>
      <c r="IU103">
        <v>0</v>
      </c>
      <c r="IV103">
        <v>100</v>
      </c>
      <c r="IW103">
        <v>100</v>
      </c>
      <c r="IX103">
        <v>9.038</v>
      </c>
      <c r="IY103">
        <v>0.16</v>
      </c>
      <c r="IZ103">
        <v>5.81816272594605</v>
      </c>
      <c r="JA103">
        <v>0.0062698613543794</v>
      </c>
      <c r="JB103">
        <v>-3.23243345529816e-06</v>
      </c>
      <c r="JC103">
        <v>8.00506428382295e-10</v>
      </c>
      <c r="JD103">
        <v>-0.00849129530502341</v>
      </c>
      <c r="JE103">
        <v>-0.0018464610107002</v>
      </c>
      <c r="JF103">
        <v>0.000796540623429801</v>
      </c>
      <c r="JG103">
        <v>-1.04619914107352e-05</v>
      </c>
      <c r="JH103">
        <v>-0</v>
      </c>
      <c r="JI103">
        <v>2101</v>
      </c>
      <c r="JJ103">
        <v>1</v>
      </c>
      <c r="JK103">
        <v>23</v>
      </c>
      <c r="JL103">
        <v>1.2</v>
      </c>
      <c r="JM103">
        <v>1.2</v>
      </c>
      <c r="JN103">
        <v>1.75537</v>
      </c>
      <c r="JO103">
        <v>2.34619</v>
      </c>
      <c r="JP103">
        <v>1.4978</v>
      </c>
      <c r="JQ103">
        <v>2.33887</v>
      </c>
      <c r="JR103">
        <v>1.54419</v>
      </c>
      <c r="JS103">
        <v>2.35596</v>
      </c>
      <c r="JT103">
        <v>34.9214</v>
      </c>
      <c r="JU103">
        <v>24.3502</v>
      </c>
      <c r="JV103">
        <v>18</v>
      </c>
      <c r="JW103">
        <v>549.576</v>
      </c>
      <c r="JX103">
        <v>438.641</v>
      </c>
      <c r="JY103">
        <v>22.2239</v>
      </c>
      <c r="JZ103">
        <v>26.461</v>
      </c>
      <c r="KA103">
        <v>29.9999</v>
      </c>
      <c r="KB103">
        <v>26.4706</v>
      </c>
      <c r="KC103">
        <v>26.4986</v>
      </c>
      <c r="KD103">
        <v>35.1667</v>
      </c>
      <c r="KE103">
        <v>28.1881</v>
      </c>
      <c r="KF103">
        <v>100</v>
      </c>
      <c r="KG103">
        <v>22.2301</v>
      </c>
      <c r="KH103">
        <v>800</v>
      </c>
      <c r="KI103">
        <v>17.9798</v>
      </c>
      <c r="KJ103">
        <v>94.8626</v>
      </c>
      <c r="KK103">
        <v>98.8897</v>
      </c>
    </row>
    <row r="104" spans="1:297">
      <c r="A104">
        <v>88</v>
      </c>
      <c r="B104">
        <v>1765312838</v>
      </c>
      <c r="C104">
        <v>14889</v>
      </c>
      <c r="D104" t="s">
        <v>709</v>
      </c>
      <c r="E104" t="s">
        <v>710</v>
      </c>
      <c r="F104">
        <v>5</v>
      </c>
      <c r="G104" t="s">
        <v>683</v>
      </c>
      <c r="H104" t="s">
        <v>436</v>
      </c>
      <c r="I104">
        <v>1765312830</v>
      </c>
      <c r="J104">
        <f>(K104)/1000</f>
        <v>0</v>
      </c>
      <c r="K104">
        <f>IF(DP104, AN104, AH104)</f>
        <v>0</v>
      </c>
      <c r="L104">
        <f>IF(DP104, AI104, AG104)</f>
        <v>0</v>
      </c>
      <c r="M104">
        <f>DR104 - IF(AU104&gt;1, L104*DL104*100.0/(AW104), 0)</f>
        <v>0</v>
      </c>
      <c r="N104">
        <f>((T104-J104/2)*M104-L104)/(T104+J104/2)</f>
        <v>0</v>
      </c>
      <c r="O104">
        <f>N104*(DY104+DZ104)/1000.0</f>
        <v>0</v>
      </c>
      <c r="P104">
        <f>(DR104 - IF(AU104&gt;1, L104*DL104*100.0/(AW104), 0))*(DY104+DZ104)/1000.0</f>
        <v>0</v>
      </c>
      <c r="Q104">
        <f>2.0/((1/S104-1/R104)+SIGN(S104)*SQRT((1/S104-1/R104)*(1/S104-1/R104) + 4*DM104/((DM104+1)*(DM104+1))*(2*1/S104*1/R104-1/R104*1/R104)))</f>
        <v>0</v>
      </c>
      <c r="R104">
        <f>IF(LEFT(DN104,1)&lt;&gt;"0",IF(LEFT(DN104,1)="1",3.0,DO104),$D$5+$E$5*(EF104*DY104/($K$5*1000))+$F$5*(EF104*DY104/($K$5*1000))*MAX(MIN(DL104,$J$5),$I$5)*MAX(MIN(DL104,$J$5),$I$5)+$G$5*MAX(MIN(DL104,$J$5),$I$5)*(EF104*DY104/($K$5*1000))+$H$5*(EF104*DY104/($K$5*1000))*(EF104*DY104/($K$5*1000)))</f>
        <v>0</v>
      </c>
      <c r="S104">
        <f>J104*(1000-(1000*0.61365*exp(17.502*W104/(240.97+W104))/(DY104+DZ104)+DT104)/2)/(1000*0.61365*exp(17.502*W104/(240.97+W104))/(DY104+DZ104)-DT104)</f>
        <v>0</v>
      </c>
      <c r="T104">
        <f>1/((DM104+1)/(Q104/1.6)+1/(R104/1.37)) + DM104/((DM104+1)/(Q104/1.6) + DM104/(R104/1.37))</f>
        <v>0</v>
      </c>
      <c r="U104">
        <f>(DH104*DK104)</f>
        <v>0</v>
      </c>
      <c r="V104">
        <f>(EA104+(U104+2*0.95*5.67E-8*(((EA104+$B$7)+273)^4-(EA104+273)^4)-44100*J104)/(1.84*29.3*R104+8*0.95*5.67E-8*(EA104+273)^3))</f>
        <v>0</v>
      </c>
      <c r="W104">
        <f>($C$7*EB104+$D$7*EC104+$E$7*V104)</f>
        <v>0</v>
      </c>
      <c r="X104">
        <f>0.61365*exp(17.502*W104/(240.97+W104))</f>
        <v>0</v>
      </c>
      <c r="Y104">
        <f>(Z104/AA104*100)</f>
        <v>0</v>
      </c>
      <c r="Z104">
        <f>DT104*(DY104+DZ104)/1000</f>
        <v>0</v>
      </c>
      <c r="AA104">
        <f>0.61365*exp(17.502*EA104/(240.97+EA104))</f>
        <v>0</v>
      </c>
      <c r="AB104">
        <f>(X104-DT104*(DY104+DZ104)/1000)</f>
        <v>0</v>
      </c>
      <c r="AC104">
        <f>(-J104*44100)</f>
        <v>0</v>
      </c>
      <c r="AD104">
        <f>2*29.3*R104*0.92*(EA104-W104)</f>
        <v>0</v>
      </c>
      <c r="AE104">
        <f>2*0.95*5.67E-8*(((EA104+$B$7)+273)^4-(W104+273)^4)</f>
        <v>0</v>
      </c>
      <c r="AF104">
        <f>U104+AE104+AC104+AD104</f>
        <v>0</v>
      </c>
      <c r="AG104">
        <f>DX104*AU104*(DS104-DR104*(1000-AU104*DU104)/(1000-AU104*DT104))/(100*DL104)</f>
        <v>0</v>
      </c>
      <c r="AH104">
        <f>1000*DX104*AU104*(DT104-DU104)/(100*DL104*(1000-AU104*DT104))</f>
        <v>0</v>
      </c>
      <c r="AI104">
        <f>(AJ104 - AK104 - DY104*1E3/(8.314*(EA104+273.15)) * AM104/DX104 * AL104) * DX104/(100*DL104) * (1000 - DU104)/1000</f>
        <v>0</v>
      </c>
      <c r="AJ104">
        <v>1018.31374222072</v>
      </c>
      <c r="AK104">
        <v>1017.72884848485</v>
      </c>
      <c r="AL104">
        <v>-0.0206171314664296</v>
      </c>
      <c r="AM104">
        <v>63.8581106616178</v>
      </c>
      <c r="AN104">
        <f>(AP104 - AO104 + DY104*1E3/(8.314*(EA104+273.15)) * AR104/DX104 * AQ104) * DX104/(100*DL104) * 1000/(1000 - AP104)</f>
        <v>0</v>
      </c>
      <c r="AO104">
        <v>17.9449564219483</v>
      </c>
      <c r="AP104">
        <v>18.0257612121212</v>
      </c>
      <c r="AQ104">
        <v>-1.27585965002135e-05</v>
      </c>
      <c r="AR104">
        <v>105.273947170295</v>
      </c>
      <c r="AS104">
        <v>0</v>
      </c>
      <c r="AT104">
        <v>0</v>
      </c>
      <c r="AU104">
        <f>IF(AS104*$H$13&gt;=AW104,1.0,(AW104/(AW104-AS104*$H$13)))</f>
        <v>0</v>
      </c>
      <c r="AV104">
        <f>(AU104-1)*100</f>
        <v>0</v>
      </c>
      <c r="AW104">
        <f>MAX(0,($B$13+$C$13*EF104)/(1+$D$13*EF104)*DY104/(EA104+273)*$E$13)</f>
        <v>0</v>
      </c>
      <c r="AX104" t="s">
        <v>437</v>
      </c>
      <c r="AY104" t="s">
        <v>437</v>
      </c>
      <c r="AZ104">
        <v>0</v>
      </c>
      <c r="BA104">
        <v>0</v>
      </c>
      <c r="BB104">
        <f>1-AZ104/BA104</f>
        <v>0</v>
      </c>
      <c r="BC104">
        <v>0</v>
      </c>
      <c r="BD104" t="s">
        <v>437</v>
      </c>
      <c r="BE104" t="s">
        <v>437</v>
      </c>
      <c r="BF104">
        <v>0</v>
      </c>
      <c r="BG104">
        <v>0</v>
      </c>
      <c r="BH104">
        <f>1-BF104/BG104</f>
        <v>0</v>
      </c>
      <c r="BI104">
        <v>0.5</v>
      </c>
      <c r="BJ104">
        <f>DI104</f>
        <v>0</v>
      </c>
      <c r="BK104">
        <f>L104</f>
        <v>0</v>
      </c>
      <c r="BL104">
        <f>BH104*BI104*BJ104</f>
        <v>0</v>
      </c>
      <c r="BM104">
        <f>(BK104-BC104)/BJ104</f>
        <v>0</v>
      </c>
      <c r="BN104">
        <f>(BA104-BG104)/BG104</f>
        <v>0</v>
      </c>
      <c r="BO104">
        <f>AZ104/(BB104+AZ104/BG104)</f>
        <v>0</v>
      </c>
      <c r="BP104" t="s">
        <v>437</v>
      </c>
      <c r="BQ104">
        <v>0</v>
      </c>
      <c r="BR104">
        <f>IF(BQ104&lt;&gt;0, BQ104, BO104)</f>
        <v>0</v>
      </c>
      <c r="BS104">
        <f>1-BR104/BG104</f>
        <v>0</v>
      </c>
      <c r="BT104">
        <f>(BG104-BF104)/(BG104-BR104)</f>
        <v>0</v>
      </c>
      <c r="BU104">
        <f>(BA104-BG104)/(BA104-BR104)</f>
        <v>0</v>
      </c>
      <c r="BV104">
        <f>(BG104-BF104)/(BG104-AZ104)</f>
        <v>0</v>
      </c>
      <c r="BW104">
        <f>(BA104-BG104)/(BA104-AZ104)</f>
        <v>0</v>
      </c>
      <c r="BX104">
        <f>(BT104*BR104/BF104)</f>
        <v>0</v>
      </c>
      <c r="BY104">
        <f>(1-BX104)</f>
        <v>0</v>
      </c>
      <c r="DH104">
        <f>$B$11*EG104+$C$11*EH104+$F$11*ES104*(1-EV104)</f>
        <v>0</v>
      </c>
      <c r="DI104">
        <f>DH104*DJ104</f>
        <v>0</v>
      </c>
      <c r="DJ104">
        <f>($B$11*$D$9+$C$11*$D$9+$F$11*((FF104+EX104)/MAX(FF104+EX104+FG104, 0.1)*$I$9+FG104/MAX(FF104+EX104+FG104, 0.1)*$J$9))/($B$11+$C$11+$F$11)</f>
        <v>0</v>
      </c>
      <c r="DK104">
        <f>($B$11*$K$9+$C$11*$K$9+$F$11*((FF104+EX104)/MAX(FF104+EX104+FG104, 0.1)*$P$9+FG104/MAX(FF104+EX104+FG104, 0.1)*$Q$9))/($B$11+$C$11+$F$11)</f>
        <v>0</v>
      </c>
      <c r="DL104">
        <v>6</v>
      </c>
      <c r="DM104">
        <v>0.5</v>
      </c>
      <c r="DN104" t="s">
        <v>438</v>
      </c>
      <c r="DO104">
        <v>2</v>
      </c>
      <c r="DP104" t="b">
        <v>1</v>
      </c>
      <c r="DQ104">
        <v>1765312830</v>
      </c>
      <c r="DR104">
        <v>999.372333333333</v>
      </c>
      <c r="DS104">
        <v>1000.0268</v>
      </c>
      <c r="DT104">
        <v>18.02654</v>
      </c>
      <c r="DU104">
        <v>17.9471866666667</v>
      </c>
      <c r="DV104">
        <v>989.977333333333</v>
      </c>
      <c r="DW104">
        <v>17.86554</v>
      </c>
      <c r="DX104">
        <v>499.976866666667</v>
      </c>
      <c r="DY104">
        <v>89.6434133333333</v>
      </c>
      <c r="DZ104">
        <v>0.0999701133333333</v>
      </c>
      <c r="EA104">
        <v>25.3190733333333</v>
      </c>
      <c r="EB104">
        <v>24.9942</v>
      </c>
      <c r="EC104">
        <v>999.9</v>
      </c>
      <c r="ED104">
        <v>0</v>
      </c>
      <c r="EE104">
        <v>0</v>
      </c>
      <c r="EF104">
        <v>9998.162</v>
      </c>
      <c r="EG104">
        <v>0</v>
      </c>
      <c r="EH104">
        <v>12.5286733333333</v>
      </c>
      <c r="EI104">
        <v>-0.529284733333333</v>
      </c>
      <c r="EJ104">
        <v>1017.84533333333</v>
      </c>
      <c r="EK104">
        <v>1018.304</v>
      </c>
      <c r="EL104">
        <v>0.07960714</v>
      </c>
      <c r="EM104">
        <v>1000.0268</v>
      </c>
      <c r="EN104">
        <v>17.9471866666667</v>
      </c>
      <c r="EO104">
        <v>1.615984</v>
      </c>
      <c r="EP104">
        <v>1.60884466666667</v>
      </c>
      <c r="EQ104">
        <v>14.1120666666667</v>
      </c>
      <c r="ER104">
        <v>14.0438</v>
      </c>
      <c r="ES104">
        <v>800.033266666667</v>
      </c>
      <c r="ET104">
        <v>0.9500074</v>
      </c>
      <c r="EU104">
        <v>0.04999236</v>
      </c>
      <c r="EV104">
        <v>0</v>
      </c>
      <c r="EW104">
        <v>813.701066666667</v>
      </c>
      <c r="EX104">
        <v>5.00016</v>
      </c>
      <c r="EY104">
        <v>6309.51866666667</v>
      </c>
      <c r="EZ104">
        <v>7194.99733333333</v>
      </c>
      <c r="FA104">
        <v>39.812</v>
      </c>
      <c r="FB104">
        <v>42.5</v>
      </c>
      <c r="FC104">
        <v>41.333</v>
      </c>
      <c r="FD104">
        <v>42.5</v>
      </c>
      <c r="FE104">
        <v>42.4958</v>
      </c>
      <c r="FF104">
        <v>755.287333333333</v>
      </c>
      <c r="FG104">
        <v>39.75</v>
      </c>
      <c r="FH104">
        <v>0</v>
      </c>
      <c r="FI104">
        <v>1765312838.5</v>
      </c>
      <c r="FJ104">
        <v>0</v>
      </c>
      <c r="FK104">
        <v>813.766461538461</v>
      </c>
      <c r="FL104">
        <v>0.156444429234785</v>
      </c>
      <c r="FM104">
        <v>-4.32102559508269</v>
      </c>
      <c r="FN104">
        <v>6309.26192307692</v>
      </c>
      <c r="FO104">
        <v>15</v>
      </c>
      <c r="FP104">
        <v>1765312869</v>
      </c>
      <c r="FQ104" t="s">
        <v>711</v>
      </c>
      <c r="FR104">
        <v>1765312869</v>
      </c>
      <c r="FS104">
        <v>1765312860</v>
      </c>
      <c r="FT104">
        <v>88</v>
      </c>
      <c r="FU104">
        <v>-0.129</v>
      </c>
      <c r="FV104">
        <v>0.002</v>
      </c>
      <c r="FW104">
        <v>9.395</v>
      </c>
      <c r="FX104">
        <v>0.161</v>
      </c>
      <c r="FY104">
        <v>1000</v>
      </c>
      <c r="FZ104">
        <v>18</v>
      </c>
      <c r="GA104">
        <v>0.62</v>
      </c>
      <c r="GB104">
        <v>0.29</v>
      </c>
      <c r="GC104">
        <v>-0.564993761904762</v>
      </c>
      <c r="GD104">
        <v>0.275328467532467</v>
      </c>
      <c r="GE104">
        <v>0.0900406237459646</v>
      </c>
      <c r="GF104">
        <v>1</v>
      </c>
      <c r="GG104">
        <v>813.791882352941</v>
      </c>
      <c r="GH104">
        <v>-0.234407950529701</v>
      </c>
      <c r="GI104">
        <v>0.207535647498686</v>
      </c>
      <c r="GJ104">
        <v>-1</v>
      </c>
      <c r="GK104">
        <v>0.0803920238095238</v>
      </c>
      <c r="GL104">
        <v>-0.00745892727272722</v>
      </c>
      <c r="GM104">
        <v>0.00159706484792595</v>
      </c>
      <c r="GN104">
        <v>1</v>
      </c>
      <c r="GO104">
        <v>2</v>
      </c>
      <c r="GP104">
        <v>2</v>
      </c>
      <c r="GQ104" t="s">
        <v>440</v>
      </c>
      <c r="GR104">
        <v>3.12499</v>
      </c>
      <c r="GS104">
        <v>2.72561</v>
      </c>
      <c r="GT104">
        <v>0.163018</v>
      </c>
      <c r="GU104">
        <v>0.163799</v>
      </c>
      <c r="GV104">
        <v>0.082528</v>
      </c>
      <c r="GW104">
        <v>0.0824569</v>
      </c>
      <c r="GX104">
        <v>21994.1</v>
      </c>
      <c r="GY104">
        <v>20457.1</v>
      </c>
      <c r="GZ104">
        <v>23492.2</v>
      </c>
      <c r="HA104">
        <v>23812.6</v>
      </c>
      <c r="HB104">
        <v>36713.2</v>
      </c>
      <c r="HC104">
        <v>36138.1</v>
      </c>
      <c r="HD104">
        <v>42318.4</v>
      </c>
      <c r="HE104">
        <v>42422.4</v>
      </c>
      <c r="HF104">
        <v>1.93095</v>
      </c>
      <c r="HG104">
        <v>1.84753</v>
      </c>
      <c r="HH104">
        <v>0.0920743</v>
      </c>
      <c r="HI104">
        <v>0</v>
      </c>
      <c r="HJ104">
        <v>23.4781</v>
      </c>
      <c r="HK104">
        <v>999.9</v>
      </c>
      <c r="HL104">
        <v>48.272</v>
      </c>
      <c r="HM104">
        <v>28.732</v>
      </c>
      <c r="HN104">
        <v>21.324</v>
      </c>
      <c r="HO104">
        <v>54.7212</v>
      </c>
      <c r="HP104">
        <v>45.9575</v>
      </c>
      <c r="HQ104">
        <v>1</v>
      </c>
      <c r="HR104">
        <v>-0.0855158</v>
      </c>
      <c r="HS104">
        <v>0.885752</v>
      </c>
      <c r="HT104">
        <v>20.2293</v>
      </c>
      <c r="HU104">
        <v>5.23421</v>
      </c>
      <c r="HV104">
        <v>11.992</v>
      </c>
      <c r="HW104">
        <v>4.95605</v>
      </c>
      <c r="HX104">
        <v>3.304</v>
      </c>
      <c r="HY104">
        <v>999.9</v>
      </c>
      <c r="HZ104">
        <v>9999</v>
      </c>
      <c r="IA104">
        <v>9999</v>
      </c>
      <c r="IB104">
        <v>9999</v>
      </c>
      <c r="IC104">
        <v>1.86863</v>
      </c>
      <c r="ID104">
        <v>1.86432</v>
      </c>
      <c r="IE104">
        <v>1.87195</v>
      </c>
      <c r="IF104">
        <v>1.86282</v>
      </c>
      <c r="IG104">
        <v>1.86226</v>
      </c>
      <c r="IH104">
        <v>1.86866</v>
      </c>
      <c r="II104">
        <v>1.85884</v>
      </c>
      <c r="IJ104">
        <v>1.86523</v>
      </c>
      <c r="IK104">
        <v>5</v>
      </c>
      <c r="IL104">
        <v>0</v>
      </c>
      <c r="IM104">
        <v>0</v>
      </c>
      <c r="IN104">
        <v>0</v>
      </c>
      <c r="IO104" t="s">
        <v>441</v>
      </c>
      <c r="IP104" t="s">
        <v>442</v>
      </c>
      <c r="IQ104" t="s">
        <v>443</v>
      </c>
      <c r="IR104" t="s">
        <v>443</v>
      </c>
      <c r="IS104" t="s">
        <v>443</v>
      </c>
      <c r="IT104" t="s">
        <v>443</v>
      </c>
      <c r="IU104">
        <v>0</v>
      </c>
      <c r="IV104">
        <v>100</v>
      </c>
      <c r="IW104">
        <v>100</v>
      </c>
      <c r="IX104">
        <v>9.395</v>
      </c>
      <c r="IY104">
        <v>0.161</v>
      </c>
      <c r="IZ104">
        <v>5.70516302007523</v>
      </c>
      <c r="JA104">
        <v>0.0062698613543794</v>
      </c>
      <c r="JB104">
        <v>-3.23243345529816e-06</v>
      </c>
      <c r="JC104">
        <v>8.00506428382295e-10</v>
      </c>
      <c r="JD104">
        <v>-0.000345848834641171</v>
      </c>
      <c r="JE104">
        <v>-0.0018464610107002</v>
      </c>
      <c r="JF104">
        <v>0.000796540623429801</v>
      </c>
      <c r="JG104">
        <v>-1.04619914107352e-05</v>
      </c>
      <c r="JH104">
        <v>-0</v>
      </c>
      <c r="JI104">
        <v>2101</v>
      </c>
      <c r="JJ104">
        <v>1</v>
      </c>
      <c r="JK104">
        <v>23</v>
      </c>
      <c r="JL104">
        <v>1.2</v>
      </c>
      <c r="JM104">
        <v>1.4</v>
      </c>
      <c r="JN104">
        <v>2.10083</v>
      </c>
      <c r="JO104">
        <v>2.34497</v>
      </c>
      <c r="JP104">
        <v>1.4978</v>
      </c>
      <c r="JQ104">
        <v>2.33887</v>
      </c>
      <c r="JR104">
        <v>1.54419</v>
      </c>
      <c r="JS104">
        <v>2.40234</v>
      </c>
      <c r="JT104">
        <v>34.8985</v>
      </c>
      <c r="JU104">
        <v>24.3502</v>
      </c>
      <c r="JV104">
        <v>18</v>
      </c>
      <c r="JW104">
        <v>549.673</v>
      </c>
      <c r="JX104">
        <v>439.166</v>
      </c>
      <c r="JY104">
        <v>22.2533</v>
      </c>
      <c r="JZ104">
        <v>26.3941</v>
      </c>
      <c r="KA104">
        <v>29.9998</v>
      </c>
      <c r="KB104">
        <v>26.412</v>
      </c>
      <c r="KC104">
        <v>26.4421</v>
      </c>
      <c r="KD104">
        <v>42.0773</v>
      </c>
      <c r="KE104">
        <v>28.1881</v>
      </c>
      <c r="KF104">
        <v>100</v>
      </c>
      <c r="KG104">
        <v>22.2698</v>
      </c>
      <c r="KH104">
        <v>1000</v>
      </c>
      <c r="KI104">
        <v>17.9856</v>
      </c>
      <c r="KJ104">
        <v>94.8739</v>
      </c>
      <c r="KK104">
        <v>98.9037</v>
      </c>
    </row>
    <row r="105" spans="1:297">
      <c r="A105">
        <v>89</v>
      </c>
      <c r="B105">
        <v>1765312944</v>
      </c>
      <c r="C105">
        <v>14995</v>
      </c>
      <c r="D105" t="s">
        <v>712</v>
      </c>
      <c r="E105" t="s">
        <v>713</v>
      </c>
      <c r="F105">
        <v>5</v>
      </c>
      <c r="G105" t="s">
        <v>683</v>
      </c>
      <c r="H105" t="s">
        <v>436</v>
      </c>
      <c r="I105">
        <v>1765312935.5</v>
      </c>
      <c r="J105">
        <f>(K105)/1000</f>
        <v>0</v>
      </c>
      <c r="K105">
        <f>IF(DP105, AN105, AH105)</f>
        <v>0</v>
      </c>
      <c r="L105">
        <f>IF(DP105, AI105, AG105)</f>
        <v>0</v>
      </c>
      <c r="M105">
        <f>DR105 - IF(AU105&gt;1, L105*DL105*100.0/(AW105), 0)</f>
        <v>0</v>
      </c>
      <c r="N105">
        <f>((T105-J105/2)*M105-L105)/(T105+J105/2)</f>
        <v>0</v>
      </c>
      <c r="O105">
        <f>N105*(DY105+DZ105)/1000.0</f>
        <v>0</v>
      </c>
      <c r="P105">
        <f>(DR105 - IF(AU105&gt;1, L105*DL105*100.0/(AW105), 0))*(DY105+DZ105)/1000.0</f>
        <v>0</v>
      </c>
      <c r="Q105">
        <f>2.0/((1/S105-1/R105)+SIGN(S105)*SQRT((1/S105-1/R105)*(1/S105-1/R105) + 4*DM105/((DM105+1)*(DM105+1))*(2*1/S105*1/R105-1/R105*1/R105)))</f>
        <v>0</v>
      </c>
      <c r="R105">
        <f>IF(LEFT(DN105,1)&lt;&gt;"0",IF(LEFT(DN105,1)="1",3.0,DO105),$D$5+$E$5*(EF105*DY105/($K$5*1000))+$F$5*(EF105*DY105/($K$5*1000))*MAX(MIN(DL105,$J$5),$I$5)*MAX(MIN(DL105,$J$5),$I$5)+$G$5*MAX(MIN(DL105,$J$5),$I$5)*(EF105*DY105/($K$5*1000))+$H$5*(EF105*DY105/($K$5*1000))*(EF105*DY105/($K$5*1000)))</f>
        <v>0</v>
      </c>
      <c r="S105">
        <f>J105*(1000-(1000*0.61365*exp(17.502*W105/(240.97+W105))/(DY105+DZ105)+DT105)/2)/(1000*0.61365*exp(17.502*W105/(240.97+W105))/(DY105+DZ105)-DT105)</f>
        <v>0</v>
      </c>
      <c r="T105">
        <f>1/((DM105+1)/(Q105/1.6)+1/(R105/1.37)) + DM105/((DM105+1)/(Q105/1.6) + DM105/(R105/1.37))</f>
        <v>0</v>
      </c>
      <c r="U105">
        <f>(DH105*DK105)</f>
        <v>0</v>
      </c>
      <c r="V105">
        <f>(EA105+(U105+2*0.95*5.67E-8*(((EA105+$B$7)+273)^4-(EA105+273)^4)-44100*J105)/(1.84*29.3*R105+8*0.95*5.67E-8*(EA105+273)^3))</f>
        <v>0</v>
      </c>
      <c r="W105">
        <f>($C$7*EB105+$D$7*EC105+$E$7*V105)</f>
        <v>0</v>
      </c>
      <c r="X105">
        <f>0.61365*exp(17.502*W105/(240.97+W105))</f>
        <v>0</v>
      </c>
      <c r="Y105">
        <f>(Z105/AA105*100)</f>
        <v>0</v>
      </c>
      <c r="Z105">
        <f>DT105*(DY105+DZ105)/1000</f>
        <v>0</v>
      </c>
      <c r="AA105">
        <f>0.61365*exp(17.502*EA105/(240.97+EA105))</f>
        <v>0</v>
      </c>
      <c r="AB105">
        <f>(X105-DT105*(DY105+DZ105)/1000)</f>
        <v>0</v>
      </c>
      <c r="AC105">
        <f>(-J105*44100)</f>
        <v>0</v>
      </c>
      <c r="AD105">
        <f>2*29.3*R105*0.92*(EA105-W105)</f>
        <v>0</v>
      </c>
      <c r="AE105">
        <f>2*0.95*5.67E-8*(((EA105+$B$7)+273)^4-(W105+273)^4)</f>
        <v>0</v>
      </c>
      <c r="AF105">
        <f>U105+AE105+AC105+AD105</f>
        <v>0</v>
      </c>
      <c r="AG105">
        <f>DX105*AU105*(DS105-DR105*(1000-AU105*DU105)/(1000-AU105*DT105))/(100*DL105)</f>
        <v>0</v>
      </c>
      <c r="AH105">
        <f>1000*DX105*AU105*(DT105-DU105)/(100*DL105*(1000-AU105*DT105))</f>
        <v>0</v>
      </c>
      <c r="AI105">
        <f>(AJ105 - AK105 - DY105*1E3/(8.314*(EA105+273.15)) * AM105/DX105 * AL105) * DX105/(100*DL105) * (1000 - DU105)/1000</f>
        <v>0</v>
      </c>
      <c r="AJ105">
        <v>1221.88586612003</v>
      </c>
      <c r="AK105">
        <v>1220.81539393939</v>
      </c>
      <c r="AL105">
        <v>-0.0340786444042718</v>
      </c>
      <c r="AM105">
        <v>63.90238954661</v>
      </c>
      <c r="AN105">
        <f>(AP105 - AO105 + DY105*1E3/(8.314*(EA105+273.15)) * AR105/DX105 * AQ105) * DX105/(100*DL105) * 1000/(1000 - AP105)</f>
        <v>0</v>
      </c>
      <c r="AO105">
        <v>17.9468033403073</v>
      </c>
      <c r="AP105">
        <v>18.0243648484848</v>
      </c>
      <c r="AQ105">
        <v>-8.29436032728907e-06</v>
      </c>
      <c r="AR105">
        <v>104.64805062371</v>
      </c>
      <c r="AS105">
        <v>0</v>
      </c>
      <c r="AT105">
        <v>0</v>
      </c>
      <c r="AU105">
        <f>IF(AS105*$H$13&gt;=AW105,1.0,(AW105/(AW105-AS105*$H$13)))</f>
        <v>0</v>
      </c>
      <c r="AV105">
        <f>(AU105-1)*100</f>
        <v>0</v>
      </c>
      <c r="AW105">
        <f>MAX(0,($B$13+$C$13*EF105)/(1+$D$13*EF105)*DY105/(EA105+273)*$E$13)</f>
        <v>0</v>
      </c>
      <c r="AX105" t="s">
        <v>437</v>
      </c>
      <c r="AY105" t="s">
        <v>437</v>
      </c>
      <c r="AZ105">
        <v>0</v>
      </c>
      <c r="BA105">
        <v>0</v>
      </c>
      <c r="BB105">
        <f>1-AZ105/BA105</f>
        <v>0</v>
      </c>
      <c r="BC105">
        <v>0</v>
      </c>
      <c r="BD105" t="s">
        <v>437</v>
      </c>
      <c r="BE105" t="s">
        <v>437</v>
      </c>
      <c r="BF105">
        <v>0</v>
      </c>
      <c r="BG105">
        <v>0</v>
      </c>
      <c r="BH105">
        <f>1-BF105/BG105</f>
        <v>0</v>
      </c>
      <c r="BI105">
        <v>0.5</v>
      </c>
      <c r="BJ105">
        <f>DI105</f>
        <v>0</v>
      </c>
      <c r="BK105">
        <f>L105</f>
        <v>0</v>
      </c>
      <c r="BL105">
        <f>BH105*BI105*BJ105</f>
        <v>0</v>
      </c>
      <c r="BM105">
        <f>(BK105-BC105)/BJ105</f>
        <v>0</v>
      </c>
      <c r="BN105">
        <f>(BA105-BG105)/BG105</f>
        <v>0</v>
      </c>
      <c r="BO105">
        <f>AZ105/(BB105+AZ105/BG105)</f>
        <v>0</v>
      </c>
      <c r="BP105" t="s">
        <v>437</v>
      </c>
      <c r="BQ105">
        <v>0</v>
      </c>
      <c r="BR105">
        <f>IF(BQ105&lt;&gt;0, BQ105, BO105)</f>
        <v>0</v>
      </c>
      <c r="BS105">
        <f>1-BR105/BG105</f>
        <v>0</v>
      </c>
      <c r="BT105">
        <f>(BG105-BF105)/(BG105-BR105)</f>
        <v>0</v>
      </c>
      <c r="BU105">
        <f>(BA105-BG105)/(BA105-BR105)</f>
        <v>0</v>
      </c>
      <c r="BV105">
        <f>(BG105-BF105)/(BG105-AZ105)</f>
        <v>0</v>
      </c>
      <c r="BW105">
        <f>(BA105-BG105)/(BA105-AZ105)</f>
        <v>0</v>
      </c>
      <c r="BX105">
        <f>(BT105*BR105/BF105)</f>
        <v>0</v>
      </c>
      <c r="BY105">
        <f>(1-BX105)</f>
        <v>0</v>
      </c>
      <c r="DH105">
        <f>$B$11*EG105+$C$11*EH105+$F$11*ES105*(1-EV105)</f>
        <v>0</v>
      </c>
      <c r="DI105">
        <f>DH105*DJ105</f>
        <v>0</v>
      </c>
      <c r="DJ105">
        <f>($B$11*$D$9+$C$11*$D$9+$F$11*((FF105+EX105)/MAX(FF105+EX105+FG105, 0.1)*$I$9+FG105/MAX(FF105+EX105+FG105, 0.1)*$J$9))/($B$11+$C$11+$F$11)</f>
        <v>0</v>
      </c>
      <c r="DK105">
        <f>($B$11*$K$9+$C$11*$K$9+$F$11*((FF105+EX105)/MAX(FF105+EX105+FG105, 0.1)*$P$9+FG105/MAX(FF105+EX105+FG105, 0.1)*$Q$9))/($B$11+$C$11+$F$11)</f>
        <v>0</v>
      </c>
      <c r="DL105">
        <v>6</v>
      </c>
      <c r="DM105">
        <v>0.5</v>
      </c>
      <c r="DN105" t="s">
        <v>438</v>
      </c>
      <c r="DO105">
        <v>2</v>
      </c>
      <c r="DP105" t="b">
        <v>1</v>
      </c>
      <c r="DQ105">
        <v>1765312935.5</v>
      </c>
      <c r="DR105">
        <v>1198.4725</v>
      </c>
      <c r="DS105">
        <v>1199.986875</v>
      </c>
      <c r="DT105">
        <v>18.02733125</v>
      </c>
      <c r="DU105">
        <v>17.95019375</v>
      </c>
      <c r="DV105">
        <v>1189.0775</v>
      </c>
      <c r="DW105">
        <v>17.86333125</v>
      </c>
      <c r="DX105">
        <v>500.00625</v>
      </c>
      <c r="DY105">
        <v>89.64810625</v>
      </c>
      <c r="DZ105">
        <v>0.09991595625</v>
      </c>
      <c r="EA105">
        <v>25.3247125</v>
      </c>
      <c r="EB105">
        <v>24.99509375</v>
      </c>
      <c r="EC105">
        <v>999.9</v>
      </c>
      <c r="ED105">
        <v>0</v>
      </c>
      <c r="EE105">
        <v>0</v>
      </c>
      <c r="EF105">
        <v>10012.425</v>
      </c>
      <c r="EG105">
        <v>0</v>
      </c>
      <c r="EH105">
        <v>12.54993125</v>
      </c>
      <c r="EI105">
        <v>-1.0993430625</v>
      </c>
      <c r="EJ105">
        <v>1220.893125</v>
      </c>
      <c r="EK105">
        <v>1221.91875</v>
      </c>
      <c r="EL105">
        <v>0.07587694375</v>
      </c>
      <c r="EM105">
        <v>1199.986875</v>
      </c>
      <c r="EN105">
        <v>17.95019375</v>
      </c>
      <c r="EO105">
        <v>1.6160025</v>
      </c>
      <c r="EP105">
        <v>1.609199375</v>
      </c>
      <c r="EQ105">
        <v>14.11225</v>
      </c>
      <c r="ER105">
        <v>14.04718125</v>
      </c>
      <c r="ES105">
        <v>800.041125</v>
      </c>
      <c r="ET105">
        <v>0.9500065625</v>
      </c>
      <c r="EU105">
        <v>0.0499932875</v>
      </c>
      <c r="EV105">
        <v>0</v>
      </c>
      <c r="EW105">
        <v>813.011</v>
      </c>
      <c r="EX105">
        <v>5.00016</v>
      </c>
      <c r="EY105">
        <v>6301.770625</v>
      </c>
      <c r="EZ105">
        <v>7195.063125</v>
      </c>
      <c r="FA105">
        <v>39.75775</v>
      </c>
      <c r="FB105">
        <v>42.437</v>
      </c>
      <c r="FC105">
        <v>41.2655</v>
      </c>
      <c r="FD105">
        <v>42.437</v>
      </c>
      <c r="FE105">
        <v>42.437</v>
      </c>
      <c r="FF105">
        <v>755.29375</v>
      </c>
      <c r="FG105">
        <v>39.75</v>
      </c>
      <c r="FH105">
        <v>0</v>
      </c>
      <c r="FI105">
        <v>1765312944.7</v>
      </c>
      <c r="FJ105">
        <v>0</v>
      </c>
      <c r="FK105">
        <v>812.98944</v>
      </c>
      <c r="FL105">
        <v>-1.08146153532551</v>
      </c>
      <c r="FM105">
        <v>-3.34153838064364</v>
      </c>
      <c r="FN105">
        <v>6301.3044</v>
      </c>
      <c r="FO105">
        <v>15</v>
      </c>
      <c r="FP105">
        <v>1765312985</v>
      </c>
      <c r="FQ105" t="s">
        <v>714</v>
      </c>
      <c r="FR105">
        <v>1765312869</v>
      </c>
      <c r="FS105">
        <v>1765312962</v>
      </c>
      <c r="FT105">
        <v>89</v>
      </c>
      <c r="FU105">
        <v>-0.129</v>
      </c>
      <c r="FV105">
        <v>0.003</v>
      </c>
      <c r="FW105">
        <v>9.395</v>
      </c>
      <c r="FX105">
        <v>0.164</v>
      </c>
      <c r="FY105">
        <v>1000</v>
      </c>
      <c r="FZ105">
        <v>18</v>
      </c>
      <c r="GA105">
        <v>0.62</v>
      </c>
      <c r="GB105">
        <v>0.14</v>
      </c>
      <c r="GC105">
        <v>-1.10158745</v>
      </c>
      <c r="GD105">
        <v>0.309093879699248</v>
      </c>
      <c r="GE105">
        <v>0.0635928771133017</v>
      </c>
      <c r="GF105">
        <v>1</v>
      </c>
      <c r="GG105">
        <v>813.037176470588</v>
      </c>
      <c r="GH105">
        <v>-0.257906800659616</v>
      </c>
      <c r="GI105">
        <v>0.174414562024986</v>
      </c>
      <c r="GJ105">
        <v>-1</v>
      </c>
      <c r="GK105">
        <v>0.07355079</v>
      </c>
      <c r="GL105">
        <v>0.0397626315789475</v>
      </c>
      <c r="GM105">
        <v>0.00422399831083063</v>
      </c>
      <c r="GN105">
        <v>1</v>
      </c>
      <c r="GO105">
        <v>2</v>
      </c>
      <c r="GP105">
        <v>2</v>
      </c>
      <c r="GQ105" t="s">
        <v>440</v>
      </c>
      <c r="GR105">
        <v>3.12493</v>
      </c>
      <c r="GS105">
        <v>2.72588</v>
      </c>
      <c r="GT105">
        <v>0.183265</v>
      </c>
      <c r="GU105">
        <v>0.183966</v>
      </c>
      <c r="GV105">
        <v>0.0825415</v>
      </c>
      <c r="GW105">
        <v>0.0824777</v>
      </c>
      <c r="GX105">
        <v>21467.1</v>
      </c>
      <c r="GY105">
        <v>19969.1</v>
      </c>
      <c r="GZ105">
        <v>23497</v>
      </c>
      <c r="HA105">
        <v>23818.2</v>
      </c>
      <c r="HB105">
        <v>36720.3</v>
      </c>
      <c r="HC105">
        <v>36146.9</v>
      </c>
      <c r="HD105">
        <v>42325.2</v>
      </c>
      <c r="HE105">
        <v>42431.7</v>
      </c>
      <c r="HF105">
        <v>1.93228</v>
      </c>
      <c r="HG105">
        <v>1.84953</v>
      </c>
      <c r="HH105">
        <v>0.0954047</v>
      </c>
      <c r="HI105">
        <v>0</v>
      </c>
      <c r="HJ105">
        <v>23.4258</v>
      </c>
      <c r="HK105">
        <v>999.9</v>
      </c>
      <c r="HL105">
        <v>48.175</v>
      </c>
      <c r="HM105">
        <v>28.701</v>
      </c>
      <c r="HN105">
        <v>21.2402</v>
      </c>
      <c r="HO105">
        <v>55.1012</v>
      </c>
      <c r="HP105">
        <v>45.8053</v>
      </c>
      <c r="HQ105">
        <v>1</v>
      </c>
      <c r="HR105">
        <v>-0.093966</v>
      </c>
      <c r="HS105">
        <v>0.78146</v>
      </c>
      <c r="HT105">
        <v>20.2303</v>
      </c>
      <c r="HU105">
        <v>5.23391</v>
      </c>
      <c r="HV105">
        <v>11.992</v>
      </c>
      <c r="HW105">
        <v>4.95665</v>
      </c>
      <c r="HX105">
        <v>3.304</v>
      </c>
      <c r="HY105">
        <v>999.9</v>
      </c>
      <c r="HZ105">
        <v>9999</v>
      </c>
      <c r="IA105">
        <v>9999</v>
      </c>
      <c r="IB105">
        <v>9999</v>
      </c>
      <c r="IC105">
        <v>1.8686</v>
      </c>
      <c r="ID105">
        <v>1.86434</v>
      </c>
      <c r="IE105">
        <v>1.87195</v>
      </c>
      <c r="IF105">
        <v>1.86288</v>
      </c>
      <c r="IG105">
        <v>1.86224</v>
      </c>
      <c r="IH105">
        <v>1.8687</v>
      </c>
      <c r="II105">
        <v>1.85883</v>
      </c>
      <c r="IJ105">
        <v>1.86523</v>
      </c>
      <c r="IK105">
        <v>5</v>
      </c>
      <c r="IL105">
        <v>0</v>
      </c>
      <c r="IM105">
        <v>0</v>
      </c>
      <c r="IN105">
        <v>0</v>
      </c>
      <c r="IO105" t="s">
        <v>441</v>
      </c>
      <c r="IP105" t="s">
        <v>442</v>
      </c>
      <c r="IQ105" t="s">
        <v>443</v>
      </c>
      <c r="IR105" t="s">
        <v>443</v>
      </c>
      <c r="IS105" t="s">
        <v>443</v>
      </c>
      <c r="IT105" t="s">
        <v>443</v>
      </c>
      <c r="IU105">
        <v>0</v>
      </c>
      <c r="IV105">
        <v>100</v>
      </c>
      <c r="IW105">
        <v>100</v>
      </c>
      <c r="IX105">
        <v>9.395</v>
      </c>
      <c r="IY105">
        <v>0.164</v>
      </c>
      <c r="IZ105">
        <v>5.57760098160458</v>
      </c>
      <c r="JA105">
        <v>0.0062698613543794</v>
      </c>
      <c r="JB105">
        <v>-3.23243345529816e-06</v>
      </c>
      <c r="JC105">
        <v>8.00506428382295e-10</v>
      </c>
      <c r="JD105">
        <v>0.00118639135126081</v>
      </c>
      <c r="JE105">
        <v>-0.0018464610107002</v>
      </c>
      <c r="JF105">
        <v>0.000796540623429801</v>
      </c>
      <c r="JG105">
        <v>-1.04619914107352e-05</v>
      </c>
      <c r="JH105">
        <v>-0</v>
      </c>
      <c r="JI105">
        <v>2101</v>
      </c>
      <c r="JJ105">
        <v>1</v>
      </c>
      <c r="JK105">
        <v>23</v>
      </c>
      <c r="JL105">
        <v>1.2</v>
      </c>
      <c r="JM105">
        <v>1.4</v>
      </c>
      <c r="JN105">
        <v>2.43408</v>
      </c>
      <c r="JO105">
        <v>2.34253</v>
      </c>
      <c r="JP105">
        <v>1.4978</v>
      </c>
      <c r="JQ105">
        <v>2.33887</v>
      </c>
      <c r="JR105">
        <v>1.54419</v>
      </c>
      <c r="JS105">
        <v>2.33154</v>
      </c>
      <c r="JT105">
        <v>34.8985</v>
      </c>
      <c r="JU105">
        <v>24.3414</v>
      </c>
      <c r="JV105">
        <v>18</v>
      </c>
      <c r="JW105">
        <v>549.841</v>
      </c>
      <c r="JX105">
        <v>439.754</v>
      </c>
      <c r="JY105">
        <v>22.3961</v>
      </c>
      <c r="JZ105">
        <v>26.3041</v>
      </c>
      <c r="KA105">
        <v>29.9997</v>
      </c>
      <c r="KB105">
        <v>26.3344</v>
      </c>
      <c r="KC105">
        <v>26.3653</v>
      </c>
      <c r="KD105">
        <v>48.7116</v>
      </c>
      <c r="KE105">
        <v>27.6279</v>
      </c>
      <c r="KF105">
        <v>100</v>
      </c>
      <c r="KG105">
        <v>22.3971</v>
      </c>
      <c r="KH105">
        <v>1200</v>
      </c>
      <c r="KI105">
        <v>18.0085</v>
      </c>
      <c r="KJ105">
        <v>94.8905</v>
      </c>
      <c r="KK105">
        <v>98.9259</v>
      </c>
    </row>
    <row r="106" spans="1:297">
      <c r="A106">
        <v>90</v>
      </c>
      <c r="B106">
        <v>1765313063</v>
      </c>
      <c r="C106">
        <v>15114</v>
      </c>
      <c r="D106" t="s">
        <v>715</v>
      </c>
      <c r="E106" t="s">
        <v>716</v>
      </c>
      <c r="F106">
        <v>5</v>
      </c>
      <c r="G106" t="s">
        <v>683</v>
      </c>
      <c r="H106" t="s">
        <v>436</v>
      </c>
      <c r="I106">
        <v>1765313055</v>
      </c>
      <c r="J106">
        <f>(K106)/1000</f>
        <v>0</v>
      </c>
      <c r="K106">
        <f>IF(DP106, AN106, AH106)</f>
        <v>0</v>
      </c>
      <c r="L106">
        <f>IF(DP106, AI106, AG106)</f>
        <v>0</v>
      </c>
      <c r="M106">
        <f>DR106 - IF(AU106&gt;1, L106*DL106*100.0/(AW106), 0)</f>
        <v>0</v>
      </c>
      <c r="N106">
        <f>((T106-J106/2)*M106-L106)/(T106+J106/2)</f>
        <v>0</v>
      </c>
      <c r="O106">
        <f>N106*(DY106+DZ106)/1000.0</f>
        <v>0</v>
      </c>
      <c r="P106">
        <f>(DR106 - IF(AU106&gt;1, L106*DL106*100.0/(AW106), 0))*(DY106+DZ106)/1000.0</f>
        <v>0</v>
      </c>
      <c r="Q106">
        <f>2.0/((1/S106-1/R106)+SIGN(S106)*SQRT((1/S106-1/R106)*(1/S106-1/R106) + 4*DM106/((DM106+1)*(DM106+1))*(2*1/S106*1/R106-1/R106*1/R106)))</f>
        <v>0</v>
      </c>
      <c r="R106">
        <f>IF(LEFT(DN106,1)&lt;&gt;"0",IF(LEFT(DN106,1)="1",3.0,DO106),$D$5+$E$5*(EF106*DY106/($K$5*1000))+$F$5*(EF106*DY106/($K$5*1000))*MAX(MIN(DL106,$J$5),$I$5)*MAX(MIN(DL106,$J$5),$I$5)+$G$5*MAX(MIN(DL106,$J$5),$I$5)*(EF106*DY106/($K$5*1000))+$H$5*(EF106*DY106/($K$5*1000))*(EF106*DY106/($K$5*1000)))</f>
        <v>0</v>
      </c>
      <c r="S106">
        <f>J106*(1000-(1000*0.61365*exp(17.502*W106/(240.97+W106))/(DY106+DZ106)+DT106)/2)/(1000*0.61365*exp(17.502*W106/(240.97+W106))/(DY106+DZ106)-DT106)</f>
        <v>0</v>
      </c>
      <c r="T106">
        <f>1/((DM106+1)/(Q106/1.6)+1/(R106/1.37)) + DM106/((DM106+1)/(Q106/1.6) + DM106/(R106/1.37))</f>
        <v>0</v>
      </c>
      <c r="U106">
        <f>(DH106*DK106)</f>
        <v>0</v>
      </c>
      <c r="V106">
        <f>(EA106+(U106+2*0.95*5.67E-8*(((EA106+$B$7)+273)^4-(EA106+273)^4)-44100*J106)/(1.84*29.3*R106+8*0.95*5.67E-8*(EA106+273)^3))</f>
        <v>0</v>
      </c>
      <c r="W106">
        <f>($C$7*EB106+$D$7*EC106+$E$7*V106)</f>
        <v>0</v>
      </c>
      <c r="X106">
        <f>0.61365*exp(17.502*W106/(240.97+W106))</f>
        <v>0</v>
      </c>
      <c r="Y106">
        <f>(Z106/AA106*100)</f>
        <v>0</v>
      </c>
      <c r="Z106">
        <f>DT106*(DY106+DZ106)/1000</f>
        <v>0</v>
      </c>
      <c r="AA106">
        <f>0.61365*exp(17.502*EA106/(240.97+EA106))</f>
        <v>0</v>
      </c>
      <c r="AB106">
        <f>(X106-DT106*(DY106+DZ106)/1000)</f>
        <v>0</v>
      </c>
      <c r="AC106">
        <f>(-J106*44100)</f>
        <v>0</v>
      </c>
      <c r="AD106">
        <f>2*29.3*R106*0.92*(EA106-W106)</f>
        <v>0</v>
      </c>
      <c r="AE106">
        <f>2*0.95*5.67E-8*(((EA106+$B$7)+273)^4-(W106+273)^4)</f>
        <v>0</v>
      </c>
      <c r="AF106">
        <f>U106+AE106+AC106+AD106</f>
        <v>0</v>
      </c>
      <c r="AG106">
        <f>DX106*AU106*(DS106-DR106*(1000-AU106*DU106)/(1000-AU106*DT106))/(100*DL106)</f>
        <v>0</v>
      </c>
      <c r="AH106">
        <f>1000*DX106*AU106*(DT106-DU106)/(100*DL106*(1000-AU106*DT106))</f>
        <v>0</v>
      </c>
      <c r="AI106">
        <f>(AJ106 - AK106 - DY106*1E3/(8.314*(EA106+273.15)) * AM106/DX106 * AL106) * DX106/(100*DL106) * (1000 - DU106)/1000</f>
        <v>0</v>
      </c>
      <c r="AJ106">
        <v>1527.50673159942</v>
      </c>
      <c r="AK106">
        <v>1526.18309090909</v>
      </c>
      <c r="AL106">
        <v>-0.0052941713934062</v>
      </c>
      <c r="AM106">
        <v>63.7137949458915</v>
      </c>
      <c r="AN106">
        <f>(AP106 - AO106 + DY106*1E3/(8.314*(EA106+273.15)) * AR106/DX106 * AQ106) * DX106/(100*DL106) * 1000/(1000 - AP106)</f>
        <v>0</v>
      </c>
      <c r="AO106">
        <v>17.9794391837114</v>
      </c>
      <c r="AP106">
        <v>18.05986</v>
      </c>
      <c r="AQ106">
        <v>-3.50775540218453e-05</v>
      </c>
      <c r="AR106">
        <v>105.68456099202</v>
      </c>
      <c r="AS106">
        <v>0</v>
      </c>
      <c r="AT106">
        <v>0</v>
      </c>
      <c r="AU106">
        <f>IF(AS106*$H$13&gt;=AW106,1.0,(AW106/(AW106-AS106*$H$13)))</f>
        <v>0</v>
      </c>
      <c r="AV106">
        <f>(AU106-1)*100</f>
        <v>0</v>
      </c>
      <c r="AW106">
        <f>MAX(0,($B$13+$C$13*EF106)/(1+$D$13*EF106)*DY106/(EA106+273)*$E$13)</f>
        <v>0</v>
      </c>
      <c r="AX106" t="s">
        <v>437</v>
      </c>
      <c r="AY106" t="s">
        <v>437</v>
      </c>
      <c r="AZ106">
        <v>0</v>
      </c>
      <c r="BA106">
        <v>0</v>
      </c>
      <c r="BB106">
        <f>1-AZ106/BA106</f>
        <v>0</v>
      </c>
      <c r="BC106">
        <v>0</v>
      </c>
      <c r="BD106" t="s">
        <v>437</v>
      </c>
      <c r="BE106" t="s">
        <v>437</v>
      </c>
      <c r="BF106">
        <v>0</v>
      </c>
      <c r="BG106">
        <v>0</v>
      </c>
      <c r="BH106">
        <f>1-BF106/BG106</f>
        <v>0</v>
      </c>
      <c r="BI106">
        <v>0.5</v>
      </c>
      <c r="BJ106">
        <f>DI106</f>
        <v>0</v>
      </c>
      <c r="BK106">
        <f>L106</f>
        <v>0</v>
      </c>
      <c r="BL106">
        <f>BH106*BI106*BJ106</f>
        <v>0</v>
      </c>
      <c r="BM106">
        <f>(BK106-BC106)/BJ106</f>
        <v>0</v>
      </c>
      <c r="BN106">
        <f>(BA106-BG106)/BG106</f>
        <v>0</v>
      </c>
      <c r="BO106">
        <f>AZ106/(BB106+AZ106/BG106)</f>
        <v>0</v>
      </c>
      <c r="BP106" t="s">
        <v>437</v>
      </c>
      <c r="BQ106">
        <v>0</v>
      </c>
      <c r="BR106">
        <f>IF(BQ106&lt;&gt;0, BQ106, BO106)</f>
        <v>0</v>
      </c>
      <c r="BS106">
        <f>1-BR106/BG106</f>
        <v>0</v>
      </c>
      <c r="BT106">
        <f>(BG106-BF106)/(BG106-BR106)</f>
        <v>0</v>
      </c>
      <c r="BU106">
        <f>(BA106-BG106)/(BA106-BR106)</f>
        <v>0</v>
      </c>
      <c r="BV106">
        <f>(BG106-BF106)/(BG106-AZ106)</f>
        <v>0</v>
      </c>
      <c r="BW106">
        <f>(BA106-BG106)/(BA106-AZ106)</f>
        <v>0</v>
      </c>
      <c r="BX106">
        <f>(BT106*BR106/BF106)</f>
        <v>0</v>
      </c>
      <c r="BY106">
        <f>(1-BX106)</f>
        <v>0</v>
      </c>
      <c r="DH106">
        <f>$B$11*EG106+$C$11*EH106+$F$11*ES106*(1-EV106)</f>
        <v>0</v>
      </c>
      <c r="DI106">
        <f>DH106*DJ106</f>
        <v>0</v>
      </c>
      <c r="DJ106">
        <f>($B$11*$D$9+$C$11*$D$9+$F$11*((FF106+EX106)/MAX(FF106+EX106+FG106, 0.1)*$I$9+FG106/MAX(FF106+EX106+FG106, 0.1)*$J$9))/($B$11+$C$11+$F$11)</f>
        <v>0</v>
      </c>
      <c r="DK106">
        <f>($B$11*$K$9+$C$11*$K$9+$F$11*((FF106+EX106)/MAX(FF106+EX106+FG106, 0.1)*$P$9+FG106/MAX(FF106+EX106+FG106, 0.1)*$Q$9))/($B$11+$C$11+$F$11)</f>
        <v>0</v>
      </c>
      <c r="DL106">
        <v>6</v>
      </c>
      <c r="DM106">
        <v>0.5</v>
      </c>
      <c r="DN106" t="s">
        <v>438</v>
      </c>
      <c r="DO106">
        <v>2</v>
      </c>
      <c r="DP106" t="b">
        <v>1</v>
      </c>
      <c r="DQ106">
        <v>1765313055</v>
      </c>
      <c r="DR106">
        <v>1499.05566666667</v>
      </c>
      <c r="DS106">
        <v>1500.01266666667</v>
      </c>
      <c r="DT106">
        <v>18.0610466666667</v>
      </c>
      <c r="DU106">
        <v>17.9834933333333</v>
      </c>
      <c r="DV106">
        <v>1488.25666666667</v>
      </c>
      <c r="DW106">
        <v>17.8970466666667</v>
      </c>
      <c r="DX106">
        <v>500.005</v>
      </c>
      <c r="DY106">
        <v>89.6452</v>
      </c>
      <c r="DZ106">
        <v>0.10000818</v>
      </c>
      <c r="EA106">
        <v>25.3316866666667</v>
      </c>
      <c r="EB106">
        <v>24.9887</v>
      </c>
      <c r="EC106">
        <v>999.9</v>
      </c>
      <c r="ED106">
        <v>0</v>
      </c>
      <c r="EE106">
        <v>0</v>
      </c>
      <c r="EF106">
        <v>9989.62</v>
      </c>
      <c r="EG106">
        <v>0</v>
      </c>
      <c r="EH106">
        <v>12.5751</v>
      </c>
      <c r="EI106">
        <v>-1.36884066666667</v>
      </c>
      <c r="EJ106">
        <v>1526.214</v>
      </c>
      <c r="EK106">
        <v>1527.484</v>
      </c>
      <c r="EL106">
        <v>0.0800398466666667</v>
      </c>
      <c r="EM106">
        <v>1500.01266666667</v>
      </c>
      <c r="EN106">
        <v>17.9834933333333</v>
      </c>
      <c r="EO106">
        <v>1.619308</v>
      </c>
      <c r="EP106">
        <v>1.612134</v>
      </c>
      <c r="EQ106">
        <v>14.1437733333333</v>
      </c>
      <c r="ER106">
        <v>14.07526</v>
      </c>
      <c r="ES106">
        <v>799.985533333333</v>
      </c>
      <c r="ET106">
        <v>0.9500028</v>
      </c>
      <c r="EU106">
        <v>0.04999708</v>
      </c>
      <c r="EV106">
        <v>0</v>
      </c>
      <c r="EW106">
        <v>812.277</v>
      </c>
      <c r="EX106">
        <v>5.00016</v>
      </c>
      <c r="EY106">
        <v>6294.04933333333</v>
      </c>
      <c r="EZ106">
        <v>7194.552</v>
      </c>
      <c r="FA106">
        <v>39.7206</v>
      </c>
      <c r="FB106">
        <v>42.375</v>
      </c>
      <c r="FC106">
        <v>41.187</v>
      </c>
      <c r="FD106">
        <v>42.4287333333333</v>
      </c>
      <c r="FE106">
        <v>42.375</v>
      </c>
      <c r="FF106">
        <v>755.238</v>
      </c>
      <c r="FG106">
        <v>39.75</v>
      </c>
      <c r="FH106">
        <v>0</v>
      </c>
      <c r="FI106">
        <v>1765313063.5</v>
      </c>
      <c r="FJ106">
        <v>0</v>
      </c>
      <c r="FK106">
        <v>812.27036</v>
      </c>
      <c r="FL106">
        <v>0.245307696983131</v>
      </c>
      <c r="FM106">
        <v>-5.14153846645345</v>
      </c>
      <c r="FN106">
        <v>6294.072</v>
      </c>
      <c r="FO106">
        <v>15</v>
      </c>
      <c r="FP106">
        <v>1765313090</v>
      </c>
      <c r="FQ106" t="s">
        <v>717</v>
      </c>
      <c r="FR106">
        <v>1765313090</v>
      </c>
      <c r="FS106">
        <v>1765313081</v>
      </c>
      <c r="FT106">
        <v>90</v>
      </c>
      <c r="FU106">
        <v>0.41</v>
      </c>
      <c r="FV106">
        <v>-0</v>
      </c>
      <c r="FW106">
        <v>10.799</v>
      </c>
      <c r="FX106">
        <v>0.164</v>
      </c>
      <c r="FY106">
        <v>1500</v>
      </c>
      <c r="FZ106">
        <v>18</v>
      </c>
      <c r="GA106">
        <v>1.05</v>
      </c>
      <c r="GB106">
        <v>0.18</v>
      </c>
      <c r="GC106">
        <v>-1.3813605</v>
      </c>
      <c r="GD106">
        <v>0.0162879699248162</v>
      </c>
      <c r="GE106">
        <v>0.0756630497981016</v>
      </c>
      <c r="GF106">
        <v>1</v>
      </c>
      <c r="GG106">
        <v>812.278176470588</v>
      </c>
      <c r="GH106">
        <v>-0.137509546261246</v>
      </c>
      <c r="GI106">
        <v>0.135880455805454</v>
      </c>
      <c r="GJ106">
        <v>-1</v>
      </c>
      <c r="GK106">
        <v>0.079700095</v>
      </c>
      <c r="GL106">
        <v>0.0106639624060151</v>
      </c>
      <c r="GM106">
        <v>0.00129035725265331</v>
      </c>
      <c r="GN106">
        <v>1</v>
      </c>
      <c r="GO106">
        <v>2</v>
      </c>
      <c r="GP106">
        <v>2</v>
      </c>
      <c r="GQ106" t="s">
        <v>440</v>
      </c>
      <c r="GR106">
        <v>3.125</v>
      </c>
      <c r="GS106">
        <v>2.72546</v>
      </c>
      <c r="GT106">
        <v>0.210466</v>
      </c>
      <c r="GU106">
        <v>0.21101</v>
      </c>
      <c r="GV106">
        <v>0.0826593</v>
      </c>
      <c r="GW106">
        <v>0.0826096</v>
      </c>
      <c r="GX106">
        <v>20757.8</v>
      </c>
      <c r="GY106">
        <v>19312.6</v>
      </c>
      <c r="GZ106">
        <v>23502.3</v>
      </c>
      <c r="HA106">
        <v>23823.6</v>
      </c>
      <c r="HB106">
        <v>36724.4</v>
      </c>
      <c r="HC106">
        <v>36151</v>
      </c>
      <c r="HD106">
        <v>42332.7</v>
      </c>
      <c r="HE106">
        <v>42440</v>
      </c>
      <c r="HF106">
        <v>1.9335</v>
      </c>
      <c r="HG106">
        <v>1.85195</v>
      </c>
      <c r="HH106">
        <v>0.097733</v>
      </c>
      <c r="HI106">
        <v>0</v>
      </c>
      <c r="HJ106">
        <v>23.3889</v>
      </c>
      <c r="HK106">
        <v>999.9</v>
      </c>
      <c r="HL106">
        <v>48.077</v>
      </c>
      <c r="HM106">
        <v>28.691</v>
      </c>
      <c r="HN106">
        <v>21.1875</v>
      </c>
      <c r="HO106">
        <v>55.0212</v>
      </c>
      <c r="HP106">
        <v>45.8574</v>
      </c>
      <c r="HQ106">
        <v>1</v>
      </c>
      <c r="HR106">
        <v>-0.102259</v>
      </c>
      <c r="HS106">
        <v>0.799965</v>
      </c>
      <c r="HT106">
        <v>20.2302</v>
      </c>
      <c r="HU106">
        <v>5.23436</v>
      </c>
      <c r="HV106">
        <v>11.992</v>
      </c>
      <c r="HW106">
        <v>4.9558</v>
      </c>
      <c r="HX106">
        <v>3.304</v>
      </c>
      <c r="HY106">
        <v>999.9</v>
      </c>
      <c r="HZ106">
        <v>9999</v>
      </c>
      <c r="IA106">
        <v>9999</v>
      </c>
      <c r="IB106">
        <v>9999</v>
      </c>
      <c r="IC106">
        <v>1.86861</v>
      </c>
      <c r="ID106">
        <v>1.86432</v>
      </c>
      <c r="IE106">
        <v>1.87195</v>
      </c>
      <c r="IF106">
        <v>1.86286</v>
      </c>
      <c r="IG106">
        <v>1.86231</v>
      </c>
      <c r="IH106">
        <v>1.86871</v>
      </c>
      <c r="II106">
        <v>1.85884</v>
      </c>
      <c r="IJ106">
        <v>1.86523</v>
      </c>
      <c r="IK106">
        <v>5</v>
      </c>
      <c r="IL106">
        <v>0</v>
      </c>
      <c r="IM106">
        <v>0</v>
      </c>
      <c r="IN106">
        <v>0</v>
      </c>
      <c r="IO106" t="s">
        <v>441</v>
      </c>
      <c r="IP106" t="s">
        <v>442</v>
      </c>
      <c r="IQ106" t="s">
        <v>443</v>
      </c>
      <c r="IR106" t="s">
        <v>443</v>
      </c>
      <c r="IS106" t="s">
        <v>443</v>
      </c>
      <c r="IT106" t="s">
        <v>443</v>
      </c>
      <c r="IU106">
        <v>0</v>
      </c>
      <c r="IV106">
        <v>100</v>
      </c>
      <c r="IW106">
        <v>100</v>
      </c>
      <c r="IX106">
        <v>10.799</v>
      </c>
      <c r="IY106">
        <v>0.164</v>
      </c>
      <c r="IZ106">
        <v>5.57760098160458</v>
      </c>
      <c r="JA106">
        <v>0.0062698613543794</v>
      </c>
      <c r="JB106">
        <v>-3.23243345529816e-06</v>
      </c>
      <c r="JC106">
        <v>8.00506428382295e-10</v>
      </c>
      <c r="JD106">
        <v>0.0043663133458906</v>
      </c>
      <c r="JE106">
        <v>-0.0018464610107002</v>
      </c>
      <c r="JF106">
        <v>0.000796540623429801</v>
      </c>
      <c r="JG106">
        <v>-1.04619914107352e-05</v>
      </c>
      <c r="JH106">
        <v>-0</v>
      </c>
      <c r="JI106">
        <v>2101</v>
      </c>
      <c r="JJ106">
        <v>1</v>
      </c>
      <c r="JK106">
        <v>23</v>
      </c>
      <c r="JL106">
        <v>3.2</v>
      </c>
      <c r="JM106">
        <v>1.7</v>
      </c>
      <c r="JN106">
        <v>2.90894</v>
      </c>
      <c r="JO106">
        <v>2.33032</v>
      </c>
      <c r="JP106">
        <v>1.49902</v>
      </c>
      <c r="JQ106">
        <v>2.33887</v>
      </c>
      <c r="JR106">
        <v>1.54419</v>
      </c>
      <c r="JS106">
        <v>2.28638</v>
      </c>
      <c r="JT106">
        <v>34.8755</v>
      </c>
      <c r="JU106">
        <v>24.3414</v>
      </c>
      <c r="JV106">
        <v>18</v>
      </c>
      <c r="JW106">
        <v>549.839</v>
      </c>
      <c r="JX106">
        <v>440.491</v>
      </c>
      <c r="JY106">
        <v>22.3212</v>
      </c>
      <c r="JZ106">
        <v>26.2039</v>
      </c>
      <c r="KA106">
        <v>29.9997</v>
      </c>
      <c r="KB106">
        <v>26.2449</v>
      </c>
      <c r="KC106">
        <v>26.2755</v>
      </c>
      <c r="KD106">
        <v>58.2074</v>
      </c>
      <c r="KE106">
        <v>26.9991</v>
      </c>
      <c r="KF106">
        <v>100</v>
      </c>
      <c r="KG106">
        <v>22.3298</v>
      </c>
      <c r="KH106">
        <v>1500</v>
      </c>
      <c r="KI106">
        <v>18.0342</v>
      </c>
      <c r="KJ106">
        <v>94.9091</v>
      </c>
      <c r="KK106">
        <v>98.9463</v>
      </c>
    </row>
    <row r="107" spans="1:297">
      <c r="A107">
        <v>91</v>
      </c>
      <c r="B107">
        <v>1765313182</v>
      </c>
      <c r="C107">
        <v>15233</v>
      </c>
      <c r="D107" t="s">
        <v>718</v>
      </c>
      <c r="E107" t="s">
        <v>719</v>
      </c>
      <c r="F107">
        <v>5</v>
      </c>
      <c r="G107" t="s">
        <v>683</v>
      </c>
      <c r="H107" t="s">
        <v>436</v>
      </c>
      <c r="I107">
        <v>1765313174</v>
      </c>
      <c r="J107">
        <f>(K107)/1000</f>
        <v>0</v>
      </c>
      <c r="K107">
        <f>IF(DP107, AN107, AH107)</f>
        <v>0</v>
      </c>
      <c r="L107">
        <f>IF(DP107, AI107, AG107)</f>
        <v>0</v>
      </c>
      <c r="M107">
        <f>DR107 - IF(AU107&gt;1, L107*DL107*100.0/(AW107), 0)</f>
        <v>0</v>
      </c>
      <c r="N107">
        <f>((T107-J107/2)*M107-L107)/(T107+J107/2)</f>
        <v>0</v>
      </c>
      <c r="O107">
        <f>N107*(DY107+DZ107)/1000.0</f>
        <v>0</v>
      </c>
      <c r="P107">
        <f>(DR107 - IF(AU107&gt;1, L107*DL107*100.0/(AW107), 0))*(DY107+DZ107)/1000.0</f>
        <v>0</v>
      </c>
      <c r="Q107">
        <f>2.0/((1/S107-1/R107)+SIGN(S107)*SQRT((1/S107-1/R107)*(1/S107-1/R107) + 4*DM107/((DM107+1)*(DM107+1))*(2*1/S107*1/R107-1/R107*1/R107)))</f>
        <v>0</v>
      </c>
      <c r="R107">
        <f>IF(LEFT(DN107,1)&lt;&gt;"0",IF(LEFT(DN107,1)="1",3.0,DO107),$D$5+$E$5*(EF107*DY107/($K$5*1000))+$F$5*(EF107*DY107/($K$5*1000))*MAX(MIN(DL107,$J$5),$I$5)*MAX(MIN(DL107,$J$5),$I$5)+$G$5*MAX(MIN(DL107,$J$5),$I$5)*(EF107*DY107/($K$5*1000))+$H$5*(EF107*DY107/($K$5*1000))*(EF107*DY107/($K$5*1000)))</f>
        <v>0</v>
      </c>
      <c r="S107">
        <f>J107*(1000-(1000*0.61365*exp(17.502*W107/(240.97+W107))/(DY107+DZ107)+DT107)/2)/(1000*0.61365*exp(17.502*W107/(240.97+W107))/(DY107+DZ107)-DT107)</f>
        <v>0</v>
      </c>
      <c r="T107">
        <f>1/((DM107+1)/(Q107/1.6)+1/(R107/1.37)) + DM107/((DM107+1)/(Q107/1.6) + DM107/(R107/1.37))</f>
        <v>0</v>
      </c>
      <c r="U107">
        <f>(DH107*DK107)</f>
        <v>0</v>
      </c>
      <c r="V107">
        <f>(EA107+(U107+2*0.95*5.67E-8*(((EA107+$B$7)+273)^4-(EA107+273)^4)-44100*J107)/(1.84*29.3*R107+8*0.95*5.67E-8*(EA107+273)^3))</f>
        <v>0</v>
      </c>
      <c r="W107">
        <f>($C$7*EB107+$D$7*EC107+$E$7*V107)</f>
        <v>0</v>
      </c>
      <c r="X107">
        <f>0.61365*exp(17.502*W107/(240.97+W107))</f>
        <v>0</v>
      </c>
      <c r="Y107">
        <f>(Z107/AA107*100)</f>
        <v>0</v>
      </c>
      <c r="Z107">
        <f>DT107*(DY107+DZ107)/1000</f>
        <v>0</v>
      </c>
      <c r="AA107">
        <f>0.61365*exp(17.502*EA107/(240.97+EA107))</f>
        <v>0</v>
      </c>
      <c r="AB107">
        <f>(X107-DT107*(DY107+DZ107)/1000)</f>
        <v>0</v>
      </c>
      <c r="AC107">
        <f>(-J107*44100)</f>
        <v>0</v>
      </c>
      <c r="AD107">
        <f>2*29.3*R107*0.92*(EA107-W107)</f>
        <v>0</v>
      </c>
      <c r="AE107">
        <f>2*0.95*5.67E-8*(((EA107+$B$7)+273)^4-(W107+273)^4)</f>
        <v>0</v>
      </c>
      <c r="AF107">
        <f>U107+AE107+AC107+AD107</f>
        <v>0</v>
      </c>
      <c r="AG107">
        <f>DX107*AU107*(DS107-DR107*(1000-AU107*DU107)/(1000-AU107*DT107))/(100*DL107)</f>
        <v>0</v>
      </c>
      <c r="AH107">
        <f>1000*DX107*AU107*(DT107-DU107)/(100*DL107*(1000-AU107*DT107))</f>
        <v>0</v>
      </c>
      <c r="AI107">
        <f>(AJ107 - AK107 - DY107*1E3/(8.314*(EA107+273.15)) * AM107/DX107 * AL107) * DX107/(100*DL107) * (1000 - DU107)/1000</f>
        <v>0</v>
      </c>
      <c r="AJ107">
        <v>407.304138135313</v>
      </c>
      <c r="AK107">
        <v>408.155606060606</v>
      </c>
      <c r="AL107">
        <v>0.0209622676782821</v>
      </c>
      <c r="AM107">
        <v>63.8678268947985</v>
      </c>
      <c r="AN107">
        <f>(AP107 - AO107 + DY107*1E3/(8.314*(EA107+273.15)) * AR107/DX107 * AQ107) * DX107/(100*DL107) * 1000/(1000 - AP107)</f>
        <v>0</v>
      </c>
      <c r="AO107">
        <v>18.0082475423159</v>
      </c>
      <c r="AP107">
        <v>18.0919466666667</v>
      </c>
      <c r="AQ107">
        <v>-4.50510772471286e-06</v>
      </c>
      <c r="AR107">
        <v>104.835100270281</v>
      </c>
      <c r="AS107">
        <v>0</v>
      </c>
      <c r="AT107">
        <v>0</v>
      </c>
      <c r="AU107">
        <f>IF(AS107*$H$13&gt;=AW107,1.0,(AW107/(AW107-AS107*$H$13)))</f>
        <v>0</v>
      </c>
      <c r="AV107">
        <f>(AU107-1)*100</f>
        <v>0</v>
      </c>
      <c r="AW107">
        <f>MAX(0,($B$13+$C$13*EF107)/(1+$D$13*EF107)*DY107/(EA107+273)*$E$13)</f>
        <v>0</v>
      </c>
      <c r="AX107" t="s">
        <v>437</v>
      </c>
      <c r="AY107" t="s">
        <v>437</v>
      </c>
      <c r="AZ107">
        <v>0</v>
      </c>
      <c r="BA107">
        <v>0</v>
      </c>
      <c r="BB107">
        <f>1-AZ107/BA107</f>
        <v>0</v>
      </c>
      <c r="BC107">
        <v>0</v>
      </c>
      <c r="BD107" t="s">
        <v>437</v>
      </c>
      <c r="BE107" t="s">
        <v>437</v>
      </c>
      <c r="BF107">
        <v>0</v>
      </c>
      <c r="BG107">
        <v>0</v>
      </c>
      <c r="BH107">
        <f>1-BF107/BG107</f>
        <v>0</v>
      </c>
      <c r="BI107">
        <v>0.5</v>
      </c>
      <c r="BJ107">
        <f>DI107</f>
        <v>0</v>
      </c>
      <c r="BK107">
        <f>L107</f>
        <v>0</v>
      </c>
      <c r="BL107">
        <f>BH107*BI107*BJ107</f>
        <v>0</v>
      </c>
      <c r="BM107">
        <f>(BK107-BC107)/BJ107</f>
        <v>0</v>
      </c>
      <c r="BN107">
        <f>(BA107-BG107)/BG107</f>
        <v>0</v>
      </c>
      <c r="BO107">
        <f>AZ107/(BB107+AZ107/BG107)</f>
        <v>0</v>
      </c>
      <c r="BP107" t="s">
        <v>437</v>
      </c>
      <c r="BQ107">
        <v>0</v>
      </c>
      <c r="BR107">
        <f>IF(BQ107&lt;&gt;0, BQ107, BO107)</f>
        <v>0</v>
      </c>
      <c r="BS107">
        <f>1-BR107/BG107</f>
        <v>0</v>
      </c>
      <c r="BT107">
        <f>(BG107-BF107)/(BG107-BR107)</f>
        <v>0</v>
      </c>
      <c r="BU107">
        <f>(BA107-BG107)/(BA107-BR107)</f>
        <v>0</v>
      </c>
      <c r="BV107">
        <f>(BG107-BF107)/(BG107-AZ107)</f>
        <v>0</v>
      </c>
      <c r="BW107">
        <f>(BA107-BG107)/(BA107-AZ107)</f>
        <v>0</v>
      </c>
      <c r="BX107">
        <f>(BT107*BR107/BF107)</f>
        <v>0</v>
      </c>
      <c r="BY107">
        <f>(1-BX107)</f>
        <v>0</v>
      </c>
      <c r="DH107">
        <f>$B$11*EG107+$C$11*EH107+$F$11*ES107*(1-EV107)</f>
        <v>0</v>
      </c>
      <c r="DI107">
        <f>DH107*DJ107</f>
        <v>0</v>
      </c>
      <c r="DJ107">
        <f>($B$11*$D$9+$C$11*$D$9+$F$11*((FF107+EX107)/MAX(FF107+EX107+FG107, 0.1)*$I$9+FG107/MAX(FF107+EX107+FG107, 0.1)*$J$9))/($B$11+$C$11+$F$11)</f>
        <v>0</v>
      </c>
      <c r="DK107">
        <f>($B$11*$K$9+$C$11*$K$9+$F$11*((FF107+EX107)/MAX(FF107+EX107+FG107, 0.1)*$P$9+FG107/MAX(FF107+EX107+FG107, 0.1)*$Q$9))/($B$11+$C$11+$F$11)</f>
        <v>0</v>
      </c>
      <c r="DL107">
        <v>6</v>
      </c>
      <c r="DM107">
        <v>0.5</v>
      </c>
      <c r="DN107" t="s">
        <v>438</v>
      </c>
      <c r="DO107">
        <v>2</v>
      </c>
      <c r="DP107" t="b">
        <v>1</v>
      </c>
      <c r="DQ107">
        <v>1765313174</v>
      </c>
      <c r="DR107">
        <v>400.3952</v>
      </c>
      <c r="DS107">
        <v>399.985</v>
      </c>
      <c r="DT107">
        <v>18.08812</v>
      </c>
      <c r="DU107">
        <v>18.0107266666667</v>
      </c>
      <c r="DV107">
        <v>392.7582</v>
      </c>
      <c r="DW107">
        <v>17.92712</v>
      </c>
      <c r="DX107">
        <v>500.009733333333</v>
      </c>
      <c r="DY107">
        <v>89.6368333333333</v>
      </c>
      <c r="DZ107">
        <v>0.10000802</v>
      </c>
      <c r="EA107">
        <v>25.3451266666667</v>
      </c>
      <c r="EB107">
        <v>24.9919333333333</v>
      </c>
      <c r="EC107">
        <v>999.9</v>
      </c>
      <c r="ED107">
        <v>0</v>
      </c>
      <c r="EE107">
        <v>0</v>
      </c>
      <c r="EF107">
        <v>10000.164</v>
      </c>
      <c r="EG107">
        <v>0</v>
      </c>
      <c r="EH107">
        <v>12.5751</v>
      </c>
      <c r="EI107">
        <v>0.772678533333333</v>
      </c>
      <c r="EJ107">
        <v>408.142466666667</v>
      </c>
      <c r="EK107">
        <v>407.3212</v>
      </c>
      <c r="EL107">
        <v>0.0829146</v>
      </c>
      <c r="EM107">
        <v>399.985</v>
      </c>
      <c r="EN107">
        <v>18.0107266666667</v>
      </c>
      <c r="EO107">
        <v>1.62185866666667</v>
      </c>
      <c r="EP107">
        <v>1.61442466666667</v>
      </c>
      <c r="EQ107">
        <v>14.16806</v>
      </c>
      <c r="ER107">
        <v>14.09718</v>
      </c>
      <c r="ES107">
        <v>800.049266666667</v>
      </c>
      <c r="ET107">
        <v>0.950005133333333</v>
      </c>
      <c r="EU107">
        <v>0.0499947333333333</v>
      </c>
      <c r="EV107">
        <v>0</v>
      </c>
      <c r="EW107">
        <v>811.2178</v>
      </c>
      <c r="EX107">
        <v>5.00016</v>
      </c>
      <c r="EY107">
        <v>6284.33266666667</v>
      </c>
      <c r="EZ107">
        <v>7195.13466666667</v>
      </c>
      <c r="FA107">
        <v>39.6415333333333</v>
      </c>
      <c r="FB107">
        <v>42.3456</v>
      </c>
      <c r="FC107">
        <v>41.125</v>
      </c>
      <c r="FD107">
        <v>42.3791333333333</v>
      </c>
      <c r="FE107">
        <v>42.3204</v>
      </c>
      <c r="FF107">
        <v>755.300666666667</v>
      </c>
      <c r="FG107">
        <v>39.75</v>
      </c>
      <c r="FH107">
        <v>0</v>
      </c>
      <c r="FI107">
        <v>1765313182.9</v>
      </c>
      <c r="FJ107">
        <v>0</v>
      </c>
      <c r="FK107">
        <v>811.210769230769</v>
      </c>
      <c r="FL107">
        <v>-0.353982902085305</v>
      </c>
      <c r="FM107">
        <v>-4.93743576943013</v>
      </c>
      <c r="FN107">
        <v>6283.83076923077</v>
      </c>
      <c r="FO107">
        <v>15</v>
      </c>
      <c r="FP107">
        <v>1765313205</v>
      </c>
      <c r="FQ107" t="s">
        <v>720</v>
      </c>
      <c r="FR107">
        <v>1765313205</v>
      </c>
      <c r="FS107">
        <v>1765313200</v>
      </c>
      <c r="FT107">
        <v>91</v>
      </c>
      <c r="FU107">
        <v>-0.36</v>
      </c>
      <c r="FV107">
        <v>-0.004</v>
      </c>
      <c r="FW107">
        <v>7.637</v>
      </c>
      <c r="FX107">
        <v>0.161</v>
      </c>
      <c r="FY107">
        <v>400</v>
      </c>
      <c r="FZ107">
        <v>18</v>
      </c>
      <c r="GA107">
        <v>1.03</v>
      </c>
      <c r="GB107">
        <v>0.14</v>
      </c>
      <c r="GC107">
        <v>0.795934761904762</v>
      </c>
      <c r="GD107">
        <v>-0.392676311688311</v>
      </c>
      <c r="GE107">
        <v>0.0802897339312619</v>
      </c>
      <c r="GF107">
        <v>1</v>
      </c>
      <c r="GG107">
        <v>811.280823529412</v>
      </c>
      <c r="GH107">
        <v>-0.819709698981357</v>
      </c>
      <c r="GI107">
        <v>0.186938566597852</v>
      </c>
      <c r="GJ107">
        <v>-1</v>
      </c>
      <c r="GK107">
        <v>0.0826503190476191</v>
      </c>
      <c r="GL107">
        <v>0.00584093766233788</v>
      </c>
      <c r="GM107">
        <v>0.000798293561362849</v>
      </c>
      <c r="GN107">
        <v>1</v>
      </c>
      <c r="GO107">
        <v>2</v>
      </c>
      <c r="GP107">
        <v>2</v>
      </c>
      <c r="GQ107" t="s">
        <v>440</v>
      </c>
      <c r="GR107">
        <v>3.12505</v>
      </c>
      <c r="GS107">
        <v>2.72567</v>
      </c>
      <c r="GT107">
        <v>0.0849679</v>
      </c>
      <c r="GU107">
        <v>0.0861211</v>
      </c>
      <c r="GV107">
        <v>0.0827761</v>
      </c>
      <c r="GW107">
        <v>0.0827164</v>
      </c>
      <c r="GX107">
        <v>24058.6</v>
      </c>
      <c r="GY107">
        <v>22372.3</v>
      </c>
      <c r="GZ107">
        <v>23505</v>
      </c>
      <c r="HA107">
        <v>23828.2</v>
      </c>
      <c r="HB107">
        <v>36712.1</v>
      </c>
      <c r="HC107">
        <v>36143.3</v>
      </c>
      <c r="HD107">
        <v>42336.2</v>
      </c>
      <c r="HE107">
        <v>42447.2</v>
      </c>
      <c r="HF107">
        <v>1.9337</v>
      </c>
      <c r="HG107">
        <v>1.85043</v>
      </c>
      <c r="HH107">
        <v>0.104282</v>
      </c>
      <c r="HI107">
        <v>0</v>
      </c>
      <c r="HJ107">
        <v>23.2867</v>
      </c>
      <c r="HK107">
        <v>999.9</v>
      </c>
      <c r="HL107">
        <v>47.931</v>
      </c>
      <c r="HM107">
        <v>28.661</v>
      </c>
      <c r="HN107">
        <v>21.0898</v>
      </c>
      <c r="HO107">
        <v>55.1513</v>
      </c>
      <c r="HP107">
        <v>45.8454</v>
      </c>
      <c r="HQ107">
        <v>1</v>
      </c>
      <c r="HR107">
        <v>-0.110455</v>
      </c>
      <c r="HS107">
        <v>0.661201</v>
      </c>
      <c r="HT107">
        <v>20.2311</v>
      </c>
      <c r="HU107">
        <v>5.23451</v>
      </c>
      <c r="HV107">
        <v>11.992</v>
      </c>
      <c r="HW107">
        <v>4.9565</v>
      </c>
      <c r="HX107">
        <v>3.304</v>
      </c>
      <c r="HY107">
        <v>999.9</v>
      </c>
      <c r="HZ107">
        <v>9999</v>
      </c>
      <c r="IA107">
        <v>9999</v>
      </c>
      <c r="IB107">
        <v>9999</v>
      </c>
      <c r="IC107">
        <v>1.86861</v>
      </c>
      <c r="ID107">
        <v>1.86433</v>
      </c>
      <c r="IE107">
        <v>1.87195</v>
      </c>
      <c r="IF107">
        <v>1.86283</v>
      </c>
      <c r="IG107">
        <v>1.86228</v>
      </c>
      <c r="IH107">
        <v>1.86867</v>
      </c>
      <c r="II107">
        <v>1.85885</v>
      </c>
      <c r="IJ107">
        <v>1.86523</v>
      </c>
      <c r="IK107">
        <v>5</v>
      </c>
      <c r="IL107">
        <v>0</v>
      </c>
      <c r="IM107">
        <v>0</v>
      </c>
      <c r="IN107">
        <v>0</v>
      </c>
      <c r="IO107" t="s">
        <v>441</v>
      </c>
      <c r="IP107" t="s">
        <v>442</v>
      </c>
      <c r="IQ107" t="s">
        <v>443</v>
      </c>
      <c r="IR107" t="s">
        <v>443</v>
      </c>
      <c r="IS107" t="s">
        <v>443</v>
      </c>
      <c r="IT107" t="s">
        <v>443</v>
      </c>
      <c r="IU107">
        <v>0</v>
      </c>
      <c r="IV107">
        <v>100</v>
      </c>
      <c r="IW107">
        <v>100</v>
      </c>
      <c r="IX107">
        <v>7.637</v>
      </c>
      <c r="IY107">
        <v>0.161</v>
      </c>
      <c r="IZ107">
        <v>5.98699223388813</v>
      </c>
      <c r="JA107">
        <v>0.0062698613543794</v>
      </c>
      <c r="JB107">
        <v>-3.23243345529816e-06</v>
      </c>
      <c r="JC107">
        <v>8.00506428382295e-10</v>
      </c>
      <c r="JD107">
        <v>0.00392689666242724</v>
      </c>
      <c r="JE107">
        <v>-0.0018464610107002</v>
      </c>
      <c r="JF107">
        <v>0.000796540623429801</v>
      </c>
      <c r="JG107">
        <v>-1.04619914107352e-05</v>
      </c>
      <c r="JH107">
        <v>-0</v>
      </c>
      <c r="JI107">
        <v>2101</v>
      </c>
      <c r="JJ107">
        <v>1</v>
      </c>
      <c r="JK107">
        <v>23</v>
      </c>
      <c r="JL107">
        <v>1.5</v>
      </c>
      <c r="JM107">
        <v>1.7</v>
      </c>
      <c r="JN107">
        <v>1.00708</v>
      </c>
      <c r="JO107">
        <v>2.36084</v>
      </c>
      <c r="JP107">
        <v>1.49902</v>
      </c>
      <c r="JQ107">
        <v>2.33887</v>
      </c>
      <c r="JR107">
        <v>1.54419</v>
      </c>
      <c r="JS107">
        <v>2.33887</v>
      </c>
      <c r="JT107">
        <v>34.8066</v>
      </c>
      <c r="JU107">
        <v>24.3502</v>
      </c>
      <c r="JV107">
        <v>18</v>
      </c>
      <c r="JW107">
        <v>549.229</v>
      </c>
      <c r="JX107">
        <v>438.927</v>
      </c>
      <c r="JY107">
        <v>22.5902</v>
      </c>
      <c r="JZ107">
        <v>26.1189</v>
      </c>
      <c r="KA107">
        <v>29.9998</v>
      </c>
      <c r="KB107">
        <v>26.1618</v>
      </c>
      <c r="KC107">
        <v>26.1922</v>
      </c>
      <c r="KD107">
        <v>20.2086</v>
      </c>
      <c r="KE107">
        <v>25.8632</v>
      </c>
      <c r="KF107">
        <v>100</v>
      </c>
      <c r="KG107">
        <v>22.5861</v>
      </c>
      <c r="KH107">
        <v>400</v>
      </c>
      <c r="KI107">
        <v>18.0443</v>
      </c>
      <c r="KJ107">
        <v>94.918</v>
      </c>
      <c r="KK107">
        <v>98.9639</v>
      </c>
    </row>
    <row r="108" spans="1:297">
      <c r="A108">
        <v>92</v>
      </c>
      <c r="B108">
        <v>1765313989</v>
      </c>
      <c r="C108">
        <v>16040</v>
      </c>
      <c r="D108" t="s">
        <v>721</v>
      </c>
      <c r="E108" t="s">
        <v>722</v>
      </c>
      <c r="F108">
        <v>5</v>
      </c>
      <c r="G108" t="s">
        <v>723</v>
      </c>
      <c r="H108" t="s">
        <v>436</v>
      </c>
      <c r="I108">
        <v>1765313981</v>
      </c>
      <c r="J108">
        <f>(K108)/1000</f>
        <v>0</v>
      </c>
      <c r="K108">
        <f>IF(DP108, AN108, AH108)</f>
        <v>0</v>
      </c>
      <c r="L108">
        <f>IF(DP108, AI108, AG108)</f>
        <v>0</v>
      </c>
      <c r="M108">
        <f>DR108 - IF(AU108&gt;1, L108*DL108*100.0/(AW108), 0)</f>
        <v>0</v>
      </c>
      <c r="N108">
        <f>((T108-J108/2)*M108-L108)/(T108+J108/2)</f>
        <v>0</v>
      </c>
      <c r="O108">
        <f>N108*(DY108+DZ108)/1000.0</f>
        <v>0</v>
      </c>
      <c r="P108">
        <f>(DR108 - IF(AU108&gt;1, L108*DL108*100.0/(AW108), 0))*(DY108+DZ108)/1000.0</f>
        <v>0</v>
      </c>
      <c r="Q108">
        <f>2.0/((1/S108-1/R108)+SIGN(S108)*SQRT((1/S108-1/R108)*(1/S108-1/R108) + 4*DM108/((DM108+1)*(DM108+1))*(2*1/S108*1/R108-1/R108*1/R108)))</f>
        <v>0</v>
      </c>
      <c r="R108">
        <f>IF(LEFT(DN108,1)&lt;&gt;"0",IF(LEFT(DN108,1)="1",3.0,DO108),$D$5+$E$5*(EF108*DY108/($K$5*1000))+$F$5*(EF108*DY108/($K$5*1000))*MAX(MIN(DL108,$J$5),$I$5)*MAX(MIN(DL108,$J$5),$I$5)+$G$5*MAX(MIN(DL108,$J$5),$I$5)*(EF108*DY108/($K$5*1000))+$H$5*(EF108*DY108/($K$5*1000))*(EF108*DY108/($K$5*1000)))</f>
        <v>0</v>
      </c>
      <c r="S108">
        <f>J108*(1000-(1000*0.61365*exp(17.502*W108/(240.97+W108))/(DY108+DZ108)+DT108)/2)/(1000*0.61365*exp(17.502*W108/(240.97+W108))/(DY108+DZ108)-DT108)</f>
        <v>0</v>
      </c>
      <c r="T108">
        <f>1/((DM108+1)/(Q108/1.6)+1/(R108/1.37)) + DM108/((DM108+1)/(Q108/1.6) + DM108/(R108/1.37))</f>
        <v>0</v>
      </c>
      <c r="U108">
        <f>(DH108*DK108)</f>
        <v>0</v>
      </c>
      <c r="V108">
        <f>(EA108+(U108+2*0.95*5.67E-8*(((EA108+$B$7)+273)^4-(EA108+273)^4)-44100*J108)/(1.84*29.3*R108+8*0.95*5.67E-8*(EA108+273)^3))</f>
        <v>0</v>
      </c>
      <c r="W108">
        <f>($C$7*EB108+$D$7*EC108+$E$7*V108)</f>
        <v>0</v>
      </c>
      <c r="X108">
        <f>0.61365*exp(17.502*W108/(240.97+W108))</f>
        <v>0</v>
      </c>
      <c r="Y108">
        <f>(Z108/AA108*100)</f>
        <v>0</v>
      </c>
      <c r="Z108">
        <f>DT108*(DY108+DZ108)/1000</f>
        <v>0</v>
      </c>
      <c r="AA108">
        <f>0.61365*exp(17.502*EA108/(240.97+EA108))</f>
        <v>0</v>
      </c>
      <c r="AB108">
        <f>(X108-DT108*(DY108+DZ108)/1000)</f>
        <v>0</v>
      </c>
      <c r="AC108">
        <f>(-J108*44100)</f>
        <v>0</v>
      </c>
      <c r="AD108">
        <f>2*29.3*R108*0.92*(EA108-W108)</f>
        <v>0</v>
      </c>
      <c r="AE108">
        <f>2*0.95*5.67E-8*(((EA108+$B$7)+273)^4-(W108+273)^4)</f>
        <v>0</v>
      </c>
      <c r="AF108">
        <f>U108+AE108+AC108+AD108</f>
        <v>0</v>
      </c>
      <c r="AG108">
        <f>DX108*AU108*(DS108-DR108*(1000-AU108*DU108)/(1000-AU108*DT108))/(100*DL108)</f>
        <v>0</v>
      </c>
      <c r="AH108">
        <f>1000*DX108*AU108*(DT108-DU108)/(100*DL108*(1000-AU108*DT108))</f>
        <v>0</v>
      </c>
      <c r="AI108">
        <f>(AJ108 - AK108 - DY108*1E3/(8.314*(EA108+273.15)) * AM108/DX108 * AL108) * DX108/(100*DL108) * (1000 - DU108)/1000</f>
        <v>0</v>
      </c>
      <c r="AJ108">
        <v>407.40547489857</v>
      </c>
      <c r="AK108">
        <v>407.544587878788</v>
      </c>
      <c r="AL108">
        <v>0.0245772698079326</v>
      </c>
      <c r="AM108">
        <v>62.9102288746058</v>
      </c>
      <c r="AN108">
        <f>(AP108 - AO108 + DY108*1E3/(8.314*(EA108+273.15)) * AR108/DX108 * AQ108) * DX108/(100*DL108) * 1000/(1000 - AP108)</f>
        <v>0</v>
      </c>
      <c r="AO108">
        <v>18.1382531976025</v>
      </c>
      <c r="AP108">
        <v>18.2745975757576</v>
      </c>
      <c r="AQ108">
        <v>5.72481347782408e-06</v>
      </c>
      <c r="AR108">
        <v>111.054562643916</v>
      </c>
      <c r="AS108">
        <v>0</v>
      </c>
      <c r="AT108">
        <v>0</v>
      </c>
      <c r="AU108">
        <f>IF(AS108*$H$13&gt;=AW108,1.0,(AW108/(AW108-AS108*$H$13)))</f>
        <v>0</v>
      </c>
      <c r="AV108">
        <f>(AU108-1)*100</f>
        <v>0</v>
      </c>
      <c r="AW108">
        <f>MAX(0,($B$13+$C$13*EF108)/(1+$D$13*EF108)*DY108/(EA108+273)*$E$13)</f>
        <v>0</v>
      </c>
      <c r="AX108" t="s">
        <v>437</v>
      </c>
      <c r="AY108" t="s">
        <v>437</v>
      </c>
      <c r="AZ108">
        <v>0</v>
      </c>
      <c r="BA108">
        <v>0</v>
      </c>
      <c r="BB108">
        <f>1-AZ108/BA108</f>
        <v>0</v>
      </c>
      <c r="BC108">
        <v>0</v>
      </c>
      <c r="BD108" t="s">
        <v>437</v>
      </c>
      <c r="BE108" t="s">
        <v>437</v>
      </c>
      <c r="BF108">
        <v>0</v>
      </c>
      <c r="BG108">
        <v>0</v>
      </c>
      <c r="BH108">
        <f>1-BF108/BG108</f>
        <v>0</v>
      </c>
      <c r="BI108">
        <v>0.5</v>
      </c>
      <c r="BJ108">
        <f>DI108</f>
        <v>0</v>
      </c>
      <c r="BK108">
        <f>L108</f>
        <v>0</v>
      </c>
      <c r="BL108">
        <f>BH108*BI108*BJ108</f>
        <v>0</v>
      </c>
      <c r="BM108">
        <f>(BK108-BC108)/BJ108</f>
        <v>0</v>
      </c>
      <c r="BN108">
        <f>(BA108-BG108)/BG108</f>
        <v>0</v>
      </c>
      <c r="BO108">
        <f>AZ108/(BB108+AZ108/BG108)</f>
        <v>0</v>
      </c>
      <c r="BP108" t="s">
        <v>437</v>
      </c>
      <c r="BQ108">
        <v>0</v>
      </c>
      <c r="BR108">
        <f>IF(BQ108&lt;&gt;0, BQ108, BO108)</f>
        <v>0</v>
      </c>
      <c r="BS108">
        <f>1-BR108/BG108</f>
        <v>0</v>
      </c>
      <c r="BT108">
        <f>(BG108-BF108)/(BG108-BR108)</f>
        <v>0</v>
      </c>
      <c r="BU108">
        <f>(BA108-BG108)/(BA108-BR108)</f>
        <v>0</v>
      </c>
      <c r="BV108">
        <f>(BG108-BF108)/(BG108-AZ108)</f>
        <v>0</v>
      </c>
      <c r="BW108">
        <f>(BA108-BG108)/(BA108-AZ108)</f>
        <v>0</v>
      </c>
      <c r="BX108">
        <f>(BT108*BR108/BF108)</f>
        <v>0</v>
      </c>
      <c r="BY108">
        <f>(1-BX108)</f>
        <v>0</v>
      </c>
      <c r="DH108">
        <f>$B$11*EG108+$C$11*EH108+$F$11*ES108*(1-EV108)</f>
        <v>0</v>
      </c>
      <c r="DI108">
        <f>DH108*DJ108</f>
        <v>0</v>
      </c>
      <c r="DJ108">
        <f>($B$11*$D$9+$C$11*$D$9+$F$11*((FF108+EX108)/MAX(FF108+EX108+FG108, 0.1)*$I$9+FG108/MAX(FF108+EX108+FG108, 0.1)*$J$9))/($B$11+$C$11+$F$11)</f>
        <v>0</v>
      </c>
      <c r="DK108">
        <f>($B$11*$K$9+$C$11*$K$9+$F$11*((FF108+EX108)/MAX(FF108+EX108+FG108, 0.1)*$P$9+FG108/MAX(FF108+EX108+FG108, 0.1)*$Q$9))/($B$11+$C$11+$F$11)</f>
        <v>0</v>
      </c>
      <c r="DL108">
        <v>5.66</v>
      </c>
      <c r="DM108">
        <v>0.5</v>
      </c>
      <c r="DN108" t="s">
        <v>438</v>
      </c>
      <c r="DO108">
        <v>2</v>
      </c>
      <c r="DP108" t="b">
        <v>1</v>
      </c>
      <c r="DQ108">
        <v>1765313981</v>
      </c>
      <c r="DR108">
        <v>400.062</v>
      </c>
      <c r="DS108">
        <v>399.997266666667</v>
      </c>
      <c r="DT108">
        <v>18.27486</v>
      </c>
      <c r="DU108">
        <v>18.1399533333333</v>
      </c>
      <c r="DV108">
        <v>392.382</v>
      </c>
      <c r="DW108">
        <v>18.10986</v>
      </c>
      <c r="DX108">
        <v>499.962866666667</v>
      </c>
      <c r="DY108">
        <v>89.6339333333333</v>
      </c>
      <c r="DZ108">
        <v>0.0999012</v>
      </c>
      <c r="EA108">
        <v>25.5984866666667</v>
      </c>
      <c r="EB108">
        <v>25</v>
      </c>
      <c r="EC108">
        <v>999.9</v>
      </c>
      <c r="ED108">
        <v>0</v>
      </c>
      <c r="EE108">
        <v>0</v>
      </c>
      <c r="EF108">
        <v>10013.8333333333</v>
      </c>
      <c r="EG108">
        <v>0</v>
      </c>
      <c r="EH108">
        <v>11.4659133333333</v>
      </c>
      <c r="EI108">
        <v>0.0223775186666667</v>
      </c>
      <c r="EJ108">
        <v>407.466266666667</v>
      </c>
      <c r="EK108">
        <v>407.3874</v>
      </c>
      <c r="EL108">
        <v>0.1354444</v>
      </c>
      <c r="EM108">
        <v>399.997266666667</v>
      </c>
      <c r="EN108">
        <v>18.1399533333333</v>
      </c>
      <c r="EO108">
        <v>1.63809666666667</v>
      </c>
      <c r="EP108">
        <v>1.62595466666667</v>
      </c>
      <c r="EQ108">
        <v>14.3219333333333</v>
      </c>
      <c r="ER108">
        <v>14.2070133333333</v>
      </c>
      <c r="ES108">
        <v>799.9924</v>
      </c>
      <c r="ET108">
        <v>0.950007466666667</v>
      </c>
      <c r="EU108">
        <v>0.0499923333333333</v>
      </c>
      <c r="EV108">
        <v>0</v>
      </c>
      <c r="EW108">
        <v>327.5978</v>
      </c>
      <c r="EX108">
        <v>5.00016</v>
      </c>
      <c r="EY108">
        <v>2719.32533333333</v>
      </c>
      <c r="EZ108">
        <v>7194.62466666667</v>
      </c>
      <c r="FA108">
        <v>39.687</v>
      </c>
      <c r="FB108">
        <v>42.5</v>
      </c>
      <c r="FC108">
        <v>41.187</v>
      </c>
      <c r="FD108">
        <v>42.4832</v>
      </c>
      <c r="FE108">
        <v>42.3915333333333</v>
      </c>
      <c r="FF108">
        <v>755.248</v>
      </c>
      <c r="FG108">
        <v>39.74</v>
      </c>
      <c r="FH108">
        <v>0</v>
      </c>
      <c r="FI108">
        <v>1765313989.3</v>
      </c>
      <c r="FJ108">
        <v>0</v>
      </c>
      <c r="FK108">
        <v>327.586153846154</v>
      </c>
      <c r="FL108">
        <v>-1.21497435742412</v>
      </c>
      <c r="FM108">
        <v>-10.3292307907413</v>
      </c>
      <c r="FN108">
        <v>2719.19423076923</v>
      </c>
      <c r="FO108">
        <v>15</v>
      </c>
      <c r="FP108">
        <v>1765314025</v>
      </c>
      <c r="FQ108" t="s">
        <v>724</v>
      </c>
      <c r="FR108">
        <v>1765314025</v>
      </c>
      <c r="FS108">
        <v>1765314007</v>
      </c>
      <c r="FT108">
        <v>92</v>
      </c>
      <c r="FU108">
        <v>0.042</v>
      </c>
      <c r="FV108">
        <v>0.001</v>
      </c>
      <c r="FW108">
        <v>7.68</v>
      </c>
      <c r="FX108">
        <v>0.165</v>
      </c>
      <c r="FY108">
        <v>400</v>
      </c>
      <c r="FZ108">
        <v>18</v>
      </c>
      <c r="GA108">
        <v>0.34</v>
      </c>
      <c r="GB108">
        <v>0.2</v>
      </c>
      <c r="GC108">
        <v>0.009367368</v>
      </c>
      <c r="GD108">
        <v>0.205908272481203</v>
      </c>
      <c r="GE108">
        <v>0.043510554979305</v>
      </c>
      <c r="GF108">
        <v>1</v>
      </c>
      <c r="GG108">
        <v>327.6075</v>
      </c>
      <c r="GH108">
        <v>-0.978869364052821</v>
      </c>
      <c r="GI108">
        <v>0.197491064578209</v>
      </c>
      <c r="GJ108">
        <v>-1</v>
      </c>
      <c r="GK108">
        <v>0.13517525</v>
      </c>
      <c r="GL108">
        <v>0.00193033082706766</v>
      </c>
      <c r="GM108">
        <v>0.000872153075726958</v>
      </c>
      <c r="GN108">
        <v>1</v>
      </c>
      <c r="GO108">
        <v>2</v>
      </c>
      <c r="GP108">
        <v>2</v>
      </c>
      <c r="GQ108" t="s">
        <v>440</v>
      </c>
      <c r="GR108">
        <v>3.12513</v>
      </c>
      <c r="GS108">
        <v>2.7256</v>
      </c>
      <c r="GT108">
        <v>0.0849819</v>
      </c>
      <c r="GU108">
        <v>0.086195</v>
      </c>
      <c r="GV108">
        <v>0.0834645</v>
      </c>
      <c r="GW108">
        <v>0.0832096</v>
      </c>
      <c r="GX108">
        <v>24063.3</v>
      </c>
      <c r="GY108">
        <v>22384.5</v>
      </c>
      <c r="GZ108">
        <v>23509</v>
      </c>
      <c r="HA108">
        <v>23842</v>
      </c>
      <c r="HB108">
        <v>36688.5</v>
      </c>
      <c r="HC108">
        <v>36142.8</v>
      </c>
      <c r="HD108">
        <v>42340.9</v>
      </c>
      <c r="HE108">
        <v>42469.2</v>
      </c>
      <c r="HF108">
        <v>1.93657</v>
      </c>
      <c r="HG108">
        <v>1.85583</v>
      </c>
      <c r="HH108">
        <v>0.0876039</v>
      </c>
      <c r="HI108">
        <v>0</v>
      </c>
      <c r="HJ108">
        <v>23.5615</v>
      </c>
      <c r="HK108">
        <v>999.9</v>
      </c>
      <c r="HL108">
        <v>47.613</v>
      </c>
      <c r="HM108">
        <v>28.47</v>
      </c>
      <c r="HN108">
        <v>20.7157</v>
      </c>
      <c r="HO108">
        <v>54.7913</v>
      </c>
      <c r="HP108">
        <v>45.9615</v>
      </c>
      <c r="HQ108">
        <v>1</v>
      </c>
      <c r="HR108">
        <v>-0.129619</v>
      </c>
      <c r="HS108">
        <v>0.342135</v>
      </c>
      <c r="HT108">
        <v>20.2319</v>
      </c>
      <c r="HU108">
        <v>5.23436</v>
      </c>
      <c r="HV108">
        <v>11.992</v>
      </c>
      <c r="HW108">
        <v>4.957</v>
      </c>
      <c r="HX108">
        <v>3.304</v>
      </c>
      <c r="HY108">
        <v>999.9</v>
      </c>
      <c r="HZ108">
        <v>9999</v>
      </c>
      <c r="IA108">
        <v>9999</v>
      </c>
      <c r="IB108">
        <v>9999</v>
      </c>
      <c r="IC108">
        <v>1.86861</v>
      </c>
      <c r="ID108">
        <v>1.86433</v>
      </c>
      <c r="IE108">
        <v>1.87195</v>
      </c>
      <c r="IF108">
        <v>1.86285</v>
      </c>
      <c r="IG108">
        <v>1.86227</v>
      </c>
      <c r="IH108">
        <v>1.86864</v>
      </c>
      <c r="II108">
        <v>1.85884</v>
      </c>
      <c r="IJ108">
        <v>1.86523</v>
      </c>
      <c r="IK108">
        <v>5</v>
      </c>
      <c r="IL108">
        <v>0</v>
      </c>
      <c r="IM108">
        <v>0</v>
      </c>
      <c r="IN108">
        <v>0</v>
      </c>
      <c r="IO108" t="s">
        <v>441</v>
      </c>
      <c r="IP108" t="s">
        <v>442</v>
      </c>
      <c r="IQ108" t="s">
        <v>443</v>
      </c>
      <c r="IR108" t="s">
        <v>443</v>
      </c>
      <c r="IS108" t="s">
        <v>443</v>
      </c>
      <c r="IT108" t="s">
        <v>443</v>
      </c>
      <c r="IU108">
        <v>0</v>
      </c>
      <c r="IV108">
        <v>100</v>
      </c>
      <c r="IW108">
        <v>100</v>
      </c>
      <c r="IX108">
        <v>7.68</v>
      </c>
      <c r="IY108">
        <v>0.165</v>
      </c>
      <c r="IZ108">
        <v>5.62666714990425</v>
      </c>
      <c r="JA108">
        <v>0.0062698613543794</v>
      </c>
      <c r="JB108">
        <v>-3.23243345529816e-06</v>
      </c>
      <c r="JC108">
        <v>8.00506428382295e-10</v>
      </c>
      <c r="JD108">
        <v>-0.000109555435349462</v>
      </c>
      <c r="JE108">
        <v>-0.0018464610107002</v>
      </c>
      <c r="JF108">
        <v>0.000796540623429801</v>
      </c>
      <c r="JG108">
        <v>-1.04619914107352e-05</v>
      </c>
      <c r="JH108">
        <v>-0</v>
      </c>
      <c r="JI108">
        <v>2101</v>
      </c>
      <c r="JJ108">
        <v>1</v>
      </c>
      <c r="JK108">
        <v>23</v>
      </c>
      <c r="JL108">
        <v>13.1</v>
      </c>
      <c r="JM108">
        <v>13.2</v>
      </c>
      <c r="JN108">
        <v>1.00464</v>
      </c>
      <c r="JO108">
        <v>2.36572</v>
      </c>
      <c r="JP108">
        <v>1.4978</v>
      </c>
      <c r="JQ108">
        <v>2.33887</v>
      </c>
      <c r="JR108">
        <v>1.54419</v>
      </c>
      <c r="JS108">
        <v>2.30469</v>
      </c>
      <c r="JT108">
        <v>34.6006</v>
      </c>
      <c r="JU108">
        <v>24.3414</v>
      </c>
      <c r="JV108">
        <v>18</v>
      </c>
      <c r="JW108">
        <v>548.516</v>
      </c>
      <c r="JX108">
        <v>439.831</v>
      </c>
      <c r="JY108">
        <v>23.4515</v>
      </c>
      <c r="JZ108">
        <v>25.8817</v>
      </c>
      <c r="KA108">
        <v>30.0001</v>
      </c>
      <c r="KB108">
        <v>25.8736</v>
      </c>
      <c r="KC108">
        <v>25.9008</v>
      </c>
      <c r="KD108">
        <v>20.1692</v>
      </c>
      <c r="KE108">
        <v>23.0752</v>
      </c>
      <c r="KF108">
        <v>100</v>
      </c>
      <c r="KG108">
        <v>23.4513</v>
      </c>
      <c r="KH108">
        <v>400</v>
      </c>
      <c r="KI108">
        <v>18.1709</v>
      </c>
      <c r="KJ108">
        <v>94.9306</v>
      </c>
      <c r="KK108">
        <v>99.0174</v>
      </c>
    </row>
    <row r="109" spans="1:297">
      <c r="A109">
        <v>93</v>
      </c>
      <c r="B109">
        <v>1765314100</v>
      </c>
      <c r="C109">
        <v>16151</v>
      </c>
      <c r="D109" t="s">
        <v>725</v>
      </c>
      <c r="E109" t="s">
        <v>726</v>
      </c>
      <c r="F109">
        <v>5</v>
      </c>
      <c r="G109" t="s">
        <v>723</v>
      </c>
      <c r="H109" t="s">
        <v>436</v>
      </c>
      <c r="I109">
        <v>1765314091.5</v>
      </c>
      <c r="J109">
        <f>(K109)/1000</f>
        <v>0</v>
      </c>
      <c r="K109">
        <f>IF(DP109, AN109, AH109)</f>
        <v>0</v>
      </c>
      <c r="L109">
        <f>IF(DP109, AI109, AG109)</f>
        <v>0</v>
      </c>
      <c r="M109">
        <f>DR109 - IF(AU109&gt;1, L109*DL109*100.0/(AW109), 0)</f>
        <v>0</v>
      </c>
      <c r="N109">
        <f>((T109-J109/2)*M109-L109)/(T109+J109/2)</f>
        <v>0</v>
      </c>
      <c r="O109">
        <f>N109*(DY109+DZ109)/1000.0</f>
        <v>0</v>
      </c>
      <c r="P109">
        <f>(DR109 - IF(AU109&gt;1, L109*DL109*100.0/(AW109), 0))*(DY109+DZ109)/1000.0</f>
        <v>0</v>
      </c>
      <c r="Q109">
        <f>2.0/((1/S109-1/R109)+SIGN(S109)*SQRT((1/S109-1/R109)*(1/S109-1/R109) + 4*DM109/((DM109+1)*(DM109+1))*(2*1/S109*1/R109-1/R109*1/R109)))</f>
        <v>0</v>
      </c>
      <c r="R109">
        <f>IF(LEFT(DN109,1)&lt;&gt;"0",IF(LEFT(DN109,1)="1",3.0,DO109),$D$5+$E$5*(EF109*DY109/($K$5*1000))+$F$5*(EF109*DY109/($K$5*1000))*MAX(MIN(DL109,$J$5),$I$5)*MAX(MIN(DL109,$J$5),$I$5)+$G$5*MAX(MIN(DL109,$J$5),$I$5)*(EF109*DY109/($K$5*1000))+$H$5*(EF109*DY109/($K$5*1000))*(EF109*DY109/($K$5*1000)))</f>
        <v>0</v>
      </c>
      <c r="S109">
        <f>J109*(1000-(1000*0.61365*exp(17.502*W109/(240.97+W109))/(DY109+DZ109)+DT109)/2)/(1000*0.61365*exp(17.502*W109/(240.97+W109))/(DY109+DZ109)-DT109)</f>
        <v>0</v>
      </c>
      <c r="T109">
        <f>1/((DM109+1)/(Q109/1.6)+1/(R109/1.37)) + DM109/((DM109+1)/(Q109/1.6) + DM109/(R109/1.37))</f>
        <v>0</v>
      </c>
      <c r="U109">
        <f>(DH109*DK109)</f>
        <v>0</v>
      </c>
      <c r="V109">
        <f>(EA109+(U109+2*0.95*5.67E-8*(((EA109+$B$7)+273)^4-(EA109+273)^4)-44100*J109)/(1.84*29.3*R109+8*0.95*5.67E-8*(EA109+273)^3))</f>
        <v>0</v>
      </c>
      <c r="W109">
        <f>($C$7*EB109+$D$7*EC109+$E$7*V109)</f>
        <v>0</v>
      </c>
      <c r="X109">
        <f>0.61365*exp(17.502*W109/(240.97+W109))</f>
        <v>0</v>
      </c>
      <c r="Y109">
        <f>(Z109/AA109*100)</f>
        <v>0</v>
      </c>
      <c r="Z109">
        <f>DT109*(DY109+DZ109)/1000</f>
        <v>0</v>
      </c>
      <c r="AA109">
        <f>0.61365*exp(17.502*EA109/(240.97+EA109))</f>
        <v>0</v>
      </c>
      <c r="AB109">
        <f>(X109-DT109*(DY109+DZ109)/1000)</f>
        <v>0</v>
      </c>
      <c r="AC109">
        <f>(-J109*44100)</f>
        <v>0</v>
      </c>
      <c r="AD109">
        <f>2*29.3*R109*0.92*(EA109-W109)</f>
        <v>0</v>
      </c>
      <c r="AE109">
        <f>2*0.95*5.67E-8*(((EA109+$B$7)+273)^4-(W109+273)^4)</f>
        <v>0</v>
      </c>
      <c r="AF109">
        <f>U109+AE109+AC109+AD109</f>
        <v>0</v>
      </c>
      <c r="AG109">
        <f>DX109*AU109*(DS109-DR109*(1000-AU109*DU109)/(1000-AU109*DT109))/(100*DL109)</f>
        <v>0</v>
      </c>
      <c r="AH109">
        <f>1000*DX109*AU109*(DT109-DU109)/(100*DL109*(1000-AU109*DT109))</f>
        <v>0</v>
      </c>
      <c r="AI109">
        <f>(AJ109 - AK109 - DY109*1E3/(8.314*(EA109+273.15)) * AM109/DX109 * AL109) * DX109/(100*DL109) * (1000 - DU109)/1000</f>
        <v>0</v>
      </c>
      <c r="AJ109">
        <v>305.571093352889</v>
      </c>
      <c r="AK109">
        <v>306.252296969697</v>
      </c>
      <c r="AL109">
        <v>0.0278407637013755</v>
      </c>
      <c r="AM109">
        <v>63.2521508821515</v>
      </c>
      <c r="AN109">
        <f>(AP109 - AO109 + DY109*1E3/(8.314*(EA109+273.15)) * AR109/DX109 * AQ109) * DX109/(100*DL109) * 1000/(1000 - AP109)</f>
        <v>0</v>
      </c>
      <c r="AO109">
        <v>18.2087948978029</v>
      </c>
      <c r="AP109">
        <v>18.3404412121212</v>
      </c>
      <c r="AQ109">
        <v>-1.20016457573991e-06</v>
      </c>
      <c r="AR109">
        <v>108.432070951632</v>
      </c>
      <c r="AS109">
        <v>0</v>
      </c>
      <c r="AT109">
        <v>0</v>
      </c>
      <c r="AU109">
        <f>IF(AS109*$H$13&gt;=AW109,1.0,(AW109/(AW109-AS109*$H$13)))</f>
        <v>0</v>
      </c>
      <c r="AV109">
        <f>(AU109-1)*100</f>
        <v>0</v>
      </c>
      <c r="AW109">
        <f>MAX(0,($B$13+$C$13*EF109)/(1+$D$13*EF109)*DY109/(EA109+273)*$E$13)</f>
        <v>0</v>
      </c>
      <c r="AX109" t="s">
        <v>437</v>
      </c>
      <c r="AY109" t="s">
        <v>437</v>
      </c>
      <c r="AZ109">
        <v>0</v>
      </c>
      <c r="BA109">
        <v>0</v>
      </c>
      <c r="BB109">
        <f>1-AZ109/BA109</f>
        <v>0</v>
      </c>
      <c r="BC109">
        <v>0</v>
      </c>
      <c r="BD109" t="s">
        <v>437</v>
      </c>
      <c r="BE109" t="s">
        <v>437</v>
      </c>
      <c r="BF109">
        <v>0</v>
      </c>
      <c r="BG109">
        <v>0</v>
      </c>
      <c r="BH109">
        <f>1-BF109/BG109</f>
        <v>0</v>
      </c>
      <c r="BI109">
        <v>0.5</v>
      </c>
      <c r="BJ109">
        <f>DI109</f>
        <v>0</v>
      </c>
      <c r="BK109">
        <f>L109</f>
        <v>0</v>
      </c>
      <c r="BL109">
        <f>BH109*BI109*BJ109</f>
        <v>0</v>
      </c>
      <c r="BM109">
        <f>(BK109-BC109)/BJ109</f>
        <v>0</v>
      </c>
      <c r="BN109">
        <f>(BA109-BG109)/BG109</f>
        <v>0</v>
      </c>
      <c r="BO109">
        <f>AZ109/(BB109+AZ109/BG109)</f>
        <v>0</v>
      </c>
      <c r="BP109" t="s">
        <v>437</v>
      </c>
      <c r="BQ109">
        <v>0</v>
      </c>
      <c r="BR109">
        <f>IF(BQ109&lt;&gt;0, BQ109, BO109)</f>
        <v>0</v>
      </c>
      <c r="BS109">
        <f>1-BR109/BG109</f>
        <v>0</v>
      </c>
      <c r="BT109">
        <f>(BG109-BF109)/(BG109-BR109)</f>
        <v>0</v>
      </c>
      <c r="BU109">
        <f>(BA109-BG109)/(BA109-BR109)</f>
        <v>0</v>
      </c>
      <c r="BV109">
        <f>(BG109-BF109)/(BG109-AZ109)</f>
        <v>0</v>
      </c>
      <c r="BW109">
        <f>(BA109-BG109)/(BA109-AZ109)</f>
        <v>0</v>
      </c>
      <c r="BX109">
        <f>(BT109*BR109/BF109)</f>
        <v>0</v>
      </c>
      <c r="BY109">
        <f>(1-BX109)</f>
        <v>0</v>
      </c>
      <c r="DH109">
        <f>$B$11*EG109+$C$11*EH109+$F$11*ES109*(1-EV109)</f>
        <v>0</v>
      </c>
      <c r="DI109">
        <f>DH109*DJ109</f>
        <v>0</v>
      </c>
      <c r="DJ109">
        <f>($B$11*$D$9+$C$11*$D$9+$F$11*((FF109+EX109)/MAX(FF109+EX109+FG109, 0.1)*$I$9+FG109/MAX(FF109+EX109+FG109, 0.1)*$J$9))/($B$11+$C$11+$F$11)</f>
        <v>0</v>
      </c>
      <c r="DK109">
        <f>($B$11*$K$9+$C$11*$K$9+$F$11*((FF109+EX109)/MAX(FF109+EX109+FG109, 0.1)*$P$9+FG109/MAX(FF109+EX109+FG109, 0.1)*$Q$9))/($B$11+$C$11+$F$11)</f>
        <v>0</v>
      </c>
      <c r="DL109">
        <v>5.66</v>
      </c>
      <c r="DM109">
        <v>0.5</v>
      </c>
      <c r="DN109" t="s">
        <v>438</v>
      </c>
      <c r="DO109">
        <v>2</v>
      </c>
      <c r="DP109" t="b">
        <v>1</v>
      </c>
      <c r="DQ109">
        <v>1765314091.5</v>
      </c>
      <c r="DR109">
        <v>300.1214375</v>
      </c>
      <c r="DS109">
        <v>300.00275</v>
      </c>
      <c r="DT109">
        <v>18.33670625</v>
      </c>
      <c r="DU109">
        <v>18.21024375</v>
      </c>
      <c r="DV109">
        <v>293.2894375</v>
      </c>
      <c r="DW109">
        <v>18.17370625</v>
      </c>
      <c r="DX109">
        <v>500.0113125</v>
      </c>
      <c r="DY109">
        <v>89.63083125</v>
      </c>
      <c r="DZ109">
        <v>0.0999554375</v>
      </c>
      <c r="EA109">
        <v>25.597</v>
      </c>
      <c r="EB109">
        <v>24.990325</v>
      </c>
      <c r="EC109">
        <v>999.9</v>
      </c>
      <c r="ED109">
        <v>0</v>
      </c>
      <c r="EE109">
        <v>0</v>
      </c>
      <c r="EF109">
        <v>10006.980625</v>
      </c>
      <c r="EG109">
        <v>0</v>
      </c>
      <c r="EH109">
        <v>11.45820625</v>
      </c>
      <c r="EI109">
        <v>0.53683475</v>
      </c>
      <c r="EJ109">
        <v>306.1550625</v>
      </c>
      <c r="EK109">
        <v>305.5671875</v>
      </c>
      <c r="EL109">
        <v>0.1315749375</v>
      </c>
      <c r="EM109">
        <v>300.00275</v>
      </c>
      <c r="EN109">
        <v>18.21024375</v>
      </c>
      <c r="EO109">
        <v>1.643993125</v>
      </c>
      <c r="EP109">
        <v>1.63219875</v>
      </c>
      <c r="EQ109">
        <v>14.3774625</v>
      </c>
      <c r="ER109">
        <v>14.2662125</v>
      </c>
      <c r="ES109">
        <v>799.9934375</v>
      </c>
      <c r="ET109">
        <v>0.950009875</v>
      </c>
      <c r="EU109">
        <v>0.0499899125</v>
      </c>
      <c r="EV109">
        <v>0</v>
      </c>
      <c r="EW109">
        <v>325.9065</v>
      </c>
      <c r="EX109">
        <v>5.00016</v>
      </c>
      <c r="EY109">
        <v>2706.50125</v>
      </c>
      <c r="EZ109">
        <v>7194.64</v>
      </c>
      <c r="FA109">
        <v>39.75</v>
      </c>
      <c r="FB109">
        <v>42.531</v>
      </c>
      <c r="FC109">
        <v>41.194875</v>
      </c>
      <c r="FD109">
        <v>42.55425</v>
      </c>
      <c r="FE109">
        <v>42.437</v>
      </c>
      <c r="FF109">
        <v>755.251875</v>
      </c>
      <c r="FG109">
        <v>39.74</v>
      </c>
      <c r="FH109">
        <v>0</v>
      </c>
      <c r="FI109">
        <v>1765314100.3</v>
      </c>
      <c r="FJ109">
        <v>0</v>
      </c>
      <c r="FK109">
        <v>325.86668</v>
      </c>
      <c r="FL109">
        <v>0.28738461530812</v>
      </c>
      <c r="FM109">
        <v>-4.18923079517036</v>
      </c>
      <c r="FN109">
        <v>2706.3884</v>
      </c>
      <c r="FO109">
        <v>15</v>
      </c>
      <c r="FP109">
        <v>1765314135.1</v>
      </c>
      <c r="FQ109" t="s">
        <v>727</v>
      </c>
      <c r="FR109">
        <v>1765314135.1</v>
      </c>
      <c r="FS109">
        <v>1765314119</v>
      </c>
      <c r="FT109">
        <v>93</v>
      </c>
      <c r="FU109">
        <v>-0.418</v>
      </c>
      <c r="FV109">
        <v>-0.003</v>
      </c>
      <c r="FW109">
        <v>6.832</v>
      </c>
      <c r="FX109">
        <v>0.163</v>
      </c>
      <c r="FY109">
        <v>300</v>
      </c>
      <c r="FZ109">
        <v>18</v>
      </c>
      <c r="GA109">
        <v>0.44</v>
      </c>
      <c r="GB109">
        <v>0.22</v>
      </c>
      <c r="GC109">
        <v>0.55601505</v>
      </c>
      <c r="GD109">
        <v>-0.281459233082706</v>
      </c>
      <c r="GE109">
        <v>0.0522394630489968</v>
      </c>
      <c r="GF109">
        <v>1</v>
      </c>
      <c r="GG109">
        <v>325.934558823529</v>
      </c>
      <c r="GH109">
        <v>-0.591031318063899</v>
      </c>
      <c r="GI109">
        <v>0.198051863554567</v>
      </c>
      <c r="GJ109">
        <v>-1</v>
      </c>
      <c r="GK109">
        <v>0.13111095</v>
      </c>
      <c r="GL109">
        <v>0.00454993984962421</v>
      </c>
      <c r="GM109">
        <v>0.00117939422904303</v>
      </c>
      <c r="GN109">
        <v>1</v>
      </c>
      <c r="GO109">
        <v>2</v>
      </c>
      <c r="GP109">
        <v>2</v>
      </c>
      <c r="GQ109" t="s">
        <v>440</v>
      </c>
      <c r="GR109">
        <v>3.12501</v>
      </c>
      <c r="GS109">
        <v>2.72588</v>
      </c>
      <c r="GT109">
        <v>0.0673553</v>
      </c>
      <c r="GU109">
        <v>0.0686136</v>
      </c>
      <c r="GV109">
        <v>0.0836732</v>
      </c>
      <c r="GW109">
        <v>0.0834444</v>
      </c>
      <c r="GX109">
        <v>24525.6</v>
      </c>
      <c r="GY109">
        <v>22815.3</v>
      </c>
      <c r="GZ109">
        <v>23507.8</v>
      </c>
      <c r="HA109">
        <v>23842.1</v>
      </c>
      <c r="HB109">
        <v>36676.2</v>
      </c>
      <c r="HC109">
        <v>36132.7</v>
      </c>
      <c r="HD109">
        <v>42338.3</v>
      </c>
      <c r="HE109">
        <v>42469.8</v>
      </c>
      <c r="HF109">
        <v>1.9362</v>
      </c>
      <c r="HG109">
        <v>1.85588</v>
      </c>
      <c r="HH109">
        <v>0.0842884</v>
      </c>
      <c r="HI109">
        <v>0</v>
      </c>
      <c r="HJ109">
        <v>23.6126</v>
      </c>
      <c r="HK109">
        <v>999.9</v>
      </c>
      <c r="HL109">
        <v>47.613</v>
      </c>
      <c r="HM109">
        <v>28.45</v>
      </c>
      <c r="HN109">
        <v>20.6935</v>
      </c>
      <c r="HO109">
        <v>54.1013</v>
      </c>
      <c r="HP109">
        <v>45.8614</v>
      </c>
      <c r="HQ109">
        <v>1</v>
      </c>
      <c r="HR109">
        <v>-0.130003</v>
      </c>
      <c r="HS109">
        <v>0.315684</v>
      </c>
      <c r="HT109">
        <v>20.2321</v>
      </c>
      <c r="HU109">
        <v>5.23496</v>
      </c>
      <c r="HV109">
        <v>11.992</v>
      </c>
      <c r="HW109">
        <v>4.95685</v>
      </c>
      <c r="HX109">
        <v>3.304</v>
      </c>
      <c r="HY109">
        <v>999.9</v>
      </c>
      <c r="HZ109">
        <v>9999</v>
      </c>
      <c r="IA109">
        <v>9999</v>
      </c>
      <c r="IB109">
        <v>9999</v>
      </c>
      <c r="IC109">
        <v>1.8686</v>
      </c>
      <c r="ID109">
        <v>1.86434</v>
      </c>
      <c r="IE109">
        <v>1.87195</v>
      </c>
      <c r="IF109">
        <v>1.86286</v>
      </c>
      <c r="IG109">
        <v>1.86231</v>
      </c>
      <c r="IH109">
        <v>1.86869</v>
      </c>
      <c r="II109">
        <v>1.85883</v>
      </c>
      <c r="IJ109">
        <v>1.86523</v>
      </c>
      <c r="IK109">
        <v>5</v>
      </c>
      <c r="IL109">
        <v>0</v>
      </c>
      <c r="IM109">
        <v>0</v>
      </c>
      <c r="IN109">
        <v>0</v>
      </c>
      <c r="IO109" t="s">
        <v>441</v>
      </c>
      <c r="IP109" t="s">
        <v>442</v>
      </c>
      <c r="IQ109" t="s">
        <v>443</v>
      </c>
      <c r="IR109" t="s">
        <v>443</v>
      </c>
      <c r="IS109" t="s">
        <v>443</v>
      </c>
      <c r="IT109" t="s">
        <v>443</v>
      </c>
      <c r="IU109">
        <v>0</v>
      </c>
      <c r="IV109">
        <v>100</v>
      </c>
      <c r="IW109">
        <v>100</v>
      </c>
      <c r="IX109">
        <v>6.832</v>
      </c>
      <c r="IY109">
        <v>0.163</v>
      </c>
      <c r="IZ109">
        <v>5.66920740286407</v>
      </c>
      <c r="JA109">
        <v>0.0062698613543794</v>
      </c>
      <c r="JB109">
        <v>-3.23243345529816e-06</v>
      </c>
      <c r="JC109">
        <v>8.00506428382295e-10</v>
      </c>
      <c r="JD109">
        <v>0.00138752635293227</v>
      </c>
      <c r="JE109">
        <v>-0.0018464610107002</v>
      </c>
      <c r="JF109">
        <v>0.000796540623429801</v>
      </c>
      <c r="JG109">
        <v>-1.04619914107352e-05</v>
      </c>
      <c r="JH109">
        <v>-0</v>
      </c>
      <c r="JI109">
        <v>2101</v>
      </c>
      <c r="JJ109">
        <v>1</v>
      </c>
      <c r="JK109">
        <v>23</v>
      </c>
      <c r="JL109">
        <v>1.2</v>
      </c>
      <c r="JM109">
        <v>1.6</v>
      </c>
      <c r="JN109">
        <v>0.802002</v>
      </c>
      <c r="JO109">
        <v>2.36206</v>
      </c>
      <c r="JP109">
        <v>1.4978</v>
      </c>
      <c r="JQ109">
        <v>2.34009</v>
      </c>
      <c r="JR109">
        <v>1.54419</v>
      </c>
      <c r="JS109">
        <v>2.39868</v>
      </c>
      <c r="JT109">
        <v>34.5549</v>
      </c>
      <c r="JU109">
        <v>24.3502</v>
      </c>
      <c r="JV109">
        <v>18</v>
      </c>
      <c r="JW109">
        <v>548.113</v>
      </c>
      <c r="JX109">
        <v>439.706</v>
      </c>
      <c r="JY109">
        <v>23.4537</v>
      </c>
      <c r="JZ109">
        <v>25.8693</v>
      </c>
      <c r="KA109">
        <v>30.0001</v>
      </c>
      <c r="KB109">
        <v>25.8554</v>
      </c>
      <c r="KC109">
        <v>25.8813</v>
      </c>
      <c r="KD109">
        <v>16.094</v>
      </c>
      <c r="KE109">
        <v>22.2074</v>
      </c>
      <c r="KF109">
        <v>100</v>
      </c>
      <c r="KG109">
        <v>23.4535</v>
      </c>
      <c r="KH109">
        <v>300</v>
      </c>
      <c r="KI109">
        <v>18.2629</v>
      </c>
      <c r="KJ109">
        <v>94.925</v>
      </c>
      <c r="KK109">
        <v>99.0184</v>
      </c>
    </row>
    <row r="110" spans="1:297">
      <c r="A110">
        <v>94</v>
      </c>
      <c r="B110">
        <v>1765314208.1</v>
      </c>
      <c r="C110">
        <v>16259.0999999046</v>
      </c>
      <c r="D110" t="s">
        <v>728</v>
      </c>
      <c r="E110" t="s">
        <v>729</v>
      </c>
      <c r="F110">
        <v>5</v>
      </c>
      <c r="G110" t="s">
        <v>723</v>
      </c>
      <c r="H110" t="s">
        <v>436</v>
      </c>
      <c r="I110">
        <v>1765314199.6</v>
      </c>
      <c r="J110">
        <f>(K110)/1000</f>
        <v>0</v>
      </c>
      <c r="K110">
        <f>IF(DP110, AN110, AH110)</f>
        <v>0</v>
      </c>
      <c r="L110">
        <f>IF(DP110, AI110, AG110)</f>
        <v>0</v>
      </c>
      <c r="M110">
        <f>DR110 - IF(AU110&gt;1, L110*DL110*100.0/(AW110), 0)</f>
        <v>0</v>
      </c>
      <c r="N110">
        <f>((T110-J110/2)*M110-L110)/(T110+J110/2)</f>
        <v>0</v>
      </c>
      <c r="O110">
        <f>N110*(DY110+DZ110)/1000.0</f>
        <v>0</v>
      </c>
      <c r="P110">
        <f>(DR110 - IF(AU110&gt;1, L110*DL110*100.0/(AW110), 0))*(DY110+DZ110)/1000.0</f>
        <v>0</v>
      </c>
      <c r="Q110">
        <f>2.0/((1/S110-1/R110)+SIGN(S110)*SQRT((1/S110-1/R110)*(1/S110-1/R110) + 4*DM110/((DM110+1)*(DM110+1))*(2*1/S110*1/R110-1/R110*1/R110)))</f>
        <v>0</v>
      </c>
      <c r="R110">
        <f>IF(LEFT(DN110,1)&lt;&gt;"0",IF(LEFT(DN110,1)="1",3.0,DO110),$D$5+$E$5*(EF110*DY110/($K$5*1000))+$F$5*(EF110*DY110/($K$5*1000))*MAX(MIN(DL110,$J$5),$I$5)*MAX(MIN(DL110,$J$5),$I$5)+$G$5*MAX(MIN(DL110,$J$5),$I$5)*(EF110*DY110/($K$5*1000))+$H$5*(EF110*DY110/($K$5*1000))*(EF110*DY110/($K$5*1000)))</f>
        <v>0</v>
      </c>
      <c r="S110">
        <f>J110*(1000-(1000*0.61365*exp(17.502*W110/(240.97+W110))/(DY110+DZ110)+DT110)/2)/(1000*0.61365*exp(17.502*W110/(240.97+W110))/(DY110+DZ110)-DT110)</f>
        <v>0</v>
      </c>
      <c r="T110">
        <f>1/((DM110+1)/(Q110/1.6)+1/(R110/1.37)) + DM110/((DM110+1)/(Q110/1.6) + DM110/(R110/1.37))</f>
        <v>0</v>
      </c>
      <c r="U110">
        <f>(DH110*DK110)</f>
        <v>0</v>
      </c>
      <c r="V110">
        <f>(EA110+(U110+2*0.95*5.67E-8*(((EA110+$B$7)+273)^4-(EA110+273)^4)-44100*J110)/(1.84*29.3*R110+8*0.95*5.67E-8*(EA110+273)^3))</f>
        <v>0</v>
      </c>
      <c r="W110">
        <f>($C$7*EB110+$D$7*EC110+$E$7*V110)</f>
        <v>0</v>
      </c>
      <c r="X110">
        <f>0.61365*exp(17.502*W110/(240.97+W110))</f>
        <v>0</v>
      </c>
      <c r="Y110">
        <f>(Z110/AA110*100)</f>
        <v>0</v>
      </c>
      <c r="Z110">
        <f>DT110*(DY110+DZ110)/1000</f>
        <v>0</v>
      </c>
      <c r="AA110">
        <f>0.61365*exp(17.502*EA110/(240.97+EA110))</f>
        <v>0</v>
      </c>
      <c r="AB110">
        <f>(X110-DT110*(DY110+DZ110)/1000)</f>
        <v>0</v>
      </c>
      <c r="AC110">
        <f>(-J110*44100)</f>
        <v>0</v>
      </c>
      <c r="AD110">
        <f>2*29.3*R110*0.92*(EA110-W110)</f>
        <v>0</v>
      </c>
      <c r="AE110">
        <f>2*0.95*5.67E-8*(((EA110+$B$7)+273)^4-(W110+273)^4)</f>
        <v>0</v>
      </c>
      <c r="AF110">
        <f>U110+AE110+AC110+AD110</f>
        <v>0</v>
      </c>
      <c r="AG110">
        <f>DX110*AU110*(DS110-DR110*(1000-AU110*DU110)/(1000-AU110*DT110))/(100*DL110)</f>
        <v>0</v>
      </c>
      <c r="AH110">
        <f>1000*DX110*AU110*(DT110-DU110)/(100*DL110*(1000-AU110*DT110))</f>
        <v>0</v>
      </c>
      <c r="AI110">
        <f>(AJ110 - AK110 - DY110*1E3/(8.314*(EA110+273.15)) * AM110/DX110 * AL110) * DX110/(100*DL110) * (1000 - DU110)/1000</f>
        <v>0</v>
      </c>
      <c r="AJ110">
        <v>203.715353575363</v>
      </c>
      <c r="AK110">
        <v>204.120903030303</v>
      </c>
      <c r="AL110">
        <v>0.000195204823391694</v>
      </c>
      <c r="AM110">
        <v>63.3550888502735</v>
      </c>
      <c r="AN110">
        <f>(AP110 - AO110 + DY110*1E3/(8.314*(EA110+273.15)) * AR110/DX110 * AQ110) * DX110/(100*DL110) * 1000/(1000 - AP110)</f>
        <v>0</v>
      </c>
      <c r="AO110">
        <v>18.2197902498473</v>
      </c>
      <c r="AP110">
        <v>18.3446642424242</v>
      </c>
      <c r="AQ110">
        <v>2.4579009150092e-05</v>
      </c>
      <c r="AR110">
        <v>107.784478626593</v>
      </c>
      <c r="AS110">
        <v>0</v>
      </c>
      <c r="AT110">
        <v>0</v>
      </c>
      <c r="AU110">
        <f>IF(AS110*$H$13&gt;=AW110,1.0,(AW110/(AW110-AS110*$H$13)))</f>
        <v>0</v>
      </c>
      <c r="AV110">
        <f>(AU110-1)*100</f>
        <v>0</v>
      </c>
      <c r="AW110">
        <f>MAX(0,($B$13+$C$13*EF110)/(1+$D$13*EF110)*DY110/(EA110+273)*$E$13)</f>
        <v>0</v>
      </c>
      <c r="AX110" t="s">
        <v>437</v>
      </c>
      <c r="AY110" t="s">
        <v>437</v>
      </c>
      <c r="AZ110">
        <v>0</v>
      </c>
      <c r="BA110">
        <v>0</v>
      </c>
      <c r="BB110">
        <f>1-AZ110/BA110</f>
        <v>0</v>
      </c>
      <c r="BC110">
        <v>0</v>
      </c>
      <c r="BD110" t="s">
        <v>437</v>
      </c>
      <c r="BE110" t="s">
        <v>437</v>
      </c>
      <c r="BF110">
        <v>0</v>
      </c>
      <c r="BG110">
        <v>0</v>
      </c>
      <c r="BH110">
        <f>1-BF110/BG110</f>
        <v>0</v>
      </c>
      <c r="BI110">
        <v>0.5</v>
      </c>
      <c r="BJ110">
        <f>DI110</f>
        <v>0</v>
      </c>
      <c r="BK110">
        <f>L110</f>
        <v>0</v>
      </c>
      <c r="BL110">
        <f>BH110*BI110*BJ110</f>
        <v>0</v>
      </c>
      <c r="BM110">
        <f>(BK110-BC110)/BJ110</f>
        <v>0</v>
      </c>
      <c r="BN110">
        <f>(BA110-BG110)/BG110</f>
        <v>0</v>
      </c>
      <c r="BO110">
        <f>AZ110/(BB110+AZ110/BG110)</f>
        <v>0</v>
      </c>
      <c r="BP110" t="s">
        <v>437</v>
      </c>
      <c r="BQ110">
        <v>0</v>
      </c>
      <c r="BR110">
        <f>IF(BQ110&lt;&gt;0, BQ110, BO110)</f>
        <v>0</v>
      </c>
      <c r="BS110">
        <f>1-BR110/BG110</f>
        <v>0</v>
      </c>
      <c r="BT110">
        <f>(BG110-BF110)/(BG110-BR110)</f>
        <v>0</v>
      </c>
      <c r="BU110">
        <f>(BA110-BG110)/(BA110-BR110)</f>
        <v>0</v>
      </c>
      <c r="BV110">
        <f>(BG110-BF110)/(BG110-AZ110)</f>
        <v>0</v>
      </c>
      <c r="BW110">
        <f>(BA110-BG110)/(BA110-AZ110)</f>
        <v>0</v>
      </c>
      <c r="BX110">
        <f>(BT110*BR110/BF110)</f>
        <v>0</v>
      </c>
      <c r="BY110">
        <f>(1-BX110)</f>
        <v>0</v>
      </c>
      <c r="DH110">
        <f>$B$11*EG110+$C$11*EH110+$F$11*ES110*(1-EV110)</f>
        <v>0</v>
      </c>
      <c r="DI110">
        <f>DH110*DJ110</f>
        <v>0</v>
      </c>
      <c r="DJ110">
        <f>($B$11*$D$9+$C$11*$D$9+$F$11*((FF110+EX110)/MAX(FF110+EX110+FG110, 0.1)*$I$9+FG110/MAX(FF110+EX110+FG110, 0.1)*$J$9))/($B$11+$C$11+$F$11)</f>
        <v>0</v>
      </c>
      <c r="DK110">
        <f>($B$11*$K$9+$C$11*$K$9+$F$11*((FF110+EX110)/MAX(FF110+EX110+FG110, 0.1)*$P$9+FG110/MAX(FF110+EX110+FG110, 0.1)*$Q$9))/($B$11+$C$11+$F$11)</f>
        <v>0</v>
      </c>
      <c r="DL110">
        <v>5.66</v>
      </c>
      <c r="DM110">
        <v>0.5</v>
      </c>
      <c r="DN110" t="s">
        <v>438</v>
      </c>
      <c r="DO110">
        <v>2</v>
      </c>
      <c r="DP110" t="b">
        <v>1</v>
      </c>
      <c r="DQ110">
        <v>1765314199.6</v>
      </c>
      <c r="DR110">
        <v>200.187125</v>
      </c>
      <c r="DS110">
        <v>200.0145625</v>
      </c>
      <c r="DT110">
        <v>18.34323125</v>
      </c>
      <c r="DU110">
        <v>18.22205625</v>
      </c>
      <c r="DV110">
        <v>194.042125</v>
      </c>
      <c r="DW110">
        <v>18.17923125</v>
      </c>
      <c r="DX110">
        <v>500.004</v>
      </c>
      <c r="DY110">
        <v>89.62643125</v>
      </c>
      <c r="DZ110">
        <v>0.09992079375</v>
      </c>
      <c r="EA110">
        <v>25.5992875</v>
      </c>
      <c r="EB110">
        <v>24.99893125</v>
      </c>
      <c r="EC110">
        <v>999.9</v>
      </c>
      <c r="ED110">
        <v>0</v>
      </c>
      <c r="EE110">
        <v>0</v>
      </c>
      <c r="EF110">
        <v>9998.89875</v>
      </c>
      <c r="EG110">
        <v>0</v>
      </c>
      <c r="EH110">
        <v>11.4622</v>
      </c>
      <c r="EI110">
        <v>0.379444125</v>
      </c>
      <c r="EJ110">
        <v>204.13875</v>
      </c>
      <c r="EK110">
        <v>203.726875</v>
      </c>
      <c r="EL110">
        <v>0.1224656875</v>
      </c>
      <c r="EM110">
        <v>200.0145625</v>
      </c>
      <c r="EN110">
        <v>18.22205625</v>
      </c>
      <c r="EO110">
        <v>1.644155</v>
      </c>
      <c r="EP110">
        <v>1.6331775</v>
      </c>
      <c r="EQ110">
        <v>14.37899375</v>
      </c>
      <c r="ER110">
        <v>14.2754625</v>
      </c>
      <c r="ES110">
        <v>800.00075</v>
      </c>
      <c r="ET110">
        <v>0.949997625</v>
      </c>
      <c r="EU110">
        <v>0.05000216875</v>
      </c>
      <c r="EV110">
        <v>0</v>
      </c>
      <c r="EW110">
        <v>324.200625</v>
      </c>
      <c r="EX110">
        <v>5.00016</v>
      </c>
      <c r="EY110">
        <v>2692.9575</v>
      </c>
      <c r="EZ110">
        <v>7194.678125</v>
      </c>
      <c r="FA110">
        <v>39.75</v>
      </c>
      <c r="FB110">
        <v>42.5</v>
      </c>
      <c r="FC110">
        <v>41.2185</v>
      </c>
      <c r="FD110">
        <v>42.569875</v>
      </c>
      <c r="FE110">
        <v>42.437</v>
      </c>
      <c r="FF110">
        <v>755.249375</v>
      </c>
      <c r="FG110">
        <v>39.75125</v>
      </c>
      <c r="FH110">
        <v>0</v>
      </c>
      <c r="FI110">
        <v>1765314208.9</v>
      </c>
      <c r="FJ110">
        <v>0</v>
      </c>
      <c r="FK110">
        <v>324.212461538462</v>
      </c>
      <c r="FL110">
        <v>-1.97388035517065</v>
      </c>
      <c r="FM110">
        <v>-10.5005128150847</v>
      </c>
      <c r="FN110">
        <v>2692.71615384615</v>
      </c>
      <c r="FO110">
        <v>15</v>
      </c>
      <c r="FP110">
        <v>1765314233.1</v>
      </c>
      <c r="FQ110" t="s">
        <v>730</v>
      </c>
      <c r="FR110">
        <v>1765314233.1</v>
      </c>
      <c r="FS110">
        <v>1765314227.1</v>
      </c>
      <c r="FT110">
        <v>94</v>
      </c>
      <c r="FU110">
        <v>-0.206</v>
      </c>
      <c r="FV110">
        <v>0.001</v>
      </c>
      <c r="FW110">
        <v>6.145</v>
      </c>
      <c r="FX110">
        <v>0.164</v>
      </c>
      <c r="FY110">
        <v>200</v>
      </c>
      <c r="FZ110">
        <v>18</v>
      </c>
      <c r="GA110">
        <v>0.42</v>
      </c>
      <c r="GB110">
        <v>0.23</v>
      </c>
      <c r="GC110">
        <v>0.40401305</v>
      </c>
      <c r="GD110">
        <v>-0.448447714285714</v>
      </c>
      <c r="GE110">
        <v>0.0543593016966508</v>
      </c>
      <c r="GF110">
        <v>1</v>
      </c>
      <c r="GG110">
        <v>324.310058823529</v>
      </c>
      <c r="GH110">
        <v>-1.23168831718873</v>
      </c>
      <c r="GI110">
        <v>0.171292481407828</v>
      </c>
      <c r="GJ110">
        <v>-1</v>
      </c>
      <c r="GK110">
        <v>0.1230111</v>
      </c>
      <c r="GL110">
        <v>-0.0103446315789473</v>
      </c>
      <c r="GM110">
        <v>0.00168873961580819</v>
      </c>
      <c r="GN110">
        <v>1</v>
      </c>
      <c r="GO110">
        <v>2</v>
      </c>
      <c r="GP110">
        <v>2</v>
      </c>
      <c r="GQ110" t="s">
        <v>440</v>
      </c>
      <c r="GR110">
        <v>3.12506</v>
      </c>
      <c r="GS110">
        <v>2.72566</v>
      </c>
      <c r="GT110">
        <v>0.0472479</v>
      </c>
      <c r="GU110">
        <v>0.0485826</v>
      </c>
      <c r="GV110">
        <v>0.0836985</v>
      </c>
      <c r="GW110">
        <v>0.0834814</v>
      </c>
      <c r="GX110">
        <v>25053.2</v>
      </c>
      <c r="GY110">
        <v>23306.7</v>
      </c>
      <c r="GZ110">
        <v>23506.7</v>
      </c>
      <c r="HA110">
        <v>23842.8</v>
      </c>
      <c r="HB110">
        <v>36672.2</v>
      </c>
      <c r="HC110">
        <v>36130.5</v>
      </c>
      <c r="HD110">
        <v>42336.7</v>
      </c>
      <c r="HE110">
        <v>42470.8</v>
      </c>
      <c r="HF110">
        <v>1.93635</v>
      </c>
      <c r="HG110">
        <v>1.85623</v>
      </c>
      <c r="HH110">
        <v>0.084497</v>
      </c>
      <c r="HI110">
        <v>0</v>
      </c>
      <c r="HJ110">
        <v>23.624</v>
      </c>
      <c r="HK110">
        <v>999.9</v>
      </c>
      <c r="HL110">
        <v>47.589</v>
      </c>
      <c r="HM110">
        <v>28.409</v>
      </c>
      <c r="HN110">
        <v>20.6363</v>
      </c>
      <c r="HO110">
        <v>54.2568</v>
      </c>
      <c r="HP110">
        <v>45.8053</v>
      </c>
      <c r="HQ110">
        <v>1</v>
      </c>
      <c r="HR110">
        <v>-0.130938</v>
      </c>
      <c r="HS110">
        <v>0.307977</v>
      </c>
      <c r="HT110">
        <v>20.232</v>
      </c>
      <c r="HU110">
        <v>5.23481</v>
      </c>
      <c r="HV110">
        <v>11.992</v>
      </c>
      <c r="HW110">
        <v>4.95665</v>
      </c>
      <c r="HX110">
        <v>3.304</v>
      </c>
      <c r="HY110">
        <v>999.9</v>
      </c>
      <c r="HZ110">
        <v>9999</v>
      </c>
      <c r="IA110">
        <v>9999</v>
      </c>
      <c r="IB110">
        <v>9999</v>
      </c>
      <c r="IC110">
        <v>1.86861</v>
      </c>
      <c r="ID110">
        <v>1.86432</v>
      </c>
      <c r="IE110">
        <v>1.87195</v>
      </c>
      <c r="IF110">
        <v>1.86287</v>
      </c>
      <c r="IG110">
        <v>1.86227</v>
      </c>
      <c r="IH110">
        <v>1.8687</v>
      </c>
      <c r="II110">
        <v>1.85884</v>
      </c>
      <c r="IJ110">
        <v>1.86523</v>
      </c>
      <c r="IK110">
        <v>5</v>
      </c>
      <c r="IL110">
        <v>0</v>
      </c>
      <c r="IM110">
        <v>0</v>
      </c>
      <c r="IN110">
        <v>0</v>
      </c>
      <c r="IO110" t="s">
        <v>441</v>
      </c>
      <c r="IP110" t="s">
        <v>442</v>
      </c>
      <c r="IQ110" t="s">
        <v>443</v>
      </c>
      <c r="IR110" t="s">
        <v>443</v>
      </c>
      <c r="IS110" t="s">
        <v>443</v>
      </c>
      <c r="IT110" t="s">
        <v>443</v>
      </c>
      <c r="IU110">
        <v>0</v>
      </c>
      <c r="IV110">
        <v>100</v>
      </c>
      <c r="IW110">
        <v>100</v>
      </c>
      <c r="IX110">
        <v>6.145</v>
      </c>
      <c r="IY110">
        <v>0.164</v>
      </c>
      <c r="IZ110">
        <v>5.25110675388347</v>
      </c>
      <c r="JA110">
        <v>0.0062698613543794</v>
      </c>
      <c r="JB110">
        <v>-3.23243345529816e-06</v>
      </c>
      <c r="JC110">
        <v>8.00506428382295e-10</v>
      </c>
      <c r="JD110">
        <v>-0.00153832619976663</v>
      </c>
      <c r="JE110">
        <v>-0.0018464610107002</v>
      </c>
      <c r="JF110">
        <v>0.000796540623429801</v>
      </c>
      <c r="JG110">
        <v>-1.04619914107352e-05</v>
      </c>
      <c r="JH110">
        <v>-0</v>
      </c>
      <c r="JI110">
        <v>2101</v>
      </c>
      <c r="JJ110">
        <v>1</v>
      </c>
      <c r="JK110">
        <v>23</v>
      </c>
      <c r="JL110">
        <v>1.2</v>
      </c>
      <c r="JM110">
        <v>1.5</v>
      </c>
      <c r="JN110">
        <v>0.5896</v>
      </c>
      <c r="JO110">
        <v>2.37915</v>
      </c>
      <c r="JP110">
        <v>1.4978</v>
      </c>
      <c r="JQ110">
        <v>2.34009</v>
      </c>
      <c r="JR110">
        <v>1.54419</v>
      </c>
      <c r="JS110">
        <v>2.37915</v>
      </c>
      <c r="JT110">
        <v>34.5321</v>
      </c>
      <c r="JU110">
        <v>24.3502</v>
      </c>
      <c r="JV110">
        <v>18</v>
      </c>
      <c r="JW110">
        <v>548.045</v>
      </c>
      <c r="JX110">
        <v>439.776</v>
      </c>
      <c r="JY110">
        <v>23.5198</v>
      </c>
      <c r="JZ110">
        <v>25.8578</v>
      </c>
      <c r="KA110">
        <v>30</v>
      </c>
      <c r="KB110">
        <v>25.837</v>
      </c>
      <c r="KC110">
        <v>25.864</v>
      </c>
      <c r="KD110">
        <v>11.8343</v>
      </c>
      <c r="KE110">
        <v>21.7988</v>
      </c>
      <c r="KF110">
        <v>100</v>
      </c>
      <c r="KG110">
        <v>23.5183</v>
      </c>
      <c r="KH110">
        <v>200</v>
      </c>
      <c r="KI110">
        <v>18.2724</v>
      </c>
      <c r="KJ110">
        <v>94.9212</v>
      </c>
      <c r="KK110">
        <v>99.0211</v>
      </c>
    </row>
    <row r="111" spans="1:297">
      <c r="A111">
        <v>95</v>
      </c>
      <c r="B111">
        <v>1765314307.1</v>
      </c>
      <c r="C111">
        <v>16358.0999999046</v>
      </c>
      <c r="D111" t="s">
        <v>731</v>
      </c>
      <c r="E111" t="s">
        <v>732</v>
      </c>
      <c r="F111">
        <v>5</v>
      </c>
      <c r="G111" t="s">
        <v>723</v>
      </c>
      <c r="H111" t="s">
        <v>436</v>
      </c>
      <c r="I111">
        <v>1765314299.1</v>
      </c>
      <c r="J111">
        <f>(K111)/1000</f>
        <v>0</v>
      </c>
      <c r="K111">
        <f>IF(DP111, AN111, AH111)</f>
        <v>0</v>
      </c>
      <c r="L111">
        <f>IF(DP111, AI111, AG111)</f>
        <v>0</v>
      </c>
      <c r="M111">
        <f>DR111 - IF(AU111&gt;1, L111*DL111*100.0/(AW111), 0)</f>
        <v>0</v>
      </c>
      <c r="N111">
        <f>((T111-J111/2)*M111-L111)/(T111+J111/2)</f>
        <v>0</v>
      </c>
      <c r="O111">
        <f>N111*(DY111+DZ111)/1000.0</f>
        <v>0</v>
      </c>
      <c r="P111">
        <f>(DR111 - IF(AU111&gt;1, L111*DL111*100.0/(AW111), 0))*(DY111+DZ111)/1000.0</f>
        <v>0</v>
      </c>
      <c r="Q111">
        <f>2.0/((1/S111-1/R111)+SIGN(S111)*SQRT((1/S111-1/R111)*(1/S111-1/R111) + 4*DM111/((DM111+1)*(DM111+1))*(2*1/S111*1/R111-1/R111*1/R111)))</f>
        <v>0</v>
      </c>
      <c r="R111">
        <f>IF(LEFT(DN111,1)&lt;&gt;"0",IF(LEFT(DN111,1)="1",3.0,DO111),$D$5+$E$5*(EF111*DY111/($K$5*1000))+$F$5*(EF111*DY111/($K$5*1000))*MAX(MIN(DL111,$J$5),$I$5)*MAX(MIN(DL111,$J$5),$I$5)+$G$5*MAX(MIN(DL111,$J$5),$I$5)*(EF111*DY111/($K$5*1000))+$H$5*(EF111*DY111/($K$5*1000))*(EF111*DY111/($K$5*1000)))</f>
        <v>0</v>
      </c>
      <c r="S111">
        <f>J111*(1000-(1000*0.61365*exp(17.502*W111/(240.97+W111))/(DY111+DZ111)+DT111)/2)/(1000*0.61365*exp(17.502*W111/(240.97+W111))/(DY111+DZ111)-DT111)</f>
        <v>0</v>
      </c>
      <c r="T111">
        <f>1/((DM111+1)/(Q111/1.6)+1/(R111/1.37)) + DM111/((DM111+1)/(Q111/1.6) + DM111/(R111/1.37))</f>
        <v>0</v>
      </c>
      <c r="U111">
        <f>(DH111*DK111)</f>
        <v>0</v>
      </c>
      <c r="V111">
        <f>(EA111+(U111+2*0.95*5.67E-8*(((EA111+$B$7)+273)^4-(EA111+273)^4)-44100*J111)/(1.84*29.3*R111+8*0.95*5.67E-8*(EA111+273)^3))</f>
        <v>0</v>
      </c>
      <c r="W111">
        <f>($C$7*EB111+$D$7*EC111+$E$7*V111)</f>
        <v>0</v>
      </c>
      <c r="X111">
        <f>0.61365*exp(17.502*W111/(240.97+W111))</f>
        <v>0</v>
      </c>
      <c r="Y111">
        <f>(Z111/AA111*100)</f>
        <v>0</v>
      </c>
      <c r="Z111">
        <f>DT111*(DY111+DZ111)/1000</f>
        <v>0</v>
      </c>
      <c r="AA111">
        <f>0.61365*exp(17.502*EA111/(240.97+EA111))</f>
        <v>0</v>
      </c>
      <c r="AB111">
        <f>(X111-DT111*(DY111+DZ111)/1000)</f>
        <v>0</v>
      </c>
      <c r="AC111">
        <f>(-J111*44100)</f>
        <v>0</v>
      </c>
      <c r="AD111">
        <f>2*29.3*R111*0.92*(EA111-W111)</f>
        <v>0</v>
      </c>
      <c r="AE111">
        <f>2*0.95*5.67E-8*(((EA111+$B$7)+273)^4-(W111+273)^4)</f>
        <v>0</v>
      </c>
      <c r="AF111">
        <f>U111+AE111+AC111+AD111</f>
        <v>0</v>
      </c>
      <c r="AG111">
        <f>DX111*AU111*(DS111-DR111*(1000-AU111*DU111)/(1000-AU111*DT111))/(100*DL111)</f>
        <v>0</v>
      </c>
      <c r="AH111">
        <f>1000*DX111*AU111*(DT111-DU111)/(100*DL111*(1000-AU111*DT111))</f>
        <v>0</v>
      </c>
      <c r="AI111">
        <f>(AJ111 - AK111 - DY111*1E3/(8.314*(EA111+273.15)) * AM111/DX111 * AL111) * DX111/(100*DL111) * (1000 - DU111)/1000</f>
        <v>0</v>
      </c>
      <c r="AJ111">
        <v>101.838514889563</v>
      </c>
      <c r="AK111">
        <v>101.876551515152</v>
      </c>
      <c r="AL111">
        <v>-0.0022684650790686</v>
      </c>
      <c r="AM111">
        <v>63.8196208178721</v>
      </c>
      <c r="AN111">
        <f>(AP111 - AO111 + DY111*1E3/(8.314*(EA111+273.15)) * AR111/DX111 * AQ111) * DX111/(100*DL111) * 1000/(1000 - AP111)</f>
        <v>0</v>
      </c>
      <c r="AO111">
        <v>18.2379060769963</v>
      </c>
      <c r="AP111">
        <v>18.3605296969697</v>
      </c>
      <c r="AQ111">
        <v>-2.0809224670567e-05</v>
      </c>
      <c r="AR111">
        <v>105.477598633547</v>
      </c>
      <c r="AS111">
        <v>0</v>
      </c>
      <c r="AT111">
        <v>0</v>
      </c>
      <c r="AU111">
        <f>IF(AS111*$H$13&gt;=AW111,1.0,(AW111/(AW111-AS111*$H$13)))</f>
        <v>0</v>
      </c>
      <c r="AV111">
        <f>(AU111-1)*100</f>
        <v>0</v>
      </c>
      <c r="AW111">
        <f>MAX(0,($B$13+$C$13*EF111)/(1+$D$13*EF111)*DY111/(EA111+273)*$E$13)</f>
        <v>0</v>
      </c>
      <c r="AX111" t="s">
        <v>437</v>
      </c>
      <c r="AY111" t="s">
        <v>437</v>
      </c>
      <c r="AZ111">
        <v>0</v>
      </c>
      <c r="BA111">
        <v>0</v>
      </c>
      <c r="BB111">
        <f>1-AZ111/BA111</f>
        <v>0</v>
      </c>
      <c r="BC111">
        <v>0</v>
      </c>
      <c r="BD111" t="s">
        <v>437</v>
      </c>
      <c r="BE111" t="s">
        <v>437</v>
      </c>
      <c r="BF111">
        <v>0</v>
      </c>
      <c r="BG111">
        <v>0</v>
      </c>
      <c r="BH111">
        <f>1-BF111/BG111</f>
        <v>0</v>
      </c>
      <c r="BI111">
        <v>0.5</v>
      </c>
      <c r="BJ111">
        <f>DI111</f>
        <v>0</v>
      </c>
      <c r="BK111">
        <f>L111</f>
        <v>0</v>
      </c>
      <c r="BL111">
        <f>BH111*BI111*BJ111</f>
        <v>0</v>
      </c>
      <c r="BM111">
        <f>(BK111-BC111)/BJ111</f>
        <v>0</v>
      </c>
      <c r="BN111">
        <f>(BA111-BG111)/BG111</f>
        <v>0</v>
      </c>
      <c r="BO111">
        <f>AZ111/(BB111+AZ111/BG111)</f>
        <v>0</v>
      </c>
      <c r="BP111" t="s">
        <v>437</v>
      </c>
      <c r="BQ111">
        <v>0</v>
      </c>
      <c r="BR111">
        <f>IF(BQ111&lt;&gt;0, BQ111, BO111)</f>
        <v>0</v>
      </c>
      <c r="BS111">
        <f>1-BR111/BG111</f>
        <v>0</v>
      </c>
      <c r="BT111">
        <f>(BG111-BF111)/(BG111-BR111)</f>
        <v>0</v>
      </c>
      <c r="BU111">
        <f>(BA111-BG111)/(BA111-BR111)</f>
        <v>0</v>
      </c>
      <c r="BV111">
        <f>(BG111-BF111)/(BG111-AZ111)</f>
        <v>0</v>
      </c>
      <c r="BW111">
        <f>(BA111-BG111)/(BA111-AZ111)</f>
        <v>0</v>
      </c>
      <c r="BX111">
        <f>(BT111*BR111/BF111)</f>
        <v>0</v>
      </c>
      <c r="BY111">
        <f>(1-BX111)</f>
        <v>0</v>
      </c>
      <c r="DH111">
        <f>$B$11*EG111+$C$11*EH111+$F$11*ES111*(1-EV111)</f>
        <v>0</v>
      </c>
      <c r="DI111">
        <f>DH111*DJ111</f>
        <v>0</v>
      </c>
      <c r="DJ111">
        <f>($B$11*$D$9+$C$11*$D$9+$F$11*((FF111+EX111)/MAX(FF111+EX111+FG111, 0.1)*$I$9+FG111/MAX(FF111+EX111+FG111, 0.1)*$J$9))/($B$11+$C$11+$F$11)</f>
        <v>0</v>
      </c>
      <c r="DK111">
        <f>($B$11*$K$9+$C$11*$K$9+$F$11*((FF111+EX111)/MAX(FF111+EX111+FG111, 0.1)*$P$9+FG111/MAX(FF111+EX111+FG111, 0.1)*$Q$9))/($B$11+$C$11+$F$11)</f>
        <v>0</v>
      </c>
      <c r="DL111">
        <v>5.66</v>
      </c>
      <c r="DM111">
        <v>0.5</v>
      </c>
      <c r="DN111" t="s">
        <v>438</v>
      </c>
      <c r="DO111">
        <v>2</v>
      </c>
      <c r="DP111" t="b">
        <v>1</v>
      </c>
      <c r="DQ111">
        <v>1765314299.1</v>
      </c>
      <c r="DR111">
        <v>100.237246666667</v>
      </c>
      <c r="DS111">
        <v>100.009526666667</v>
      </c>
      <c r="DT111">
        <v>18.3573133333333</v>
      </c>
      <c r="DU111">
        <v>18.23852</v>
      </c>
      <c r="DV111">
        <v>94.4572466666667</v>
      </c>
      <c r="DW111">
        <v>18.1953133333333</v>
      </c>
      <c r="DX111">
        <v>500.000866666667</v>
      </c>
      <c r="DY111">
        <v>89.61762</v>
      </c>
      <c r="DZ111">
        <v>0.0999528466666667</v>
      </c>
      <c r="EA111">
        <v>25.6140333333333</v>
      </c>
      <c r="EB111">
        <v>25.0003333333333</v>
      </c>
      <c r="EC111">
        <v>999.9</v>
      </c>
      <c r="ED111">
        <v>0</v>
      </c>
      <c r="EE111">
        <v>0</v>
      </c>
      <c r="EF111">
        <v>9998.586</v>
      </c>
      <c r="EG111">
        <v>0</v>
      </c>
      <c r="EH111">
        <v>11.8398466666667</v>
      </c>
      <c r="EI111">
        <v>0.0568598454666667</v>
      </c>
      <c r="EJ111">
        <v>101.938066666667</v>
      </c>
      <c r="EK111">
        <v>101.867333333333</v>
      </c>
      <c r="EL111">
        <v>0.1232572</v>
      </c>
      <c r="EM111">
        <v>100.009526666667</v>
      </c>
      <c r="EN111">
        <v>18.23852</v>
      </c>
      <c r="EO111">
        <v>1.64553866666667</v>
      </c>
      <c r="EP111">
        <v>1.63449466666667</v>
      </c>
      <c r="EQ111">
        <v>14.3920066666667</v>
      </c>
      <c r="ER111">
        <v>14.2879066666667</v>
      </c>
      <c r="ES111">
        <v>800.003466666667</v>
      </c>
      <c r="ET111">
        <v>0.949992</v>
      </c>
      <c r="EU111">
        <v>0.0500077666666667</v>
      </c>
      <c r="EV111">
        <v>0</v>
      </c>
      <c r="EW111">
        <v>322.069466666667</v>
      </c>
      <c r="EX111">
        <v>5.00016</v>
      </c>
      <c r="EY111">
        <v>2676.16933333333</v>
      </c>
      <c r="EZ111">
        <v>7194.69</v>
      </c>
      <c r="FA111">
        <v>39.75</v>
      </c>
      <c r="FB111">
        <v>42.5</v>
      </c>
      <c r="FC111">
        <v>41.2374</v>
      </c>
      <c r="FD111">
        <v>42.562</v>
      </c>
      <c r="FE111">
        <v>42.437</v>
      </c>
      <c r="FF111">
        <v>755.247333333333</v>
      </c>
      <c r="FG111">
        <v>39.756</v>
      </c>
      <c r="FH111">
        <v>0</v>
      </c>
      <c r="FI111">
        <v>1765314307.9</v>
      </c>
      <c r="FJ111">
        <v>0</v>
      </c>
      <c r="FK111">
        <v>322.06396</v>
      </c>
      <c r="FL111">
        <v>-1.19707691677155</v>
      </c>
      <c r="FM111">
        <v>-8.63846153558908</v>
      </c>
      <c r="FN111">
        <v>2676.032</v>
      </c>
      <c r="FO111">
        <v>15</v>
      </c>
      <c r="FP111">
        <v>1765314331.1</v>
      </c>
      <c r="FQ111" t="s">
        <v>733</v>
      </c>
      <c r="FR111">
        <v>1765314331.1</v>
      </c>
      <c r="FS111">
        <v>1765314325.1</v>
      </c>
      <c r="FT111">
        <v>95</v>
      </c>
      <c r="FU111">
        <v>0.172</v>
      </c>
      <c r="FV111">
        <v>-0.003</v>
      </c>
      <c r="FW111">
        <v>5.78</v>
      </c>
      <c r="FX111">
        <v>0.162</v>
      </c>
      <c r="FY111">
        <v>100</v>
      </c>
      <c r="FZ111">
        <v>18</v>
      </c>
      <c r="GA111">
        <v>0.31</v>
      </c>
      <c r="GB111">
        <v>0.08</v>
      </c>
      <c r="GC111">
        <v>0.0885728952380952</v>
      </c>
      <c r="GD111">
        <v>-0.420484192207792</v>
      </c>
      <c r="GE111">
        <v>0.0597335938413734</v>
      </c>
      <c r="GF111">
        <v>1</v>
      </c>
      <c r="GG111">
        <v>322.149264705882</v>
      </c>
      <c r="GH111">
        <v>-1.15320091498492</v>
      </c>
      <c r="GI111">
        <v>0.22434300272568</v>
      </c>
      <c r="GJ111">
        <v>-1</v>
      </c>
      <c r="GK111">
        <v>0.123835285714286</v>
      </c>
      <c r="GL111">
        <v>-0.00383766233766228</v>
      </c>
      <c r="GM111">
        <v>0.00146189701099233</v>
      </c>
      <c r="GN111">
        <v>1</v>
      </c>
      <c r="GO111">
        <v>2</v>
      </c>
      <c r="GP111">
        <v>2</v>
      </c>
      <c r="GQ111" t="s">
        <v>440</v>
      </c>
      <c r="GR111">
        <v>3.12507</v>
      </c>
      <c r="GS111">
        <v>2.72564</v>
      </c>
      <c r="GT111">
        <v>0.0241524</v>
      </c>
      <c r="GU111">
        <v>0.0255818</v>
      </c>
      <c r="GV111">
        <v>0.0837516</v>
      </c>
      <c r="GW111">
        <v>0.0835371</v>
      </c>
      <c r="GX111">
        <v>25659.1</v>
      </c>
      <c r="GY111">
        <v>23870.2</v>
      </c>
      <c r="GZ111">
        <v>23505.3</v>
      </c>
      <c r="HA111">
        <v>23842.8</v>
      </c>
      <c r="HB111">
        <v>36666</v>
      </c>
      <c r="HC111">
        <v>36126.3</v>
      </c>
      <c r="HD111">
        <v>42334.3</v>
      </c>
      <c r="HE111">
        <v>42470.5</v>
      </c>
      <c r="HF111">
        <v>1.93627</v>
      </c>
      <c r="HG111">
        <v>1.85642</v>
      </c>
      <c r="HH111">
        <v>0.0815243</v>
      </c>
      <c r="HI111">
        <v>0</v>
      </c>
      <c r="HJ111">
        <v>23.6695</v>
      </c>
      <c r="HK111">
        <v>999.9</v>
      </c>
      <c r="HL111">
        <v>47.613</v>
      </c>
      <c r="HM111">
        <v>28.379</v>
      </c>
      <c r="HN111">
        <v>20.611</v>
      </c>
      <c r="HO111">
        <v>54.3168</v>
      </c>
      <c r="HP111">
        <v>45.8053</v>
      </c>
      <c r="HQ111">
        <v>1</v>
      </c>
      <c r="HR111">
        <v>-0.13046</v>
      </c>
      <c r="HS111">
        <v>0.30866</v>
      </c>
      <c r="HT111">
        <v>20.2322</v>
      </c>
      <c r="HU111">
        <v>5.23451</v>
      </c>
      <c r="HV111">
        <v>11.992</v>
      </c>
      <c r="HW111">
        <v>4.957</v>
      </c>
      <c r="HX111">
        <v>3.304</v>
      </c>
      <c r="HY111">
        <v>999.9</v>
      </c>
      <c r="HZ111">
        <v>9999</v>
      </c>
      <c r="IA111">
        <v>9999</v>
      </c>
      <c r="IB111">
        <v>9999</v>
      </c>
      <c r="IC111">
        <v>1.86862</v>
      </c>
      <c r="ID111">
        <v>1.86432</v>
      </c>
      <c r="IE111">
        <v>1.87195</v>
      </c>
      <c r="IF111">
        <v>1.86285</v>
      </c>
      <c r="IG111">
        <v>1.86226</v>
      </c>
      <c r="IH111">
        <v>1.86873</v>
      </c>
      <c r="II111">
        <v>1.85884</v>
      </c>
      <c r="IJ111">
        <v>1.86523</v>
      </c>
      <c r="IK111">
        <v>5</v>
      </c>
      <c r="IL111">
        <v>0</v>
      </c>
      <c r="IM111">
        <v>0</v>
      </c>
      <c r="IN111">
        <v>0</v>
      </c>
      <c r="IO111" t="s">
        <v>441</v>
      </c>
      <c r="IP111" t="s">
        <v>442</v>
      </c>
      <c r="IQ111" t="s">
        <v>443</v>
      </c>
      <c r="IR111" t="s">
        <v>443</v>
      </c>
      <c r="IS111" t="s">
        <v>443</v>
      </c>
      <c r="IT111" t="s">
        <v>443</v>
      </c>
      <c r="IU111">
        <v>0</v>
      </c>
      <c r="IV111">
        <v>100</v>
      </c>
      <c r="IW111">
        <v>100</v>
      </c>
      <c r="IX111">
        <v>5.78</v>
      </c>
      <c r="IY111">
        <v>0.162</v>
      </c>
      <c r="IZ111">
        <v>5.04497888748965</v>
      </c>
      <c r="JA111">
        <v>0.0062698613543794</v>
      </c>
      <c r="JB111">
        <v>-3.23243345529816e-06</v>
      </c>
      <c r="JC111">
        <v>8.00506428382295e-10</v>
      </c>
      <c r="JD111">
        <v>-0.000609852552593326</v>
      </c>
      <c r="JE111">
        <v>-0.0018464610107002</v>
      </c>
      <c r="JF111">
        <v>0.000796540623429801</v>
      </c>
      <c r="JG111">
        <v>-1.04619914107352e-05</v>
      </c>
      <c r="JH111">
        <v>-0</v>
      </c>
      <c r="JI111">
        <v>2101</v>
      </c>
      <c r="JJ111">
        <v>1</v>
      </c>
      <c r="JK111">
        <v>23</v>
      </c>
      <c r="JL111">
        <v>1.2</v>
      </c>
      <c r="JM111">
        <v>1.3</v>
      </c>
      <c r="JN111">
        <v>0.368652</v>
      </c>
      <c r="JO111">
        <v>2.41821</v>
      </c>
      <c r="JP111">
        <v>1.49902</v>
      </c>
      <c r="JQ111">
        <v>2.33887</v>
      </c>
      <c r="JR111">
        <v>1.54419</v>
      </c>
      <c r="JS111">
        <v>2.29126</v>
      </c>
      <c r="JT111">
        <v>34.4864</v>
      </c>
      <c r="JU111">
        <v>24.3414</v>
      </c>
      <c r="JV111">
        <v>18</v>
      </c>
      <c r="JW111">
        <v>547.92</v>
      </c>
      <c r="JX111">
        <v>439.826</v>
      </c>
      <c r="JY111">
        <v>23.5026</v>
      </c>
      <c r="JZ111">
        <v>25.8534</v>
      </c>
      <c r="KA111">
        <v>30.0001</v>
      </c>
      <c r="KB111">
        <v>25.8283</v>
      </c>
      <c r="KC111">
        <v>25.8554</v>
      </c>
      <c r="KD111">
        <v>7.40869</v>
      </c>
      <c r="KE111">
        <v>21.5031</v>
      </c>
      <c r="KF111">
        <v>100</v>
      </c>
      <c r="KG111">
        <v>23.5024</v>
      </c>
      <c r="KH111">
        <v>100</v>
      </c>
      <c r="KI111">
        <v>18.2827</v>
      </c>
      <c r="KJ111">
        <v>94.9157</v>
      </c>
      <c r="KK111">
        <v>99.0206</v>
      </c>
    </row>
    <row r="112" spans="1:297">
      <c r="A112">
        <v>96</v>
      </c>
      <c r="B112">
        <v>1765314400.1</v>
      </c>
      <c r="C112">
        <v>16451.0999999046</v>
      </c>
      <c r="D112" t="s">
        <v>734</v>
      </c>
      <c r="E112" t="s">
        <v>735</v>
      </c>
      <c r="F112">
        <v>5</v>
      </c>
      <c r="G112" t="s">
        <v>723</v>
      </c>
      <c r="H112" t="s">
        <v>436</v>
      </c>
      <c r="I112">
        <v>1765314391.6</v>
      </c>
      <c r="J112">
        <f>(K112)/1000</f>
        <v>0</v>
      </c>
      <c r="K112">
        <f>IF(DP112, AN112, AH112)</f>
        <v>0</v>
      </c>
      <c r="L112">
        <f>IF(DP112, AI112, AG112)</f>
        <v>0</v>
      </c>
      <c r="M112">
        <f>DR112 - IF(AU112&gt;1, L112*DL112*100.0/(AW112), 0)</f>
        <v>0</v>
      </c>
      <c r="N112">
        <f>((T112-J112/2)*M112-L112)/(T112+J112/2)</f>
        <v>0</v>
      </c>
      <c r="O112">
        <f>N112*(DY112+DZ112)/1000.0</f>
        <v>0</v>
      </c>
      <c r="P112">
        <f>(DR112 - IF(AU112&gt;1, L112*DL112*100.0/(AW112), 0))*(DY112+DZ112)/1000.0</f>
        <v>0</v>
      </c>
      <c r="Q112">
        <f>2.0/((1/S112-1/R112)+SIGN(S112)*SQRT((1/S112-1/R112)*(1/S112-1/R112) + 4*DM112/((DM112+1)*(DM112+1))*(2*1/S112*1/R112-1/R112*1/R112)))</f>
        <v>0</v>
      </c>
      <c r="R112">
        <f>IF(LEFT(DN112,1)&lt;&gt;"0",IF(LEFT(DN112,1)="1",3.0,DO112),$D$5+$E$5*(EF112*DY112/($K$5*1000))+$F$5*(EF112*DY112/($K$5*1000))*MAX(MIN(DL112,$J$5),$I$5)*MAX(MIN(DL112,$J$5),$I$5)+$G$5*MAX(MIN(DL112,$J$5),$I$5)*(EF112*DY112/($K$5*1000))+$H$5*(EF112*DY112/($K$5*1000))*(EF112*DY112/($K$5*1000)))</f>
        <v>0</v>
      </c>
      <c r="S112">
        <f>J112*(1000-(1000*0.61365*exp(17.502*W112/(240.97+W112))/(DY112+DZ112)+DT112)/2)/(1000*0.61365*exp(17.502*W112/(240.97+W112))/(DY112+DZ112)-DT112)</f>
        <v>0</v>
      </c>
      <c r="T112">
        <f>1/((DM112+1)/(Q112/1.6)+1/(R112/1.37)) + DM112/((DM112+1)/(Q112/1.6) + DM112/(R112/1.37))</f>
        <v>0</v>
      </c>
      <c r="U112">
        <f>(DH112*DK112)</f>
        <v>0</v>
      </c>
      <c r="V112">
        <f>(EA112+(U112+2*0.95*5.67E-8*(((EA112+$B$7)+273)^4-(EA112+273)^4)-44100*J112)/(1.84*29.3*R112+8*0.95*5.67E-8*(EA112+273)^3))</f>
        <v>0</v>
      </c>
      <c r="W112">
        <f>($C$7*EB112+$D$7*EC112+$E$7*V112)</f>
        <v>0</v>
      </c>
      <c r="X112">
        <f>0.61365*exp(17.502*W112/(240.97+W112))</f>
        <v>0</v>
      </c>
      <c r="Y112">
        <f>(Z112/AA112*100)</f>
        <v>0</v>
      </c>
      <c r="Z112">
        <f>DT112*(DY112+DZ112)/1000</f>
        <v>0</v>
      </c>
      <c r="AA112">
        <f>0.61365*exp(17.502*EA112/(240.97+EA112))</f>
        <v>0</v>
      </c>
      <c r="AB112">
        <f>(X112-DT112*(DY112+DZ112)/1000)</f>
        <v>0</v>
      </c>
      <c r="AC112">
        <f>(-J112*44100)</f>
        <v>0</v>
      </c>
      <c r="AD112">
        <f>2*29.3*R112*0.92*(EA112-W112)</f>
        <v>0</v>
      </c>
      <c r="AE112">
        <f>2*0.95*5.67E-8*(((EA112+$B$7)+273)^4-(W112+273)^4)</f>
        <v>0</v>
      </c>
      <c r="AF112">
        <f>U112+AE112+AC112+AD112</f>
        <v>0</v>
      </c>
      <c r="AG112">
        <f>DX112*AU112*(DS112-DR112*(1000-AU112*DU112)/(1000-AU112*DT112))/(100*DL112)</f>
        <v>0</v>
      </c>
      <c r="AH112">
        <f>1000*DX112*AU112*(DT112-DU112)/(100*DL112*(1000-AU112*DT112))</f>
        <v>0</v>
      </c>
      <c r="AI112">
        <f>(AJ112 - AK112 - DY112*1E3/(8.314*(EA112+273.15)) * AM112/DX112 * AL112) * DX112/(100*DL112) * (1000 - DU112)/1000</f>
        <v>0</v>
      </c>
      <c r="AJ112">
        <v>50.9480071065986</v>
      </c>
      <c r="AK112">
        <v>50.9409709090909</v>
      </c>
      <c r="AL112">
        <v>0.000633056057554539</v>
      </c>
      <c r="AM112">
        <v>63.385530416263</v>
      </c>
      <c r="AN112">
        <f>(AP112 - AO112 + DY112*1E3/(8.314*(EA112+273.15)) * AR112/DX112 * AQ112) * DX112/(100*DL112) * 1000/(1000 - AP112)</f>
        <v>0</v>
      </c>
      <c r="AO112">
        <v>18.2788658939423</v>
      </c>
      <c r="AP112">
        <v>18.3981521212121</v>
      </c>
      <c r="AQ112">
        <v>3.64556099390838e-05</v>
      </c>
      <c r="AR112">
        <v>107.597782140318</v>
      </c>
      <c r="AS112">
        <v>0</v>
      </c>
      <c r="AT112">
        <v>0</v>
      </c>
      <c r="AU112">
        <f>IF(AS112*$H$13&gt;=AW112,1.0,(AW112/(AW112-AS112*$H$13)))</f>
        <v>0</v>
      </c>
      <c r="AV112">
        <f>(AU112-1)*100</f>
        <v>0</v>
      </c>
      <c r="AW112">
        <f>MAX(0,($B$13+$C$13*EF112)/(1+$D$13*EF112)*DY112/(EA112+273)*$E$13)</f>
        <v>0</v>
      </c>
      <c r="AX112" t="s">
        <v>437</v>
      </c>
      <c r="AY112" t="s">
        <v>437</v>
      </c>
      <c r="AZ112">
        <v>0</v>
      </c>
      <c r="BA112">
        <v>0</v>
      </c>
      <c r="BB112">
        <f>1-AZ112/BA112</f>
        <v>0</v>
      </c>
      <c r="BC112">
        <v>0</v>
      </c>
      <c r="BD112" t="s">
        <v>437</v>
      </c>
      <c r="BE112" t="s">
        <v>437</v>
      </c>
      <c r="BF112">
        <v>0</v>
      </c>
      <c r="BG112">
        <v>0</v>
      </c>
      <c r="BH112">
        <f>1-BF112/BG112</f>
        <v>0</v>
      </c>
      <c r="BI112">
        <v>0.5</v>
      </c>
      <c r="BJ112">
        <f>DI112</f>
        <v>0</v>
      </c>
      <c r="BK112">
        <f>L112</f>
        <v>0</v>
      </c>
      <c r="BL112">
        <f>BH112*BI112*BJ112</f>
        <v>0</v>
      </c>
      <c r="BM112">
        <f>(BK112-BC112)/BJ112</f>
        <v>0</v>
      </c>
      <c r="BN112">
        <f>(BA112-BG112)/BG112</f>
        <v>0</v>
      </c>
      <c r="BO112">
        <f>AZ112/(BB112+AZ112/BG112)</f>
        <v>0</v>
      </c>
      <c r="BP112" t="s">
        <v>437</v>
      </c>
      <c r="BQ112">
        <v>0</v>
      </c>
      <c r="BR112">
        <f>IF(BQ112&lt;&gt;0, BQ112, BO112)</f>
        <v>0</v>
      </c>
      <c r="BS112">
        <f>1-BR112/BG112</f>
        <v>0</v>
      </c>
      <c r="BT112">
        <f>(BG112-BF112)/(BG112-BR112)</f>
        <v>0</v>
      </c>
      <c r="BU112">
        <f>(BA112-BG112)/(BA112-BR112)</f>
        <v>0</v>
      </c>
      <c r="BV112">
        <f>(BG112-BF112)/(BG112-AZ112)</f>
        <v>0</v>
      </c>
      <c r="BW112">
        <f>(BA112-BG112)/(BA112-AZ112)</f>
        <v>0</v>
      </c>
      <c r="BX112">
        <f>(BT112*BR112/BF112)</f>
        <v>0</v>
      </c>
      <c r="BY112">
        <f>(1-BX112)</f>
        <v>0</v>
      </c>
      <c r="DH112">
        <f>$B$11*EG112+$C$11*EH112+$F$11*ES112*(1-EV112)</f>
        <v>0</v>
      </c>
      <c r="DI112">
        <f>DH112*DJ112</f>
        <v>0</v>
      </c>
      <c r="DJ112">
        <f>($B$11*$D$9+$C$11*$D$9+$F$11*((FF112+EX112)/MAX(FF112+EX112+FG112, 0.1)*$I$9+FG112/MAX(FF112+EX112+FG112, 0.1)*$J$9))/($B$11+$C$11+$F$11)</f>
        <v>0</v>
      </c>
      <c r="DK112">
        <f>($B$11*$K$9+$C$11*$K$9+$F$11*((FF112+EX112)/MAX(FF112+EX112+FG112, 0.1)*$P$9+FG112/MAX(FF112+EX112+FG112, 0.1)*$Q$9))/($B$11+$C$11+$F$11)</f>
        <v>0</v>
      </c>
      <c r="DL112">
        <v>5.66</v>
      </c>
      <c r="DM112">
        <v>0.5</v>
      </c>
      <c r="DN112" t="s">
        <v>438</v>
      </c>
      <c r="DO112">
        <v>2</v>
      </c>
      <c r="DP112" t="b">
        <v>1</v>
      </c>
      <c r="DQ112">
        <v>1765314391.6</v>
      </c>
      <c r="DR112">
        <v>50.26653125</v>
      </c>
      <c r="DS112">
        <v>50.0111875</v>
      </c>
      <c r="DT112">
        <v>18.394225</v>
      </c>
      <c r="DU112">
        <v>18.27961875</v>
      </c>
      <c r="DV112">
        <v>44.54753125</v>
      </c>
      <c r="DW112">
        <v>18.232225</v>
      </c>
      <c r="DX112">
        <v>499.976625</v>
      </c>
      <c r="DY112">
        <v>89.62183125</v>
      </c>
      <c r="DZ112">
        <v>0.0999444</v>
      </c>
      <c r="EA112">
        <v>25.611275</v>
      </c>
      <c r="EB112">
        <v>24.9966875</v>
      </c>
      <c r="EC112">
        <v>999.9</v>
      </c>
      <c r="ED112">
        <v>0</v>
      </c>
      <c r="EE112">
        <v>0</v>
      </c>
      <c r="EF112">
        <v>10009.44625</v>
      </c>
      <c r="EG112">
        <v>0</v>
      </c>
      <c r="EH112">
        <v>11.4377</v>
      </c>
      <c r="EI112">
        <v>0.025879155625</v>
      </c>
      <c r="EJ112">
        <v>50.97483125</v>
      </c>
      <c r="EK112">
        <v>50.94239375</v>
      </c>
      <c r="EL112">
        <v>0.116875</v>
      </c>
      <c r="EM112">
        <v>50.0111875</v>
      </c>
      <c r="EN112">
        <v>18.27961875</v>
      </c>
      <c r="EO112">
        <v>1.648726875</v>
      </c>
      <c r="EP112">
        <v>1.63825375</v>
      </c>
      <c r="EQ112">
        <v>14.4219375</v>
      </c>
      <c r="ER112">
        <v>14.32338125</v>
      </c>
      <c r="ES112">
        <v>800.013375</v>
      </c>
      <c r="ET112">
        <v>0.9499875</v>
      </c>
      <c r="EU112">
        <v>0.05001218125</v>
      </c>
      <c r="EV112">
        <v>0</v>
      </c>
      <c r="EW112">
        <v>320.5095625</v>
      </c>
      <c r="EX112">
        <v>5.00016</v>
      </c>
      <c r="EY112">
        <v>2662.726875</v>
      </c>
      <c r="EZ112">
        <v>7194.768125</v>
      </c>
      <c r="FA112">
        <v>39.75</v>
      </c>
      <c r="FB112">
        <v>42.5</v>
      </c>
      <c r="FC112">
        <v>41.25</v>
      </c>
      <c r="FD112">
        <v>42.5659375</v>
      </c>
      <c r="FE112">
        <v>42.437</v>
      </c>
      <c r="FF112">
        <v>755.253125</v>
      </c>
      <c r="FG112">
        <v>39.760625</v>
      </c>
      <c r="FH112">
        <v>0</v>
      </c>
      <c r="FI112">
        <v>1765314400.9</v>
      </c>
      <c r="FJ112">
        <v>0</v>
      </c>
      <c r="FK112">
        <v>320.485769230769</v>
      </c>
      <c r="FL112">
        <v>0.404307702835713</v>
      </c>
      <c r="FM112">
        <v>-0.161367546500486</v>
      </c>
      <c r="FN112">
        <v>2662.65307692308</v>
      </c>
      <c r="FO112">
        <v>15</v>
      </c>
      <c r="FP112">
        <v>1765314426.1</v>
      </c>
      <c r="FQ112" t="s">
        <v>736</v>
      </c>
      <c r="FR112">
        <v>1765314426.1</v>
      </c>
      <c r="FS112">
        <v>1765314418.1</v>
      </c>
      <c r="FT112">
        <v>96</v>
      </c>
      <c r="FU112">
        <v>0.231</v>
      </c>
      <c r="FV112">
        <v>-0</v>
      </c>
      <c r="FW112">
        <v>5.719</v>
      </c>
      <c r="FX112">
        <v>0.162</v>
      </c>
      <c r="FY112">
        <v>50</v>
      </c>
      <c r="FZ112">
        <v>18</v>
      </c>
      <c r="GA112">
        <v>0.22</v>
      </c>
      <c r="GB112">
        <v>0.15</v>
      </c>
      <c r="GC112">
        <v>0.0432657295</v>
      </c>
      <c r="GD112">
        <v>-0.415578927067669</v>
      </c>
      <c r="GE112">
        <v>0.0438047038938091</v>
      </c>
      <c r="GF112">
        <v>1</v>
      </c>
      <c r="GG112">
        <v>320.508205882353</v>
      </c>
      <c r="GH112">
        <v>-0.584216959832034</v>
      </c>
      <c r="GI112">
        <v>0.187195993454452</v>
      </c>
      <c r="GJ112">
        <v>-1</v>
      </c>
      <c r="GK112">
        <v>0.11725475</v>
      </c>
      <c r="GL112">
        <v>-0.0064984511278194</v>
      </c>
      <c r="GM112">
        <v>0.00124864345891852</v>
      </c>
      <c r="GN112">
        <v>1</v>
      </c>
      <c r="GO112">
        <v>2</v>
      </c>
      <c r="GP112">
        <v>2</v>
      </c>
      <c r="GQ112" t="s">
        <v>440</v>
      </c>
      <c r="GR112">
        <v>3.12521</v>
      </c>
      <c r="GS112">
        <v>2.72551</v>
      </c>
      <c r="GT112">
        <v>0.0115514</v>
      </c>
      <c r="GU112">
        <v>0.0130014</v>
      </c>
      <c r="GV112">
        <v>0.0838822</v>
      </c>
      <c r="GW112">
        <v>0.0836745</v>
      </c>
      <c r="GX112">
        <v>25989.3</v>
      </c>
      <c r="GY112">
        <v>24177.8</v>
      </c>
      <c r="GZ112">
        <v>23504.2</v>
      </c>
      <c r="HA112">
        <v>23842.3</v>
      </c>
      <c r="HB112">
        <v>36658.2</v>
      </c>
      <c r="HC112">
        <v>36119.5</v>
      </c>
      <c r="HD112">
        <v>42332.7</v>
      </c>
      <c r="HE112">
        <v>42470.1</v>
      </c>
      <c r="HF112">
        <v>1.93615</v>
      </c>
      <c r="HG112">
        <v>1.85632</v>
      </c>
      <c r="HH112">
        <v>0.080891</v>
      </c>
      <c r="HI112">
        <v>0</v>
      </c>
      <c r="HJ112">
        <v>23.6698</v>
      </c>
      <c r="HK112">
        <v>999.9</v>
      </c>
      <c r="HL112">
        <v>47.638</v>
      </c>
      <c r="HM112">
        <v>28.339</v>
      </c>
      <c r="HN112">
        <v>20.5742</v>
      </c>
      <c r="HO112">
        <v>54.2868</v>
      </c>
      <c r="HP112">
        <v>46.0216</v>
      </c>
      <c r="HQ112">
        <v>1</v>
      </c>
      <c r="HR112">
        <v>-0.130287</v>
      </c>
      <c r="HS112">
        <v>0.299063</v>
      </c>
      <c r="HT112">
        <v>20.2322</v>
      </c>
      <c r="HU112">
        <v>5.23451</v>
      </c>
      <c r="HV112">
        <v>11.992</v>
      </c>
      <c r="HW112">
        <v>4.95575</v>
      </c>
      <c r="HX112">
        <v>3.304</v>
      </c>
      <c r="HY112">
        <v>999.9</v>
      </c>
      <c r="HZ112">
        <v>9999</v>
      </c>
      <c r="IA112">
        <v>9999</v>
      </c>
      <c r="IB112">
        <v>9999</v>
      </c>
      <c r="IC112">
        <v>1.86861</v>
      </c>
      <c r="ID112">
        <v>1.86434</v>
      </c>
      <c r="IE112">
        <v>1.87195</v>
      </c>
      <c r="IF112">
        <v>1.86288</v>
      </c>
      <c r="IG112">
        <v>1.86226</v>
      </c>
      <c r="IH112">
        <v>1.86871</v>
      </c>
      <c r="II112">
        <v>1.85885</v>
      </c>
      <c r="IJ112">
        <v>1.86523</v>
      </c>
      <c r="IK112">
        <v>5</v>
      </c>
      <c r="IL112">
        <v>0</v>
      </c>
      <c r="IM112">
        <v>0</v>
      </c>
      <c r="IN112">
        <v>0</v>
      </c>
      <c r="IO112" t="s">
        <v>441</v>
      </c>
      <c r="IP112" t="s">
        <v>442</v>
      </c>
      <c r="IQ112" t="s">
        <v>443</v>
      </c>
      <c r="IR112" t="s">
        <v>443</v>
      </c>
      <c r="IS112" t="s">
        <v>443</v>
      </c>
      <c r="IT112" t="s">
        <v>443</v>
      </c>
      <c r="IU112">
        <v>0</v>
      </c>
      <c r="IV112">
        <v>100</v>
      </c>
      <c r="IW112">
        <v>100</v>
      </c>
      <c r="IX112">
        <v>5.719</v>
      </c>
      <c r="IY112">
        <v>0.162</v>
      </c>
      <c r="IZ112">
        <v>5.21656229320369</v>
      </c>
      <c r="JA112">
        <v>0.0062698613543794</v>
      </c>
      <c r="JB112">
        <v>-3.23243345529816e-06</v>
      </c>
      <c r="JC112">
        <v>8.00506428382295e-10</v>
      </c>
      <c r="JD112">
        <v>-0.00342975942564155</v>
      </c>
      <c r="JE112">
        <v>-0.0018464610107002</v>
      </c>
      <c r="JF112">
        <v>0.000796540623429801</v>
      </c>
      <c r="JG112">
        <v>-1.04619914107352e-05</v>
      </c>
      <c r="JH112">
        <v>-0</v>
      </c>
      <c r="JI112">
        <v>2101</v>
      </c>
      <c r="JJ112">
        <v>1</v>
      </c>
      <c r="JK112">
        <v>23</v>
      </c>
      <c r="JL112">
        <v>1.1</v>
      </c>
      <c r="JM112">
        <v>1.2</v>
      </c>
      <c r="JN112">
        <v>0.257568</v>
      </c>
      <c r="JO112">
        <v>2.43408</v>
      </c>
      <c r="JP112">
        <v>1.49902</v>
      </c>
      <c r="JQ112">
        <v>2.33887</v>
      </c>
      <c r="JR112">
        <v>1.54419</v>
      </c>
      <c r="JS112">
        <v>2.30835</v>
      </c>
      <c r="JT112">
        <v>34.4636</v>
      </c>
      <c r="JU112">
        <v>24.3414</v>
      </c>
      <c r="JV112">
        <v>18</v>
      </c>
      <c r="JW112">
        <v>547.801</v>
      </c>
      <c r="JX112">
        <v>439.733</v>
      </c>
      <c r="JY112">
        <v>23.5081</v>
      </c>
      <c r="JZ112">
        <v>25.8556</v>
      </c>
      <c r="KA112">
        <v>30.0001</v>
      </c>
      <c r="KB112">
        <v>25.824</v>
      </c>
      <c r="KC112">
        <v>25.851</v>
      </c>
      <c r="KD112">
        <v>5.1777</v>
      </c>
      <c r="KE112">
        <v>21.2146</v>
      </c>
      <c r="KF112">
        <v>100</v>
      </c>
      <c r="KG112">
        <v>23.5143</v>
      </c>
      <c r="KH112">
        <v>50</v>
      </c>
      <c r="KI112">
        <v>18.2922</v>
      </c>
      <c r="KJ112">
        <v>94.9118</v>
      </c>
      <c r="KK112">
        <v>99.0193</v>
      </c>
    </row>
    <row r="113" spans="1:297">
      <c r="A113">
        <v>97</v>
      </c>
      <c r="B113">
        <v>1765314503.1</v>
      </c>
      <c r="C113">
        <v>16554.0999999046</v>
      </c>
      <c r="D113" t="s">
        <v>737</v>
      </c>
      <c r="E113" t="s">
        <v>738</v>
      </c>
      <c r="F113">
        <v>5</v>
      </c>
      <c r="G113" t="s">
        <v>723</v>
      </c>
      <c r="H113" t="s">
        <v>436</v>
      </c>
      <c r="I113">
        <v>1765314494.6</v>
      </c>
      <c r="J113">
        <f>(K113)/1000</f>
        <v>0</v>
      </c>
      <c r="K113">
        <f>IF(DP113, AN113, AH113)</f>
        <v>0</v>
      </c>
      <c r="L113">
        <f>IF(DP113, AI113, AG113)</f>
        <v>0</v>
      </c>
      <c r="M113">
        <f>DR113 - IF(AU113&gt;1, L113*DL113*100.0/(AW113), 0)</f>
        <v>0</v>
      </c>
      <c r="N113">
        <f>((T113-J113/2)*M113-L113)/(T113+J113/2)</f>
        <v>0</v>
      </c>
      <c r="O113">
        <f>N113*(DY113+DZ113)/1000.0</f>
        <v>0</v>
      </c>
      <c r="P113">
        <f>(DR113 - IF(AU113&gt;1, L113*DL113*100.0/(AW113), 0))*(DY113+DZ113)/1000.0</f>
        <v>0</v>
      </c>
      <c r="Q113">
        <f>2.0/((1/S113-1/R113)+SIGN(S113)*SQRT((1/S113-1/R113)*(1/S113-1/R113) + 4*DM113/((DM113+1)*(DM113+1))*(2*1/S113*1/R113-1/R113*1/R113)))</f>
        <v>0</v>
      </c>
      <c r="R113">
        <f>IF(LEFT(DN113,1)&lt;&gt;"0",IF(LEFT(DN113,1)="1",3.0,DO113),$D$5+$E$5*(EF113*DY113/($K$5*1000))+$F$5*(EF113*DY113/($K$5*1000))*MAX(MIN(DL113,$J$5),$I$5)*MAX(MIN(DL113,$J$5),$I$5)+$G$5*MAX(MIN(DL113,$J$5),$I$5)*(EF113*DY113/($K$5*1000))+$H$5*(EF113*DY113/($K$5*1000))*(EF113*DY113/($K$5*1000)))</f>
        <v>0</v>
      </c>
      <c r="S113">
        <f>J113*(1000-(1000*0.61365*exp(17.502*W113/(240.97+W113))/(DY113+DZ113)+DT113)/2)/(1000*0.61365*exp(17.502*W113/(240.97+W113))/(DY113+DZ113)-DT113)</f>
        <v>0</v>
      </c>
      <c r="T113">
        <f>1/((DM113+1)/(Q113/1.6)+1/(R113/1.37)) + DM113/((DM113+1)/(Q113/1.6) + DM113/(R113/1.37))</f>
        <v>0</v>
      </c>
      <c r="U113">
        <f>(DH113*DK113)</f>
        <v>0</v>
      </c>
      <c r="V113">
        <f>(EA113+(U113+2*0.95*5.67E-8*(((EA113+$B$7)+273)^4-(EA113+273)^4)-44100*J113)/(1.84*29.3*R113+8*0.95*5.67E-8*(EA113+273)^3))</f>
        <v>0</v>
      </c>
      <c r="W113">
        <f>($C$7*EB113+$D$7*EC113+$E$7*V113)</f>
        <v>0</v>
      </c>
      <c r="X113">
        <f>0.61365*exp(17.502*W113/(240.97+W113))</f>
        <v>0</v>
      </c>
      <c r="Y113">
        <f>(Z113/AA113*100)</f>
        <v>0</v>
      </c>
      <c r="Z113">
        <f>DT113*(DY113+DZ113)/1000</f>
        <v>0</v>
      </c>
      <c r="AA113">
        <f>0.61365*exp(17.502*EA113/(240.97+EA113))</f>
        <v>0</v>
      </c>
      <c r="AB113">
        <f>(X113-DT113*(DY113+DZ113)/1000)</f>
        <v>0</v>
      </c>
      <c r="AC113">
        <f>(-J113*44100)</f>
        <v>0</v>
      </c>
      <c r="AD113">
        <f>2*29.3*R113*0.92*(EA113-W113)</f>
        <v>0</v>
      </c>
      <c r="AE113">
        <f>2*0.95*5.67E-8*(((EA113+$B$7)+273)^4-(W113+273)^4)</f>
        <v>0</v>
      </c>
      <c r="AF113">
        <f>U113+AE113+AC113+AD113</f>
        <v>0</v>
      </c>
      <c r="AG113">
        <f>DX113*AU113*(DS113-DR113*(1000-AU113*DU113)/(1000-AU113*DT113))/(100*DL113)</f>
        <v>0</v>
      </c>
      <c r="AH113">
        <f>1000*DX113*AU113*(DT113-DU113)/(100*DL113*(1000-AU113*DT113))</f>
        <v>0</v>
      </c>
      <c r="AI113">
        <f>(AJ113 - AK113 - DY113*1E3/(8.314*(EA113+273.15)) * AM113/DX113 * AL113) * DX113/(100*DL113) * (1000 - DU113)/1000</f>
        <v>0</v>
      </c>
      <c r="AJ113">
        <v>407.685735981884</v>
      </c>
      <c r="AK113">
        <v>407.246684848485</v>
      </c>
      <c r="AL113">
        <v>0.0337336393465776</v>
      </c>
      <c r="AM113">
        <v>63.8342744758251</v>
      </c>
      <c r="AN113">
        <f>(AP113 - AO113 + DY113*1E3/(8.314*(EA113+273.15)) * AR113/DX113 * AQ113) * DX113/(100*DL113) * 1000/(1000 - AP113)</f>
        <v>0</v>
      </c>
      <c r="AO113">
        <v>18.2753349041905</v>
      </c>
      <c r="AP113">
        <v>18.3887581818182</v>
      </c>
      <c r="AQ113">
        <v>-1.37979058784359e-05</v>
      </c>
      <c r="AR113">
        <v>105.017941649149</v>
      </c>
      <c r="AS113">
        <v>0</v>
      </c>
      <c r="AT113">
        <v>0</v>
      </c>
      <c r="AU113">
        <f>IF(AS113*$H$13&gt;=AW113,1.0,(AW113/(AW113-AS113*$H$13)))</f>
        <v>0</v>
      </c>
      <c r="AV113">
        <f>(AU113-1)*100</f>
        <v>0</v>
      </c>
      <c r="AW113">
        <f>MAX(0,($B$13+$C$13*EF113)/(1+$D$13*EF113)*DY113/(EA113+273)*$E$13)</f>
        <v>0</v>
      </c>
      <c r="AX113" t="s">
        <v>437</v>
      </c>
      <c r="AY113" t="s">
        <v>437</v>
      </c>
      <c r="AZ113">
        <v>0</v>
      </c>
      <c r="BA113">
        <v>0</v>
      </c>
      <c r="BB113">
        <f>1-AZ113/BA113</f>
        <v>0</v>
      </c>
      <c r="BC113">
        <v>0</v>
      </c>
      <c r="BD113" t="s">
        <v>437</v>
      </c>
      <c r="BE113" t="s">
        <v>437</v>
      </c>
      <c r="BF113">
        <v>0</v>
      </c>
      <c r="BG113">
        <v>0</v>
      </c>
      <c r="BH113">
        <f>1-BF113/BG113</f>
        <v>0</v>
      </c>
      <c r="BI113">
        <v>0.5</v>
      </c>
      <c r="BJ113">
        <f>DI113</f>
        <v>0</v>
      </c>
      <c r="BK113">
        <f>L113</f>
        <v>0</v>
      </c>
      <c r="BL113">
        <f>BH113*BI113*BJ113</f>
        <v>0</v>
      </c>
      <c r="BM113">
        <f>(BK113-BC113)/BJ113</f>
        <v>0</v>
      </c>
      <c r="BN113">
        <f>(BA113-BG113)/BG113</f>
        <v>0</v>
      </c>
      <c r="BO113">
        <f>AZ113/(BB113+AZ113/BG113)</f>
        <v>0</v>
      </c>
      <c r="BP113" t="s">
        <v>437</v>
      </c>
      <c r="BQ113">
        <v>0</v>
      </c>
      <c r="BR113">
        <f>IF(BQ113&lt;&gt;0, BQ113, BO113)</f>
        <v>0</v>
      </c>
      <c r="BS113">
        <f>1-BR113/BG113</f>
        <v>0</v>
      </c>
      <c r="BT113">
        <f>(BG113-BF113)/(BG113-BR113)</f>
        <v>0</v>
      </c>
      <c r="BU113">
        <f>(BA113-BG113)/(BA113-BR113)</f>
        <v>0</v>
      </c>
      <c r="BV113">
        <f>(BG113-BF113)/(BG113-AZ113)</f>
        <v>0</v>
      </c>
      <c r="BW113">
        <f>(BA113-BG113)/(BA113-AZ113)</f>
        <v>0</v>
      </c>
      <c r="BX113">
        <f>(BT113*BR113/BF113)</f>
        <v>0</v>
      </c>
      <c r="BY113">
        <f>(1-BX113)</f>
        <v>0</v>
      </c>
      <c r="DH113">
        <f>$B$11*EG113+$C$11*EH113+$F$11*ES113*(1-EV113)</f>
        <v>0</v>
      </c>
      <c r="DI113">
        <f>DH113*DJ113</f>
        <v>0</v>
      </c>
      <c r="DJ113">
        <f>($B$11*$D$9+$C$11*$D$9+$F$11*((FF113+EX113)/MAX(FF113+EX113+FG113, 0.1)*$I$9+FG113/MAX(FF113+EX113+FG113, 0.1)*$J$9))/($B$11+$C$11+$F$11)</f>
        <v>0</v>
      </c>
      <c r="DK113">
        <f>($B$11*$K$9+$C$11*$K$9+$F$11*((FF113+EX113)/MAX(FF113+EX113+FG113, 0.1)*$P$9+FG113/MAX(FF113+EX113+FG113, 0.1)*$Q$9))/($B$11+$C$11+$F$11)</f>
        <v>0</v>
      </c>
      <c r="DL113">
        <v>5.66</v>
      </c>
      <c r="DM113">
        <v>0.5</v>
      </c>
      <c r="DN113" t="s">
        <v>438</v>
      </c>
      <c r="DO113">
        <v>2</v>
      </c>
      <c r="DP113" t="b">
        <v>1</v>
      </c>
      <c r="DQ113">
        <v>1765314494.6</v>
      </c>
      <c r="DR113">
        <v>399.837</v>
      </c>
      <c r="DS113">
        <v>400.0923125</v>
      </c>
      <c r="DT113">
        <v>18.393</v>
      </c>
      <c r="DU113">
        <v>18.27684375</v>
      </c>
      <c r="DV113">
        <v>392.188</v>
      </c>
      <c r="DW113">
        <v>18.226</v>
      </c>
      <c r="DX113">
        <v>499.9954375</v>
      </c>
      <c r="DY113">
        <v>89.6225875</v>
      </c>
      <c r="DZ113">
        <v>0.09996866875</v>
      </c>
      <c r="EA113">
        <v>25.61379375</v>
      </c>
      <c r="EB113">
        <v>25.00559375</v>
      </c>
      <c r="EC113">
        <v>999.9</v>
      </c>
      <c r="ED113">
        <v>0</v>
      </c>
      <c r="EE113">
        <v>0</v>
      </c>
      <c r="EF113">
        <v>10005.578125</v>
      </c>
      <c r="EG113">
        <v>0</v>
      </c>
      <c r="EH113">
        <v>11.4622</v>
      </c>
      <c r="EI113">
        <v>-0.4466246875</v>
      </c>
      <c r="EJ113">
        <v>407.132875</v>
      </c>
      <c r="EK113">
        <v>407.5409375</v>
      </c>
      <c r="EL113">
        <v>0.113134875</v>
      </c>
      <c r="EM113">
        <v>400.0923125</v>
      </c>
      <c r="EN113">
        <v>18.27684375</v>
      </c>
      <c r="EO113">
        <v>1.648156875</v>
      </c>
      <c r="EP113">
        <v>1.638018125</v>
      </c>
      <c r="EQ113">
        <v>14.416575</v>
      </c>
      <c r="ER113">
        <v>14.32118125</v>
      </c>
      <c r="ES113">
        <v>800.003375</v>
      </c>
      <c r="ET113">
        <v>0.949986375</v>
      </c>
      <c r="EU113">
        <v>0.05001334375</v>
      </c>
      <c r="EV113">
        <v>0</v>
      </c>
      <c r="EW113">
        <v>318.937375</v>
      </c>
      <c r="EX113">
        <v>5.00016</v>
      </c>
      <c r="EY113">
        <v>2650.37125</v>
      </c>
      <c r="EZ113">
        <v>7194.674375</v>
      </c>
      <c r="FA113">
        <v>39.75</v>
      </c>
      <c r="FB113">
        <v>42.5</v>
      </c>
      <c r="FC113">
        <v>41.25</v>
      </c>
      <c r="FD113">
        <v>42.601375</v>
      </c>
      <c r="FE113">
        <v>42.437</v>
      </c>
      <c r="FF113">
        <v>755.2425</v>
      </c>
      <c r="FG113">
        <v>39.760625</v>
      </c>
      <c r="FH113">
        <v>0</v>
      </c>
      <c r="FI113">
        <v>1765314503.5</v>
      </c>
      <c r="FJ113">
        <v>0</v>
      </c>
      <c r="FK113">
        <v>318.909</v>
      </c>
      <c r="FL113">
        <v>0.341076919080414</v>
      </c>
      <c r="FM113">
        <v>-4.72076922393692</v>
      </c>
      <c r="FN113">
        <v>2650.3032</v>
      </c>
      <c r="FO113">
        <v>15</v>
      </c>
      <c r="FP113">
        <v>1765314523.1</v>
      </c>
      <c r="FQ113" t="s">
        <v>739</v>
      </c>
      <c r="FR113">
        <v>1765314523.1</v>
      </c>
      <c r="FS113">
        <v>1765314522.1</v>
      </c>
      <c r="FT113">
        <v>97</v>
      </c>
      <c r="FU113">
        <v>0.191</v>
      </c>
      <c r="FV113">
        <v>0.006</v>
      </c>
      <c r="FW113">
        <v>7.649</v>
      </c>
      <c r="FX113">
        <v>0.167</v>
      </c>
      <c r="FY113">
        <v>400</v>
      </c>
      <c r="FZ113">
        <v>18</v>
      </c>
      <c r="GA113">
        <v>0.46</v>
      </c>
      <c r="GB113">
        <v>0.24</v>
      </c>
      <c r="GC113">
        <v>-0.473699523809524</v>
      </c>
      <c r="GD113">
        <v>0.074791792207792</v>
      </c>
      <c r="GE113">
        <v>0.0992108465285732</v>
      </c>
      <c r="GF113">
        <v>1</v>
      </c>
      <c r="GG113">
        <v>318.985558823529</v>
      </c>
      <c r="GH113">
        <v>-0.259602751889954</v>
      </c>
      <c r="GI113">
        <v>0.199441896474149</v>
      </c>
      <c r="GJ113">
        <v>-1</v>
      </c>
      <c r="GK113">
        <v>0.113849</v>
      </c>
      <c r="GL113">
        <v>-0.0113544935064936</v>
      </c>
      <c r="GM113">
        <v>0.00149038224563205</v>
      </c>
      <c r="GN113">
        <v>1</v>
      </c>
      <c r="GO113">
        <v>2</v>
      </c>
      <c r="GP113">
        <v>2</v>
      </c>
      <c r="GQ113" t="s">
        <v>440</v>
      </c>
      <c r="GR113">
        <v>3.12512</v>
      </c>
      <c r="GS113">
        <v>2.72596</v>
      </c>
      <c r="GT113">
        <v>0.0849665</v>
      </c>
      <c r="GU113">
        <v>0.086201</v>
      </c>
      <c r="GV113">
        <v>0.0838502</v>
      </c>
      <c r="GW113">
        <v>0.0836701</v>
      </c>
      <c r="GX113">
        <v>24057.7</v>
      </c>
      <c r="GY113">
        <v>22384.2</v>
      </c>
      <c r="GZ113">
        <v>23503.1</v>
      </c>
      <c r="HA113">
        <v>23841.7</v>
      </c>
      <c r="HB113">
        <v>36663.5</v>
      </c>
      <c r="HC113">
        <v>36124.7</v>
      </c>
      <c r="HD113">
        <v>42330</v>
      </c>
      <c r="HE113">
        <v>42469.3</v>
      </c>
      <c r="HF113">
        <v>1.93638</v>
      </c>
      <c r="HG113">
        <v>1.85755</v>
      </c>
      <c r="HH113">
        <v>0.0806376</v>
      </c>
      <c r="HI113">
        <v>0</v>
      </c>
      <c r="HJ113">
        <v>23.6872</v>
      </c>
      <c r="HK113">
        <v>999.9</v>
      </c>
      <c r="HL113">
        <v>47.662</v>
      </c>
      <c r="HM113">
        <v>28.329</v>
      </c>
      <c r="HN113">
        <v>20.5713</v>
      </c>
      <c r="HO113">
        <v>54.2168</v>
      </c>
      <c r="HP113">
        <v>45.9816</v>
      </c>
      <c r="HQ113">
        <v>1</v>
      </c>
      <c r="HR113">
        <v>-0.12909</v>
      </c>
      <c r="HS113">
        <v>0.375158</v>
      </c>
      <c r="HT113">
        <v>20.2318</v>
      </c>
      <c r="HU113">
        <v>5.23466</v>
      </c>
      <c r="HV113">
        <v>11.992</v>
      </c>
      <c r="HW113">
        <v>4.95665</v>
      </c>
      <c r="HX113">
        <v>3.304</v>
      </c>
      <c r="HY113">
        <v>999.9</v>
      </c>
      <c r="HZ113">
        <v>9999</v>
      </c>
      <c r="IA113">
        <v>9999</v>
      </c>
      <c r="IB113">
        <v>9999</v>
      </c>
      <c r="IC113">
        <v>1.86859</v>
      </c>
      <c r="ID113">
        <v>1.86433</v>
      </c>
      <c r="IE113">
        <v>1.87196</v>
      </c>
      <c r="IF113">
        <v>1.86284</v>
      </c>
      <c r="IG113">
        <v>1.86226</v>
      </c>
      <c r="IH113">
        <v>1.86865</v>
      </c>
      <c r="II113">
        <v>1.85884</v>
      </c>
      <c r="IJ113">
        <v>1.86523</v>
      </c>
      <c r="IK113">
        <v>5</v>
      </c>
      <c r="IL113">
        <v>0</v>
      </c>
      <c r="IM113">
        <v>0</v>
      </c>
      <c r="IN113">
        <v>0</v>
      </c>
      <c r="IO113" t="s">
        <v>441</v>
      </c>
      <c r="IP113" t="s">
        <v>442</v>
      </c>
      <c r="IQ113" t="s">
        <v>443</v>
      </c>
      <c r="IR113" t="s">
        <v>443</v>
      </c>
      <c r="IS113" t="s">
        <v>443</v>
      </c>
      <c r="IT113" t="s">
        <v>443</v>
      </c>
      <c r="IU113">
        <v>0</v>
      </c>
      <c r="IV113">
        <v>100</v>
      </c>
      <c r="IW113">
        <v>100</v>
      </c>
      <c r="IX113">
        <v>7.649</v>
      </c>
      <c r="IY113">
        <v>0.167</v>
      </c>
      <c r="IZ113">
        <v>5.44762737016371</v>
      </c>
      <c r="JA113">
        <v>0.0062698613543794</v>
      </c>
      <c r="JB113">
        <v>-3.23243345529816e-06</v>
      </c>
      <c r="JC113">
        <v>8.00506428382295e-10</v>
      </c>
      <c r="JD113">
        <v>-0.00363120319489341</v>
      </c>
      <c r="JE113">
        <v>-0.0018464610107002</v>
      </c>
      <c r="JF113">
        <v>0.000796540623429801</v>
      </c>
      <c r="JG113">
        <v>-1.04619914107352e-05</v>
      </c>
      <c r="JH113">
        <v>-0</v>
      </c>
      <c r="JI113">
        <v>2101</v>
      </c>
      <c r="JJ113">
        <v>1</v>
      </c>
      <c r="JK113">
        <v>23</v>
      </c>
      <c r="JL113">
        <v>1.3</v>
      </c>
      <c r="JM113">
        <v>1.4</v>
      </c>
      <c r="JN113">
        <v>1.0022</v>
      </c>
      <c r="JO113">
        <v>2.38647</v>
      </c>
      <c r="JP113">
        <v>1.49902</v>
      </c>
      <c r="JQ113">
        <v>2.33887</v>
      </c>
      <c r="JR113">
        <v>1.54419</v>
      </c>
      <c r="JS113">
        <v>2.30713</v>
      </c>
      <c r="JT113">
        <v>34.418</v>
      </c>
      <c r="JU113">
        <v>24.3414</v>
      </c>
      <c r="JV113">
        <v>18</v>
      </c>
      <c r="JW113">
        <v>547.965</v>
      </c>
      <c r="JX113">
        <v>440.46</v>
      </c>
      <c r="JY113">
        <v>23.4635</v>
      </c>
      <c r="JZ113">
        <v>25.8621</v>
      </c>
      <c r="KA113">
        <v>30.0001</v>
      </c>
      <c r="KB113">
        <v>25.8262</v>
      </c>
      <c r="KC113">
        <v>25.851</v>
      </c>
      <c r="KD113">
        <v>20.1144</v>
      </c>
      <c r="KE113">
        <v>21.4964</v>
      </c>
      <c r="KF113">
        <v>100</v>
      </c>
      <c r="KG113">
        <v>23.463</v>
      </c>
      <c r="KH113">
        <v>400</v>
      </c>
      <c r="KI113">
        <v>18.2608</v>
      </c>
      <c r="KJ113">
        <v>94.9063</v>
      </c>
      <c r="KK113">
        <v>99.0171</v>
      </c>
    </row>
    <row r="114" spans="1:297">
      <c r="A114">
        <v>98</v>
      </c>
      <c r="B114">
        <v>1765314585.1</v>
      </c>
      <c r="C114">
        <v>16636.0999999046</v>
      </c>
      <c r="D114" t="s">
        <v>740</v>
      </c>
      <c r="E114" t="s">
        <v>741</v>
      </c>
      <c r="F114">
        <v>5</v>
      </c>
      <c r="G114" t="s">
        <v>723</v>
      </c>
      <c r="H114" t="s">
        <v>436</v>
      </c>
      <c r="I114">
        <v>1765314577.1</v>
      </c>
      <c r="J114">
        <f>(K114)/1000</f>
        <v>0</v>
      </c>
      <c r="K114">
        <f>IF(DP114, AN114, AH114)</f>
        <v>0</v>
      </c>
      <c r="L114">
        <f>IF(DP114, AI114, AG114)</f>
        <v>0</v>
      </c>
      <c r="M114">
        <f>DR114 - IF(AU114&gt;1, L114*DL114*100.0/(AW114), 0)</f>
        <v>0</v>
      </c>
      <c r="N114">
        <f>((T114-J114/2)*M114-L114)/(T114+J114/2)</f>
        <v>0</v>
      </c>
      <c r="O114">
        <f>N114*(DY114+DZ114)/1000.0</f>
        <v>0</v>
      </c>
      <c r="P114">
        <f>(DR114 - IF(AU114&gt;1, L114*DL114*100.0/(AW114), 0))*(DY114+DZ114)/1000.0</f>
        <v>0</v>
      </c>
      <c r="Q114">
        <f>2.0/((1/S114-1/R114)+SIGN(S114)*SQRT((1/S114-1/R114)*(1/S114-1/R114) + 4*DM114/((DM114+1)*(DM114+1))*(2*1/S114*1/R114-1/R114*1/R114)))</f>
        <v>0</v>
      </c>
      <c r="R114">
        <f>IF(LEFT(DN114,1)&lt;&gt;"0",IF(LEFT(DN114,1)="1",3.0,DO114),$D$5+$E$5*(EF114*DY114/($K$5*1000))+$F$5*(EF114*DY114/($K$5*1000))*MAX(MIN(DL114,$J$5),$I$5)*MAX(MIN(DL114,$J$5),$I$5)+$G$5*MAX(MIN(DL114,$J$5),$I$5)*(EF114*DY114/($K$5*1000))+$H$5*(EF114*DY114/($K$5*1000))*(EF114*DY114/($K$5*1000)))</f>
        <v>0</v>
      </c>
      <c r="S114">
        <f>J114*(1000-(1000*0.61365*exp(17.502*W114/(240.97+W114))/(DY114+DZ114)+DT114)/2)/(1000*0.61365*exp(17.502*W114/(240.97+W114))/(DY114+DZ114)-DT114)</f>
        <v>0</v>
      </c>
      <c r="T114">
        <f>1/((DM114+1)/(Q114/1.6)+1/(R114/1.37)) + DM114/((DM114+1)/(Q114/1.6) + DM114/(R114/1.37))</f>
        <v>0</v>
      </c>
      <c r="U114">
        <f>(DH114*DK114)</f>
        <v>0</v>
      </c>
      <c r="V114">
        <f>(EA114+(U114+2*0.95*5.67E-8*(((EA114+$B$7)+273)^4-(EA114+273)^4)-44100*J114)/(1.84*29.3*R114+8*0.95*5.67E-8*(EA114+273)^3))</f>
        <v>0</v>
      </c>
      <c r="W114">
        <f>($C$7*EB114+$D$7*EC114+$E$7*V114)</f>
        <v>0</v>
      </c>
      <c r="X114">
        <f>0.61365*exp(17.502*W114/(240.97+W114))</f>
        <v>0</v>
      </c>
      <c r="Y114">
        <f>(Z114/AA114*100)</f>
        <v>0</v>
      </c>
      <c r="Z114">
        <f>DT114*(DY114+DZ114)/1000</f>
        <v>0</v>
      </c>
      <c r="AA114">
        <f>0.61365*exp(17.502*EA114/(240.97+EA114))</f>
        <v>0</v>
      </c>
      <c r="AB114">
        <f>(X114-DT114*(DY114+DZ114)/1000)</f>
        <v>0</v>
      </c>
      <c r="AC114">
        <f>(-J114*44100)</f>
        <v>0</v>
      </c>
      <c r="AD114">
        <f>2*29.3*R114*0.92*(EA114-W114)</f>
        <v>0</v>
      </c>
      <c r="AE114">
        <f>2*0.95*5.67E-8*(((EA114+$B$7)+273)^4-(W114+273)^4)</f>
        <v>0</v>
      </c>
      <c r="AF114">
        <f>U114+AE114+AC114+AD114</f>
        <v>0</v>
      </c>
      <c r="AG114">
        <f>DX114*AU114*(DS114-DR114*(1000-AU114*DU114)/(1000-AU114*DT114))/(100*DL114)</f>
        <v>0</v>
      </c>
      <c r="AH114">
        <f>1000*DX114*AU114*(DT114-DU114)/(100*DL114*(1000-AU114*DT114))</f>
        <v>0</v>
      </c>
      <c r="AI114">
        <f>(AJ114 - AK114 - DY114*1E3/(8.314*(EA114+273.15)) * AM114/DX114 * AL114) * DX114/(100*DL114) * (1000 - DU114)/1000</f>
        <v>0</v>
      </c>
      <c r="AJ114">
        <v>407.463841159799</v>
      </c>
      <c r="AK114">
        <v>407.457036363636</v>
      </c>
      <c r="AL114">
        <v>0.0153398886704998</v>
      </c>
      <c r="AM114">
        <v>63.4148523527571</v>
      </c>
      <c r="AN114">
        <f>(AP114 - AO114 + DY114*1E3/(8.314*(EA114+273.15)) * AR114/DX114 * AQ114) * DX114/(100*DL114) * 1000/(1000 - AP114)</f>
        <v>0</v>
      </c>
      <c r="AO114">
        <v>18.2694645771538</v>
      </c>
      <c r="AP114">
        <v>18.382996969697</v>
      </c>
      <c r="AQ114">
        <v>-2.30770116051432e-05</v>
      </c>
      <c r="AR114">
        <v>107.419838469281</v>
      </c>
      <c r="AS114">
        <v>0</v>
      </c>
      <c r="AT114">
        <v>0</v>
      </c>
      <c r="AU114">
        <f>IF(AS114*$H$13&gt;=AW114,1.0,(AW114/(AW114-AS114*$H$13)))</f>
        <v>0</v>
      </c>
      <c r="AV114">
        <f>(AU114-1)*100</f>
        <v>0</v>
      </c>
      <c r="AW114">
        <f>MAX(0,($B$13+$C$13*EF114)/(1+$D$13*EF114)*DY114/(EA114+273)*$E$13)</f>
        <v>0</v>
      </c>
      <c r="AX114" t="s">
        <v>437</v>
      </c>
      <c r="AY114" t="s">
        <v>437</v>
      </c>
      <c r="AZ114">
        <v>0</v>
      </c>
      <c r="BA114">
        <v>0</v>
      </c>
      <c r="BB114">
        <f>1-AZ114/BA114</f>
        <v>0</v>
      </c>
      <c r="BC114">
        <v>0</v>
      </c>
      <c r="BD114" t="s">
        <v>437</v>
      </c>
      <c r="BE114" t="s">
        <v>437</v>
      </c>
      <c r="BF114">
        <v>0</v>
      </c>
      <c r="BG114">
        <v>0</v>
      </c>
      <c r="BH114">
        <f>1-BF114/BG114</f>
        <v>0</v>
      </c>
      <c r="BI114">
        <v>0.5</v>
      </c>
      <c r="BJ114">
        <f>DI114</f>
        <v>0</v>
      </c>
      <c r="BK114">
        <f>L114</f>
        <v>0</v>
      </c>
      <c r="BL114">
        <f>BH114*BI114*BJ114</f>
        <v>0</v>
      </c>
      <c r="BM114">
        <f>(BK114-BC114)/BJ114</f>
        <v>0</v>
      </c>
      <c r="BN114">
        <f>(BA114-BG114)/BG114</f>
        <v>0</v>
      </c>
      <c r="BO114">
        <f>AZ114/(BB114+AZ114/BG114)</f>
        <v>0</v>
      </c>
      <c r="BP114" t="s">
        <v>437</v>
      </c>
      <c r="BQ114">
        <v>0</v>
      </c>
      <c r="BR114">
        <f>IF(BQ114&lt;&gt;0, BQ114, BO114)</f>
        <v>0</v>
      </c>
      <c r="BS114">
        <f>1-BR114/BG114</f>
        <v>0</v>
      </c>
      <c r="BT114">
        <f>(BG114-BF114)/(BG114-BR114)</f>
        <v>0</v>
      </c>
      <c r="BU114">
        <f>(BA114-BG114)/(BA114-BR114)</f>
        <v>0</v>
      </c>
      <c r="BV114">
        <f>(BG114-BF114)/(BG114-AZ114)</f>
        <v>0</v>
      </c>
      <c r="BW114">
        <f>(BA114-BG114)/(BA114-AZ114)</f>
        <v>0</v>
      </c>
      <c r="BX114">
        <f>(BT114*BR114/BF114)</f>
        <v>0</v>
      </c>
      <c r="BY114">
        <f>(1-BX114)</f>
        <v>0</v>
      </c>
      <c r="DH114">
        <f>$B$11*EG114+$C$11*EH114+$F$11*ES114*(1-EV114)</f>
        <v>0</v>
      </c>
      <c r="DI114">
        <f>DH114*DJ114</f>
        <v>0</v>
      </c>
      <c r="DJ114">
        <f>($B$11*$D$9+$C$11*$D$9+$F$11*((FF114+EX114)/MAX(FF114+EX114+FG114, 0.1)*$I$9+FG114/MAX(FF114+EX114+FG114, 0.1)*$J$9))/($B$11+$C$11+$F$11)</f>
        <v>0</v>
      </c>
      <c r="DK114">
        <f>($B$11*$K$9+$C$11*$K$9+$F$11*((FF114+EX114)/MAX(FF114+EX114+FG114, 0.1)*$P$9+FG114/MAX(FF114+EX114+FG114, 0.1)*$Q$9))/($B$11+$C$11+$F$11)</f>
        <v>0</v>
      </c>
      <c r="DL114">
        <v>5.66</v>
      </c>
      <c r="DM114">
        <v>0.5</v>
      </c>
      <c r="DN114" t="s">
        <v>438</v>
      </c>
      <c r="DO114">
        <v>2</v>
      </c>
      <c r="DP114" t="b">
        <v>1</v>
      </c>
      <c r="DQ114">
        <v>1765314577.1</v>
      </c>
      <c r="DR114">
        <v>399.8972</v>
      </c>
      <c r="DS114">
        <v>400.001866666667</v>
      </c>
      <c r="DT114">
        <v>18.3843466666667</v>
      </c>
      <c r="DU114">
        <v>18.2698266666667</v>
      </c>
      <c r="DV114">
        <v>392.2582</v>
      </c>
      <c r="DW114">
        <v>18.2153466666667</v>
      </c>
      <c r="DX114">
        <v>499.992866666667</v>
      </c>
      <c r="DY114">
        <v>89.6277666666667</v>
      </c>
      <c r="DZ114">
        <v>0.09996868</v>
      </c>
      <c r="EA114">
        <v>25.6078733333333</v>
      </c>
      <c r="EB114">
        <v>25.0021866666667</v>
      </c>
      <c r="EC114">
        <v>999.9</v>
      </c>
      <c r="ED114">
        <v>0</v>
      </c>
      <c r="EE114">
        <v>0</v>
      </c>
      <c r="EF114">
        <v>9998.66466666667</v>
      </c>
      <c r="EG114">
        <v>0</v>
      </c>
      <c r="EH114">
        <v>11.4692533333333</v>
      </c>
      <c r="EI114">
        <v>-0.09475506</v>
      </c>
      <c r="EJ114">
        <v>407.396866666667</v>
      </c>
      <c r="EK114">
        <v>407.445533333333</v>
      </c>
      <c r="EL114">
        <v>0.114861866666667</v>
      </c>
      <c r="EM114">
        <v>400.001866666667</v>
      </c>
      <c r="EN114">
        <v>18.2698266666667</v>
      </c>
      <c r="EO114">
        <v>1.64777933333333</v>
      </c>
      <c r="EP114">
        <v>1.63748266666667</v>
      </c>
      <c r="EQ114">
        <v>14.41302</v>
      </c>
      <c r="ER114">
        <v>14.3161333333333</v>
      </c>
      <c r="ES114">
        <v>799.999333333333</v>
      </c>
      <c r="ET114">
        <v>0.9499896</v>
      </c>
      <c r="EU114">
        <v>0.0500101533333333</v>
      </c>
      <c r="EV114">
        <v>0</v>
      </c>
      <c r="EW114">
        <v>317.531266666667</v>
      </c>
      <c r="EX114">
        <v>5.00016</v>
      </c>
      <c r="EY114">
        <v>2639.678</v>
      </c>
      <c r="EZ114">
        <v>7194.64666666667</v>
      </c>
      <c r="FA114">
        <v>39.7748</v>
      </c>
      <c r="FB114">
        <v>42.5082666666667</v>
      </c>
      <c r="FC114">
        <v>41.25</v>
      </c>
      <c r="FD114">
        <v>42.625</v>
      </c>
      <c r="FE114">
        <v>42.4664</v>
      </c>
      <c r="FF114">
        <v>755.242</v>
      </c>
      <c r="FG114">
        <v>39.758</v>
      </c>
      <c r="FH114">
        <v>0</v>
      </c>
      <c r="FI114">
        <v>1765314585.7</v>
      </c>
      <c r="FJ114">
        <v>0</v>
      </c>
      <c r="FK114">
        <v>317.519076923077</v>
      </c>
      <c r="FL114">
        <v>-1.45818803193649</v>
      </c>
      <c r="FM114">
        <v>-9.1941880490722</v>
      </c>
      <c r="FN114">
        <v>2639.62115384615</v>
      </c>
      <c r="FO114">
        <v>15</v>
      </c>
      <c r="FP114">
        <v>1765314610.1</v>
      </c>
      <c r="FQ114" t="s">
        <v>742</v>
      </c>
      <c r="FR114">
        <v>1765314610.1</v>
      </c>
      <c r="FS114">
        <v>1765314606.1</v>
      </c>
      <c r="FT114">
        <v>98</v>
      </c>
      <c r="FU114">
        <v>-0.01</v>
      </c>
      <c r="FV114">
        <v>0.002</v>
      </c>
      <c r="FW114">
        <v>7.639</v>
      </c>
      <c r="FX114">
        <v>0.169</v>
      </c>
      <c r="FY114">
        <v>400</v>
      </c>
      <c r="FZ114">
        <v>18</v>
      </c>
      <c r="GA114">
        <v>0.61</v>
      </c>
      <c r="GB114">
        <v>0.26</v>
      </c>
      <c r="GC114">
        <v>-0.068381180952381</v>
      </c>
      <c r="GD114">
        <v>-0.361547812987013</v>
      </c>
      <c r="GE114">
        <v>0.0552865339730909</v>
      </c>
      <c r="GF114">
        <v>1</v>
      </c>
      <c r="GG114">
        <v>317.605823529412</v>
      </c>
      <c r="GH114">
        <v>-0.981970970054291</v>
      </c>
      <c r="GI114">
        <v>0.1884380801075</v>
      </c>
      <c r="GJ114">
        <v>-1</v>
      </c>
      <c r="GK114">
        <v>0.115042857142857</v>
      </c>
      <c r="GL114">
        <v>-0.00184761038961039</v>
      </c>
      <c r="GM114">
        <v>0.00103067408759022</v>
      </c>
      <c r="GN114">
        <v>1</v>
      </c>
      <c r="GO114">
        <v>2</v>
      </c>
      <c r="GP114">
        <v>2</v>
      </c>
      <c r="GQ114" t="s">
        <v>440</v>
      </c>
      <c r="GR114">
        <v>3.1251</v>
      </c>
      <c r="GS114">
        <v>2.72561</v>
      </c>
      <c r="GT114">
        <v>0.0849585</v>
      </c>
      <c r="GU114">
        <v>0.0862033</v>
      </c>
      <c r="GV114">
        <v>0.0838185</v>
      </c>
      <c r="GW114">
        <v>0.0836463</v>
      </c>
      <c r="GX114">
        <v>24056</v>
      </c>
      <c r="GY114">
        <v>22383.5</v>
      </c>
      <c r="GZ114">
        <v>23501.2</v>
      </c>
      <c r="HA114">
        <v>23841.1</v>
      </c>
      <c r="HB114">
        <v>36662.4</v>
      </c>
      <c r="HC114">
        <v>36124.8</v>
      </c>
      <c r="HD114">
        <v>42327.4</v>
      </c>
      <c r="HE114">
        <v>42468.3</v>
      </c>
      <c r="HF114">
        <v>1.93635</v>
      </c>
      <c r="HG114">
        <v>1.8573</v>
      </c>
      <c r="HH114">
        <v>0.0791624</v>
      </c>
      <c r="HI114">
        <v>0</v>
      </c>
      <c r="HJ114">
        <v>23.6895</v>
      </c>
      <c r="HK114">
        <v>999.9</v>
      </c>
      <c r="HL114">
        <v>47.711</v>
      </c>
      <c r="HM114">
        <v>28.298</v>
      </c>
      <c r="HN114">
        <v>20.5534</v>
      </c>
      <c r="HO114">
        <v>55.1968</v>
      </c>
      <c r="HP114">
        <v>45.9816</v>
      </c>
      <c r="HQ114">
        <v>1</v>
      </c>
      <c r="HR114">
        <v>-0.127907</v>
      </c>
      <c r="HS114">
        <v>0.36207</v>
      </c>
      <c r="HT114">
        <v>20.2319</v>
      </c>
      <c r="HU114">
        <v>5.23481</v>
      </c>
      <c r="HV114">
        <v>11.992</v>
      </c>
      <c r="HW114">
        <v>4.9561</v>
      </c>
      <c r="HX114">
        <v>3.304</v>
      </c>
      <c r="HY114">
        <v>999.9</v>
      </c>
      <c r="HZ114">
        <v>9999</v>
      </c>
      <c r="IA114">
        <v>9999</v>
      </c>
      <c r="IB114">
        <v>9999</v>
      </c>
      <c r="IC114">
        <v>1.86859</v>
      </c>
      <c r="ID114">
        <v>1.86433</v>
      </c>
      <c r="IE114">
        <v>1.87195</v>
      </c>
      <c r="IF114">
        <v>1.86285</v>
      </c>
      <c r="IG114">
        <v>1.86228</v>
      </c>
      <c r="IH114">
        <v>1.86868</v>
      </c>
      <c r="II114">
        <v>1.85883</v>
      </c>
      <c r="IJ114">
        <v>1.86523</v>
      </c>
      <c r="IK114">
        <v>5</v>
      </c>
      <c r="IL114">
        <v>0</v>
      </c>
      <c r="IM114">
        <v>0</v>
      </c>
      <c r="IN114">
        <v>0</v>
      </c>
      <c r="IO114" t="s">
        <v>441</v>
      </c>
      <c r="IP114" t="s">
        <v>442</v>
      </c>
      <c r="IQ114" t="s">
        <v>443</v>
      </c>
      <c r="IR114" t="s">
        <v>443</v>
      </c>
      <c r="IS114" t="s">
        <v>443</v>
      </c>
      <c r="IT114" t="s">
        <v>443</v>
      </c>
      <c r="IU114">
        <v>0</v>
      </c>
      <c r="IV114">
        <v>100</v>
      </c>
      <c r="IW114">
        <v>100</v>
      </c>
      <c r="IX114">
        <v>7.639</v>
      </c>
      <c r="IY114">
        <v>0.169</v>
      </c>
      <c r="IZ114">
        <v>5.63839730591954</v>
      </c>
      <c r="JA114">
        <v>0.0062698613543794</v>
      </c>
      <c r="JB114">
        <v>-3.23243345529816e-06</v>
      </c>
      <c r="JC114">
        <v>8.00506428382295e-10</v>
      </c>
      <c r="JD114">
        <v>0.00189897679669665</v>
      </c>
      <c r="JE114">
        <v>-0.0018464610107002</v>
      </c>
      <c r="JF114">
        <v>0.000796540623429801</v>
      </c>
      <c r="JG114">
        <v>-1.04619914107352e-05</v>
      </c>
      <c r="JH114">
        <v>-0</v>
      </c>
      <c r="JI114">
        <v>2101</v>
      </c>
      <c r="JJ114">
        <v>1</v>
      </c>
      <c r="JK114">
        <v>23</v>
      </c>
      <c r="JL114">
        <v>1</v>
      </c>
      <c r="JM114">
        <v>1.1</v>
      </c>
      <c r="JN114">
        <v>1.0022</v>
      </c>
      <c r="JO114">
        <v>2.37183</v>
      </c>
      <c r="JP114">
        <v>1.4978</v>
      </c>
      <c r="JQ114">
        <v>2.33887</v>
      </c>
      <c r="JR114">
        <v>1.54419</v>
      </c>
      <c r="JS114">
        <v>2.36938</v>
      </c>
      <c r="JT114">
        <v>34.3952</v>
      </c>
      <c r="JU114">
        <v>24.3502</v>
      </c>
      <c r="JV114">
        <v>18</v>
      </c>
      <c r="JW114">
        <v>548.014</v>
      </c>
      <c r="JX114">
        <v>440.363</v>
      </c>
      <c r="JY114">
        <v>23.4424</v>
      </c>
      <c r="JZ114">
        <v>25.8752</v>
      </c>
      <c r="KA114">
        <v>30.0001</v>
      </c>
      <c r="KB114">
        <v>25.8335</v>
      </c>
      <c r="KC114">
        <v>25.8575</v>
      </c>
      <c r="KD114">
        <v>20.1027</v>
      </c>
      <c r="KE114">
        <v>21.4964</v>
      </c>
      <c r="KF114">
        <v>100</v>
      </c>
      <c r="KG114">
        <v>23.4598</v>
      </c>
      <c r="KH114">
        <v>400</v>
      </c>
      <c r="KI114">
        <v>18.2653</v>
      </c>
      <c r="KJ114">
        <v>94.8998</v>
      </c>
      <c r="KK114">
        <v>99.0148</v>
      </c>
    </row>
    <row r="115" spans="1:297">
      <c r="A115">
        <v>99</v>
      </c>
      <c r="B115">
        <v>1765314686.1</v>
      </c>
      <c r="C115">
        <v>16737.0999999046</v>
      </c>
      <c r="D115" t="s">
        <v>743</v>
      </c>
      <c r="E115" t="s">
        <v>744</v>
      </c>
      <c r="F115">
        <v>5</v>
      </c>
      <c r="G115" t="s">
        <v>723</v>
      </c>
      <c r="H115" t="s">
        <v>436</v>
      </c>
      <c r="I115">
        <v>1765314678.1</v>
      </c>
      <c r="J115">
        <f>(K115)/1000</f>
        <v>0</v>
      </c>
      <c r="K115">
        <f>IF(DP115, AN115, AH115)</f>
        <v>0</v>
      </c>
      <c r="L115">
        <f>IF(DP115, AI115, AG115)</f>
        <v>0</v>
      </c>
      <c r="M115">
        <f>DR115 - IF(AU115&gt;1, L115*DL115*100.0/(AW115), 0)</f>
        <v>0</v>
      </c>
      <c r="N115">
        <f>((T115-J115/2)*M115-L115)/(T115+J115/2)</f>
        <v>0</v>
      </c>
      <c r="O115">
        <f>N115*(DY115+DZ115)/1000.0</f>
        <v>0</v>
      </c>
      <c r="P115">
        <f>(DR115 - IF(AU115&gt;1, L115*DL115*100.0/(AW115), 0))*(DY115+DZ115)/1000.0</f>
        <v>0</v>
      </c>
      <c r="Q115">
        <f>2.0/((1/S115-1/R115)+SIGN(S115)*SQRT((1/S115-1/R115)*(1/S115-1/R115) + 4*DM115/((DM115+1)*(DM115+1))*(2*1/S115*1/R115-1/R115*1/R115)))</f>
        <v>0</v>
      </c>
      <c r="R115">
        <f>IF(LEFT(DN115,1)&lt;&gt;"0",IF(LEFT(DN115,1)="1",3.0,DO115),$D$5+$E$5*(EF115*DY115/($K$5*1000))+$F$5*(EF115*DY115/($K$5*1000))*MAX(MIN(DL115,$J$5),$I$5)*MAX(MIN(DL115,$J$5),$I$5)+$G$5*MAX(MIN(DL115,$J$5),$I$5)*(EF115*DY115/($K$5*1000))+$H$5*(EF115*DY115/($K$5*1000))*(EF115*DY115/($K$5*1000)))</f>
        <v>0</v>
      </c>
      <c r="S115">
        <f>J115*(1000-(1000*0.61365*exp(17.502*W115/(240.97+W115))/(DY115+DZ115)+DT115)/2)/(1000*0.61365*exp(17.502*W115/(240.97+W115))/(DY115+DZ115)-DT115)</f>
        <v>0</v>
      </c>
      <c r="T115">
        <f>1/((DM115+1)/(Q115/1.6)+1/(R115/1.37)) + DM115/((DM115+1)/(Q115/1.6) + DM115/(R115/1.37))</f>
        <v>0</v>
      </c>
      <c r="U115">
        <f>(DH115*DK115)</f>
        <v>0</v>
      </c>
      <c r="V115">
        <f>(EA115+(U115+2*0.95*5.67E-8*(((EA115+$B$7)+273)^4-(EA115+273)^4)-44100*J115)/(1.84*29.3*R115+8*0.95*5.67E-8*(EA115+273)^3))</f>
        <v>0</v>
      </c>
      <c r="W115">
        <f>($C$7*EB115+$D$7*EC115+$E$7*V115)</f>
        <v>0</v>
      </c>
      <c r="X115">
        <f>0.61365*exp(17.502*W115/(240.97+W115))</f>
        <v>0</v>
      </c>
      <c r="Y115">
        <f>(Z115/AA115*100)</f>
        <v>0</v>
      </c>
      <c r="Z115">
        <f>DT115*(DY115+DZ115)/1000</f>
        <v>0</v>
      </c>
      <c r="AA115">
        <f>0.61365*exp(17.502*EA115/(240.97+EA115))</f>
        <v>0</v>
      </c>
      <c r="AB115">
        <f>(X115-DT115*(DY115+DZ115)/1000)</f>
        <v>0</v>
      </c>
      <c r="AC115">
        <f>(-J115*44100)</f>
        <v>0</v>
      </c>
      <c r="AD115">
        <f>2*29.3*R115*0.92*(EA115-W115)</f>
        <v>0</v>
      </c>
      <c r="AE115">
        <f>2*0.95*5.67E-8*(((EA115+$B$7)+273)^4-(W115+273)^4)</f>
        <v>0</v>
      </c>
      <c r="AF115">
        <f>U115+AE115+AC115+AD115</f>
        <v>0</v>
      </c>
      <c r="AG115">
        <f>DX115*AU115*(DS115-DR115*(1000-AU115*DU115)/(1000-AU115*DT115))/(100*DL115)</f>
        <v>0</v>
      </c>
      <c r="AH115">
        <f>1000*DX115*AU115*(DT115-DU115)/(100*DL115*(1000-AU115*DT115))</f>
        <v>0</v>
      </c>
      <c r="AI115">
        <f>(AJ115 - AK115 - DY115*1E3/(8.314*(EA115+273.15)) * AM115/DX115 * AL115) * DX115/(100*DL115) * (1000 - DU115)/1000</f>
        <v>0</v>
      </c>
      <c r="AJ115">
        <v>611.235657761353</v>
      </c>
      <c r="AK115">
        <v>610.91183030303</v>
      </c>
      <c r="AL115">
        <v>0.000436659906130534</v>
      </c>
      <c r="AM115">
        <v>63.7581713392514</v>
      </c>
      <c r="AN115">
        <f>(AP115 - AO115 + DY115*1E3/(8.314*(EA115+273.15)) * AR115/DX115 * AQ115) * DX115/(100*DL115) * 1000/(1000 - AP115)</f>
        <v>0</v>
      </c>
      <c r="AO115">
        <v>18.2911808523002</v>
      </c>
      <c r="AP115">
        <v>18.4070563636364</v>
      </c>
      <c r="AQ115">
        <v>2.45483263727129e-05</v>
      </c>
      <c r="AR115">
        <v>105.437133641028</v>
      </c>
      <c r="AS115">
        <v>0</v>
      </c>
      <c r="AT115">
        <v>0</v>
      </c>
      <c r="AU115">
        <f>IF(AS115*$H$13&gt;=AW115,1.0,(AW115/(AW115-AS115*$H$13)))</f>
        <v>0</v>
      </c>
      <c r="AV115">
        <f>(AU115-1)*100</f>
        <v>0</v>
      </c>
      <c r="AW115">
        <f>MAX(0,($B$13+$C$13*EF115)/(1+$D$13*EF115)*DY115/(EA115+273)*$E$13)</f>
        <v>0</v>
      </c>
      <c r="AX115" t="s">
        <v>437</v>
      </c>
      <c r="AY115" t="s">
        <v>437</v>
      </c>
      <c r="AZ115">
        <v>0</v>
      </c>
      <c r="BA115">
        <v>0</v>
      </c>
      <c r="BB115">
        <f>1-AZ115/BA115</f>
        <v>0</v>
      </c>
      <c r="BC115">
        <v>0</v>
      </c>
      <c r="BD115" t="s">
        <v>437</v>
      </c>
      <c r="BE115" t="s">
        <v>437</v>
      </c>
      <c r="BF115">
        <v>0</v>
      </c>
      <c r="BG115">
        <v>0</v>
      </c>
      <c r="BH115">
        <f>1-BF115/BG115</f>
        <v>0</v>
      </c>
      <c r="BI115">
        <v>0.5</v>
      </c>
      <c r="BJ115">
        <f>DI115</f>
        <v>0</v>
      </c>
      <c r="BK115">
        <f>L115</f>
        <v>0</v>
      </c>
      <c r="BL115">
        <f>BH115*BI115*BJ115</f>
        <v>0</v>
      </c>
      <c r="BM115">
        <f>(BK115-BC115)/BJ115</f>
        <v>0</v>
      </c>
      <c r="BN115">
        <f>(BA115-BG115)/BG115</f>
        <v>0</v>
      </c>
      <c r="BO115">
        <f>AZ115/(BB115+AZ115/BG115)</f>
        <v>0</v>
      </c>
      <c r="BP115" t="s">
        <v>437</v>
      </c>
      <c r="BQ115">
        <v>0</v>
      </c>
      <c r="BR115">
        <f>IF(BQ115&lt;&gt;0, BQ115, BO115)</f>
        <v>0</v>
      </c>
      <c r="BS115">
        <f>1-BR115/BG115</f>
        <v>0</v>
      </c>
      <c r="BT115">
        <f>(BG115-BF115)/(BG115-BR115)</f>
        <v>0</v>
      </c>
      <c r="BU115">
        <f>(BA115-BG115)/(BA115-BR115)</f>
        <v>0</v>
      </c>
      <c r="BV115">
        <f>(BG115-BF115)/(BG115-AZ115)</f>
        <v>0</v>
      </c>
      <c r="BW115">
        <f>(BA115-BG115)/(BA115-AZ115)</f>
        <v>0</v>
      </c>
      <c r="BX115">
        <f>(BT115*BR115/BF115)</f>
        <v>0</v>
      </c>
      <c r="BY115">
        <f>(1-BX115)</f>
        <v>0</v>
      </c>
      <c r="DH115">
        <f>$B$11*EG115+$C$11*EH115+$F$11*ES115*(1-EV115)</f>
        <v>0</v>
      </c>
      <c r="DI115">
        <f>DH115*DJ115</f>
        <v>0</v>
      </c>
      <c r="DJ115">
        <f>($B$11*$D$9+$C$11*$D$9+$F$11*((FF115+EX115)/MAX(FF115+EX115+FG115, 0.1)*$I$9+FG115/MAX(FF115+EX115+FG115, 0.1)*$J$9))/($B$11+$C$11+$F$11)</f>
        <v>0</v>
      </c>
      <c r="DK115">
        <f>($B$11*$K$9+$C$11*$K$9+$F$11*((FF115+EX115)/MAX(FF115+EX115+FG115, 0.1)*$P$9+FG115/MAX(FF115+EX115+FG115, 0.1)*$Q$9))/($B$11+$C$11+$F$11)</f>
        <v>0</v>
      </c>
      <c r="DL115">
        <v>5.66</v>
      </c>
      <c r="DM115">
        <v>0.5</v>
      </c>
      <c r="DN115" t="s">
        <v>438</v>
      </c>
      <c r="DO115">
        <v>2</v>
      </c>
      <c r="DP115" t="b">
        <v>1</v>
      </c>
      <c r="DQ115">
        <v>1765314678.1</v>
      </c>
      <c r="DR115">
        <v>599.756866666666</v>
      </c>
      <c r="DS115">
        <v>600.0312</v>
      </c>
      <c r="DT115">
        <v>18.4008333333333</v>
      </c>
      <c r="DU115">
        <v>18.2904066666667</v>
      </c>
      <c r="DV115">
        <v>591.308866666667</v>
      </c>
      <c r="DW115">
        <v>18.2338333333333</v>
      </c>
      <c r="DX115">
        <v>500.026866666667</v>
      </c>
      <c r="DY115">
        <v>89.6315733333333</v>
      </c>
      <c r="DZ115">
        <v>0.100005046666667</v>
      </c>
      <c r="EA115">
        <v>25.61674</v>
      </c>
      <c r="EB115">
        <v>25.0115866666667</v>
      </c>
      <c r="EC115">
        <v>999.9</v>
      </c>
      <c r="ED115">
        <v>0</v>
      </c>
      <c r="EE115">
        <v>0</v>
      </c>
      <c r="EF115">
        <v>10006.878</v>
      </c>
      <c r="EG115">
        <v>0</v>
      </c>
      <c r="EH115">
        <v>11.5179</v>
      </c>
      <c r="EI115">
        <v>-0.351346866666667</v>
      </c>
      <c r="EJ115">
        <v>610.924133333333</v>
      </c>
      <c r="EK115">
        <v>611.210533333333</v>
      </c>
      <c r="EL115">
        <v>0.114932266666667</v>
      </c>
      <c r="EM115">
        <v>600.0312</v>
      </c>
      <c r="EN115">
        <v>18.2904066666667</v>
      </c>
      <c r="EO115">
        <v>1.6497</v>
      </c>
      <c r="EP115">
        <v>1.63939666666667</v>
      </c>
      <c r="EQ115">
        <v>14.4310533333333</v>
      </c>
      <c r="ER115">
        <v>14.3341933333333</v>
      </c>
      <c r="ES115">
        <v>799.996533333333</v>
      </c>
      <c r="ET115">
        <v>0.949987</v>
      </c>
      <c r="EU115">
        <v>0.0500126533333333</v>
      </c>
      <c r="EV115">
        <v>0</v>
      </c>
      <c r="EW115">
        <v>316.004133333333</v>
      </c>
      <c r="EX115">
        <v>5.00016</v>
      </c>
      <c r="EY115">
        <v>2627.08333333333</v>
      </c>
      <c r="EZ115">
        <v>7194.61466666667</v>
      </c>
      <c r="FA115">
        <v>39.8078666666667</v>
      </c>
      <c r="FB115">
        <v>42.5082666666667</v>
      </c>
      <c r="FC115">
        <v>41.2541333333333</v>
      </c>
      <c r="FD115">
        <v>42.5998</v>
      </c>
      <c r="FE115">
        <v>42.4916</v>
      </c>
      <c r="FF115">
        <v>755.236666666667</v>
      </c>
      <c r="FG115">
        <v>39.76</v>
      </c>
      <c r="FH115">
        <v>0</v>
      </c>
      <c r="FI115">
        <v>1765314686.5</v>
      </c>
      <c r="FJ115">
        <v>0</v>
      </c>
      <c r="FK115">
        <v>316.018076923077</v>
      </c>
      <c r="FL115">
        <v>-0.925264955054883</v>
      </c>
      <c r="FM115">
        <v>-6.30769230984241</v>
      </c>
      <c r="FN115">
        <v>2627.08769230769</v>
      </c>
      <c r="FO115">
        <v>15</v>
      </c>
      <c r="FP115">
        <v>1765314715.1</v>
      </c>
      <c r="FQ115" t="s">
        <v>745</v>
      </c>
      <c r="FR115">
        <v>1765314715.1</v>
      </c>
      <c r="FS115">
        <v>1765314705.1</v>
      </c>
      <c r="FT115">
        <v>99</v>
      </c>
      <c r="FU115">
        <v>0.076</v>
      </c>
      <c r="FV115">
        <v>-0.003</v>
      </c>
      <c r="FW115">
        <v>8.448</v>
      </c>
      <c r="FX115">
        <v>0.167</v>
      </c>
      <c r="FY115">
        <v>600</v>
      </c>
      <c r="FZ115">
        <v>18</v>
      </c>
      <c r="GA115">
        <v>0.9</v>
      </c>
      <c r="GB115">
        <v>0.38</v>
      </c>
      <c r="GC115">
        <v>-0.39119565</v>
      </c>
      <c r="GD115">
        <v>0.355348285714286</v>
      </c>
      <c r="GE115">
        <v>0.0708780017574388</v>
      </c>
      <c r="GF115">
        <v>1</v>
      </c>
      <c r="GG115">
        <v>316.055441176471</v>
      </c>
      <c r="GH115">
        <v>-0.879954166726747</v>
      </c>
      <c r="GI115">
        <v>0.234985255003801</v>
      </c>
      <c r="GJ115">
        <v>-1</v>
      </c>
      <c r="GK115">
        <v>0.11475665</v>
      </c>
      <c r="GL115">
        <v>-0.0030972180451127</v>
      </c>
      <c r="GM115">
        <v>0.00116725615333568</v>
      </c>
      <c r="GN115">
        <v>1</v>
      </c>
      <c r="GO115">
        <v>2</v>
      </c>
      <c r="GP115">
        <v>2</v>
      </c>
      <c r="GQ115" t="s">
        <v>440</v>
      </c>
      <c r="GR115">
        <v>3.12509</v>
      </c>
      <c r="GS115">
        <v>2.72558</v>
      </c>
      <c r="GT115">
        <v>0.115152</v>
      </c>
      <c r="GU115">
        <v>0.116212</v>
      </c>
      <c r="GV115">
        <v>0.0838962</v>
      </c>
      <c r="GW115">
        <v>0.0837308</v>
      </c>
      <c r="GX115">
        <v>23260.8</v>
      </c>
      <c r="GY115">
        <v>21648.4</v>
      </c>
      <c r="GZ115">
        <v>23499.6</v>
      </c>
      <c r="HA115">
        <v>23840.8</v>
      </c>
      <c r="HB115">
        <v>36659.4</v>
      </c>
      <c r="HC115">
        <v>36123.2</v>
      </c>
      <c r="HD115">
        <v>42324.5</v>
      </c>
      <c r="HE115">
        <v>42467.6</v>
      </c>
      <c r="HF115">
        <v>1.9364</v>
      </c>
      <c r="HG115">
        <v>1.85805</v>
      </c>
      <c r="HH115">
        <v>0.0786856</v>
      </c>
      <c r="HI115">
        <v>0</v>
      </c>
      <c r="HJ115">
        <v>23.7206</v>
      </c>
      <c r="HK115">
        <v>999.9</v>
      </c>
      <c r="HL115">
        <v>47.784</v>
      </c>
      <c r="HM115">
        <v>28.288</v>
      </c>
      <c r="HN115">
        <v>20.5719</v>
      </c>
      <c r="HO115">
        <v>54.4268</v>
      </c>
      <c r="HP115">
        <v>45.7212</v>
      </c>
      <c r="HQ115">
        <v>1</v>
      </c>
      <c r="HR115">
        <v>-0.127287</v>
      </c>
      <c r="HS115">
        <v>0.438682</v>
      </c>
      <c r="HT115">
        <v>20.2317</v>
      </c>
      <c r="HU115">
        <v>5.23481</v>
      </c>
      <c r="HV115">
        <v>11.992</v>
      </c>
      <c r="HW115">
        <v>4.9563</v>
      </c>
      <c r="HX115">
        <v>3.304</v>
      </c>
      <c r="HY115">
        <v>999.9</v>
      </c>
      <c r="HZ115">
        <v>9999</v>
      </c>
      <c r="IA115">
        <v>9999</v>
      </c>
      <c r="IB115">
        <v>9999</v>
      </c>
      <c r="IC115">
        <v>1.8686</v>
      </c>
      <c r="ID115">
        <v>1.86434</v>
      </c>
      <c r="IE115">
        <v>1.87195</v>
      </c>
      <c r="IF115">
        <v>1.86287</v>
      </c>
      <c r="IG115">
        <v>1.86225</v>
      </c>
      <c r="IH115">
        <v>1.86871</v>
      </c>
      <c r="II115">
        <v>1.85883</v>
      </c>
      <c r="IJ115">
        <v>1.86523</v>
      </c>
      <c r="IK115">
        <v>5</v>
      </c>
      <c r="IL115">
        <v>0</v>
      </c>
      <c r="IM115">
        <v>0</v>
      </c>
      <c r="IN115">
        <v>0</v>
      </c>
      <c r="IO115" t="s">
        <v>441</v>
      </c>
      <c r="IP115" t="s">
        <v>442</v>
      </c>
      <c r="IQ115" t="s">
        <v>443</v>
      </c>
      <c r="IR115" t="s">
        <v>443</v>
      </c>
      <c r="IS115" t="s">
        <v>443</v>
      </c>
      <c r="IT115" t="s">
        <v>443</v>
      </c>
      <c r="IU115">
        <v>0</v>
      </c>
      <c r="IV115">
        <v>100</v>
      </c>
      <c r="IW115">
        <v>100</v>
      </c>
      <c r="IX115">
        <v>8.448</v>
      </c>
      <c r="IY115">
        <v>0.167</v>
      </c>
      <c r="IZ115">
        <v>5.62827716165303</v>
      </c>
      <c r="JA115">
        <v>0.0062698613543794</v>
      </c>
      <c r="JB115">
        <v>-3.23243345529816e-06</v>
      </c>
      <c r="JC115">
        <v>8.00506428382295e-10</v>
      </c>
      <c r="JD115">
        <v>0.00378086230378749</v>
      </c>
      <c r="JE115">
        <v>-0.0018464610107002</v>
      </c>
      <c r="JF115">
        <v>0.000796540623429801</v>
      </c>
      <c r="JG115">
        <v>-1.04619914107352e-05</v>
      </c>
      <c r="JH115">
        <v>-0</v>
      </c>
      <c r="JI115">
        <v>2101</v>
      </c>
      <c r="JJ115">
        <v>1</v>
      </c>
      <c r="JK115">
        <v>23</v>
      </c>
      <c r="JL115">
        <v>1.3</v>
      </c>
      <c r="JM115">
        <v>1.3</v>
      </c>
      <c r="JN115">
        <v>1.3855</v>
      </c>
      <c r="JO115">
        <v>2.38159</v>
      </c>
      <c r="JP115">
        <v>1.49902</v>
      </c>
      <c r="JQ115">
        <v>2.33887</v>
      </c>
      <c r="JR115">
        <v>1.54419</v>
      </c>
      <c r="JS115">
        <v>2.27783</v>
      </c>
      <c r="JT115">
        <v>34.3725</v>
      </c>
      <c r="JU115">
        <v>24.3414</v>
      </c>
      <c r="JV115">
        <v>18</v>
      </c>
      <c r="JW115">
        <v>548.084</v>
      </c>
      <c r="JX115">
        <v>440.844</v>
      </c>
      <c r="JY115">
        <v>23.3985</v>
      </c>
      <c r="JZ115">
        <v>25.8817</v>
      </c>
      <c r="KA115">
        <v>30.0001</v>
      </c>
      <c r="KB115">
        <v>25.8378</v>
      </c>
      <c r="KC115">
        <v>25.8619</v>
      </c>
      <c r="KD115">
        <v>27.7827</v>
      </c>
      <c r="KE115">
        <v>21.4964</v>
      </c>
      <c r="KF115">
        <v>100</v>
      </c>
      <c r="KG115">
        <v>23.3861</v>
      </c>
      <c r="KH115">
        <v>600</v>
      </c>
      <c r="KI115">
        <v>18.2714</v>
      </c>
      <c r="KJ115">
        <v>94.8933</v>
      </c>
      <c r="KK115">
        <v>99.0133</v>
      </c>
    </row>
    <row r="116" spans="1:297">
      <c r="A116">
        <v>100</v>
      </c>
      <c r="B116">
        <v>1765314787.1</v>
      </c>
      <c r="C116">
        <v>16838.0999999046</v>
      </c>
      <c r="D116" t="s">
        <v>746</v>
      </c>
      <c r="E116" t="s">
        <v>747</v>
      </c>
      <c r="F116">
        <v>5</v>
      </c>
      <c r="G116" t="s">
        <v>723</v>
      </c>
      <c r="H116" t="s">
        <v>436</v>
      </c>
      <c r="I116">
        <v>1765314779.1</v>
      </c>
      <c r="J116">
        <f>(K116)/1000</f>
        <v>0</v>
      </c>
      <c r="K116">
        <f>IF(DP116, AN116, AH116)</f>
        <v>0</v>
      </c>
      <c r="L116">
        <f>IF(DP116, AI116, AG116)</f>
        <v>0</v>
      </c>
      <c r="M116">
        <f>DR116 - IF(AU116&gt;1, L116*DL116*100.0/(AW116), 0)</f>
        <v>0</v>
      </c>
      <c r="N116">
        <f>((T116-J116/2)*M116-L116)/(T116+J116/2)</f>
        <v>0</v>
      </c>
      <c r="O116">
        <f>N116*(DY116+DZ116)/1000.0</f>
        <v>0</v>
      </c>
      <c r="P116">
        <f>(DR116 - IF(AU116&gt;1, L116*DL116*100.0/(AW116), 0))*(DY116+DZ116)/1000.0</f>
        <v>0</v>
      </c>
      <c r="Q116">
        <f>2.0/((1/S116-1/R116)+SIGN(S116)*SQRT((1/S116-1/R116)*(1/S116-1/R116) + 4*DM116/((DM116+1)*(DM116+1))*(2*1/S116*1/R116-1/R116*1/R116)))</f>
        <v>0</v>
      </c>
      <c r="R116">
        <f>IF(LEFT(DN116,1)&lt;&gt;"0",IF(LEFT(DN116,1)="1",3.0,DO116),$D$5+$E$5*(EF116*DY116/($K$5*1000))+$F$5*(EF116*DY116/($K$5*1000))*MAX(MIN(DL116,$J$5),$I$5)*MAX(MIN(DL116,$J$5),$I$5)+$G$5*MAX(MIN(DL116,$J$5),$I$5)*(EF116*DY116/($K$5*1000))+$H$5*(EF116*DY116/($K$5*1000))*(EF116*DY116/($K$5*1000)))</f>
        <v>0</v>
      </c>
      <c r="S116">
        <f>J116*(1000-(1000*0.61365*exp(17.502*W116/(240.97+W116))/(DY116+DZ116)+DT116)/2)/(1000*0.61365*exp(17.502*W116/(240.97+W116))/(DY116+DZ116)-DT116)</f>
        <v>0</v>
      </c>
      <c r="T116">
        <f>1/((DM116+1)/(Q116/1.6)+1/(R116/1.37)) + DM116/((DM116+1)/(Q116/1.6) + DM116/(R116/1.37))</f>
        <v>0</v>
      </c>
      <c r="U116">
        <f>(DH116*DK116)</f>
        <v>0</v>
      </c>
      <c r="V116">
        <f>(EA116+(U116+2*0.95*5.67E-8*(((EA116+$B$7)+273)^4-(EA116+273)^4)-44100*J116)/(1.84*29.3*R116+8*0.95*5.67E-8*(EA116+273)^3))</f>
        <v>0</v>
      </c>
      <c r="W116">
        <f>($C$7*EB116+$D$7*EC116+$E$7*V116)</f>
        <v>0</v>
      </c>
      <c r="X116">
        <f>0.61365*exp(17.502*W116/(240.97+W116))</f>
        <v>0</v>
      </c>
      <c r="Y116">
        <f>(Z116/AA116*100)</f>
        <v>0</v>
      </c>
      <c r="Z116">
        <f>DT116*(DY116+DZ116)/1000</f>
        <v>0</v>
      </c>
      <c r="AA116">
        <f>0.61365*exp(17.502*EA116/(240.97+EA116))</f>
        <v>0</v>
      </c>
      <c r="AB116">
        <f>(X116-DT116*(DY116+DZ116)/1000)</f>
        <v>0</v>
      </c>
      <c r="AC116">
        <f>(-J116*44100)</f>
        <v>0</v>
      </c>
      <c r="AD116">
        <f>2*29.3*R116*0.92*(EA116-W116)</f>
        <v>0</v>
      </c>
      <c r="AE116">
        <f>2*0.95*5.67E-8*(((EA116+$B$7)+273)^4-(W116+273)^4)</f>
        <v>0</v>
      </c>
      <c r="AF116">
        <f>U116+AE116+AC116+AD116</f>
        <v>0</v>
      </c>
      <c r="AG116">
        <f>DX116*AU116*(DS116-DR116*(1000-AU116*DU116)/(1000-AU116*DT116))/(100*DL116)</f>
        <v>0</v>
      </c>
      <c r="AH116">
        <f>1000*DX116*AU116*(DT116-DU116)/(100*DL116*(1000-AU116*DT116))</f>
        <v>0</v>
      </c>
      <c r="AI116">
        <f>(AJ116 - AK116 - DY116*1E3/(8.314*(EA116+273.15)) * AM116/DX116 * AL116) * DX116/(100*DL116) * (1000 - DU116)/1000</f>
        <v>0</v>
      </c>
      <c r="AJ116">
        <v>814.962965772731</v>
      </c>
      <c r="AK116">
        <v>814.692987878787</v>
      </c>
      <c r="AL116">
        <v>-0.0019162148454809</v>
      </c>
      <c r="AM116">
        <v>63.7226144920081</v>
      </c>
      <c r="AN116">
        <f>(AP116 - AO116 + DY116*1E3/(8.314*(EA116+273.15)) * AR116/DX116 * AQ116) * DX116/(100*DL116) * 1000/(1000 - AP116)</f>
        <v>0</v>
      </c>
      <c r="AO116">
        <v>18.2516901364463</v>
      </c>
      <c r="AP116">
        <v>18.3553715151515</v>
      </c>
      <c r="AQ116">
        <v>1.59065846866219e-05</v>
      </c>
      <c r="AR116">
        <v>105.99553334327</v>
      </c>
      <c r="AS116">
        <v>0</v>
      </c>
      <c r="AT116">
        <v>0</v>
      </c>
      <c r="AU116">
        <f>IF(AS116*$H$13&gt;=AW116,1.0,(AW116/(AW116-AS116*$H$13)))</f>
        <v>0</v>
      </c>
      <c r="AV116">
        <f>(AU116-1)*100</f>
        <v>0</v>
      </c>
      <c r="AW116">
        <f>MAX(0,($B$13+$C$13*EF116)/(1+$D$13*EF116)*DY116/(EA116+273)*$E$13)</f>
        <v>0</v>
      </c>
      <c r="AX116" t="s">
        <v>437</v>
      </c>
      <c r="AY116" t="s">
        <v>437</v>
      </c>
      <c r="AZ116">
        <v>0</v>
      </c>
      <c r="BA116">
        <v>0</v>
      </c>
      <c r="BB116">
        <f>1-AZ116/BA116</f>
        <v>0</v>
      </c>
      <c r="BC116">
        <v>0</v>
      </c>
      <c r="BD116" t="s">
        <v>437</v>
      </c>
      <c r="BE116" t="s">
        <v>437</v>
      </c>
      <c r="BF116">
        <v>0</v>
      </c>
      <c r="BG116">
        <v>0</v>
      </c>
      <c r="BH116">
        <f>1-BF116/BG116</f>
        <v>0</v>
      </c>
      <c r="BI116">
        <v>0.5</v>
      </c>
      <c r="BJ116">
        <f>DI116</f>
        <v>0</v>
      </c>
      <c r="BK116">
        <f>L116</f>
        <v>0</v>
      </c>
      <c r="BL116">
        <f>BH116*BI116*BJ116</f>
        <v>0</v>
      </c>
      <c r="BM116">
        <f>(BK116-BC116)/BJ116</f>
        <v>0</v>
      </c>
      <c r="BN116">
        <f>(BA116-BG116)/BG116</f>
        <v>0</v>
      </c>
      <c r="BO116">
        <f>AZ116/(BB116+AZ116/BG116)</f>
        <v>0</v>
      </c>
      <c r="BP116" t="s">
        <v>437</v>
      </c>
      <c r="BQ116">
        <v>0</v>
      </c>
      <c r="BR116">
        <f>IF(BQ116&lt;&gt;0, BQ116, BO116)</f>
        <v>0</v>
      </c>
      <c r="BS116">
        <f>1-BR116/BG116</f>
        <v>0</v>
      </c>
      <c r="BT116">
        <f>(BG116-BF116)/(BG116-BR116)</f>
        <v>0</v>
      </c>
      <c r="BU116">
        <f>(BA116-BG116)/(BA116-BR116)</f>
        <v>0</v>
      </c>
      <c r="BV116">
        <f>(BG116-BF116)/(BG116-AZ116)</f>
        <v>0</v>
      </c>
      <c r="BW116">
        <f>(BA116-BG116)/(BA116-AZ116)</f>
        <v>0</v>
      </c>
      <c r="BX116">
        <f>(BT116*BR116/BF116)</f>
        <v>0</v>
      </c>
      <c r="BY116">
        <f>(1-BX116)</f>
        <v>0</v>
      </c>
      <c r="DH116">
        <f>$B$11*EG116+$C$11*EH116+$F$11*ES116*(1-EV116)</f>
        <v>0</v>
      </c>
      <c r="DI116">
        <f>DH116*DJ116</f>
        <v>0</v>
      </c>
      <c r="DJ116">
        <f>($B$11*$D$9+$C$11*$D$9+$F$11*((FF116+EX116)/MAX(FF116+EX116+FG116, 0.1)*$I$9+FG116/MAX(FF116+EX116+FG116, 0.1)*$J$9))/($B$11+$C$11+$F$11)</f>
        <v>0</v>
      </c>
      <c r="DK116">
        <f>($B$11*$K$9+$C$11*$K$9+$F$11*((FF116+EX116)/MAX(FF116+EX116+FG116, 0.1)*$P$9+FG116/MAX(FF116+EX116+FG116, 0.1)*$Q$9))/($B$11+$C$11+$F$11)</f>
        <v>0</v>
      </c>
      <c r="DL116">
        <v>5.66</v>
      </c>
      <c r="DM116">
        <v>0.5</v>
      </c>
      <c r="DN116" t="s">
        <v>438</v>
      </c>
      <c r="DO116">
        <v>2</v>
      </c>
      <c r="DP116" t="b">
        <v>1</v>
      </c>
      <c r="DQ116">
        <v>1765314779.1</v>
      </c>
      <c r="DR116">
        <v>799.543466666667</v>
      </c>
      <c r="DS116">
        <v>800.031733333333</v>
      </c>
      <c r="DT116">
        <v>18.36144</v>
      </c>
      <c r="DU116">
        <v>18.2504866666667</v>
      </c>
      <c r="DV116">
        <v>790.665466666667</v>
      </c>
      <c r="DW116">
        <v>18.18744</v>
      </c>
      <c r="DX116">
        <v>500.020666666667</v>
      </c>
      <c r="DY116">
        <v>89.6332</v>
      </c>
      <c r="DZ116">
        <v>0.10003172</v>
      </c>
      <c r="EA116">
        <v>25.6120666666667</v>
      </c>
      <c r="EB116">
        <v>25.0000866666667</v>
      </c>
      <c r="EC116">
        <v>999.9</v>
      </c>
      <c r="ED116">
        <v>0</v>
      </c>
      <c r="EE116">
        <v>0</v>
      </c>
      <c r="EF116">
        <v>9994.54133333333</v>
      </c>
      <c r="EG116">
        <v>0</v>
      </c>
      <c r="EH116">
        <v>11.5179</v>
      </c>
      <c r="EI116">
        <v>-0.329651</v>
      </c>
      <c r="EJ116">
        <v>814.655066666667</v>
      </c>
      <c r="EK116">
        <v>814.9042</v>
      </c>
      <c r="EL116">
        <v>0.104503066666667</v>
      </c>
      <c r="EM116">
        <v>800.031733333333</v>
      </c>
      <c r="EN116">
        <v>18.2504866666667</v>
      </c>
      <c r="EO116">
        <v>1.64521533333333</v>
      </c>
      <c r="EP116">
        <v>1.63584933333333</v>
      </c>
      <c r="EQ116">
        <v>14.3889733333333</v>
      </c>
      <c r="ER116">
        <v>14.3007133333333</v>
      </c>
      <c r="ES116">
        <v>800.016666666667</v>
      </c>
      <c r="ET116">
        <v>0.949991866666667</v>
      </c>
      <c r="EU116">
        <v>0.05000784</v>
      </c>
      <c r="EV116">
        <v>0</v>
      </c>
      <c r="EW116">
        <v>314.604333333333</v>
      </c>
      <c r="EX116">
        <v>5.00016</v>
      </c>
      <c r="EY116">
        <v>2616.01066666667</v>
      </c>
      <c r="EZ116">
        <v>7194.80933333333</v>
      </c>
      <c r="FA116">
        <v>39.812</v>
      </c>
      <c r="FB116">
        <v>42.5537333333333</v>
      </c>
      <c r="FC116">
        <v>41.3078666666667</v>
      </c>
      <c r="FD116">
        <v>42.604</v>
      </c>
      <c r="FE116">
        <v>42.5</v>
      </c>
      <c r="FF116">
        <v>755.26</v>
      </c>
      <c r="FG116">
        <v>39.758</v>
      </c>
      <c r="FH116">
        <v>0</v>
      </c>
      <c r="FI116">
        <v>1765314787.9</v>
      </c>
      <c r="FJ116">
        <v>0</v>
      </c>
      <c r="FK116">
        <v>314.58324</v>
      </c>
      <c r="FL116">
        <v>-0.482538464115495</v>
      </c>
      <c r="FM116">
        <v>-7.21230768817052</v>
      </c>
      <c r="FN116">
        <v>2615.938</v>
      </c>
      <c r="FO116">
        <v>15</v>
      </c>
      <c r="FP116">
        <v>1765314814.1</v>
      </c>
      <c r="FQ116" t="s">
        <v>748</v>
      </c>
      <c r="FR116">
        <v>1765314814.1</v>
      </c>
      <c r="FS116">
        <v>1765314805.1</v>
      </c>
      <c r="FT116">
        <v>100</v>
      </c>
      <c r="FU116">
        <v>-0.16</v>
      </c>
      <c r="FV116">
        <v>0.008</v>
      </c>
      <c r="FW116">
        <v>8.878</v>
      </c>
      <c r="FX116">
        <v>0.174</v>
      </c>
      <c r="FY116">
        <v>800</v>
      </c>
      <c r="FZ116">
        <v>18</v>
      </c>
      <c r="GA116">
        <v>0.85</v>
      </c>
      <c r="GB116">
        <v>0.14</v>
      </c>
      <c r="GC116">
        <v>-0.34770580952381</v>
      </c>
      <c r="GD116">
        <v>0.322812935064936</v>
      </c>
      <c r="GE116">
        <v>0.0907172298469622</v>
      </c>
      <c r="GF116">
        <v>1</v>
      </c>
      <c r="GG116">
        <v>314.649441176471</v>
      </c>
      <c r="GH116">
        <v>-0.770374335362627</v>
      </c>
      <c r="GI116">
        <v>0.193682759288668</v>
      </c>
      <c r="GJ116">
        <v>-1</v>
      </c>
      <c r="GK116">
        <v>0.106858380952381</v>
      </c>
      <c r="GL116">
        <v>-0.0324525974025974</v>
      </c>
      <c r="GM116">
        <v>0.00346248907821816</v>
      </c>
      <c r="GN116">
        <v>1</v>
      </c>
      <c r="GO116">
        <v>2</v>
      </c>
      <c r="GP116">
        <v>2</v>
      </c>
      <c r="GQ116" t="s">
        <v>440</v>
      </c>
      <c r="GR116">
        <v>3.12516</v>
      </c>
      <c r="GS116">
        <v>2.7251</v>
      </c>
      <c r="GT116">
        <v>0.140732</v>
      </c>
      <c r="GU116">
        <v>0.141619</v>
      </c>
      <c r="GV116">
        <v>0.0837329</v>
      </c>
      <c r="GW116">
        <v>0.0835989</v>
      </c>
      <c r="GX116">
        <v>22586.2</v>
      </c>
      <c r="GY116">
        <v>21024.8</v>
      </c>
      <c r="GZ116">
        <v>23497.1</v>
      </c>
      <c r="HA116">
        <v>23839.1</v>
      </c>
      <c r="HB116">
        <v>36664.3</v>
      </c>
      <c r="HC116">
        <v>36128.8</v>
      </c>
      <c r="HD116">
        <v>42320.1</v>
      </c>
      <c r="HE116">
        <v>42465.8</v>
      </c>
      <c r="HF116">
        <v>1.9364</v>
      </c>
      <c r="HG116">
        <v>1.85842</v>
      </c>
      <c r="HH116">
        <v>0.0748113</v>
      </c>
      <c r="HI116">
        <v>0</v>
      </c>
      <c r="HJ116">
        <v>23.77</v>
      </c>
      <c r="HK116">
        <v>999.9</v>
      </c>
      <c r="HL116">
        <v>47.882</v>
      </c>
      <c r="HM116">
        <v>28.258</v>
      </c>
      <c r="HN116">
        <v>20.5798</v>
      </c>
      <c r="HO116">
        <v>54.7968</v>
      </c>
      <c r="HP116">
        <v>45.6931</v>
      </c>
      <c r="HQ116">
        <v>1</v>
      </c>
      <c r="HR116">
        <v>-0.125716</v>
      </c>
      <c r="HS116">
        <v>0.311737</v>
      </c>
      <c r="HT116">
        <v>20.2319</v>
      </c>
      <c r="HU116">
        <v>5.23496</v>
      </c>
      <c r="HV116">
        <v>11.992</v>
      </c>
      <c r="HW116">
        <v>4.9563</v>
      </c>
      <c r="HX116">
        <v>3.304</v>
      </c>
      <c r="HY116">
        <v>999.9</v>
      </c>
      <c r="HZ116">
        <v>9999</v>
      </c>
      <c r="IA116">
        <v>9999</v>
      </c>
      <c r="IB116">
        <v>9999</v>
      </c>
      <c r="IC116">
        <v>1.86859</v>
      </c>
      <c r="ID116">
        <v>1.86433</v>
      </c>
      <c r="IE116">
        <v>1.87195</v>
      </c>
      <c r="IF116">
        <v>1.86282</v>
      </c>
      <c r="IG116">
        <v>1.86226</v>
      </c>
      <c r="IH116">
        <v>1.86866</v>
      </c>
      <c r="II116">
        <v>1.85883</v>
      </c>
      <c r="IJ116">
        <v>1.86523</v>
      </c>
      <c r="IK116">
        <v>5</v>
      </c>
      <c r="IL116">
        <v>0</v>
      </c>
      <c r="IM116">
        <v>0</v>
      </c>
      <c r="IN116">
        <v>0</v>
      </c>
      <c r="IO116" t="s">
        <v>441</v>
      </c>
      <c r="IP116" t="s">
        <v>442</v>
      </c>
      <c r="IQ116" t="s">
        <v>443</v>
      </c>
      <c r="IR116" t="s">
        <v>443</v>
      </c>
      <c r="IS116" t="s">
        <v>443</v>
      </c>
      <c r="IT116" t="s">
        <v>443</v>
      </c>
      <c r="IU116">
        <v>0</v>
      </c>
      <c r="IV116">
        <v>100</v>
      </c>
      <c r="IW116">
        <v>100</v>
      </c>
      <c r="IX116">
        <v>8.878</v>
      </c>
      <c r="IY116">
        <v>0.174</v>
      </c>
      <c r="IZ116">
        <v>5.70449349185968</v>
      </c>
      <c r="JA116">
        <v>0.0062698613543794</v>
      </c>
      <c r="JB116">
        <v>-3.23243345529816e-06</v>
      </c>
      <c r="JC116">
        <v>8.00506428382295e-10</v>
      </c>
      <c r="JD116">
        <v>0.000592230119989545</v>
      </c>
      <c r="JE116">
        <v>-0.0018464610107002</v>
      </c>
      <c r="JF116">
        <v>0.000796540623429801</v>
      </c>
      <c r="JG116">
        <v>-1.04619914107352e-05</v>
      </c>
      <c r="JH116">
        <v>-0</v>
      </c>
      <c r="JI116">
        <v>2101</v>
      </c>
      <c r="JJ116">
        <v>1</v>
      </c>
      <c r="JK116">
        <v>23</v>
      </c>
      <c r="JL116">
        <v>1.2</v>
      </c>
      <c r="JM116">
        <v>1.4</v>
      </c>
      <c r="JN116">
        <v>1.74805</v>
      </c>
      <c r="JO116">
        <v>2.34741</v>
      </c>
      <c r="JP116">
        <v>1.4978</v>
      </c>
      <c r="JQ116">
        <v>2.33887</v>
      </c>
      <c r="JR116">
        <v>1.54419</v>
      </c>
      <c r="JS116">
        <v>2.36938</v>
      </c>
      <c r="JT116">
        <v>34.418</v>
      </c>
      <c r="JU116">
        <v>24.3502</v>
      </c>
      <c r="JV116">
        <v>18</v>
      </c>
      <c r="JW116">
        <v>548.211</v>
      </c>
      <c r="JX116">
        <v>441.18</v>
      </c>
      <c r="JY116">
        <v>23.3383</v>
      </c>
      <c r="JZ116">
        <v>25.9011</v>
      </c>
      <c r="KA116">
        <v>30.0003</v>
      </c>
      <c r="KB116">
        <v>25.8521</v>
      </c>
      <c r="KC116">
        <v>25.8761</v>
      </c>
      <c r="KD116">
        <v>35.03</v>
      </c>
      <c r="KE116">
        <v>22.061</v>
      </c>
      <c r="KF116">
        <v>100</v>
      </c>
      <c r="KG116">
        <v>23.3434</v>
      </c>
      <c r="KH116">
        <v>800</v>
      </c>
      <c r="KI116">
        <v>18.2338</v>
      </c>
      <c r="KJ116">
        <v>94.8834</v>
      </c>
      <c r="KK116">
        <v>99.0081</v>
      </c>
    </row>
    <row r="117" spans="1:297">
      <c r="A117">
        <v>101</v>
      </c>
      <c r="B117">
        <v>1765314888.1</v>
      </c>
      <c r="C117">
        <v>16939.0999999046</v>
      </c>
      <c r="D117" t="s">
        <v>749</v>
      </c>
      <c r="E117" t="s">
        <v>750</v>
      </c>
      <c r="F117">
        <v>5</v>
      </c>
      <c r="G117" t="s">
        <v>723</v>
      </c>
      <c r="H117" t="s">
        <v>436</v>
      </c>
      <c r="I117">
        <v>1765314880.1</v>
      </c>
      <c r="J117">
        <f>(K117)/1000</f>
        <v>0</v>
      </c>
      <c r="K117">
        <f>IF(DP117, AN117, AH117)</f>
        <v>0</v>
      </c>
      <c r="L117">
        <f>IF(DP117, AI117, AG117)</f>
        <v>0</v>
      </c>
      <c r="M117">
        <f>DR117 - IF(AU117&gt;1, L117*DL117*100.0/(AW117), 0)</f>
        <v>0</v>
      </c>
      <c r="N117">
        <f>((T117-J117/2)*M117-L117)/(T117+J117/2)</f>
        <v>0</v>
      </c>
      <c r="O117">
        <f>N117*(DY117+DZ117)/1000.0</f>
        <v>0</v>
      </c>
      <c r="P117">
        <f>(DR117 - IF(AU117&gt;1, L117*DL117*100.0/(AW117), 0))*(DY117+DZ117)/1000.0</f>
        <v>0</v>
      </c>
      <c r="Q117">
        <f>2.0/((1/S117-1/R117)+SIGN(S117)*SQRT((1/S117-1/R117)*(1/S117-1/R117) + 4*DM117/((DM117+1)*(DM117+1))*(2*1/S117*1/R117-1/R117*1/R117)))</f>
        <v>0</v>
      </c>
      <c r="R117">
        <f>IF(LEFT(DN117,1)&lt;&gt;"0",IF(LEFT(DN117,1)="1",3.0,DO117),$D$5+$E$5*(EF117*DY117/($K$5*1000))+$F$5*(EF117*DY117/($K$5*1000))*MAX(MIN(DL117,$J$5),$I$5)*MAX(MIN(DL117,$J$5),$I$5)+$G$5*MAX(MIN(DL117,$J$5),$I$5)*(EF117*DY117/($K$5*1000))+$H$5*(EF117*DY117/($K$5*1000))*(EF117*DY117/($K$5*1000)))</f>
        <v>0</v>
      </c>
      <c r="S117">
        <f>J117*(1000-(1000*0.61365*exp(17.502*W117/(240.97+W117))/(DY117+DZ117)+DT117)/2)/(1000*0.61365*exp(17.502*W117/(240.97+W117))/(DY117+DZ117)-DT117)</f>
        <v>0</v>
      </c>
      <c r="T117">
        <f>1/((DM117+1)/(Q117/1.6)+1/(R117/1.37)) + DM117/((DM117+1)/(Q117/1.6) + DM117/(R117/1.37))</f>
        <v>0</v>
      </c>
      <c r="U117">
        <f>(DH117*DK117)</f>
        <v>0</v>
      </c>
      <c r="V117">
        <f>(EA117+(U117+2*0.95*5.67E-8*(((EA117+$B$7)+273)^4-(EA117+273)^4)-44100*J117)/(1.84*29.3*R117+8*0.95*5.67E-8*(EA117+273)^3))</f>
        <v>0</v>
      </c>
      <c r="W117">
        <f>($C$7*EB117+$D$7*EC117+$E$7*V117)</f>
        <v>0</v>
      </c>
      <c r="X117">
        <f>0.61365*exp(17.502*W117/(240.97+W117))</f>
        <v>0</v>
      </c>
      <c r="Y117">
        <f>(Z117/AA117*100)</f>
        <v>0</v>
      </c>
      <c r="Z117">
        <f>DT117*(DY117+DZ117)/1000</f>
        <v>0</v>
      </c>
      <c r="AA117">
        <f>0.61365*exp(17.502*EA117/(240.97+EA117))</f>
        <v>0</v>
      </c>
      <c r="AB117">
        <f>(X117-DT117*(DY117+DZ117)/1000)</f>
        <v>0</v>
      </c>
      <c r="AC117">
        <f>(-J117*44100)</f>
        <v>0</v>
      </c>
      <c r="AD117">
        <f>2*29.3*R117*0.92*(EA117-W117)</f>
        <v>0</v>
      </c>
      <c r="AE117">
        <f>2*0.95*5.67E-8*(((EA117+$B$7)+273)^4-(W117+273)^4)</f>
        <v>0</v>
      </c>
      <c r="AF117">
        <f>U117+AE117+AC117+AD117</f>
        <v>0</v>
      </c>
      <c r="AG117">
        <f>DX117*AU117*(DS117-DR117*(1000-AU117*DU117)/(1000-AU117*DT117))/(100*DL117)</f>
        <v>0</v>
      </c>
      <c r="AH117">
        <f>1000*DX117*AU117*(DT117-DU117)/(100*DL117*(1000-AU117*DT117))</f>
        <v>0</v>
      </c>
      <c r="AI117">
        <f>(AJ117 - AK117 - DY117*1E3/(8.314*(EA117+273.15)) * AM117/DX117 * AL117) * DX117/(100*DL117) * (1000 - DU117)/1000</f>
        <v>0</v>
      </c>
      <c r="AJ117">
        <v>1018.6323477981</v>
      </c>
      <c r="AK117">
        <v>1018.30587878788</v>
      </c>
      <c r="AL117">
        <v>0.00102367873561698</v>
      </c>
      <c r="AM117">
        <v>63.713985658114</v>
      </c>
      <c r="AN117">
        <f>(AP117 - AO117 + DY117*1E3/(8.314*(EA117+273.15)) * AR117/DX117 * AQ117) * DX117/(100*DL117) * 1000/(1000 - AP117)</f>
        <v>0</v>
      </c>
      <c r="AO117">
        <v>18.2921314168303</v>
      </c>
      <c r="AP117">
        <v>18.4050818181818</v>
      </c>
      <c r="AQ117">
        <v>-3.48323364872948e-05</v>
      </c>
      <c r="AR117">
        <v>106.042142428912</v>
      </c>
      <c r="AS117">
        <v>0</v>
      </c>
      <c r="AT117">
        <v>0</v>
      </c>
      <c r="AU117">
        <f>IF(AS117*$H$13&gt;=AW117,1.0,(AW117/(AW117-AS117*$H$13)))</f>
        <v>0</v>
      </c>
      <c r="AV117">
        <f>(AU117-1)*100</f>
        <v>0</v>
      </c>
      <c r="AW117">
        <f>MAX(0,($B$13+$C$13*EF117)/(1+$D$13*EF117)*DY117/(EA117+273)*$E$13)</f>
        <v>0</v>
      </c>
      <c r="AX117" t="s">
        <v>437</v>
      </c>
      <c r="AY117" t="s">
        <v>437</v>
      </c>
      <c r="AZ117">
        <v>0</v>
      </c>
      <c r="BA117">
        <v>0</v>
      </c>
      <c r="BB117">
        <f>1-AZ117/BA117</f>
        <v>0</v>
      </c>
      <c r="BC117">
        <v>0</v>
      </c>
      <c r="BD117" t="s">
        <v>437</v>
      </c>
      <c r="BE117" t="s">
        <v>437</v>
      </c>
      <c r="BF117">
        <v>0</v>
      </c>
      <c r="BG117">
        <v>0</v>
      </c>
      <c r="BH117">
        <f>1-BF117/BG117</f>
        <v>0</v>
      </c>
      <c r="BI117">
        <v>0.5</v>
      </c>
      <c r="BJ117">
        <f>DI117</f>
        <v>0</v>
      </c>
      <c r="BK117">
        <f>L117</f>
        <v>0</v>
      </c>
      <c r="BL117">
        <f>BH117*BI117*BJ117</f>
        <v>0</v>
      </c>
      <c r="BM117">
        <f>(BK117-BC117)/BJ117</f>
        <v>0</v>
      </c>
      <c r="BN117">
        <f>(BA117-BG117)/BG117</f>
        <v>0</v>
      </c>
      <c r="BO117">
        <f>AZ117/(BB117+AZ117/BG117)</f>
        <v>0</v>
      </c>
      <c r="BP117" t="s">
        <v>437</v>
      </c>
      <c r="BQ117">
        <v>0</v>
      </c>
      <c r="BR117">
        <f>IF(BQ117&lt;&gt;0, BQ117, BO117)</f>
        <v>0</v>
      </c>
      <c r="BS117">
        <f>1-BR117/BG117</f>
        <v>0</v>
      </c>
      <c r="BT117">
        <f>(BG117-BF117)/(BG117-BR117)</f>
        <v>0</v>
      </c>
      <c r="BU117">
        <f>(BA117-BG117)/(BA117-BR117)</f>
        <v>0</v>
      </c>
      <c r="BV117">
        <f>(BG117-BF117)/(BG117-AZ117)</f>
        <v>0</v>
      </c>
      <c r="BW117">
        <f>(BA117-BG117)/(BA117-AZ117)</f>
        <v>0</v>
      </c>
      <c r="BX117">
        <f>(BT117*BR117/BF117)</f>
        <v>0</v>
      </c>
      <c r="BY117">
        <f>(1-BX117)</f>
        <v>0</v>
      </c>
      <c r="DH117">
        <f>$B$11*EG117+$C$11*EH117+$F$11*ES117*(1-EV117)</f>
        <v>0</v>
      </c>
      <c r="DI117">
        <f>DH117*DJ117</f>
        <v>0</v>
      </c>
      <c r="DJ117">
        <f>($B$11*$D$9+$C$11*$D$9+$F$11*((FF117+EX117)/MAX(FF117+EX117+FG117, 0.1)*$I$9+FG117/MAX(FF117+EX117+FG117, 0.1)*$J$9))/($B$11+$C$11+$F$11)</f>
        <v>0</v>
      </c>
      <c r="DK117">
        <f>($B$11*$K$9+$C$11*$K$9+$F$11*((FF117+EX117)/MAX(FF117+EX117+FG117, 0.1)*$P$9+FG117/MAX(FF117+EX117+FG117, 0.1)*$Q$9))/($B$11+$C$11+$F$11)</f>
        <v>0</v>
      </c>
      <c r="DL117">
        <v>5.66</v>
      </c>
      <c r="DM117">
        <v>0.5</v>
      </c>
      <c r="DN117" t="s">
        <v>438</v>
      </c>
      <c r="DO117">
        <v>2</v>
      </c>
      <c r="DP117" t="b">
        <v>1</v>
      </c>
      <c r="DQ117">
        <v>1765314880.1</v>
      </c>
      <c r="DR117">
        <v>999.521533333333</v>
      </c>
      <c r="DS117">
        <v>1000.0376</v>
      </c>
      <c r="DT117">
        <v>18.4071133333333</v>
      </c>
      <c r="DU117">
        <v>18.2999466666667</v>
      </c>
      <c r="DV117">
        <v>990.155533333333</v>
      </c>
      <c r="DW117">
        <v>18.2311133333333</v>
      </c>
      <c r="DX117">
        <v>500.013066666667</v>
      </c>
      <c r="DY117">
        <v>89.6338333333333</v>
      </c>
      <c r="DZ117">
        <v>0.10005648</v>
      </c>
      <c r="EA117">
        <v>25.60986</v>
      </c>
      <c r="EB117">
        <v>25.01486</v>
      </c>
      <c r="EC117">
        <v>999.9</v>
      </c>
      <c r="ED117">
        <v>0</v>
      </c>
      <c r="EE117">
        <v>0</v>
      </c>
      <c r="EF117">
        <v>9981.66533333333</v>
      </c>
      <c r="EG117">
        <v>0</v>
      </c>
      <c r="EH117">
        <v>11.47612</v>
      </c>
      <c r="EI117">
        <v>-0.521748733333333</v>
      </c>
      <c r="EJ117">
        <v>1018.26133333333</v>
      </c>
      <c r="EK117">
        <v>1018.68</v>
      </c>
      <c r="EL117">
        <v>0.107732</v>
      </c>
      <c r="EM117">
        <v>1000.0376</v>
      </c>
      <c r="EN117">
        <v>18.2999466666667</v>
      </c>
      <c r="EO117">
        <v>1.64995</v>
      </c>
      <c r="EP117">
        <v>1.64029266666667</v>
      </c>
      <c r="EQ117">
        <v>14.4333933333333</v>
      </c>
      <c r="ER117">
        <v>14.3426333333333</v>
      </c>
      <c r="ES117">
        <v>800.020133333333</v>
      </c>
      <c r="ET117">
        <v>0.9499966</v>
      </c>
      <c r="EU117">
        <v>0.0500030933333333</v>
      </c>
      <c r="EV117">
        <v>0</v>
      </c>
      <c r="EW117">
        <v>313.253333333333</v>
      </c>
      <c r="EX117">
        <v>5.00016</v>
      </c>
      <c r="EY117">
        <v>2605.516</v>
      </c>
      <c r="EZ117">
        <v>7194.852</v>
      </c>
      <c r="FA117">
        <v>39.875</v>
      </c>
      <c r="FB117">
        <v>42.5662</v>
      </c>
      <c r="FC117">
        <v>41.3414</v>
      </c>
      <c r="FD117">
        <v>42.6374</v>
      </c>
      <c r="FE117">
        <v>42.562</v>
      </c>
      <c r="FF117">
        <v>755.267333333333</v>
      </c>
      <c r="FG117">
        <v>39.756</v>
      </c>
      <c r="FH117">
        <v>0</v>
      </c>
      <c r="FI117">
        <v>1765314888.7</v>
      </c>
      <c r="FJ117">
        <v>0</v>
      </c>
      <c r="FK117">
        <v>313.22232</v>
      </c>
      <c r="FL117">
        <v>-1.04292306899956</v>
      </c>
      <c r="FM117">
        <v>-9.97999998880882</v>
      </c>
      <c r="FN117">
        <v>2605.282</v>
      </c>
      <c r="FO117">
        <v>15</v>
      </c>
      <c r="FP117">
        <v>1765314917.1</v>
      </c>
      <c r="FQ117" t="s">
        <v>751</v>
      </c>
      <c r="FR117">
        <v>1765314917.1</v>
      </c>
      <c r="FS117">
        <v>1765314906.1</v>
      </c>
      <c r="FT117">
        <v>101</v>
      </c>
      <c r="FU117">
        <v>0.004</v>
      </c>
      <c r="FV117">
        <v>0.002</v>
      </c>
      <c r="FW117">
        <v>9.366</v>
      </c>
      <c r="FX117">
        <v>0.176</v>
      </c>
      <c r="FY117">
        <v>1000</v>
      </c>
      <c r="FZ117">
        <v>18</v>
      </c>
      <c r="GA117">
        <v>0.44</v>
      </c>
      <c r="GB117">
        <v>0.18</v>
      </c>
      <c r="GC117">
        <v>-0.5220519</v>
      </c>
      <c r="GD117">
        <v>0.359701443609023</v>
      </c>
      <c r="GE117">
        <v>0.119123286524046</v>
      </c>
      <c r="GF117">
        <v>1</v>
      </c>
      <c r="GG117">
        <v>313.265147058824</v>
      </c>
      <c r="GH117">
        <v>-1.04417112093774</v>
      </c>
      <c r="GI117">
        <v>0.167121676763637</v>
      </c>
      <c r="GJ117">
        <v>-1</v>
      </c>
      <c r="GK117">
        <v>0.10675145</v>
      </c>
      <c r="GL117">
        <v>0.0173093684210527</v>
      </c>
      <c r="GM117">
        <v>0.0041760812668697</v>
      </c>
      <c r="GN117">
        <v>1</v>
      </c>
      <c r="GO117">
        <v>2</v>
      </c>
      <c r="GP117">
        <v>2</v>
      </c>
      <c r="GQ117" t="s">
        <v>440</v>
      </c>
      <c r="GR117">
        <v>3.12513</v>
      </c>
      <c r="GS117">
        <v>2.72543</v>
      </c>
      <c r="GT117">
        <v>0.163229</v>
      </c>
      <c r="GU117">
        <v>0.163986</v>
      </c>
      <c r="GV117">
        <v>0.0838578</v>
      </c>
      <c r="GW117">
        <v>0.083694</v>
      </c>
      <c r="GX117">
        <v>21991.6</v>
      </c>
      <c r="GY117">
        <v>20475.4</v>
      </c>
      <c r="GZ117">
        <v>23493.4</v>
      </c>
      <c r="HA117">
        <v>23837.1</v>
      </c>
      <c r="HB117">
        <v>36655.8</v>
      </c>
      <c r="HC117">
        <v>36123.5</v>
      </c>
      <c r="HD117">
        <v>42313.9</v>
      </c>
      <c r="HE117">
        <v>42461.9</v>
      </c>
      <c r="HF117">
        <v>1.93603</v>
      </c>
      <c r="HG117">
        <v>1.85865</v>
      </c>
      <c r="HH117">
        <v>0.0723898</v>
      </c>
      <c r="HI117">
        <v>0</v>
      </c>
      <c r="HJ117">
        <v>23.8194</v>
      </c>
      <c r="HK117">
        <v>999.9</v>
      </c>
      <c r="HL117">
        <v>48.004</v>
      </c>
      <c r="HM117">
        <v>28.238</v>
      </c>
      <c r="HN117">
        <v>20.6093</v>
      </c>
      <c r="HO117">
        <v>55.0468</v>
      </c>
      <c r="HP117">
        <v>45.8333</v>
      </c>
      <c r="HQ117">
        <v>1</v>
      </c>
      <c r="HR117">
        <v>-0.121502</v>
      </c>
      <c r="HS117">
        <v>0.640926</v>
      </c>
      <c r="HT117">
        <v>20.2304</v>
      </c>
      <c r="HU117">
        <v>5.23481</v>
      </c>
      <c r="HV117">
        <v>11.992</v>
      </c>
      <c r="HW117">
        <v>4.95625</v>
      </c>
      <c r="HX117">
        <v>3.304</v>
      </c>
      <c r="HY117">
        <v>999.9</v>
      </c>
      <c r="HZ117">
        <v>9999</v>
      </c>
      <c r="IA117">
        <v>9999</v>
      </c>
      <c r="IB117">
        <v>9999</v>
      </c>
      <c r="IC117">
        <v>1.86859</v>
      </c>
      <c r="ID117">
        <v>1.86433</v>
      </c>
      <c r="IE117">
        <v>1.87196</v>
      </c>
      <c r="IF117">
        <v>1.86281</v>
      </c>
      <c r="IG117">
        <v>1.86222</v>
      </c>
      <c r="IH117">
        <v>1.86868</v>
      </c>
      <c r="II117">
        <v>1.85883</v>
      </c>
      <c r="IJ117">
        <v>1.86523</v>
      </c>
      <c r="IK117">
        <v>5</v>
      </c>
      <c r="IL117">
        <v>0</v>
      </c>
      <c r="IM117">
        <v>0</v>
      </c>
      <c r="IN117">
        <v>0</v>
      </c>
      <c r="IO117" t="s">
        <v>441</v>
      </c>
      <c r="IP117" t="s">
        <v>442</v>
      </c>
      <c r="IQ117" t="s">
        <v>443</v>
      </c>
      <c r="IR117" t="s">
        <v>443</v>
      </c>
      <c r="IS117" t="s">
        <v>443</v>
      </c>
      <c r="IT117" t="s">
        <v>443</v>
      </c>
      <c r="IU117">
        <v>0</v>
      </c>
      <c r="IV117">
        <v>100</v>
      </c>
      <c r="IW117">
        <v>100</v>
      </c>
      <c r="IX117">
        <v>9.366</v>
      </c>
      <c r="IY117">
        <v>0.176</v>
      </c>
      <c r="IZ117">
        <v>5.54434794106321</v>
      </c>
      <c r="JA117">
        <v>0.0062698613543794</v>
      </c>
      <c r="JB117">
        <v>-3.23243345529816e-06</v>
      </c>
      <c r="JC117">
        <v>8.00506428382295e-10</v>
      </c>
      <c r="JD117">
        <v>0.00887077873334136</v>
      </c>
      <c r="JE117">
        <v>-0.0018464610107002</v>
      </c>
      <c r="JF117">
        <v>0.000796540623429801</v>
      </c>
      <c r="JG117">
        <v>-1.04619914107352e-05</v>
      </c>
      <c r="JH117">
        <v>-0</v>
      </c>
      <c r="JI117">
        <v>2101</v>
      </c>
      <c r="JJ117">
        <v>1</v>
      </c>
      <c r="JK117">
        <v>23</v>
      </c>
      <c r="JL117">
        <v>1.2</v>
      </c>
      <c r="JM117">
        <v>1.4</v>
      </c>
      <c r="JN117">
        <v>2.09473</v>
      </c>
      <c r="JO117">
        <v>2.35229</v>
      </c>
      <c r="JP117">
        <v>1.49902</v>
      </c>
      <c r="JQ117">
        <v>2.34009</v>
      </c>
      <c r="JR117">
        <v>1.54419</v>
      </c>
      <c r="JS117">
        <v>2.29614</v>
      </c>
      <c r="JT117">
        <v>34.3952</v>
      </c>
      <c r="JU117">
        <v>24.3414</v>
      </c>
      <c r="JV117">
        <v>18</v>
      </c>
      <c r="JW117">
        <v>548.258</v>
      </c>
      <c r="JX117">
        <v>441.56</v>
      </c>
      <c r="JY117">
        <v>23.2221</v>
      </c>
      <c r="JZ117">
        <v>25.9427</v>
      </c>
      <c r="KA117">
        <v>30.0003</v>
      </c>
      <c r="KB117">
        <v>25.8844</v>
      </c>
      <c r="KC117">
        <v>25.907</v>
      </c>
      <c r="KD117">
        <v>41.9372</v>
      </c>
      <c r="KE117">
        <v>22.337</v>
      </c>
      <c r="KF117">
        <v>100</v>
      </c>
      <c r="KG117">
        <v>23.214</v>
      </c>
      <c r="KH117">
        <v>1000</v>
      </c>
      <c r="KI117">
        <v>18.2399</v>
      </c>
      <c r="KJ117">
        <v>94.8692</v>
      </c>
      <c r="KK117">
        <v>98.9992</v>
      </c>
    </row>
    <row r="118" spans="1:297">
      <c r="A118">
        <v>102</v>
      </c>
      <c r="B118">
        <v>1765314988.1</v>
      </c>
      <c r="C118">
        <v>17039.0999999046</v>
      </c>
      <c r="D118" t="s">
        <v>752</v>
      </c>
      <c r="E118" t="s">
        <v>753</v>
      </c>
      <c r="F118">
        <v>5</v>
      </c>
      <c r="G118" t="s">
        <v>723</v>
      </c>
      <c r="H118" t="s">
        <v>436</v>
      </c>
      <c r="I118">
        <v>1765314979.6</v>
      </c>
      <c r="J118">
        <f>(K118)/1000</f>
        <v>0</v>
      </c>
      <c r="K118">
        <f>IF(DP118, AN118, AH118)</f>
        <v>0</v>
      </c>
      <c r="L118">
        <f>IF(DP118, AI118, AG118)</f>
        <v>0</v>
      </c>
      <c r="M118">
        <f>DR118 - IF(AU118&gt;1, L118*DL118*100.0/(AW118), 0)</f>
        <v>0</v>
      </c>
      <c r="N118">
        <f>((T118-J118/2)*M118-L118)/(T118+J118/2)</f>
        <v>0</v>
      </c>
      <c r="O118">
        <f>N118*(DY118+DZ118)/1000.0</f>
        <v>0</v>
      </c>
      <c r="P118">
        <f>(DR118 - IF(AU118&gt;1, L118*DL118*100.0/(AW118), 0))*(DY118+DZ118)/1000.0</f>
        <v>0</v>
      </c>
      <c r="Q118">
        <f>2.0/((1/S118-1/R118)+SIGN(S118)*SQRT((1/S118-1/R118)*(1/S118-1/R118) + 4*DM118/((DM118+1)*(DM118+1))*(2*1/S118*1/R118-1/R118*1/R118)))</f>
        <v>0</v>
      </c>
      <c r="R118">
        <f>IF(LEFT(DN118,1)&lt;&gt;"0",IF(LEFT(DN118,1)="1",3.0,DO118),$D$5+$E$5*(EF118*DY118/($K$5*1000))+$F$5*(EF118*DY118/($K$5*1000))*MAX(MIN(DL118,$J$5),$I$5)*MAX(MIN(DL118,$J$5),$I$5)+$G$5*MAX(MIN(DL118,$J$5),$I$5)*(EF118*DY118/($K$5*1000))+$H$5*(EF118*DY118/($K$5*1000))*(EF118*DY118/($K$5*1000)))</f>
        <v>0</v>
      </c>
      <c r="S118">
        <f>J118*(1000-(1000*0.61365*exp(17.502*W118/(240.97+W118))/(DY118+DZ118)+DT118)/2)/(1000*0.61365*exp(17.502*W118/(240.97+W118))/(DY118+DZ118)-DT118)</f>
        <v>0</v>
      </c>
      <c r="T118">
        <f>1/((DM118+1)/(Q118/1.6)+1/(R118/1.37)) + DM118/((DM118+1)/(Q118/1.6) + DM118/(R118/1.37))</f>
        <v>0</v>
      </c>
      <c r="U118">
        <f>(DH118*DK118)</f>
        <v>0</v>
      </c>
      <c r="V118">
        <f>(EA118+(U118+2*0.95*5.67E-8*(((EA118+$B$7)+273)^4-(EA118+273)^4)-44100*J118)/(1.84*29.3*R118+8*0.95*5.67E-8*(EA118+273)^3))</f>
        <v>0</v>
      </c>
      <c r="W118">
        <f>($C$7*EB118+$D$7*EC118+$E$7*V118)</f>
        <v>0</v>
      </c>
      <c r="X118">
        <f>0.61365*exp(17.502*W118/(240.97+W118))</f>
        <v>0</v>
      </c>
      <c r="Y118">
        <f>(Z118/AA118*100)</f>
        <v>0</v>
      </c>
      <c r="Z118">
        <f>DT118*(DY118+DZ118)/1000</f>
        <v>0</v>
      </c>
      <c r="AA118">
        <f>0.61365*exp(17.502*EA118/(240.97+EA118))</f>
        <v>0</v>
      </c>
      <c r="AB118">
        <f>(X118-DT118*(DY118+DZ118)/1000)</f>
        <v>0</v>
      </c>
      <c r="AC118">
        <f>(-J118*44100)</f>
        <v>0</v>
      </c>
      <c r="AD118">
        <f>2*29.3*R118*0.92*(EA118-W118)</f>
        <v>0</v>
      </c>
      <c r="AE118">
        <f>2*0.95*5.67E-8*(((EA118+$B$7)+273)^4-(W118+273)^4)</f>
        <v>0</v>
      </c>
      <c r="AF118">
        <f>U118+AE118+AC118+AD118</f>
        <v>0</v>
      </c>
      <c r="AG118">
        <f>DX118*AU118*(DS118-DR118*(1000-AU118*DU118)/(1000-AU118*DT118))/(100*DL118)</f>
        <v>0</v>
      </c>
      <c r="AH118">
        <f>1000*DX118*AU118*(DT118-DU118)/(100*DL118*(1000-AU118*DT118))</f>
        <v>0</v>
      </c>
      <c r="AI118">
        <f>(AJ118 - AK118 - DY118*1E3/(8.314*(EA118+273.15)) * AM118/DX118 * AL118) * DX118/(100*DL118) * (1000 - DU118)/1000</f>
        <v>0</v>
      </c>
      <c r="AJ118">
        <v>1222.45057590154</v>
      </c>
      <c r="AK118">
        <v>1221.72763636364</v>
      </c>
      <c r="AL118">
        <v>0.0442831204843186</v>
      </c>
      <c r="AM118">
        <v>63.7680407418431</v>
      </c>
      <c r="AN118">
        <f>(AP118 - AO118 + DY118*1E3/(8.314*(EA118+273.15)) * AR118/DX118 * AQ118) * DX118/(100*DL118) * 1000/(1000 - AP118)</f>
        <v>0</v>
      </c>
      <c r="AO118">
        <v>18.2792811572953</v>
      </c>
      <c r="AP118">
        <v>18.3810242424242</v>
      </c>
      <c r="AQ118">
        <v>5.57150253072712e-06</v>
      </c>
      <c r="AR118">
        <v>105.752331375081</v>
      </c>
      <c r="AS118">
        <v>0</v>
      </c>
      <c r="AT118">
        <v>0</v>
      </c>
      <c r="AU118">
        <f>IF(AS118*$H$13&gt;=AW118,1.0,(AW118/(AW118-AS118*$H$13)))</f>
        <v>0</v>
      </c>
      <c r="AV118">
        <f>(AU118-1)*100</f>
        <v>0</v>
      </c>
      <c r="AW118">
        <f>MAX(0,($B$13+$C$13*EF118)/(1+$D$13*EF118)*DY118/(EA118+273)*$E$13)</f>
        <v>0</v>
      </c>
      <c r="AX118" t="s">
        <v>437</v>
      </c>
      <c r="AY118" t="s">
        <v>437</v>
      </c>
      <c r="AZ118">
        <v>0</v>
      </c>
      <c r="BA118">
        <v>0</v>
      </c>
      <c r="BB118">
        <f>1-AZ118/BA118</f>
        <v>0</v>
      </c>
      <c r="BC118">
        <v>0</v>
      </c>
      <c r="BD118" t="s">
        <v>437</v>
      </c>
      <c r="BE118" t="s">
        <v>437</v>
      </c>
      <c r="BF118">
        <v>0</v>
      </c>
      <c r="BG118">
        <v>0</v>
      </c>
      <c r="BH118">
        <f>1-BF118/BG118</f>
        <v>0</v>
      </c>
      <c r="BI118">
        <v>0.5</v>
      </c>
      <c r="BJ118">
        <f>DI118</f>
        <v>0</v>
      </c>
      <c r="BK118">
        <f>L118</f>
        <v>0</v>
      </c>
      <c r="BL118">
        <f>BH118*BI118*BJ118</f>
        <v>0</v>
      </c>
      <c r="BM118">
        <f>(BK118-BC118)/BJ118</f>
        <v>0</v>
      </c>
      <c r="BN118">
        <f>(BA118-BG118)/BG118</f>
        <v>0</v>
      </c>
      <c r="BO118">
        <f>AZ118/(BB118+AZ118/BG118)</f>
        <v>0</v>
      </c>
      <c r="BP118" t="s">
        <v>437</v>
      </c>
      <c r="BQ118">
        <v>0</v>
      </c>
      <c r="BR118">
        <f>IF(BQ118&lt;&gt;0, BQ118, BO118)</f>
        <v>0</v>
      </c>
      <c r="BS118">
        <f>1-BR118/BG118</f>
        <v>0</v>
      </c>
      <c r="BT118">
        <f>(BG118-BF118)/(BG118-BR118)</f>
        <v>0</v>
      </c>
      <c r="BU118">
        <f>(BA118-BG118)/(BA118-BR118)</f>
        <v>0</v>
      </c>
      <c r="BV118">
        <f>(BG118-BF118)/(BG118-AZ118)</f>
        <v>0</v>
      </c>
      <c r="BW118">
        <f>(BA118-BG118)/(BA118-AZ118)</f>
        <v>0</v>
      </c>
      <c r="BX118">
        <f>(BT118*BR118/BF118)</f>
        <v>0</v>
      </c>
      <c r="BY118">
        <f>(1-BX118)</f>
        <v>0</v>
      </c>
      <c r="DH118">
        <f>$B$11*EG118+$C$11*EH118+$F$11*ES118*(1-EV118)</f>
        <v>0</v>
      </c>
      <c r="DI118">
        <f>DH118*DJ118</f>
        <v>0</v>
      </c>
      <c r="DJ118">
        <f>($B$11*$D$9+$C$11*$D$9+$F$11*((FF118+EX118)/MAX(FF118+EX118+FG118, 0.1)*$I$9+FG118/MAX(FF118+EX118+FG118, 0.1)*$J$9))/($B$11+$C$11+$F$11)</f>
        <v>0</v>
      </c>
      <c r="DK118">
        <f>($B$11*$K$9+$C$11*$K$9+$F$11*((FF118+EX118)/MAX(FF118+EX118+FG118, 0.1)*$P$9+FG118/MAX(FF118+EX118+FG118, 0.1)*$Q$9))/($B$11+$C$11+$F$11)</f>
        <v>0</v>
      </c>
      <c r="DL118">
        <v>5.66</v>
      </c>
      <c r="DM118">
        <v>0.5</v>
      </c>
      <c r="DN118" t="s">
        <v>438</v>
      </c>
      <c r="DO118">
        <v>2</v>
      </c>
      <c r="DP118" t="b">
        <v>1</v>
      </c>
      <c r="DQ118">
        <v>1765314979.6</v>
      </c>
      <c r="DR118">
        <v>1199.361875</v>
      </c>
      <c r="DS118">
        <v>1200.06625</v>
      </c>
      <c r="DT118">
        <v>18.3814125</v>
      </c>
      <c r="DU118">
        <v>18.2757</v>
      </c>
      <c r="DV118">
        <v>1189.256875</v>
      </c>
      <c r="DW118">
        <v>18.2024125</v>
      </c>
      <c r="DX118">
        <v>500.0016875</v>
      </c>
      <c r="DY118">
        <v>89.6256625</v>
      </c>
      <c r="DZ118">
        <v>0.0999444625</v>
      </c>
      <c r="EA118">
        <v>25.60459375</v>
      </c>
      <c r="EB118">
        <v>25.01163125</v>
      </c>
      <c r="EC118">
        <v>999.9</v>
      </c>
      <c r="ED118">
        <v>0</v>
      </c>
      <c r="EE118">
        <v>0</v>
      </c>
      <c r="EF118">
        <v>10001.2875</v>
      </c>
      <c r="EG118">
        <v>0</v>
      </c>
      <c r="EH118">
        <v>11.50049375</v>
      </c>
      <c r="EI118">
        <v>-1.032180875</v>
      </c>
      <c r="EJ118">
        <v>1221.485625</v>
      </c>
      <c r="EK118">
        <v>1222.408125</v>
      </c>
      <c r="EL118">
        <v>0.1043508125</v>
      </c>
      <c r="EM118">
        <v>1200.06625</v>
      </c>
      <c r="EN118">
        <v>18.2757</v>
      </c>
      <c r="EO118">
        <v>1.647325</v>
      </c>
      <c r="EP118">
        <v>1.6379725</v>
      </c>
      <c r="EQ118">
        <v>14.40876875</v>
      </c>
      <c r="ER118">
        <v>14.32075</v>
      </c>
      <c r="ES118">
        <v>800.0041875</v>
      </c>
      <c r="ET118">
        <v>0.949996375</v>
      </c>
      <c r="EU118">
        <v>0.05000335625</v>
      </c>
      <c r="EV118">
        <v>0</v>
      </c>
      <c r="EW118">
        <v>311.9691875</v>
      </c>
      <c r="EX118">
        <v>5.00016</v>
      </c>
      <c r="EY118">
        <v>2596.140625</v>
      </c>
      <c r="EZ118">
        <v>7194.7075</v>
      </c>
      <c r="FA118">
        <v>39.944875</v>
      </c>
      <c r="FB118">
        <v>42.625</v>
      </c>
      <c r="FC118">
        <v>41.38275</v>
      </c>
      <c r="FD118">
        <v>42.7381875</v>
      </c>
      <c r="FE118">
        <v>42.625</v>
      </c>
      <c r="FF118">
        <v>755.250625</v>
      </c>
      <c r="FG118">
        <v>39.756875</v>
      </c>
      <c r="FH118">
        <v>0</v>
      </c>
      <c r="FI118">
        <v>1765314988.9</v>
      </c>
      <c r="FJ118">
        <v>0</v>
      </c>
      <c r="FK118">
        <v>311.9545</v>
      </c>
      <c r="FL118">
        <v>-1.30088889863826</v>
      </c>
      <c r="FM118">
        <v>-4.34632475662445</v>
      </c>
      <c r="FN118">
        <v>2596.02269230769</v>
      </c>
      <c r="FO118">
        <v>15</v>
      </c>
      <c r="FP118">
        <v>1765315029.1</v>
      </c>
      <c r="FQ118" t="s">
        <v>754</v>
      </c>
      <c r="FR118">
        <v>1765315029.1</v>
      </c>
      <c r="FS118">
        <v>1765315006.1</v>
      </c>
      <c r="FT118">
        <v>102</v>
      </c>
      <c r="FU118">
        <v>0.325</v>
      </c>
      <c r="FV118">
        <v>0.002</v>
      </c>
      <c r="FW118">
        <v>10.105</v>
      </c>
      <c r="FX118">
        <v>0.179</v>
      </c>
      <c r="FY118">
        <v>1200</v>
      </c>
      <c r="FZ118">
        <v>18</v>
      </c>
      <c r="GA118">
        <v>0.53</v>
      </c>
      <c r="GB118">
        <v>0.12</v>
      </c>
      <c r="GC118">
        <v>-1.0309265</v>
      </c>
      <c r="GD118">
        <v>0.254689533834588</v>
      </c>
      <c r="GE118">
        <v>0.108806107078371</v>
      </c>
      <c r="GF118">
        <v>1</v>
      </c>
      <c r="GG118">
        <v>312.018941176471</v>
      </c>
      <c r="GH118">
        <v>-1.02710466607177</v>
      </c>
      <c r="GI118">
        <v>0.183628772123428</v>
      </c>
      <c r="GJ118">
        <v>-1</v>
      </c>
      <c r="GK118">
        <v>0.1045073</v>
      </c>
      <c r="GL118">
        <v>-0.00100926315789474</v>
      </c>
      <c r="GM118">
        <v>0.000884108426608412</v>
      </c>
      <c r="GN118">
        <v>1</v>
      </c>
      <c r="GO118">
        <v>2</v>
      </c>
      <c r="GP118">
        <v>2</v>
      </c>
      <c r="GQ118" t="s">
        <v>440</v>
      </c>
      <c r="GR118">
        <v>3.12515</v>
      </c>
      <c r="GS118">
        <v>2.72572</v>
      </c>
      <c r="GT118">
        <v>0.183417</v>
      </c>
      <c r="GU118">
        <v>0.184086</v>
      </c>
      <c r="GV118">
        <v>0.0837575</v>
      </c>
      <c r="GW118">
        <v>0.0836665</v>
      </c>
      <c r="GX118">
        <v>21456.6</v>
      </c>
      <c r="GY118">
        <v>19979.2</v>
      </c>
      <c r="GZ118">
        <v>23488.5</v>
      </c>
      <c r="HA118">
        <v>23832.3</v>
      </c>
      <c r="HB118">
        <v>36654.3</v>
      </c>
      <c r="HC118">
        <v>36119.6</v>
      </c>
      <c r="HD118">
        <v>42305.5</v>
      </c>
      <c r="HE118">
        <v>42454.3</v>
      </c>
      <c r="HF118">
        <v>1.93555</v>
      </c>
      <c r="HG118">
        <v>1.85818</v>
      </c>
      <c r="HH118">
        <v>0.0712052</v>
      </c>
      <c r="HI118">
        <v>0</v>
      </c>
      <c r="HJ118">
        <v>23.8446</v>
      </c>
      <c r="HK118">
        <v>999.9</v>
      </c>
      <c r="HL118">
        <v>48.126</v>
      </c>
      <c r="HM118">
        <v>28.218</v>
      </c>
      <c r="HN118">
        <v>20.6364</v>
      </c>
      <c r="HO118">
        <v>54.8868</v>
      </c>
      <c r="HP118">
        <v>45.7372</v>
      </c>
      <c r="HQ118">
        <v>1</v>
      </c>
      <c r="HR118">
        <v>-0.115432</v>
      </c>
      <c r="HS118">
        <v>0.656547</v>
      </c>
      <c r="HT118">
        <v>20.2307</v>
      </c>
      <c r="HU118">
        <v>5.23316</v>
      </c>
      <c r="HV118">
        <v>11.992</v>
      </c>
      <c r="HW118">
        <v>4.95615</v>
      </c>
      <c r="HX118">
        <v>3.304</v>
      </c>
      <c r="HY118">
        <v>999.9</v>
      </c>
      <c r="HZ118">
        <v>9999</v>
      </c>
      <c r="IA118">
        <v>9999</v>
      </c>
      <c r="IB118">
        <v>9999</v>
      </c>
      <c r="IC118">
        <v>1.86859</v>
      </c>
      <c r="ID118">
        <v>1.86433</v>
      </c>
      <c r="IE118">
        <v>1.87195</v>
      </c>
      <c r="IF118">
        <v>1.86281</v>
      </c>
      <c r="IG118">
        <v>1.86222</v>
      </c>
      <c r="IH118">
        <v>1.86868</v>
      </c>
      <c r="II118">
        <v>1.85883</v>
      </c>
      <c r="IJ118">
        <v>1.86523</v>
      </c>
      <c r="IK118">
        <v>5</v>
      </c>
      <c r="IL118">
        <v>0</v>
      </c>
      <c r="IM118">
        <v>0</v>
      </c>
      <c r="IN118">
        <v>0</v>
      </c>
      <c r="IO118" t="s">
        <v>441</v>
      </c>
      <c r="IP118" t="s">
        <v>442</v>
      </c>
      <c r="IQ118" t="s">
        <v>443</v>
      </c>
      <c r="IR118" t="s">
        <v>443</v>
      </c>
      <c r="IS118" t="s">
        <v>443</v>
      </c>
      <c r="IT118" t="s">
        <v>443</v>
      </c>
      <c r="IU118">
        <v>0</v>
      </c>
      <c r="IV118">
        <v>100</v>
      </c>
      <c r="IW118">
        <v>100</v>
      </c>
      <c r="IX118">
        <v>10.105</v>
      </c>
      <c r="IY118">
        <v>0.179</v>
      </c>
      <c r="IZ118">
        <v>5.54808139843381</v>
      </c>
      <c r="JA118">
        <v>0.0062698613543794</v>
      </c>
      <c r="JB118">
        <v>-3.23243345529816e-06</v>
      </c>
      <c r="JC118">
        <v>8.00506428382295e-10</v>
      </c>
      <c r="JD118">
        <v>0.0104270903515082</v>
      </c>
      <c r="JE118">
        <v>-0.0018464610107002</v>
      </c>
      <c r="JF118">
        <v>0.000796540623429801</v>
      </c>
      <c r="JG118">
        <v>-1.04619914107352e-05</v>
      </c>
      <c r="JH118">
        <v>-0</v>
      </c>
      <c r="JI118">
        <v>2101</v>
      </c>
      <c r="JJ118">
        <v>1</v>
      </c>
      <c r="JK118">
        <v>23</v>
      </c>
      <c r="JL118">
        <v>1.2</v>
      </c>
      <c r="JM118">
        <v>1.4</v>
      </c>
      <c r="JN118">
        <v>2.42676</v>
      </c>
      <c r="JO118">
        <v>2.32666</v>
      </c>
      <c r="JP118">
        <v>1.4978</v>
      </c>
      <c r="JQ118">
        <v>2.34009</v>
      </c>
      <c r="JR118">
        <v>1.54419</v>
      </c>
      <c r="JS118">
        <v>2.3584</v>
      </c>
      <c r="JT118">
        <v>34.3952</v>
      </c>
      <c r="JU118">
        <v>24.3502</v>
      </c>
      <c r="JV118">
        <v>18</v>
      </c>
      <c r="JW118">
        <v>548.403</v>
      </c>
      <c r="JX118">
        <v>441.661</v>
      </c>
      <c r="JY118">
        <v>23.1848</v>
      </c>
      <c r="JZ118">
        <v>26.0056</v>
      </c>
      <c r="KA118">
        <v>30.0004</v>
      </c>
      <c r="KB118">
        <v>25.935</v>
      </c>
      <c r="KC118">
        <v>25.9552</v>
      </c>
      <c r="KD118">
        <v>48.5678</v>
      </c>
      <c r="KE118">
        <v>22.6337</v>
      </c>
      <c r="KF118">
        <v>100</v>
      </c>
      <c r="KG118">
        <v>23.1828</v>
      </c>
      <c r="KH118">
        <v>1200</v>
      </c>
      <c r="KI118">
        <v>18.2274</v>
      </c>
      <c r="KJ118">
        <v>94.85</v>
      </c>
      <c r="KK118">
        <v>98.9807</v>
      </c>
    </row>
    <row r="119" spans="1:297">
      <c r="A119">
        <v>103</v>
      </c>
      <c r="B119">
        <v>1765315104.1</v>
      </c>
      <c r="C119">
        <v>17155.0999999046</v>
      </c>
      <c r="D119" t="s">
        <v>755</v>
      </c>
      <c r="E119" t="s">
        <v>756</v>
      </c>
      <c r="F119">
        <v>5</v>
      </c>
      <c r="G119" t="s">
        <v>723</v>
      </c>
      <c r="H119" t="s">
        <v>436</v>
      </c>
      <c r="I119">
        <v>1765315095.6</v>
      </c>
      <c r="J119">
        <f>(K119)/1000</f>
        <v>0</v>
      </c>
      <c r="K119">
        <f>IF(DP119, AN119, AH119)</f>
        <v>0</v>
      </c>
      <c r="L119">
        <f>IF(DP119, AI119, AG119)</f>
        <v>0</v>
      </c>
      <c r="M119">
        <f>DR119 - IF(AU119&gt;1, L119*DL119*100.0/(AW119), 0)</f>
        <v>0</v>
      </c>
      <c r="N119">
        <f>((T119-J119/2)*M119-L119)/(T119+J119/2)</f>
        <v>0</v>
      </c>
      <c r="O119">
        <f>N119*(DY119+DZ119)/1000.0</f>
        <v>0</v>
      </c>
      <c r="P119">
        <f>(DR119 - IF(AU119&gt;1, L119*DL119*100.0/(AW119), 0))*(DY119+DZ119)/1000.0</f>
        <v>0</v>
      </c>
      <c r="Q119">
        <f>2.0/((1/S119-1/R119)+SIGN(S119)*SQRT((1/S119-1/R119)*(1/S119-1/R119) + 4*DM119/((DM119+1)*(DM119+1))*(2*1/S119*1/R119-1/R119*1/R119)))</f>
        <v>0</v>
      </c>
      <c r="R119">
        <f>IF(LEFT(DN119,1)&lt;&gt;"0",IF(LEFT(DN119,1)="1",3.0,DO119),$D$5+$E$5*(EF119*DY119/($K$5*1000))+$F$5*(EF119*DY119/($K$5*1000))*MAX(MIN(DL119,$J$5),$I$5)*MAX(MIN(DL119,$J$5),$I$5)+$G$5*MAX(MIN(DL119,$J$5),$I$5)*(EF119*DY119/($K$5*1000))+$H$5*(EF119*DY119/($K$5*1000))*(EF119*DY119/($K$5*1000)))</f>
        <v>0</v>
      </c>
      <c r="S119">
        <f>J119*(1000-(1000*0.61365*exp(17.502*W119/(240.97+W119))/(DY119+DZ119)+DT119)/2)/(1000*0.61365*exp(17.502*W119/(240.97+W119))/(DY119+DZ119)-DT119)</f>
        <v>0</v>
      </c>
      <c r="T119">
        <f>1/((DM119+1)/(Q119/1.6)+1/(R119/1.37)) + DM119/((DM119+1)/(Q119/1.6) + DM119/(R119/1.37))</f>
        <v>0</v>
      </c>
      <c r="U119">
        <f>(DH119*DK119)</f>
        <v>0</v>
      </c>
      <c r="V119">
        <f>(EA119+(U119+2*0.95*5.67E-8*(((EA119+$B$7)+273)^4-(EA119+273)^4)-44100*J119)/(1.84*29.3*R119+8*0.95*5.67E-8*(EA119+273)^3))</f>
        <v>0</v>
      </c>
      <c r="W119">
        <f>($C$7*EB119+$D$7*EC119+$E$7*V119)</f>
        <v>0</v>
      </c>
      <c r="X119">
        <f>0.61365*exp(17.502*W119/(240.97+W119))</f>
        <v>0</v>
      </c>
      <c r="Y119">
        <f>(Z119/AA119*100)</f>
        <v>0</v>
      </c>
      <c r="Z119">
        <f>DT119*(DY119+DZ119)/1000</f>
        <v>0</v>
      </c>
      <c r="AA119">
        <f>0.61365*exp(17.502*EA119/(240.97+EA119))</f>
        <v>0</v>
      </c>
      <c r="AB119">
        <f>(X119-DT119*(DY119+DZ119)/1000)</f>
        <v>0</v>
      </c>
      <c r="AC119">
        <f>(-J119*44100)</f>
        <v>0</v>
      </c>
      <c r="AD119">
        <f>2*29.3*R119*0.92*(EA119-W119)</f>
        <v>0</v>
      </c>
      <c r="AE119">
        <f>2*0.95*5.67E-8*(((EA119+$B$7)+273)^4-(W119+273)^4)</f>
        <v>0</v>
      </c>
      <c r="AF119">
        <f>U119+AE119+AC119+AD119</f>
        <v>0</v>
      </c>
      <c r="AG119">
        <f>DX119*AU119*(DS119-DR119*(1000-AU119*DU119)/(1000-AU119*DT119))/(100*DL119)</f>
        <v>0</v>
      </c>
      <c r="AH119">
        <f>1000*DX119*AU119*(DT119-DU119)/(100*DL119*(1000-AU119*DT119))</f>
        <v>0</v>
      </c>
      <c r="AI119">
        <f>(AJ119 - AK119 - DY119*1E3/(8.314*(EA119+273.15)) * AM119/DX119 * AL119) * DX119/(100*DL119) * (1000 - DU119)/1000</f>
        <v>0</v>
      </c>
      <c r="AJ119">
        <v>1527.82286731648</v>
      </c>
      <c r="AK119">
        <v>1527.21418181818</v>
      </c>
      <c r="AL119">
        <v>0.00376366306813055</v>
      </c>
      <c r="AM119">
        <v>63.7092095668697</v>
      </c>
      <c r="AN119">
        <f>(AP119 - AO119 + DY119*1E3/(8.314*(EA119+273.15)) * AR119/DX119 * AQ119) * DX119/(100*DL119) * 1000/(1000 - AP119)</f>
        <v>0</v>
      </c>
      <c r="AO119">
        <v>18.2549389555029</v>
      </c>
      <c r="AP119">
        <v>18.3624612121212</v>
      </c>
      <c r="AQ119">
        <v>3.13699169668748e-05</v>
      </c>
      <c r="AR119">
        <v>106.067883787646</v>
      </c>
      <c r="AS119">
        <v>0</v>
      </c>
      <c r="AT119">
        <v>0</v>
      </c>
      <c r="AU119">
        <f>IF(AS119*$H$13&gt;=AW119,1.0,(AW119/(AW119-AS119*$H$13)))</f>
        <v>0</v>
      </c>
      <c r="AV119">
        <f>(AU119-1)*100</f>
        <v>0</v>
      </c>
      <c r="AW119">
        <f>MAX(0,($B$13+$C$13*EF119)/(1+$D$13*EF119)*DY119/(EA119+273)*$E$13)</f>
        <v>0</v>
      </c>
      <c r="AX119" t="s">
        <v>437</v>
      </c>
      <c r="AY119" t="s">
        <v>437</v>
      </c>
      <c r="AZ119">
        <v>0</v>
      </c>
      <c r="BA119">
        <v>0</v>
      </c>
      <c r="BB119">
        <f>1-AZ119/BA119</f>
        <v>0</v>
      </c>
      <c r="BC119">
        <v>0</v>
      </c>
      <c r="BD119" t="s">
        <v>437</v>
      </c>
      <c r="BE119" t="s">
        <v>437</v>
      </c>
      <c r="BF119">
        <v>0</v>
      </c>
      <c r="BG119">
        <v>0</v>
      </c>
      <c r="BH119">
        <f>1-BF119/BG119</f>
        <v>0</v>
      </c>
      <c r="BI119">
        <v>0.5</v>
      </c>
      <c r="BJ119">
        <f>DI119</f>
        <v>0</v>
      </c>
      <c r="BK119">
        <f>L119</f>
        <v>0</v>
      </c>
      <c r="BL119">
        <f>BH119*BI119*BJ119</f>
        <v>0</v>
      </c>
      <c r="BM119">
        <f>(BK119-BC119)/BJ119</f>
        <v>0</v>
      </c>
      <c r="BN119">
        <f>(BA119-BG119)/BG119</f>
        <v>0</v>
      </c>
      <c r="BO119">
        <f>AZ119/(BB119+AZ119/BG119)</f>
        <v>0</v>
      </c>
      <c r="BP119" t="s">
        <v>437</v>
      </c>
      <c r="BQ119">
        <v>0</v>
      </c>
      <c r="BR119">
        <f>IF(BQ119&lt;&gt;0, BQ119, BO119)</f>
        <v>0</v>
      </c>
      <c r="BS119">
        <f>1-BR119/BG119</f>
        <v>0</v>
      </c>
      <c r="BT119">
        <f>(BG119-BF119)/(BG119-BR119)</f>
        <v>0</v>
      </c>
      <c r="BU119">
        <f>(BA119-BG119)/(BA119-BR119)</f>
        <v>0</v>
      </c>
      <c r="BV119">
        <f>(BG119-BF119)/(BG119-AZ119)</f>
        <v>0</v>
      </c>
      <c r="BW119">
        <f>(BA119-BG119)/(BA119-AZ119)</f>
        <v>0</v>
      </c>
      <c r="BX119">
        <f>(BT119*BR119/BF119)</f>
        <v>0</v>
      </c>
      <c r="BY119">
        <f>(1-BX119)</f>
        <v>0</v>
      </c>
      <c r="DH119">
        <f>$B$11*EG119+$C$11*EH119+$F$11*ES119*(1-EV119)</f>
        <v>0</v>
      </c>
      <c r="DI119">
        <f>DH119*DJ119</f>
        <v>0</v>
      </c>
      <c r="DJ119">
        <f>($B$11*$D$9+$C$11*$D$9+$F$11*((FF119+EX119)/MAX(FF119+EX119+FG119, 0.1)*$I$9+FG119/MAX(FF119+EX119+FG119, 0.1)*$J$9))/($B$11+$C$11+$F$11)</f>
        <v>0</v>
      </c>
      <c r="DK119">
        <f>($B$11*$K$9+$C$11*$K$9+$F$11*((FF119+EX119)/MAX(FF119+EX119+FG119, 0.1)*$P$9+FG119/MAX(FF119+EX119+FG119, 0.1)*$Q$9))/($B$11+$C$11+$F$11)</f>
        <v>0</v>
      </c>
      <c r="DL119">
        <v>5.66</v>
      </c>
      <c r="DM119">
        <v>0.5</v>
      </c>
      <c r="DN119" t="s">
        <v>438</v>
      </c>
      <c r="DO119">
        <v>2</v>
      </c>
      <c r="DP119" t="b">
        <v>1</v>
      </c>
      <c r="DQ119">
        <v>1765315095.6</v>
      </c>
      <c r="DR119">
        <v>1499.2555</v>
      </c>
      <c r="DS119">
        <v>1499.999375</v>
      </c>
      <c r="DT119">
        <v>18.353225</v>
      </c>
      <c r="DU119">
        <v>18.25295625</v>
      </c>
      <c r="DV119">
        <v>1488.4775</v>
      </c>
      <c r="DW119">
        <v>18.179225</v>
      </c>
      <c r="DX119">
        <v>500.0061875</v>
      </c>
      <c r="DY119">
        <v>89.62786875</v>
      </c>
      <c r="DZ119">
        <v>0.09992611875</v>
      </c>
      <c r="EA119">
        <v>25.5938125</v>
      </c>
      <c r="EB119">
        <v>25.0034125</v>
      </c>
      <c r="EC119">
        <v>999.9</v>
      </c>
      <c r="ED119">
        <v>0</v>
      </c>
      <c r="EE119">
        <v>0</v>
      </c>
      <c r="EF119">
        <v>9991.799375</v>
      </c>
      <c r="EG119">
        <v>0</v>
      </c>
      <c r="EH119">
        <v>11.476125</v>
      </c>
      <c r="EI119">
        <v>-0.836700125</v>
      </c>
      <c r="EJ119">
        <v>1527.199375</v>
      </c>
      <c r="EK119">
        <v>1527.88625</v>
      </c>
      <c r="EL119">
        <v>0.105974625</v>
      </c>
      <c r="EM119">
        <v>1499.999375</v>
      </c>
      <c r="EN119">
        <v>18.25295625</v>
      </c>
      <c r="EO119">
        <v>1.6454725</v>
      </c>
      <c r="EP119">
        <v>1.635973125</v>
      </c>
      <c r="EQ119">
        <v>14.39135625</v>
      </c>
      <c r="ER119">
        <v>14.3018875</v>
      </c>
      <c r="ES119">
        <v>800.068125</v>
      </c>
      <c r="ET119">
        <v>0.949996375</v>
      </c>
      <c r="EU119">
        <v>0.05000339375</v>
      </c>
      <c r="EV119">
        <v>0</v>
      </c>
      <c r="EW119">
        <v>310.65975</v>
      </c>
      <c r="EX119">
        <v>5.00016</v>
      </c>
      <c r="EY119">
        <v>2586.145</v>
      </c>
      <c r="EZ119">
        <v>7195.285625</v>
      </c>
      <c r="FA119">
        <v>40</v>
      </c>
      <c r="FB119">
        <v>42.6909375</v>
      </c>
      <c r="FC119">
        <v>41.45275</v>
      </c>
      <c r="FD119">
        <v>42.812</v>
      </c>
      <c r="FE119">
        <v>42.687</v>
      </c>
      <c r="FF119">
        <v>755.3125</v>
      </c>
      <c r="FG119">
        <v>39.760625</v>
      </c>
      <c r="FH119">
        <v>0</v>
      </c>
      <c r="FI119">
        <v>1765315104.7</v>
      </c>
      <c r="FJ119">
        <v>0</v>
      </c>
      <c r="FK119">
        <v>310.64876</v>
      </c>
      <c r="FL119">
        <v>-1.34684613900267</v>
      </c>
      <c r="FM119">
        <v>-5.29076922336769</v>
      </c>
      <c r="FN119">
        <v>2585.9668</v>
      </c>
      <c r="FO119">
        <v>15</v>
      </c>
      <c r="FP119">
        <v>1765315129.1</v>
      </c>
      <c r="FQ119" t="s">
        <v>757</v>
      </c>
      <c r="FR119">
        <v>1765315129.1</v>
      </c>
      <c r="FS119">
        <v>1765315122.1</v>
      </c>
      <c r="FT119">
        <v>103</v>
      </c>
      <c r="FU119">
        <v>0.093</v>
      </c>
      <c r="FV119">
        <v>-0.004</v>
      </c>
      <c r="FW119">
        <v>10.778</v>
      </c>
      <c r="FX119">
        <v>0.174</v>
      </c>
      <c r="FY119">
        <v>1500</v>
      </c>
      <c r="FZ119">
        <v>18</v>
      </c>
      <c r="GA119">
        <v>1.14</v>
      </c>
      <c r="GB119">
        <v>0.15</v>
      </c>
      <c r="GC119">
        <v>-0.85442485</v>
      </c>
      <c r="GD119">
        <v>0.349676165413533</v>
      </c>
      <c r="GE119">
        <v>0.0849933748578529</v>
      </c>
      <c r="GF119">
        <v>1</v>
      </c>
      <c r="GG119">
        <v>310.7095</v>
      </c>
      <c r="GH119">
        <v>-1.14614209007368</v>
      </c>
      <c r="GI119">
        <v>0.220157463701618</v>
      </c>
      <c r="GJ119">
        <v>-1</v>
      </c>
      <c r="GK119">
        <v>0.1059069</v>
      </c>
      <c r="GL119">
        <v>0.00508664661654135</v>
      </c>
      <c r="GM119">
        <v>0.00146359481756393</v>
      </c>
      <c r="GN119">
        <v>1</v>
      </c>
      <c r="GO119">
        <v>2</v>
      </c>
      <c r="GP119">
        <v>2</v>
      </c>
      <c r="GQ119" t="s">
        <v>440</v>
      </c>
      <c r="GR119">
        <v>3.12494</v>
      </c>
      <c r="GS119">
        <v>2.72556</v>
      </c>
      <c r="GT119">
        <v>0.210546</v>
      </c>
      <c r="GU119">
        <v>0.211066</v>
      </c>
      <c r="GV119">
        <v>0.0836811</v>
      </c>
      <c r="GW119">
        <v>0.0835707</v>
      </c>
      <c r="GX119">
        <v>20737.9</v>
      </c>
      <c r="GY119">
        <v>19314.6</v>
      </c>
      <c r="GZ119">
        <v>23481.7</v>
      </c>
      <c r="HA119">
        <v>23827.1</v>
      </c>
      <c r="HB119">
        <v>36650.4</v>
      </c>
      <c r="HC119">
        <v>36118.1</v>
      </c>
      <c r="HD119">
        <v>42294.9</v>
      </c>
      <c r="HE119">
        <v>42445.8</v>
      </c>
      <c r="HF119">
        <v>1.93438</v>
      </c>
      <c r="HG119">
        <v>1.85783</v>
      </c>
      <c r="HH119">
        <v>0.0695214</v>
      </c>
      <c r="HI119">
        <v>0</v>
      </c>
      <c r="HJ119">
        <v>23.8554</v>
      </c>
      <c r="HK119">
        <v>999.9</v>
      </c>
      <c r="HL119">
        <v>48.248</v>
      </c>
      <c r="HM119">
        <v>28.218</v>
      </c>
      <c r="HN119">
        <v>20.6899</v>
      </c>
      <c r="HO119">
        <v>55.1668</v>
      </c>
      <c r="HP119">
        <v>45.8934</v>
      </c>
      <c r="HQ119">
        <v>1</v>
      </c>
      <c r="HR119">
        <v>-0.106771</v>
      </c>
      <c r="HS119">
        <v>0.463546</v>
      </c>
      <c r="HT119">
        <v>20.2311</v>
      </c>
      <c r="HU119">
        <v>5.23511</v>
      </c>
      <c r="HV119">
        <v>11.992</v>
      </c>
      <c r="HW119">
        <v>4.9561</v>
      </c>
      <c r="HX119">
        <v>3.304</v>
      </c>
      <c r="HY119">
        <v>999.9</v>
      </c>
      <c r="HZ119">
        <v>9999</v>
      </c>
      <c r="IA119">
        <v>9999</v>
      </c>
      <c r="IB119">
        <v>9999</v>
      </c>
      <c r="IC119">
        <v>1.86861</v>
      </c>
      <c r="ID119">
        <v>1.86433</v>
      </c>
      <c r="IE119">
        <v>1.87195</v>
      </c>
      <c r="IF119">
        <v>1.86283</v>
      </c>
      <c r="IG119">
        <v>1.86225</v>
      </c>
      <c r="IH119">
        <v>1.86872</v>
      </c>
      <c r="II119">
        <v>1.85886</v>
      </c>
      <c r="IJ119">
        <v>1.86523</v>
      </c>
      <c r="IK119">
        <v>5</v>
      </c>
      <c r="IL119">
        <v>0</v>
      </c>
      <c r="IM119">
        <v>0</v>
      </c>
      <c r="IN119">
        <v>0</v>
      </c>
      <c r="IO119" t="s">
        <v>441</v>
      </c>
      <c r="IP119" t="s">
        <v>442</v>
      </c>
      <c r="IQ119" t="s">
        <v>443</v>
      </c>
      <c r="IR119" t="s">
        <v>443</v>
      </c>
      <c r="IS119" t="s">
        <v>443</v>
      </c>
      <c r="IT119" t="s">
        <v>443</v>
      </c>
      <c r="IU119">
        <v>0</v>
      </c>
      <c r="IV119">
        <v>100</v>
      </c>
      <c r="IW119">
        <v>100</v>
      </c>
      <c r="IX119">
        <v>10.778</v>
      </c>
      <c r="IY119">
        <v>0.174</v>
      </c>
      <c r="IZ119">
        <v>5.87246256533347</v>
      </c>
      <c r="JA119">
        <v>0.0062698613543794</v>
      </c>
      <c r="JB119">
        <v>-3.23243345529816e-06</v>
      </c>
      <c r="JC119">
        <v>8.00506428382295e-10</v>
      </c>
      <c r="JD119">
        <v>0.0128956646207355</v>
      </c>
      <c r="JE119">
        <v>-0.0018464610107002</v>
      </c>
      <c r="JF119">
        <v>0.000796540623429801</v>
      </c>
      <c r="JG119">
        <v>-1.04619914107352e-05</v>
      </c>
      <c r="JH119">
        <v>-0</v>
      </c>
      <c r="JI119">
        <v>2101</v>
      </c>
      <c r="JJ119">
        <v>1</v>
      </c>
      <c r="JK119">
        <v>23</v>
      </c>
      <c r="JL119">
        <v>1.2</v>
      </c>
      <c r="JM119">
        <v>1.6</v>
      </c>
      <c r="JN119">
        <v>2.90161</v>
      </c>
      <c r="JO119">
        <v>2.30835</v>
      </c>
      <c r="JP119">
        <v>1.4978</v>
      </c>
      <c r="JQ119">
        <v>2.34009</v>
      </c>
      <c r="JR119">
        <v>1.54419</v>
      </c>
      <c r="JS119">
        <v>2.40234</v>
      </c>
      <c r="JT119">
        <v>34.418</v>
      </c>
      <c r="JU119">
        <v>24.3502</v>
      </c>
      <c r="JV119">
        <v>18</v>
      </c>
      <c r="JW119">
        <v>548.334</v>
      </c>
      <c r="JX119">
        <v>442.058</v>
      </c>
      <c r="JY119">
        <v>23.0827</v>
      </c>
      <c r="JZ119">
        <v>26.1017</v>
      </c>
      <c r="KA119">
        <v>30.0003</v>
      </c>
      <c r="KB119">
        <v>26.0122</v>
      </c>
      <c r="KC119">
        <v>26.0312</v>
      </c>
      <c r="KD119">
        <v>58.0615</v>
      </c>
      <c r="KE119">
        <v>23.2028</v>
      </c>
      <c r="KF119">
        <v>100</v>
      </c>
      <c r="KG119">
        <v>23.1179</v>
      </c>
      <c r="KH119">
        <v>1500</v>
      </c>
      <c r="KI119">
        <v>18.2164</v>
      </c>
      <c r="KJ119">
        <v>94.8248</v>
      </c>
      <c r="KK119">
        <v>98.9603</v>
      </c>
    </row>
    <row r="120" spans="1:297">
      <c r="A120">
        <v>104</v>
      </c>
      <c r="B120">
        <v>1765315212.1</v>
      </c>
      <c r="C120">
        <v>17263.0999999046</v>
      </c>
      <c r="D120" t="s">
        <v>758</v>
      </c>
      <c r="E120" t="s">
        <v>759</v>
      </c>
      <c r="F120">
        <v>5</v>
      </c>
      <c r="G120" t="s">
        <v>723</v>
      </c>
      <c r="H120" t="s">
        <v>436</v>
      </c>
      <c r="I120">
        <v>1765315203.6</v>
      </c>
      <c r="J120">
        <f>(K120)/1000</f>
        <v>0</v>
      </c>
      <c r="K120">
        <f>IF(DP120, AN120, AH120)</f>
        <v>0</v>
      </c>
      <c r="L120">
        <f>IF(DP120, AI120, AG120)</f>
        <v>0</v>
      </c>
      <c r="M120">
        <f>DR120 - IF(AU120&gt;1, L120*DL120*100.0/(AW120), 0)</f>
        <v>0</v>
      </c>
      <c r="N120">
        <f>((T120-J120/2)*M120-L120)/(T120+J120/2)</f>
        <v>0</v>
      </c>
      <c r="O120">
        <f>N120*(DY120+DZ120)/1000.0</f>
        <v>0</v>
      </c>
      <c r="P120">
        <f>(DR120 - IF(AU120&gt;1, L120*DL120*100.0/(AW120), 0))*(DY120+DZ120)/1000.0</f>
        <v>0</v>
      </c>
      <c r="Q120">
        <f>2.0/((1/S120-1/R120)+SIGN(S120)*SQRT((1/S120-1/R120)*(1/S120-1/R120) + 4*DM120/((DM120+1)*(DM120+1))*(2*1/S120*1/R120-1/R120*1/R120)))</f>
        <v>0</v>
      </c>
      <c r="R120">
        <f>IF(LEFT(DN120,1)&lt;&gt;"0",IF(LEFT(DN120,1)="1",3.0,DO120),$D$5+$E$5*(EF120*DY120/($K$5*1000))+$F$5*(EF120*DY120/($K$5*1000))*MAX(MIN(DL120,$J$5),$I$5)*MAX(MIN(DL120,$J$5),$I$5)+$G$5*MAX(MIN(DL120,$J$5),$I$5)*(EF120*DY120/($K$5*1000))+$H$5*(EF120*DY120/($K$5*1000))*(EF120*DY120/($K$5*1000)))</f>
        <v>0</v>
      </c>
      <c r="S120">
        <f>J120*(1000-(1000*0.61365*exp(17.502*W120/(240.97+W120))/(DY120+DZ120)+DT120)/2)/(1000*0.61365*exp(17.502*W120/(240.97+W120))/(DY120+DZ120)-DT120)</f>
        <v>0</v>
      </c>
      <c r="T120">
        <f>1/((DM120+1)/(Q120/1.6)+1/(R120/1.37)) + DM120/((DM120+1)/(Q120/1.6) + DM120/(R120/1.37))</f>
        <v>0</v>
      </c>
      <c r="U120">
        <f>(DH120*DK120)</f>
        <v>0</v>
      </c>
      <c r="V120">
        <f>(EA120+(U120+2*0.95*5.67E-8*(((EA120+$B$7)+273)^4-(EA120+273)^4)-44100*J120)/(1.84*29.3*R120+8*0.95*5.67E-8*(EA120+273)^3))</f>
        <v>0</v>
      </c>
      <c r="W120">
        <f>($C$7*EB120+$D$7*EC120+$E$7*V120)</f>
        <v>0</v>
      </c>
      <c r="X120">
        <f>0.61365*exp(17.502*W120/(240.97+W120))</f>
        <v>0</v>
      </c>
      <c r="Y120">
        <f>(Z120/AA120*100)</f>
        <v>0</v>
      </c>
      <c r="Z120">
        <f>DT120*(DY120+DZ120)/1000</f>
        <v>0</v>
      </c>
      <c r="AA120">
        <f>0.61365*exp(17.502*EA120/(240.97+EA120))</f>
        <v>0</v>
      </c>
      <c r="AB120">
        <f>(X120-DT120*(DY120+DZ120)/1000)</f>
        <v>0</v>
      </c>
      <c r="AC120">
        <f>(-J120*44100)</f>
        <v>0</v>
      </c>
      <c r="AD120">
        <f>2*29.3*R120*0.92*(EA120-W120)</f>
        <v>0</v>
      </c>
      <c r="AE120">
        <f>2*0.95*5.67E-8*(((EA120+$B$7)+273)^4-(W120+273)^4)</f>
        <v>0</v>
      </c>
      <c r="AF120">
        <f>U120+AE120+AC120+AD120</f>
        <v>0</v>
      </c>
      <c r="AG120">
        <f>DX120*AU120*(DS120-DR120*(1000-AU120*DU120)/(1000-AU120*DT120))/(100*DL120)</f>
        <v>0</v>
      </c>
      <c r="AH120">
        <f>1000*DX120*AU120*(DT120-DU120)/(100*DL120*(1000-AU120*DT120))</f>
        <v>0</v>
      </c>
      <c r="AI120">
        <f>(AJ120 - AK120 - DY120*1E3/(8.314*(EA120+273.15)) * AM120/DX120 * AL120) * DX120/(100*DL120) * (1000 - DU120)/1000</f>
        <v>0</v>
      </c>
      <c r="AJ120">
        <v>407.415625713642</v>
      </c>
      <c r="AK120">
        <v>408.135406060606</v>
      </c>
      <c r="AL120">
        <v>-0.0300650551577691</v>
      </c>
      <c r="AM120">
        <v>63.7276913951663</v>
      </c>
      <c r="AN120">
        <f>(AP120 - AO120 + DY120*1E3/(8.314*(EA120+273.15)) * AR120/DX120 * AQ120) * DX120/(100*DL120) * 1000/(1000 - AP120)</f>
        <v>0</v>
      </c>
      <c r="AO120">
        <v>18.2322257001402</v>
      </c>
      <c r="AP120">
        <v>18.3362333333333</v>
      </c>
      <c r="AQ120">
        <v>2.59705721264538e-05</v>
      </c>
      <c r="AR120">
        <v>105.606845376694</v>
      </c>
      <c r="AS120">
        <v>0</v>
      </c>
      <c r="AT120">
        <v>0</v>
      </c>
      <c r="AU120">
        <f>IF(AS120*$H$13&gt;=AW120,1.0,(AW120/(AW120-AS120*$H$13)))</f>
        <v>0</v>
      </c>
      <c r="AV120">
        <f>(AU120-1)*100</f>
        <v>0</v>
      </c>
      <c r="AW120">
        <f>MAX(0,($B$13+$C$13*EF120)/(1+$D$13*EF120)*DY120/(EA120+273)*$E$13)</f>
        <v>0</v>
      </c>
      <c r="AX120" t="s">
        <v>437</v>
      </c>
      <c r="AY120" t="s">
        <v>437</v>
      </c>
      <c r="AZ120">
        <v>0</v>
      </c>
      <c r="BA120">
        <v>0</v>
      </c>
      <c r="BB120">
        <f>1-AZ120/BA120</f>
        <v>0</v>
      </c>
      <c r="BC120">
        <v>0</v>
      </c>
      <c r="BD120" t="s">
        <v>437</v>
      </c>
      <c r="BE120" t="s">
        <v>437</v>
      </c>
      <c r="BF120">
        <v>0</v>
      </c>
      <c r="BG120">
        <v>0</v>
      </c>
      <c r="BH120">
        <f>1-BF120/BG120</f>
        <v>0</v>
      </c>
      <c r="BI120">
        <v>0.5</v>
      </c>
      <c r="BJ120">
        <f>DI120</f>
        <v>0</v>
      </c>
      <c r="BK120">
        <f>L120</f>
        <v>0</v>
      </c>
      <c r="BL120">
        <f>BH120*BI120*BJ120</f>
        <v>0</v>
      </c>
      <c r="BM120">
        <f>(BK120-BC120)/BJ120</f>
        <v>0</v>
      </c>
      <c r="BN120">
        <f>(BA120-BG120)/BG120</f>
        <v>0</v>
      </c>
      <c r="BO120">
        <f>AZ120/(BB120+AZ120/BG120)</f>
        <v>0</v>
      </c>
      <c r="BP120" t="s">
        <v>437</v>
      </c>
      <c r="BQ120">
        <v>0</v>
      </c>
      <c r="BR120">
        <f>IF(BQ120&lt;&gt;0, BQ120, BO120)</f>
        <v>0</v>
      </c>
      <c r="BS120">
        <f>1-BR120/BG120</f>
        <v>0</v>
      </c>
      <c r="BT120">
        <f>(BG120-BF120)/(BG120-BR120)</f>
        <v>0</v>
      </c>
      <c r="BU120">
        <f>(BA120-BG120)/(BA120-BR120)</f>
        <v>0</v>
      </c>
      <c r="BV120">
        <f>(BG120-BF120)/(BG120-AZ120)</f>
        <v>0</v>
      </c>
      <c r="BW120">
        <f>(BA120-BG120)/(BA120-AZ120)</f>
        <v>0</v>
      </c>
      <c r="BX120">
        <f>(BT120*BR120/BF120)</f>
        <v>0</v>
      </c>
      <c r="BY120">
        <f>(1-BX120)</f>
        <v>0</v>
      </c>
      <c r="DH120">
        <f>$B$11*EG120+$C$11*EH120+$F$11*ES120*(1-EV120)</f>
        <v>0</v>
      </c>
      <c r="DI120">
        <f>DH120*DJ120</f>
        <v>0</v>
      </c>
      <c r="DJ120">
        <f>($B$11*$D$9+$C$11*$D$9+$F$11*((FF120+EX120)/MAX(FF120+EX120+FG120, 0.1)*$I$9+FG120/MAX(FF120+EX120+FG120, 0.1)*$J$9))/($B$11+$C$11+$F$11)</f>
        <v>0</v>
      </c>
      <c r="DK120">
        <f>($B$11*$K$9+$C$11*$K$9+$F$11*((FF120+EX120)/MAX(FF120+EX120+FG120, 0.1)*$P$9+FG120/MAX(FF120+EX120+FG120, 0.1)*$Q$9))/($B$11+$C$11+$F$11)</f>
        <v>0</v>
      </c>
      <c r="DL120">
        <v>5.66</v>
      </c>
      <c r="DM120">
        <v>0.5</v>
      </c>
      <c r="DN120" t="s">
        <v>438</v>
      </c>
      <c r="DO120">
        <v>2</v>
      </c>
      <c r="DP120" t="b">
        <v>1</v>
      </c>
      <c r="DQ120">
        <v>1765315203.6</v>
      </c>
      <c r="DR120">
        <v>400.4995</v>
      </c>
      <c r="DS120">
        <v>400.00725</v>
      </c>
      <c r="DT120">
        <v>18.32911875</v>
      </c>
      <c r="DU120">
        <v>18.2296375</v>
      </c>
      <c r="DV120">
        <v>392.7755</v>
      </c>
      <c r="DW120">
        <v>18.15711875</v>
      </c>
      <c r="DX120">
        <v>500.01325</v>
      </c>
      <c r="DY120">
        <v>89.62880625</v>
      </c>
      <c r="DZ120">
        <v>0.09999079375</v>
      </c>
      <c r="EA120">
        <v>25.604775</v>
      </c>
      <c r="EB120">
        <v>25.0068625</v>
      </c>
      <c r="EC120">
        <v>999.9</v>
      </c>
      <c r="ED120">
        <v>0</v>
      </c>
      <c r="EE120">
        <v>0</v>
      </c>
      <c r="EF120">
        <v>9997.49875</v>
      </c>
      <c r="EG120">
        <v>0</v>
      </c>
      <c r="EH120">
        <v>11.48621875</v>
      </c>
      <c r="EI120">
        <v>0.745952625</v>
      </c>
      <c r="EJ120">
        <v>408.237375</v>
      </c>
      <c r="EK120">
        <v>407.4345625</v>
      </c>
      <c r="EL120">
        <v>0.1030235625</v>
      </c>
      <c r="EM120">
        <v>400.00725</v>
      </c>
      <c r="EN120">
        <v>18.2296375</v>
      </c>
      <c r="EO120">
        <v>1.64313625</v>
      </c>
      <c r="EP120">
        <v>1.633901875</v>
      </c>
      <c r="EQ120">
        <v>14.36939375</v>
      </c>
      <c r="ER120">
        <v>14.28229375</v>
      </c>
      <c r="ES120">
        <v>799.9686875</v>
      </c>
      <c r="ET120">
        <v>0.949995375</v>
      </c>
      <c r="EU120">
        <v>0.050004425</v>
      </c>
      <c r="EV120">
        <v>0</v>
      </c>
      <c r="EW120">
        <v>309.190375</v>
      </c>
      <c r="EX120">
        <v>5.00016</v>
      </c>
      <c r="EY120">
        <v>2574.72125</v>
      </c>
      <c r="EZ120">
        <v>7194.381875</v>
      </c>
      <c r="FA120">
        <v>40</v>
      </c>
      <c r="FB120">
        <v>42.75</v>
      </c>
      <c r="FC120">
        <v>41.5</v>
      </c>
      <c r="FD120">
        <v>42.8159375</v>
      </c>
      <c r="FE120">
        <v>42.687</v>
      </c>
      <c r="FF120">
        <v>755.216875</v>
      </c>
      <c r="FG120">
        <v>39.753125</v>
      </c>
      <c r="FH120">
        <v>0</v>
      </c>
      <c r="FI120">
        <v>1765315212.7</v>
      </c>
      <c r="FJ120">
        <v>0</v>
      </c>
      <c r="FK120">
        <v>309.24808</v>
      </c>
      <c r="FL120">
        <v>-0.142076927545608</v>
      </c>
      <c r="FM120">
        <v>-6.57000001638661</v>
      </c>
      <c r="FN120">
        <v>2574.6196</v>
      </c>
      <c r="FO120">
        <v>15</v>
      </c>
      <c r="FP120">
        <v>1765315244.1</v>
      </c>
      <c r="FQ120" t="s">
        <v>760</v>
      </c>
      <c r="FR120">
        <v>1765315244.1</v>
      </c>
      <c r="FS120">
        <v>1765315230.1</v>
      </c>
      <c r="FT120">
        <v>104</v>
      </c>
      <c r="FU120">
        <v>-0.252</v>
      </c>
      <c r="FV120">
        <v>-0.002</v>
      </c>
      <c r="FW120">
        <v>7.724</v>
      </c>
      <c r="FX120">
        <v>0.172</v>
      </c>
      <c r="FY120">
        <v>400</v>
      </c>
      <c r="FZ120">
        <v>18</v>
      </c>
      <c r="GA120">
        <v>0.48</v>
      </c>
      <c r="GB120">
        <v>0.23</v>
      </c>
      <c r="GC120">
        <v>0.78887505</v>
      </c>
      <c r="GD120">
        <v>-0.498715172932331</v>
      </c>
      <c r="GE120">
        <v>0.0885444584095894</v>
      </c>
      <c r="GF120">
        <v>1</v>
      </c>
      <c r="GG120">
        <v>309.230882352941</v>
      </c>
      <c r="GH120">
        <v>0.26893811527536</v>
      </c>
      <c r="GI120">
        <v>0.213487672147992</v>
      </c>
      <c r="GJ120">
        <v>-1</v>
      </c>
      <c r="GK120">
        <v>0.10334355</v>
      </c>
      <c r="GL120">
        <v>-0.00355123308270655</v>
      </c>
      <c r="GM120">
        <v>0.000931412447576259</v>
      </c>
      <c r="GN120">
        <v>1</v>
      </c>
      <c r="GO120">
        <v>2</v>
      </c>
      <c r="GP120">
        <v>2</v>
      </c>
      <c r="GQ120" t="s">
        <v>440</v>
      </c>
      <c r="GR120">
        <v>3.12516</v>
      </c>
      <c r="GS120">
        <v>2.72557</v>
      </c>
      <c r="GT120">
        <v>0.0849636</v>
      </c>
      <c r="GU120">
        <v>0.0861433</v>
      </c>
      <c r="GV120">
        <v>0.0835858</v>
      </c>
      <c r="GW120">
        <v>0.0834787</v>
      </c>
      <c r="GX120">
        <v>24027.7</v>
      </c>
      <c r="GY120">
        <v>22367.4</v>
      </c>
      <c r="GZ120">
        <v>23475</v>
      </c>
      <c r="HA120">
        <v>23823.7</v>
      </c>
      <c r="HB120">
        <v>36634.3</v>
      </c>
      <c r="HC120">
        <v>36107.3</v>
      </c>
      <c r="HD120">
        <v>42284</v>
      </c>
      <c r="HE120">
        <v>42440.4</v>
      </c>
      <c r="HF120">
        <v>1.93292</v>
      </c>
      <c r="HG120">
        <v>1.85357</v>
      </c>
      <c r="HH120">
        <v>0.0699311</v>
      </c>
      <c r="HI120">
        <v>0</v>
      </c>
      <c r="HJ120">
        <v>23.8662</v>
      </c>
      <c r="HK120">
        <v>999.9</v>
      </c>
      <c r="HL120">
        <v>48.395</v>
      </c>
      <c r="HM120">
        <v>28.218</v>
      </c>
      <c r="HN120">
        <v>20.7547</v>
      </c>
      <c r="HO120">
        <v>54.5368</v>
      </c>
      <c r="HP120">
        <v>45.7412</v>
      </c>
      <c r="HQ120">
        <v>1</v>
      </c>
      <c r="HR120">
        <v>-0.100208</v>
      </c>
      <c r="HS120">
        <v>0.749673</v>
      </c>
      <c r="HT120">
        <v>20.2302</v>
      </c>
      <c r="HU120">
        <v>5.23481</v>
      </c>
      <c r="HV120">
        <v>11.992</v>
      </c>
      <c r="HW120">
        <v>4.95575</v>
      </c>
      <c r="HX120">
        <v>3.304</v>
      </c>
      <c r="HY120">
        <v>999.9</v>
      </c>
      <c r="HZ120">
        <v>9999</v>
      </c>
      <c r="IA120">
        <v>9999</v>
      </c>
      <c r="IB120">
        <v>9999</v>
      </c>
      <c r="IC120">
        <v>1.8686</v>
      </c>
      <c r="ID120">
        <v>1.86434</v>
      </c>
      <c r="IE120">
        <v>1.87195</v>
      </c>
      <c r="IF120">
        <v>1.8628</v>
      </c>
      <c r="IG120">
        <v>1.86226</v>
      </c>
      <c r="IH120">
        <v>1.86865</v>
      </c>
      <c r="II120">
        <v>1.85883</v>
      </c>
      <c r="IJ120">
        <v>1.86523</v>
      </c>
      <c r="IK120">
        <v>5</v>
      </c>
      <c r="IL120">
        <v>0</v>
      </c>
      <c r="IM120">
        <v>0</v>
      </c>
      <c r="IN120">
        <v>0</v>
      </c>
      <c r="IO120" t="s">
        <v>441</v>
      </c>
      <c r="IP120" t="s">
        <v>442</v>
      </c>
      <c r="IQ120" t="s">
        <v>443</v>
      </c>
      <c r="IR120" t="s">
        <v>443</v>
      </c>
      <c r="IS120" t="s">
        <v>443</v>
      </c>
      <c r="IT120" t="s">
        <v>443</v>
      </c>
      <c r="IU120">
        <v>0</v>
      </c>
      <c r="IV120">
        <v>100</v>
      </c>
      <c r="IW120">
        <v>100</v>
      </c>
      <c r="IX120">
        <v>7.724</v>
      </c>
      <c r="IY120">
        <v>0.172</v>
      </c>
      <c r="IZ120">
        <v>5.96514368408357</v>
      </c>
      <c r="JA120">
        <v>0.0062698613543794</v>
      </c>
      <c r="JB120">
        <v>-3.23243345529816e-06</v>
      </c>
      <c r="JC120">
        <v>8.00506428382295e-10</v>
      </c>
      <c r="JD120">
        <v>0.00908997478673718</v>
      </c>
      <c r="JE120">
        <v>-0.0018464610107002</v>
      </c>
      <c r="JF120">
        <v>0.000796540623429801</v>
      </c>
      <c r="JG120">
        <v>-1.04619914107352e-05</v>
      </c>
      <c r="JH120">
        <v>-0</v>
      </c>
      <c r="JI120">
        <v>2101</v>
      </c>
      <c r="JJ120">
        <v>1</v>
      </c>
      <c r="JK120">
        <v>23</v>
      </c>
      <c r="JL120">
        <v>1.4</v>
      </c>
      <c r="JM120">
        <v>1.5</v>
      </c>
      <c r="JN120">
        <v>0.997314</v>
      </c>
      <c r="JO120">
        <v>2.35229</v>
      </c>
      <c r="JP120">
        <v>1.49902</v>
      </c>
      <c r="JQ120">
        <v>2.34009</v>
      </c>
      <c r="JR120">
        <v>1.54419</v>
      </c>
      <c r="JS120">
        <v>2.31445</v>
      </c>
      <c r="JT120">
        <v>34.418</v>
      </c>
      <c r="JU120">
        <v>24.3414</v>
      </c>
      <c r="JV120">
        <v>18</v>
      </c>
      <c r="JW120">
        <v>548.022</v>
      </c>
      <c r="JX120">
        <v>440.079</v>
      </c>
      <c r="JY120">
        <v>23.0925</v>
      </c>
      <c r="JZ120">
        <v>26.1825</v>
      </c>
      <c r="KA120">
        <v>30.0005</v>
      </c>
      <c r="KB120">
        <v>26.082</v>
      </c>
      <c r="KC120">
        <v>26.101</v>
      </c>
      <c r="KD120">
        <v>19.9981</v>
      </c>
      <c r="KE120">
        <v>23.2028</v>
      </c>
      <c r="KF120">
        <v>100</v>
      </c>
      <c r="KG120">
        <v>23.0847</v>
      </c>
      <c r="KH120">
        <v>400</v>
      </c>
      <c r="KI120">
        <v>18.2508</v>
      </c>
      <c r="KJ120">
        <v>94.7995</v>
      </c>
      <c r="KK120">
        <v>98.9472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2025-12-09T15:31:04Z</dcterms:created>
  <dcterms:modified xsi:type="dcterms:W3CDTF">2025-12-09T15:31:04Z</dcterms:modified>
</cp:coreProperties>
</file>