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3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08:35:39</v>
      </c>
      <c r="C4" t="str">
        <v>2026-01-08</v>
      </c>
      <c r="D4" t="str">
        <v>TT25_psf_dark</v>
      </c>
      <c r="E4" t="str">
        <v>eap</v>
      </c>
      <c r="F4" t="str">
        <v/>
      </c>
      <c r="G4" t="str">
        <v>2616_mai_green</v>
      </c>
      <c r="H4" t="str">
        <v/>
      </c>
      <c r="I4" t="str">
        <v/>
      </c>
      <c r="J4" t="str">
        <f>1/((1/L4)-(1/K4))</f>
        <v>0.006797</v>
      </c>
      <c r="K4" t="str">
        <f>BH4+(BI4*AN4)+(BJ4*AN4*POWER(V4,2))+(BK4*AN4*V4)+(BL4*POWER(AN4,2))</f>
        <v>2.923362</v>
      </c>
      <c r="L4" t="str">
        <f>((M4/1000)*(1000-((T4+S4)/2)))/(T4-S4)</f>
        <v>0.006781</v>
      </c>
      <c r="M4" t="str">
        <f>(AN4*(S4-R4))/(100*U4*(1000-S4))*1000</f>
        <v>0.110427</v>
      </c>
      <c r="N4" t="str">
        <v>0.959608</v>
      </c>
      <c r="O4" t="str">
        <v>0.956866</v>
      </c>
      <c r="P4" t="str">
        <f>0.61365*EXP((17.502*AL4)/(240.97+AL4))</f>
        <v>2.384209</v>
      </c>
      <c r="Q4" t="str">
        <f>P4-N4</f>
        <v>1.424601</v>
      </c>
      <c r="R4" t="str">
        <v>10.732613</v>
      </c>
      <c r="S4" t="str">
        <v>10.763370</v>
      </c>
      <c r="T4" t="str">
        <f>(P4/AM4)*1000</f>
        <v>26.742296</v>
      </c>
      <c r="U4" t="str">
        <f>V4*BG4</f>
        <v>0.441786</v>
      </c>
      <c r="V4" t="str">
        <v>7.500000</v>
      </c>
      <c r="W4" t="str">
        <v>PSF-00438_20260108083539_bcd</v>
      </c>
      <c r="X4" t="str">
        <v>111.240860</v>
      </c>
      <c r="Y4" t="str">
        <v>529.415466</v>
      </c>
      <c r="Z4" t="str">
        <v>0.789880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0.043293</v>
      </c>
      <c r="AG4" t="str">
        <v>1.000000</v>
      </c>
      <c r="AH4" t="str">
        <v>33.89</v>
      </c>
      <c r="AI4" t="str">
        <v>33.79</v>
      </c>
      <c r="AJ4" t="str">
        <v>23.07</v>
      </c>
      <c r="AK4" t="str">
        <v>20.26</v>
      </c>
      <c r="AL4" t="str">
        <f>(AK4-AJ4)*(AJ4*0+0)+AK4</f>
        <v>20.26</v>
      </c>
      <c r="AM4" t="str">
        <v>89.15</v>
      </c>
      <c r="AN4" t="str">
        <v>156.9</v>
      </c>
      <c r="AO4" t="str">
        <v>157.8</v>
      </c>
      <c r="AP4" t="str">
        <v>-0.6</v>
      </c>
      <c r="AQ4" t="str">
        <v>0</v>
      </c>
      <c r="AR4" t="str">
        <v>4.017</v>
      </c>
      <c r="AS4" t="str">
        <v>09:43:21</v>
      </c>
      <c r="AT4" t="str">
        <v>2026-01-08</v>
      </c>
      <c r="AU4" t="str">
        <v>-0.11</v>
      </c>
      <c r="AV4" t="str">
        <v>1</v>
      </c>
      <c r="AW4" t="str">
        <v>-0.000</v>
      </c>
      <c r="AX4" t="str">
        <v>-0.000</v>
      </c>
      <c r="AY4" t="str">
        <v>-9999.000</v>
      </c>
      <c r="AZ4" t="str">
        <v>-0.150</v>
      </c>
      <c r="BA4" t="str">
        <v>-0.670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2.445737</v>
      </c>
      <c r="CD4" t="str">
        <v>2.460058</v>
      </c>
      <c r="CE4" t="str">
        <v>1.657234</v>
      </c>
      <c r="CF4" t="str">
        <v>0.940924</v>
      </c>
      <c r="CG4" t="str">
        <v>0.294608</v>
      </c>
      <c r="CH4" t="str">
        <v>-0.030425</v>
      </c>
      <c r="CI4" t="str">
        <v>0.057315</v>
      </c>
      <c r="CJ4" t="str">
        <v>0.107424</v>
      </c>
      <c r="CK4" t="str">
        <v>111.240860</v>
      </c>
      <c r="CL4" t="str">
        <v>0.000234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PSF-00438_20260108083539_bcd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2025-12-11T16:13:15.848Z</v>
      </c>
    </row>
    <row r="5">
      <c r="A5" t="str">
        <v>2</v>
      </c>
      <c r="B5" t="str">
        <v>08:36:20</v>
      </c>
      <c r="C5" t="str">
        <v>2026-01-08</v>
      </c>
      <c r="D5" t="str">
        <v>TT25_psf_dark</v>
      </c>
      <c r="E5" t="str">
        <v>eap</v>
      </c>
      <c r="F5" t="str">
        <v/>
      </c>
      <c r="G5" t="str">
        <v>5579_mai_yellow</v>
      </c>
      <c r="H5" t="str">
        <v/>
      </c>
      <c r="I5" t="str">
        <v/>
      </c>
      <c r="J5" t="str">
        <f>1/((1/L5)-(1/K5))</f>
        <v>0.011469</v>
      </c>
      <c r="K5" t="str">
        <f>BH5+(BI5*AN5)+(BJ5*AN5*POWER(V5,2))+(BK5*AN5*V5)+(BL5*POWER(AN5,2))</f>
        <v>2.921536</v>
      </c>
      <c r="L5" t="str">
        <f>((M5/1000)*(1000-((T5+S5)/2)))/(T5-S5)</f>
        <v>0.011424</v>
      </c>
      <c r="M5" t="str">
        <f>(AN5*(S5-R5))/(100*U5*(1000-S5))*1000</f>
        <v>0.220865</v>
      </c>
      <c r="N5" t="str">
        <v>0.990221</v>
      </c>
      <c r="O5" t="str">
        <v>0.984730</v>
      </c>
      <c r="P5" t="str">
        <f>0.61365*EXP((17.502*AL5)/(240.97+AL5))</f>
        <v>2.678519</v>
      </c>
      <c r="Q5" t="str">
        <f>P5-N5</f>
        <v>1.688298</v>
      </c>
      <c r="R5" t="str">
        <v>11.044710</v>
      </c>
      <c r="S5" t="str">
        <v>11.106295</v>
      </c>
      <c r="T5" t="str">
        <f>(P5/AM5)*1000</f>
        <v>30.042212</v>
      </c>
      <c r="U5" t="str">
        <f>V5*BG5</f>
        <v>0.441786</v>
      </c>
      <c r="V5" t="str">
        <v>7.500000</v>
      </c>
      <c r="W5" t="str">
        <v>PSF-00438_20260108083620_6cf</v>
      </c>
      <c r="X5" t="str">
        <v>106.328133</v>
      </c>
      <c r="Y5" t="str">
        <v>521.110291</v>
      </c>
      <c r="Z5" t="str">
        <v>0.795959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0.016033</v>
      </c>
      <c r="AG5" t="str">
        <v>1.000000</v>
      </c>
      <c r="AH5" t="str">
        <v>35.01</v>
      </c>
      <c r="AI5" t="str">
        <v>34.82</v>
      </c>
      <c r="AJ5" t="str">
        <v>23.05</v>
      </c>
      <c r="AK5" t="str">
        <v>22.15</v>
      </c>
      <c r="AL5" t="str">
        <f>(AK5-AJ5)*(AJ5*0+0)+AK5</f>
        <v>22.15</v>
      </c>
      <c r="AM5" t="str">
        <v>89.16</v>
      </c>
      <c r="AN5" t="str">
        <v>156.7</v>
      </c>
      <c r="AO5" t="str">
        <v>157.3</v>
      </c>
      <c r="AP5" t="str">
        <v>-0.4</v>
      </c>
      <c r="AQ5" t="str">
        <v>0</v>
      </c>
      <c r="AR5" t="str">
        <v>4.015</v>
      </c>
      <c r="AS5" t="str">
        <v>09:43:21</v>
      </c>
      <c r="AT5" t="str">
        <v>2026-01-08</v>
      </c>
      <c r="AU5" t="str">
        <v>-0.11</v>
      </c>
      <c r="AV5" t="str">
        <v>1</v>
      </c>
      <c r="AW5" t="str">
        <v>-0.000</v>
      </c>
      <c r="AX5" t="str">
        <v>-0.000</v>
      </c>
      <c r="AY5" t="str">
        <v>-9999.000</v>
      </c>
      <c r="AZ5" t="str">
        <v>-0.294</v>
      </c>
      <c r="BA5" t="str">
        <v>-0.758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6000</v>
      </c>
      <c r="BQ5" t="str">
        <v>5</v>
      </c>
      <c r="BR5" t="str">
        <v>5.000000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2.447195</v>
      </c>
      <c r="CD5" t="str">
        <v>2.461668</v>
      </c>
      <c r="CE5" t="str">
        <v>1.655320</v>
      </c>
      <c r="CF5" t="str">
        <v>0.939454</v>
      </c>
      <c r="CG5" t="str">
        <v>0.294823</v>
      </c>
      <c r="CH5" t="str">
        <v>-0.009439</v>
      </c>
      <c r="CI5" t="str">
        <v>0.063534</v>
      </c>
      <c r="CJ5" t="str">
        <v>0.107346</v>
      </c>
      <c r="CK5" t="str">
        <v>106.328133</v>
      </c>
      <c r="CL5" t="str">
        <v>0.000239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PSF-00438_20260108083620_6cf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2025-12-11T16:13:15.848Z</v>
      </c>
    </row>
    <row r="6">
      <c r="A6" t="str">
        <v>3</v>
      </c>
      <c r="B6" t="str">
        <v>08:36:46</v>
      </c>
      <c r="C6" t="str">
        <v>2026-01-08</v>
      </c>
      <c r="D6" t="str">
        <v>TT25_psf_dark</v>
      </c>
      <c r="E6" t="str">
        <v>eap</v>
      </c>
      <c r="F6" t="str">
        <v/>
      </c>
      <c r="G6" t="str">
        <v>5122_mai_red</v>
      </c>
      <c r="H6" t="str">
        <v/>
      </c>
      <c r="I6" t="str">
        <v/>
      </c>
      <c r="J6" t="str">
        <f>1/((1/L6)-(1/K6))</f>
        <v>0.044392</v>
      </c>
      <c r="K6" t="str">
        <f>BH6+(BI6*AN6)+(BJ6*AN6*POWER(V6,2))+(BK6*AN6*V6)+(BL6*POWER(AN6,2))</f>
        <v>2.921277</v>
      </c>
      <c r="L6" t="str">
        <f>((M6/1000)*(1000-((T6+S6)/2)))/(T6-S6)</f>
        <v>0.043728</v>
      </c>
      <c r="M6" t="str">
        <f>(AN6*(S6-R6))/(100*U6*(1000-S6))*1000</f>
        <v>0.726804</v>
      </c>
      <c r="N6" t="str">
        <v>1.028894</v>
      </c>
      <c r="O6" t="str">
        <v>1.010829</v>
      </c>
      <c r="P6" t="str">
        <f>0.61365*EXP((17.502*AL6)/(240.97+AL6))</f>
        <v>2.481637</v>
      </c>
      <c r="Q6" t="str">
        <f>P6-N6</f>
        <v>1.452743</v>
      </c>
      <c r="R6" t="str">
        <v>11.337378</v>
      </c>
      <c r="S6" t="str">
        <v>11.539988</v>
      </c>
      <c r="T6" t="str">
        <f>(P6/AM6)*1000</f>
        <v>27.833834</v>
      </c>
      <c r="U6" t="str">
        <f>V6*BG6</f>
        <v>0.441786</v>
      </c>
      <c r="V6" t="str">
        <v>7.500000</v>
      </c>
      <c r="W6" t="str">
        <v>PSF-00438_20260108083646_9df</v>
      </c>
      <c r="X6" t="str">
        <v>158.186676</v>
      </c>
      <c r="Y6" t="str">
        <v>488.236420</v>
      </c>
      <c r="Z6" t="str">
        <v>0.676004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0.018239</v>
      </c>
      <c r="AG6" t="str">
        <v>1.000000</v>
      </c>
      <c r="AH6" t="str">
        <v>36.42</v>
      </c>
      <c r="AI6" t="str">
        <v>35.78</v>
      </c>
      <c r="AJ6" t="str">
        <v>23.03</v>
      </c>
      <c r="AK6" t="str">
        <v>20.91</v>
      </c>
      <c r="AL6" t="str">
        <f>(AK6-AJ6)*(AJ6*0+0)+AK6</f>
        <v>20.91</v>
      </c>
      <c r="AM6" t="str">
        <v>89.16</v>
      </c>
      <c r="AN6" t="str">
        <v>156.6</v>
      </c>
      <c r="AO6" t="str">
        <v>158.4</v>
      </c>
      <c r="AP6" t="str">
        <v>-1.1</v>
      </c>
      <c r="AQ6" t="str">
        <v>0</v>
      </c>
      <c r="AR6" t="str">
        <v>3.984</v>
      </c>
      <c r="AS6" t="str">
        <v>09:43:21</v>
      </c>
      <c r="AT6" t="str">
        <v>2026-01-08</v>
      </c>
      <c r="AU6" t="str">
        <v>-0.11</v>
      </c>
      <c r="AV6" t="str">
        <v>1</v>
      </c>
      <c r="AW6" t="str">
        <v>0.001</v>
      </c>
      <c r="AX6" t="str">
        <v>-0.000</v>
      </c>
      <c r="AY6" t="str">
        <v>-9999.000</v>
      </c>
      <c r="AZ6" t="str">
        <v>-0.249</v>
      </c>
      <c r="BA6" t="str">
        <v>-0.067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6000</v>
      </c>
      <c r="BQ6" t="str">
        <v>5</v>
      </c>
      <c r="BR6" t="str">
        <v>5.000000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2.448556</v>
      </c>
      <c r="CD6" t="str">
        <v>2.463671</v>
      </c>
      <c r="CE6" t="str">
        <v>1.655048</v>
      </c>
      <c r="CF6" t="str">
        <v>0.942433</v>
      </c>
      <c r="CG6" t="str">
        <v>0.295021</v>
      </c>
      <c r="CH6" t="str">
        <v>-0.022965</v>
      </c>
      <c r="CI6" t="str">
        <v>0.067344</v>
      </c>
      <c r="CJ6" t="str">
        <v>0.107362</v>
      </c>
      <c r="CK6" t="str">
        <v>158.186676</v>
      </c>
      <c r="CL6" t="str">
        <v>0.000239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PSF-00438_20260108083646_9df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2025-12-11T16:13:15.848Z</v>
      </c>
    </row>
    <row r="7">
      <c r="A7" t="str">
        <v>4</v>
      </c>
      <c r="B7" t="str">
        <v>08:37:09</v>
      </c>
      <c r="C7" t="str">
        <v>2026-01-08</v>
      </c>
      <c r="D7" t="str">
        <v>TT25_psf_dark</v>
      </c>
      <c r="E7" t="str">
        <v>eap</v>
      </c>
      <c r="F7" t="str">
        <v/>
      </c>
      <c r="G7" t="str">
        <v>2689_mai_red</v>
      </c>
      <c r="H7" t="str">
        <v/>
      </c>
      <c r="I7" t="str">
        <v/>
      </c>
      <c r="J7" t="str">
        <f>1/((1/L7)-(1/K7))</f>
        <v>0.001989</v>
      </c>
      <c r="K7" t="str">
        <f>BH7+(BI7*AN7)+(BJ7*AN7*POWER(V7,2))+(BK7*AN7*V7)+(BL7*POWER(AN7,2))</f>
        <v>2.923355</v>
      </c>
      <c r="L7" t="str">
        <f>((M7/1000)*(1000-((T7+S7)/2)))/(T7-S7)</f>
        <v>0.001988</v>
      </c>
      <c r="M7" t="str">
        <f>(AN7*(S7-R7))/(100*U7*(1000-S7))*1000</f>
        <v>0.036586</v>
      </c>
      <c r="N7" t="str">
        <v>1.020797</v>
      </c>
      <c r="O7" t="str">
        <v>1.019889</v>
      </c>
      <c r="P7" t="str">
        <f>0.61365*EXP((17.502*AL7)/(240.97+AL7))</f>
        <v>2.628078</v>
      </c>
      <c r="Q7" t="str">
        <f>P7-N7</f>
        <v>1.607281</v>
      </c>
      <c r="R7" t="str">
        <v>11.439121</v>
      </c>
      <c r="S7" t="str">
        <v>11.449305</v>
      </c>
      <c r="T7" t="str">
        <f>(P7/AM7)*1000</f>
        <v>29.476643</v>
      </c>
      <c r="U7" t="str">
        <f>V7*BG7</f>
        <v>0.441786</v>
      </c>
      <c r="V7" t="str">
        <v>7.500000</v>
      </c>
      <c r="W7" t="str">
        <v>PSF-00438_20260108083709_8d5</v>
      </c>
      <c r="X7" t="str">
        <v>108.383774</v>
      </c>
      <c r="Y7" t="str">
        <v>513.531799</v>
      </c>
      <c r="Z7" t="str">
        <v>0.788944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0.014762</v>
      </c>
      <c r="AG7" t="str">
        <v>1.000000</v>
      </c>
      <c r="AH7" t="str">
        <v>36.15</v>
      </c>
      <c r="AI7" t="str">
        <v>36.12</v>
      </c>
      <c r="AJ7" t="str">
        <v>23.02</v>
      </c>
      <c r="AK7" t="str">
        <v>21.84</v>
      </c>
      <c r="AL7" t="str">
        <f>(AK7-AJ7)*(AJ7*0+0)+AK7</f>
        <v>21.84</v>
      </c>
      <c r="AM7" t="str">
        <v>89.16</v>
      </c>
      <c r="AN7" t="str">
        <v>156.9</v>
      </c>
      <c r="AO7" t="str">
        <v>157.9</v>
      </c>
      <c r="AP7" t="str">
        <v>-0.6</v>
      </c>
      <c r="AQ7" t="str">
        <v>0</v>
      </c>
      <c r="AR7" t="str">
        <v>4.013</v>
      </c>
      <c r="AS7" t="str">
        <v>09:43:21</v>
      </c>
      <c r="AT7" t="str">
        <v>2026-01-08</v>
      </c>
      <c r="AU7" t="str">
        <v>-0.11</v>
      </c>
      <c r="AV7" t="str">
        <v>1</v>
      </c>
      <c r="AW7" t="str">
        <v>0.000</v>
      </c>
      <c r="AX7" t="str">
        <v>-0.000</v>
      </c>
      <c r="AY7" t="str">
        <v>-9999.000</v>
      </c>
      <c r="AZ7" t="str">
        <v>0.157</v>
      </c>
      <c r="BA7" t="str">
        <v>0.574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6000</v>
      </c>
      <c r="BQ7" t="str">
        <v>5</v>
      </c>
      <c r="BR7" t="str">
        <v>5.000000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2.449041</v>
      </c>
      <c r="CD7" t="str">
        <v>2.463297</v>
      </c>
      <c r="CE7" t="str">
        <v>1.657226</v>
      </c>
      <c r="CF7" t="str">
        <v>0.941118</v>
      </c>
      <c r="CG7" t="str">
        <v>0.295140</v>
      </c>
      <c r="CH7" t="str">
        <v>-0.012583</v>
      </c>
      <c r="CI7" t="str">
        <v>0.070735</v>
      </c>
      <c r="CJ7" t="str">
        <v>0.107343</v>
      </c>
      <c r="CK7" t="str">
        <v>108.383774</v>
      </c>
      <c r="CL7" t="str">
        <v>0.000238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PSF-00438_20260108083709_8d5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2025-12-11T16:13:15.848Z</v>
      </c>
    </row>
    <row r="8">
      <c r="A8" t="str">
        <v>5</v>
      </c>
      <c r="B8" t="str">
        <v>08:37:37</v>
      </c>
      <c r="C8" t="str">
        <v>2026-01-08</v>
      </c>
      <c r="D8" t="str">
        <v>TT25_psf_dark</v>
      </c>
      <c r="E8" t="str">
        <v>eap</v>
      </c>
      <c r="F8" t="str">
        <v/>
      </c>
      <c r="G8" t="str">
        <v>2608_mai_pink</v>
      </c>
      <c r="H8" t="str">
        <v/>
      </c>
      <c r="I8" t="str">
        <v/>
      </c>
      <c r="J8" t="str">
        <f>1/((1/L8)-(1/K8))</f>
        <v>0.003553</v>
      </c>
      <c r="K8" t="str">
        <f>BH8+(BI8*AN8)+(BJ8*AN8*POWER(V8,2))+(BK8*AN8*V8)+(BL8*POWER(AN8,2))</f>
        <v>2.922234</v>
      </c>
      <c r="L8" t="str">
        <f>((M8/1000)*(1000-((T8+S8)/2)))/(T8-S8)</f>
        <v>0.003548</v>
      </c>
      <c r="M8" t="str">
        <f>(AN8*(S8-R8))/(100*U8*(1000-S8))*1000</f>
        <v>0.064694</v>
      </c>
      <c r="N8" t="str">
        <v>1.033515</v>
      </c>
      <c r="O8" t="str">
        <v>1.031908</v>
      </c>
      <c r="P8" t="str">
        <f>0.61365*EXP((17.502*AL8)/(240.97+AL8))</f>
        <v>2.625776</v>
      </c>
      <c r="Q8" t="str">
        <f>P8-N8</f>
        <v>1.592261</v>
      </c>
      <c r="R8" t="str">
        <v>11.573470</v>
      </c>
      <c r="S8" t="str">
        <v>11.591491</v>
      </c>
      <c r="T8" t="str">
        <f>(P8/AM8)*1000</f>
        <v>29.449661</v>
      </c>
      <c r="U8" t="str">
        <f>V8*BG8</f>
        <v>0.441786</v>
      </c>
      <c r="V8" t="str">
        <v>7.500000</v>
      </c>
      <c r="W8" t="str">
        <v>PSF-00438_20260108083737_f2b</v>
      </c>
      <c r="X8" t="str">
        <v>246.231430</v>
      </c>
      <c r="Y8" t="str">
        <v>531.187195</v>
      </c>
      <c r="Z8" t="str">
        <v>0.536451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0.015583</v>
      </c>
      <c r="AG8" t="str">
        <v>1.000000</v>
      </c>
      <c r="AH8" t="str">
        <v>36.61</v>
      </c>
      <c r="AI8" t="str">
        <v>36.56</v>
      </c>
      <c r="AJ8" t="str">
        <v>23.02</v>
      </c>
      <c r="AK8" t="str">
        <v>21.83</v>
      </c>
      <c r="AL8" t="str">
        <f>(AK8-AJ8)*(AJ8*0+0)+AK8</f>
        <v>21.83</v>
      </c>
      <c r="AM8" t="str">
        <v>89.16</v>
      </c>
      <c r="AN8" t="str">
        <v>156.8</v>
      </c>
      <c r="AO8" t="str">
        <v>158.1</v>
      </c>
      <c r="AP8" t="str">
        <v>-0.8</v>
      </c>
      <c r="AQ8" t="str">
        <v>0</v>
      </c>
      <c r="AR8" t="str">
        <v>4.012</v>
      </c>
      <c r="AS8" t="str">
        <v>09:43:21</v>
      </c>
      <c r="AT8" t="str">
        <v>2026-01-08</v>
      </c>
      <c r="AU8" t="str">
        <v>-0.11</v>
      </c>
      <c r="AV8" t="str">
        <v>1</v>
      </c>
      <c r="AW8" t="str">
        <v>-0.001</v>
      </c>
      <c r="AX8" t="str">
        <v>0.001</v>
      </c>
      <c r="AY8" t="str">
        <v>-9999.000</v>
      </c>
      <c r="AZ8" t="str">
        <v>-0.048</v>
      </c>
      <c r="BA8" t="str">
        <v>0.039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6000</v>
      </c>
      <c r="BQ8" t="str">
        <v>5</v>
      </c>
      <c r="BR8" t="str">
        <v>5.000000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2.449659</v>
      </c>
      <c r="CD8" t="str">
        <v>2.463956</v>
      </c>
      <c r="CE8" t="str">
        <v>1.656050</v>
      </c>
      <c r="CF8" t="str">
        <v>0.941502</v>
      </c>
      <c r="CG8" t="str">
        <v>0.295209</v>
      </c>
      <c r="CH8" t="str">
        <v>-0.012676</v>
      </c>
      <c r="CI8" t="str">
        <v>0.074758</v>
      </c>
      <c r="CJ8" t="str">
        <v>0.107366</v>
      </c>
      <c r="CK8" t="str">
        <v>246.231430</v>
      </c>
      <c r="CL8" t="str">
        <v>0.000237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PSF-00438_20260108083737_f2b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2025-12-11T16:13:15.848Z</v>
      </c>
    </row>
    <row r="9">
      <c r="A9" t="str">
        <v>6</v>
      </c>
      <c r="B9" t="str">
        <v>08:37:59</v>
      </c>
      <c r="C9" t="str">
        <v>2026-01-08</v>
      </c>
      <c r="D9" t="str">
        <v>TT25_psf_dark</v>
      </c>
      <c r="E9" t="str">
        <v>eap</v>
      </c>
      <c r="F9" t="str">
        <v/>
      </c>
      <c r="G9" t="str">
        <v>4781_mai_green</v>
      </c>
      <c r="H9" t="str">
        <v/>
      </c>
      <c r="I9" t="str">
        <v/>
      </c>
      <c r="J9" t="str">
        <f>1/((1/L9)-(1/K9))</f>
        <v>0.009039</v>
      </c>
      <c r="K9" t="str">
        <f>BH9+(BI9*AN9)+(BJ9*AN9*POWER(V9,2))+(BK9*AN9*V9)+(BL9*POWER(AN9,2))</f>
        <v>2.921676</v>
      </c>
      <c r="L9" t="str">
        <f>((M9/1000)*(1000-((T9+S9)/2)))/(T9-S9)</f>
        <v>0.009011</v>
      </c>
      <c r="M9" t="str">
        <f>(AN9*(S9-R9))/(100*U9*(1000-S9))*1000</f>
        <v>0.166585</v>
      </c>
      <c r="N9" t="str">
        <v>1.050691</v>
      </c>
      <c r="O9" t="str">
        <v>1.046553</v>
      </c>
      <c r="P9" t="str">
        <f>0.61365*EXP((17.502*AL9)/(240.97+AL9))</f>
        <v>2.664526</v>
      </c>
      <c r="Q9" t="str">
        <f>P9-N9</f>
        <v>1.613836</v>
      </c>
      <c r="R9" t="str">
        <v>11.738443</v>
      </c>
      <c r="S9" t="str">
        <v>11.784856</v>
      </c>
      <c r="T9" t="str">
        <f>(P9/AM9)*1000</f>
        <v>29.886114</v>
      </c>
      <c r="U9" t="str">
        <f>V9*BG9</f>
        <v>0.441786</v>
      </c>
      <c r="V9" t="str">
        <v>7.500000</v>
      </c>
      <c r="W9" t="str">
        <v>PSF-00438_20260108083759_9c4</v>
      </c>
      <c r="X9" t="str">
        <v>139.053589</v>
      </c>
      <c r="Y9" t="str">
        <v>587.266785</v>
      </c>
      <c r="Z9" t="str">
        <v>0.763219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0.046686</v>
      </c>
      <c r="AG9" t="str">
        <v>1.000000</v>
      </c>
      <c r="AH9" t="str">
        <v>37.22</v>
      </c>
      <c r="AI9" t="str">
        <v>37.08</v>
      </c>
      <c r="AJ9" t="str">
        <v>23.02</v>
      </c>
      <c r="AK9" t="str">
        <v>22.07</v>
      </c>
      <c r="AL9" t="str">
        <f>(AK9-AJ9)*(AJ9*0+0)+AK9</f>
        <v>22.07</v>
      </c>
      <c r="AM9" t="str">
        <v>89.16</v>
      </c>
      <c r="AN9" t="str">
        <v>156.7</v>
      </c>
      <c r="AO9" t="str">
        <v>155.3</v>
      </c>
      <c r="AP9" t="str">
        <v>0.9</v>
      </c>
      <c r="AQ9" t="str">
        <v>0</v>
      </c>
      <c r="AR9" t="str">
        <v>4.012</v>
      </c>
      <c r="AS9" t="str">
        <v>09:43:21</v>
      </c>
      <c r="AT9" t="str">
        <v>2026-01-08</v>
      </c>
      <c r="AU9" t="str">
        <v>-0.11</v>
      </c>
      <c r="AV9" t="str">
        <v>1</v>
      </c>
      <c r="AW9" t="str">
        <v>0.001</v>
      </c>
      <c r="AX9" t="str">
        <v>0.001</v>
      </c>
      <c r="AY9" t="str">
        <v>-9999.000</v>
      </c>
      <c r="AZ9" t="str">
        <v>-0.254</v>
      </c>
      <c r="BA9" t="str">
        <v>0.100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6000</v>
      </c>
      <c r="BQ9" t="str">
        <v>5</v>
      </c>
      <c r="BR9" t="str">
        <v>5.000000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2.450388</v>
      </c>
      <c r="CD9" t="str">
        <v>2.464818</v>
      </c>
      <c r="CE9" t="str">
        <v>1.655465</v>
      </c>
      <c r="CF9" t="str">
        <v>0.934516</v>
      </c>
      <c r="CG9" t="str">
        <v>0.295211</v>
      </c>
      <c r="CH9" t="str">
        <v>-0.010021</v>
      </c>
      <c r="CI9" t="str">
        <v>0.077854</v>
      </c>
      <c r="CJ9" t="str">
        <v>0.107439</v>
      </c>
      <c r="CK9" t="str">
        <v>139.053589</v>
      </c>
      <c r="CL9" t="str">
        <v>0.000235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PSF-00438_20260108083759_9c4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2025-12-11T16:13:15.848Z</v>
      </c>
    </row>
    <row r="10">
      <c r="A10" t="str">
        <v>7</v>
      </c>
      <c r="B10" t="str">
        <v>08:38:18</v>
      </c>
      <c r="C10" t="str">
        <v>2026-01-08</v>
      </c>
      <c r="D10" t="str">
        <v>TT25_psf_dark</v>
      </c>
      <c r="E10" t="str">
        <v>eap</v>
      </c>
      <c r="F10" t="str">
        <v/>
      </c>
      <c r="G10" t="str">
        <v>5596_mai_red</v>
      </c>
      <c r="H10" t="str">
        <v/>
      </c>
      <c r="I10" t="str">
        <v/>
      </c>
      <c r="J10" t="str">
        <f>1/((1/L10)-(1/K10))</f>
        <v>0.001288</v>
      </c>
      <c r="K10" t="str">
        <f>BH10+(BI10*AN10)+(BJ10*AN10*POWER(V10,2))+(BK10*AN10*V10)+(BL10*POWER(AN10,2))</f>
        <v>2.922248</v>
      </c>
      <c r="L10" t="str">
        <f>((M10/1000)*(1000-((T10+S10)/2)))/(T10-S10)</f>
        <v>0.001288</v>
      </c>
      <c r="M10" t="str">
        <f>(AN10*(S10-R10))/(100*U10*(1000-S10))*1000</f>
        <v>0.023758</v>
      </c>
      <c r="N10" t="str">
        <v>1.029453</v>
      </c>
      <c r="O10" t="str">
        <v>1.028863</v>
      </c>
      <c r="P10" t="str">
        <f>0.61365*EXP((17.502*AL10)/(240.97+AL10))</f>
        <v>2.640531</v>
      </c>
      <c r="Q10" t="str">
        <f>P10-N10</f>
        <v>1.611078</v>
      </c>
      <c r="R10" t="str">
        <v>11.540224</v>
      </c>
      <c r="S10" t="str">
        <v>11.546842</v>
      </c>
      <c r="T10" t="str">
        <f>(P10/AM10)*1000</f>
        <v>29.617470</v>
      </c>
      <c r="U10" t="str">
        <f>V10*BG10</f>
        <v>0.441786</v>
      </c>
      <c r="V10" t="str">
        <v>7.500000</v>
      </c>
      <c r="W10" t="str">
        <v>PSF-00438_20260108083818_ff7</v>
      </c>
      <c r="X10" t="str">
        <v>110.127571</v>
      </c>
      <c r="Y10" t="str">
        <v>504.722717</v>
      </c>
      <c r="Z10" t="str">
        <v>0.781806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0.192661</v>
      </c>
      <c r="AG10" t="str">
        <v>1.000000</v>
      </c>
      <c r="AH10" t="str">
        <v>36.46</v>
      </c>
      <c r="AI10" t="str">
        <v>36.44</v>
      </c>
      <c r="AJ10" t="str">
        <v>23.02</v>
      </c>
      <c r="AK10" t="str">
        <v>21.92</v>
      </c>
      <c r="AL10" t="str">
        <f>(AK10-AJ10)*(AJ10*0+0)+AK10</f>
        <v>21.92</v>
      </c>
      <c r="AM10" t="str">
        <v>89.15</v>
      </c>
      <c r="AN10" t="str">
        <v>156.8</v>
      </c>
      <c r="AO10" t="str">
        <v>158.0</v>
      </c>
      <c r="AP10" t="str">
        <v>-0.8</v>
      </c>
      <c r="AQ10" t="str">
        <v>1</v>
      </c>
      <c r="AR10" t="str">
        <v>4.011</v>
      </c>
      <c r="AS10" t="str">
        <v>09:43:21</v>
      </c>
      <c r="AT10" t="str">
        <v>2026-01-08</v>
      </c>
      <c r="AU10" t="str">
        <v>-0.11</v>
      </c>
      <c r="AV10" t="str">
        <v>1</v>
      </c>
      <c r="AW10" t="str">
        <v>-0.001</v>
      </c>
      <c r="AX10" t="str">
        <v>-0.002</v>
      </c>
      <c r="AY10" t="str">
        <v>-9999.000</v>
      </c>
      <c r="AZ10" t="str">
        <v>0.127</v>
      </c>
      <c r="BA10" t="str">
        <v>-0.253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6000</v>
      </c>
      <c r="BQ10" t="str">
        <v>5</v>
      </c>
      <c r="BR10" t="str">
        <v>5.000000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2.449493</v>
      </c>
      <c r="CD10" t="str">
        <v>2.463738</v>
      </c>
      <c r="CE10" t="str">
        <v>1.656065</v>
      </c>
      <c r="CF10" t="str">
        <v>0.941305</v>
      </c>
      <c r="CG10" t="str">
        <v>0.295159</v>
      </c>
      <c r="CH10" t="str">
        <v>-0.011710</v>
      </c>
      <c r="CI10" t="str">
        <v>0.080479</v>
      </c>
      <c r="CJ10" t="str">
        <v>0.107855</v>
      </c>
      <c r="CK10" t="str">
        <v>110.127571</v>
      </c>
      <c r="CL10" t="str">
        <v>0.000240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PSF-00438_20260108083818_ff7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2025-12-11T16:13:15.848Z</v>
      </c>
    </row>
    <row r="11">
      <c r="A11" t="str">
        <v>8</v>
      </c>
      <c r="B11" t="str">
        <v>08:38:41</v>
      </c>
      <c r="C11" t="str">
        <v>2026-01-08</v>
      </c>
      <c r="D11" t="str">
        <v>TT25_psf_dark</v>
      </c>
      <c r="E11" t="str">
        <v>eap</v>
      </c>
      <c r="F11" t="str">
        <v/>
      </c>
      <c r="G11" t="str">
        <v>545_mai_red</v>
      </c>
      <c r="H11" t="str">
        <v/>
      </c>
      <c r="I11" t="str">
        <v/>
      </c>
      <c r="J11" t="str">
        <f>1/((1/L11)-(1/K11))</f>
        <v>0.005079</v>
      </c>
      <c r="K11" t="str">
        <f>BH11+(BI11*AN11)+(BJ11*AN11*POWER(V11,2))+(BK11*AN11*V11)+(BL11*POWER(AN11,2))</f>
        <v>2.920702</v>
      </c>
      <c r="L11" t="str">
        <f>((M11/1000)*(1000-((T11+S11)/2)))/(T11-S11)</f>
        <v>0.005070</v>
      </c>
      <c r="M11" t="str">
        <f>(AN11*(S11-R11))/(100*U11*(1000-S11))*1000</f>
        <v>0.078208</v>
      </c>
      <c r="N11" t="str">
        <v>1.015071</v>
      </c>
      <c r="O11" t="str">
        <v>1.013126</v>
      </c>
      <c r="P11" t="str">
        <f>0.61365*EXP((17.502*AL11)/(240.97+AL11))</f>
        <v>2.364469</v>
      </c>
      <c r="Q11" t="str">
        <f>P11-N11</f>
        <v>1.349398</v>
      </c>
      <c r="R11" t="str">
        <v>11.362631</v>
      </c>
      <c r="S11" t="str">
        <v>11.384446</v>
      </c>
      <c r="T11" t="str">
        <f>(P11/AM11)*1000</f>
        <v>26.518503</v>
      </c>
      <c r="U11" t="str">
        <f>V11*BG11</f>
        <v>0.441786</v>
      </c>
      <c r="V11" t="str">
        <v>7.500000</v>
      </c>
      <c r="W11" t="str">
        <v>PSF-00438_20260108083841_4e8</v>
      </c>
      <c r="X11" t="str">
        <v>11.542439</v>
      </c>
      <c r="Y11" t="str">
        <v>47.567009</v>
      </c>
      <c r="Z11" t="str">
        <v>0.757344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0.030671</v>
      </c>
      <c r="AG11" t="str">
        <v>1.000000</v>
      </c>
      <c r="AH11" t="str">
        <v>35.94</v>
      </c>
      <c r="AI11" t="str">
        <v>35.87</v>
      </c>
      <c r="AJ11" t="str">
        <v>23.03</v>
      </c>
      <c r="AK11" t="str">
        <v>20.12</v>
      </c>
      <c r="AL11" t="str">
        <f>(AK11-AJ11)*(AJ11*0+0)+AK11</f>
        <v>20.12</v>
      </c>
      <c r="AM11" t="str">
        <v>89.16</v>
      </c>
      <c r="AN11" t="str">
        <v>156.6</v>
      </c>
      <c r="AO11" t="str">
        <v>157.5</v>
      </c>
      <c r="AP11" t="str">
        <v>-0.6</v>
      </c>
      <c r="AQ11" t="str">
        <v>0</v>
      </c>
      <c r="AR11" t="str">
        <v>4.010</v>
      </c>
      <c r="AS11" t="str">
        <v>09:43:21</v>
      </c>
      <c r="AT11" t="str">
        <v>2026-01-08</v>
      </c>
      <c r="AU11" t="str">
        <v>-0.11</v>
      </c>
      <c r="AV11" t="str">
        <v>1</v>
      </c>
      <c r="AW11" t="str">
        <v>-0.000</v>
      </c>
      <c r="AX11" t="str">
        <v>0.003</v>
      </c>
      <c r="AY11" t="str">
        <v>-9999.000</v>
      </c>
      <c r="AZ11" t="str">
        <v>0.066</v>
      </c>
      <c r="BA11" t="str">
        <v>-0.191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6000</v>
      </c>
      <c r="BQ11" t="str">
        <v>5</v>
      </c>
      <c r="BR11" t="str">
        <v>5.000000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2.448697</v>
      </c>
      <c r="CD11" t="str">
        <v>2.463003</v>
      </c>
      <c r="CE11" t="str">
        <v>1.654446</v>
      </c>
      <c r="CF11" t="str">
        <v>0.940161</v>
      </c>
      <c r="CG11" t="str">
        <v>0.295118</v>
      </c>
      <c r="CH11" t="str">
        <v>-0.031399</v>
      </c>
      <c r="CI11" t="str">
        <v>0.083715</v>
      </c>
      <c r="CJ11" t="str">
        <v>0.107392</v>
      </c>
      <c r="CK11" t="str">
        <v>11.542439</v>
      </c>
      <c r="CL11" t="str">
        <v>0.000238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PSF-00438_20260108083841_4e8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2025-12-11T16:13:15.848Z</v>
      </c>
    </row>
    <row r="12">
      <c r="A12" t="str">
        <v>9</v>
      </c>
      <c r="B12" t="str">
        <v>08:38:58</v>
      </c>
      <c r="C12" t="str">
        <v>2026-01-08</v>
      </c>
      <c r="D12" t="str">
        <v>TT25_psf_dark</v>
      </c>
      <c r="E12" t="str">
        <v>eap</v>
      </c>
      <c r="F12" t="str">
        <v/>
      </c>
      <c r="G12" t="str">
        <v>4740_mai_red</v>
      </c>
      <c r="H12" t="str">
        <v/>
      </c>
      <c r="I12" t="str">
        <v/>
      </c>
      <c r="J12" t="str">
        <f>1/((1/L12)-(1/K12))</f>
        <v>-0.001481</v>
      </c>
      <c r="K12" t="str">
        <f>BH12+(BI12*AN12)+(BJ12*AN12*POWER(V12,2))+(BK12*AN12*V12)+(BL12*POWER(AN12,2))</f>
        <v>2.920436</v>
      </c>
      <c r="L12" t="str">
        <f>((M12/1000)*(1000-((T12+S12)/2)))/(T12-S12)</f>
        <v>-0.001482</v>
      </c>
      <c r="M12" t="str">
        <f>(AN12*(S12-R12))/(100*U12*(1000-S12))*1000</f>
        <v>-0.025592</v>
      </c>
      <c r="N12" t="str">
        <v>1.045861</v>
      </c>
      <c r="O12" t="str">
        <v>1.046497</v>
      </c>
      <c r="P12" t="str">
        <f>0.61365*EXP((17.502*AL12)/(240.97+AL12))</f>
        <v>2.554640</v>
      </c>
      <c r="Q12" t="str">
        <f>P12-N12</f>
        <v>1.508779</v>
      </c>
      <c r="R12" t="str">
        <v>11.736112</v>
      </c>
      <c r="S12" t="str">
        <v>11.728974</v>
      </c>
      <c r="T12" t="str">
        <f>(P12/AM12)*1000</f>
        <v>28.649414</v>
      </c>
      <c r="U12" t="str">
        <f>V12*BG12</f>
        <v>0.441786</v>
      </c>
      <c r="V12" t="str">
        <v>7.500000</v>
      </c>
      <c r="W12" t="str">
        <v>PSF-00438_20260108083858_c9a</v>
      </c>
      <c r="X12" t="str">
        <v>20.526409</v>
      </c>
      <c r="Y12" t="str">
        <v>56.285622</v>
      </c>
      <c r="Z12" t="str">
        <v>0.635317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0.112210</v>
      </c>
      <c r="AG12" t="str">
        <v>1.000000</v>
      </c>
      <c r="AH12" t="str">
        <v>37.05</v>
      </c>
      <c r="AI12" t="str">
        <v>37.07</v>
      </c>
      <c r="AJ12" t="str">
        <v>23.02</v>
      </c>
      <c r="AK12" t="str">
        <v>21.38</v>
      </c>
      <c r="AL12" t="str">
        <f>(AK12-AJ12)*(AJ12*0+0)+AK12</f>
        <v>21.38</v>
      </c>
      <c r="AM12" t="str">
        <v>89.17</v>
      </c>
      <c r="AN12" t="str">
        <v>156.5</v>
      </c>
      <c r="AO12" t="str">
        <v>157.9</v>
      </c>
      <c r="AP12" t="str">
        <v>-0.9</v>
      </c>
      <c r="AQ12" t="str">
        <v>0</v>
      </c>
      <c r="AR12" t="str">
        <v>4.005</v>
      </c>
      <c r="AS12" t="str">
        <v>09:43:21</v>
      </c>
      <c r="AT12" t="str">
        <v>2026-01-08</v>
      </c>
      <c r="AU12" t="str">
        <v>-0.11</v>
      </c>
      <c r="AV12" t="str">
        <v>1</v>
      </c>
      <c r="AW12" t="str">
        <v>0.000</v>
      </c>
      <c r="AX12" t="str">
        <v>-0.001</v>
      </c>
      <c r="AY12" t="str">
        <v>-0.010</v>
      </c>
      <c r="AZ12" t="str">
        <v>-0.748</v>
      </c>
      <c r="BA12" t="str">
        <v>-1.318</v>
      </c>
      <c r="BB12" t="str">
        <v>-19.340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6000</v>
      </c>
      <c r="BQ12" t="str">
        <v>5</v>
      </c>
      <c r="BR12" t="str">
        <v>5.000000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2.450382</v>
      </c>
      <c r="CD12" t="str">
        <v>2.464573</v>
      </c>
      <c r="CE12" t="str">
        <v>1.654169</v>
      </c>
      <c r="CF12" t="str">
        <v>0.941182</v>
      </c>
      <c r="CG12" t="str">
        <v>0.295202</v>
      </c>
      <c r="CH12" t="str">
        <v>-0.017624</v>
      </c>
      <c r="CI12" t="str">
        <v>0.085932</v>
      </c>
      <c r="CJ12" t="str">
        <v>0.107698</v>
      </c>
      <c r="CK12" t="str">
        <v>20.526409</v>
      </c>
      <c r="CL12" t="str">
        <v>0.000237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PSF-00438_20260108083858_c9a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2025-12-11T16:13:15.848Z</v>
      </c>
    </row>
    <row r="13">
      <c r="A13" t="str">
        <v>10</v>
      </c>
      <c r="B13" t="str">
        <v>08:39:22</v>
      </c>
      <c r="C13" t="str">
        <v>2026-01-08</v>
      </c>
      <c r="D13" t="str">
        <v>TT25_psf_dark</v>
      </c>
      <c r="E13" t="str">
        <v>eap</v>
      </c>
      <c r="F13" t="str">
        <v/>
      </c>
      <c r="G13" t="str">
        <v>TT24_112_mai_yellow</v>
      </c>
      <c r="H13" t="str">
        <v/>
      </c>
      <c r="I13" t="str">
        <v/>
      </c>
      <c r="J13" t="str">
        <f>1/((1/L13)-(1/K13))</f>
        <v>0.003553</v>
      </c>
      <c r="K13" t="str">
        <f>BH13+(BI13*AN13)+(BJ13*AN13*POWER(V13,2))+(BK13*AN13*V13)+(BL13*POWER(AN13,2))</f>
        <v>2.921486</v>
      </c>
      <c r="L13" t="str">
        <f>((M13/1000)*(1000-((T13+S13)/2)))/(T13-S13)</f>
        <v>0.003549</v>
      </c>
      <c r="M13" t="str">
        <f>(AN13*(S13-R13))/(100*U13*(1000-S13))*1000</f>
        <v>0.066987</v>
      </c>
      <c r="N13" t="str">
        <v>0.996112</v>
      </c>
      <c r="O13" t="str">
        <v>0.994447</v>
      </c>
      <c r="P13" t="str">
        <f>0.61365*EXP((17.502*AL13)/(240.97+AL13))</f>
        <v>2.644749</v>
      </c>
      <c r="Q13" t="str">
        <f>P13-N13</f>
        <v>1.648637</v>
      </c>
      <c r="R13" t="str">
        <v>11.152850</v>
      </c>
      <c r="S13" t="str">
        <v>11.171528</v>
      </c>
      <c r="T13" t="str">
        <f>(P13/AM13)*1000</f>
        <v>29.661203</v>
      </c>
      <c r="U13" t="str">
        <f>V13*BG13</f>
        <v>0.441786</v>
      </c>
      <c r="V13" t="str">
        <v>7.500000</v>
      </c>
      <c r="W13" t="str">
        <v>PSF-00438_20260108083922_44a</v>
      </c>
      <c r="X13" t="str">
        <v>178.118713</v>
      </c>
      <c r="Y13" t="str">
        <v>378.517639</v>
      </c>
      <c r="Z13" t="str">
        <v>0.529431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0.158335</v>
      </c>
      <c r="AG13" t="str">
        <v>1.000000</v>
      </c>
      <c r="AH13" t="str">
        <v>35.32</v>
      </c>
      <c r="AI13" t="str">
        <v>35.26</v>
      </c>
      <c r="AJ13" t="str">
        <v>23.00</v>
      </c>
      <c r="AK13" t="str">
        <v>21.95</v>
      </c>
      <c r="AL13" t="str">
        <f>(AK13-AJ13)*(AJ13*0+0)+AK13</f>
        <v>21.95</v>
      </c>
      <c r="AM13" t="str">
        <v>89.17</v>
      </c>
      <c r="AN13" t="str">
        <v>156.7</v>
      </c>
      <c r="AO13" t="str">
        <v>158.3</v>
      </c>
      <c r="AP13" t="str">
        <v>-1.1</v>
      </c>
      <c r="AQ13" t="str">
        <v>1</v>
      </c>
      <c r="AR13" t="str">
        <v>4.008</v>
      </c>
      <c r="AS13" t="str">
        <v>09:43:21</v>
      </c>
      <c r="AT13" t="str">
        <v>2026-01-08</v>
      </c>
      <c r="AU13" t="str">
        <v>-0.11</v>
      </c>
      <c r="AV13" t="str">
        <v>1</v>
      </c>
      <c r="AW13" t="str">
        <v>0.001</v>
      </c>
      <c r="AX13" t="str">
        <v>-0.000</v>
      </c>
      <c r="AY13" t="str">
        <v>0.001</v>
      </c>
      <c r="AZ13" t="str">
        <v>-0.098</v>
      </c>
      <c r="BA13" t="str">
        <v>0.337</v>
      </c>
      <c r="BB13" t="str">
        <v>46.923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6000</v>
      </c>
      <c r="BQ13" t="str">
        <v>5</v>
      </c>
      <c r="BR13" t="str">
        <v>5.000000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2.447829</v>
      </c>
      <c r="CD13" t="str">
        <v>2.462113</v>
      </c>
      <c r="CE13" t="str">
        <v>1.655266</v>
      </c>
      <c r="CF13" t="str">
        <v>0.942206</v>
      </c>
      <c r="CG13" t="str">
        <v>0.295363</v>
      </c>
      <c r="CH13" t="str">
        <v>-0.011228</v>
      </c>
      <c r="CI13" t="str">
        <v>0.089277</v>
      </c>
      <c r="CJ13" t="str">
        <v>0.107974</v>
      </c>
      <c r="CK13" t="str">
        <v>178.118713</v>
      </c>
      <c r="CL13" t="str">
        <v>0.000237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PSF-00438_20260108083922_44a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2025-12-11T16:13:15.848Z</v>
      </c>
    </row>
    <row r="14">
      <c r="A14" t="str">
        <v>11</v>
      </c>
      <c r="B14" t="str">
        <v>08:39:52</v>
      </c>
      <c r="C14" t="str">
        <v>2026-01-08</v>
      </c>
      <c r="D14" t="str">
        <v>TT25_psf_dark</v>
      </c>
      <c r="E14" t="str">
        <v>eap</v>
      </c>
      <c r="F14" t="str">
        <v/>
      </c>
      <c r="G14" t="str">
        <v>5184_mai_red</v>
      </c>
      <c r="H14" t="str">
        <v/>
      </c>
      <c r="I14" t="str">
        <v/>
      </c>
      <c r="J14" t="str">
        <f>1/((1/L14)-(1/K14))</f>
        <v>0.007077</v>
      </c>
      <c r="K14" t="str">
        <f>BH14+(BI14*AN14)+(BJ14*AN14*POWER(V14,2))+(BK14*AN14*V14)+(BL14*POWER(AN14,2))</f>
        <v>2.921057</v>
      </c>
      <c r="L14" t="str">
        <f>((M14/1000)*(1000-((T14+S14)/2)))/(T14-S14)</f>
        <v>0.007060</v>
      </c>
      <c r="M14" t="str">
        <f>(AN14*(S14-R14))/(100*U14*(1000-S14))*1000</f>
        <v>0.122369</v>
      </c>
      <c r="N14" t="str">
        <v>0.996652</v>
      </c>
      <c r="O14" t="str">
        <v>0.993609</v>
      </c>
      <c r="P14" t="str">
        <f>0.61365*EXP((17.502*AL14)/(240.97+AL14))</f>
        <v>2.511683</v>
      </c>
      <c r="Q14" t="str">
        <f>P14-N14</f>
        <v>1.515031</v>
      </c>
      <c r="R14" t="str">
        <v>11.144201</v>
      </c>
      <c r="S14" t="str">
        <v>11.178332</v>
      </c>
      <c r="T14" t="str">
        <f>(P14/AM14)*1000</f>
        <v>28.170752</v>
      </c>
      <c r="U14" t="str">
        <f>V14*BG14</f>
        <v>0.441786</v>
      </c>
      <c r="V14" t="str">
        <v>7.500000</v>
      </c>
      <c r="W14" t="str">
        <v>PSF-00438_20260108083952_1a1</v>
      </c>
      <c r="X14" t="str">
        <v>113.834381</v>
      </c>
      <c r="Y14" t="str">
        <v>532.736755</v>
      </c>
      <c r="Z14" t="str">
        <v>0.786322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0.194149</v>
      </c>
      <c r="AG14" t="str">
        <v>1.000000</v>
      </c>
      <c r="AH14" t="str">
        <v>35.38</v>
      </c>
      <c r="AI14" t="str">
        <v>35.28</v>
      </c>
      <c r="AJ14" t="str">
        <v>22.98</v>
      </c>
      <c r="AK14" t="str">
        <v>21.10</v>
      </c>
      <c r="AL14" t="str">
        <f>(AK14-AJ14)*(AJ14*0+0)+AK14</f>
        <v>21.10</v>
      </c>
      <c r="AM14" t="str">
        <v>89.16</v>
      </c>
      <c r="AN14" t="str">
        <v>156.6</v>
      </c>
      <c r="AO14" t="str">
        <v>157.6</v>
      </c>
      <c r="AP14" t="str">
        <v>-0.6</v>
      </c>
      <c r="AQ14" t="str">
        <v>1</v>
      </c>
      <c r="AR14" t="str">
        <v>4.007</v>
      </c>
      <c r="AS14" t="str">
        <v>09:43:21</v>
      </c>
      <c r="AT14" t="str">
        <v>2026-01-08</v>
      </c>
      <c r="AU14" t="str">
        <v>-0.11</v>
      </c>
      <c r="AV14" t="str">
        <v>1</v>
      </c>
      <c r="AW14" t="str">
        <v>0.001</v>
      </c>
      <c r="AX14" t="str">
        <v>-0.002</v>
      </c>
      <c r="AY14" t="str">
        <v>-9999.000</v>
      </c>
      <c r="AZ14" t="str">
        <v>-0.181</v>
      </c>
      <c r="BA14" t="str">
        <v>-0.172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6000</v>
      </c>
      <c r="BQ14" t="str">
        <v>5</v>
      </c>
      <c r="BR14" t="str">
        <v>5.000000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2.447859</v>
      </c>
      <c r="CD14" t="str">
        <v>2.462214</v>
      </c>
      <c r="CE14" t="str">
        <v>1.654818</v>
      </c>
      <c r="CF14" t="str">
        <v>0.940387</v>
      </c>
      <c r="CG14" t="str">
        <v>0.295629</v>
      </c>
      <c r="CH14" t="str">
        <v>-0.020249</v>
      </c>
      <c r="CI14" t="str">
        <v>0.093455</v>
      </c>
      <c r="CJ14" t="str">
        <v>0.107856</v>
      </c>
      <c r="CK14" t="str">
        <v>113.834381</v>
      </c>
      <c r="CL14" t="str">
        <v>0.000239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PSF-00438_20260108083952_1a1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2025-12-11T16:13:15.848Z</v>
      </c>
    </row>
    <row r="15">
      <c r="A15" t="str">
        <v>12</v>
      </c>
      <c r="B15" t="str">
        <v>08:40:30</v>
      </c>
      <c r="C15" t="str">
        <v>2026-01-08</v>
      </c>
      <c r="D15" t="str">
        <v>TT25_psf_dark</v>
      </c>
      <c r="E15" t="str">
        <v>eap</v>
      </c>
      <c r="F15" t="str">
        <v/>
      </c>
      <c r="G15" t="str">
        <v>1689_mai_orange</v>
      </c>
      <c r="H15" t="str">
        <v/>
      </c>
      <c r="I15" t="str">
        <v/>
      </c>
      <c r="J15" t="str">
        <f>1/((1/L15)-(1/K15))</f>
        <v>0.003564</v>
      </c>
      <c r="K15" t="str">
        <f>BH15+(BI15*AN15)+(BJ15*AN15*POWER(V15,2))+(BK15*AN15*V15)+(BL15*POWER(AN15,2))</f>
        <v>2.922673</v>
      </c>
      <c r="L15" t="str">
        <f>((M15/1000)*(1000-((T15+S15)/2)))/(T15-S15)</f>
        <v>0.003559</v>
      </c>
      <c r="M15" t="str">
        <f>(AN15*(S15-R15))/(100*U15*(1000-S15))*1000</f>
        <v>0.056669</v>
      </c>
      <c r="N15" t="str">
        <v>0.996057</v>
      </c>
      <c r="O15" t="str">
        <v>0.994650</v>
      </c>
      <c r="P15" t="str">
        <f>0.61365*EXP((17.502*AL15)/(240.97+AL15))</f>
        <v>2.388588</v>
      </c>
      <c r="Q15" t="str">
        <f>P15-N15</f>
        <v>1.392531</v>
      </c>
      <c r="R15" t="str">
        <v>11.156630</v>
      </c>
      <c r="S15" t="str">
        <v>11.172416</v>
      </c>
      <c r="T15" t="str">
        <f>(P15/AM15)*1000</f>
        <v>26.791933</v>
      </c>
      <c r="U15" t="str">
        <f>V15*BG15</f>
        <v>0.441786</v>
      </c>
      <c r="V15" t="str">
        <v>7.500000</v>
      </c>
      <c r="W15" t="str">
        <v>PSF-00438_20260108084030_d00</v>
      </c>
      <c r="X15" t="str">
        <v>164.105408</v>
      </c>
      <c r="Y15" t="str">
        <v>501.251923</v>
      </c>
      <c r="Z15" t="str">
        <v>0.672609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0.024779</v>
      </c>
      <c r="AG15" t="str">
        <v>1.000000</v>
      </c>
      <c r="AH15" t="str">
        <v>35.43</v>
      </c>
      <c r="AI15" t="str">
        <v>35.38</v>
      </c>
      <c r="AJ15" t="str">
        <v>22.95</v>
      </c>
      <c r="AK15" t="str">
        <v>20.29</v>
      </c>
      <c r="AL15" t="str">
        <f>(AK15-AJ15)*(AJ15*0+0)+AK15</f>
        <v>20.29</v>
      </c>
      <c r="AM15" t="str">
        <v>89.15</v>
      </c>
      <c r="AN15" t="str">
        <v>156.8</v>
      </c>
      <c r="AO15" t="str">
        <v>158.3</v>
      </c>
      <c r="AP15" t="str">
        <v>-1.0</v>
      </c>
      <c r="AQ15" t="str">
        <v>0</v>
      </c>
      <c r="AR15" t="str">
        <v>4.007</v>
      </c>
      <c r="AS15" t="str">
        <v>09:43:21</v>
      </c>
      <c r="AT15" t="str">
        <v>2026-01-08</v>
      </c>
      <c r="AU15" t="str">
        <v>-0.11</v>
      </c>
      <c r="AV15" t="str">
        <v>1</v>
      </c>
      <c r="AW15" t="str">
        <v>0.002</v>
      </c>
      <c r="AX15" t="str">
        <v>-0.000</v>
      </c>
      <c r="AY15" t="str">
        <v>-9999.000</v>
      </c>
      <c r="AZ15" t="str">
        <v>0.168</v>
      </c>
      <c r="BA15" t="str">
        <v>0.650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6000</v>
      </c>
      <c r="BQ15" t="str">
        <v>5</v>
      </c>
      <c r="BR15" t="str">
        <v>5.000000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2.448017</v>
      </c>
      <c r="CD15" t="str">
        <v>2.462290</v>
      </c>
      <c r="CE15" t="str">
        <v>1.656510</v>
      </c>
      <c r="CF15" t="str">
        <v>0.942243</v>
      </c>
      <c r="CG15" t="str">
        <v>0.296016</v>
      </c>
      <c r="CH15" t="str">
        <v>-0.028772</v>
      </c>
      <c r="CI15" t="str">
        <v>0.098564</v>
      </c>
      <c r="CJ15" t="str">
        <v>0.107384</v>
      </c>
      <c r="CK15" t="str">
        <v>164.105408</v>
      </c>
      <c r="CL15" t="str">
        <v>0.000239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PSF-00438_20260108084030_d00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2025-12-11T16:13:15.848Z</v>
      </c>
    </row>
    <row r="16">
      <c r="A16" t="str">
        <v>13</v>
      </c>
      <c r="B16" t="str">
        <v>08:40:45</v>
      </c>
      <c r="C16" t="str">
        <v>2026-01-08</v>
      </c>
      <c r="D16" t="str">
        <v>TT25_psf_dark</v>
      </c>
      <c r="E16" t="str">
        <v>eap</v>
      </c>
      <c r="F16" t="str">
        <v/>
      </c>
      <c r="G16" t="str">
        <v>TT24_150_mai_red</v>
      </c>
      <c r="H16" t="str">
        <v/>
      </c>
      <c r="I16" t="str">
        <v/>
      </c>
      <c r="J16" t="str">
        <f>1/((1/L16)-(1/K16))</f>
        <v>0.003068</v>
      </c>
      <c r="K16" t="str">
        <f>BH16+(BI16*AN16)+(BJ16*AN16*POWER(V16,2))+(BK16*AN16*V16)+(BL16*POWER(AN16,2))</f>
        <v>2.921460</v>
      </c>
      <c r="L16" t="str">
        <f>((M16/1000)*(1000-((T16+S16)/2)))/(T16-S16)</f>
        <v>0.003065</v>
      </c>
      <c r="M16" t="str">
        <f>(AN16*(S16-R16))/(100*U16*(1000-S16))*1000</f>
        <v>0.042417</v>
      </c>
      <c r="N16" t="str">
        <v>0.998168</v>
      </c>
      <c r="O16" t="str">
        <v>0.997113</v>
      </c>
      <c r="P16" t="str">
        <f>0.61365*EXP((17.502*AL16)/(240.97+AL16))</f>
        <v>2.209659</v>
      </c>
      <c r="Q16" t="str">
        <f>P16-N16</f>
        <v>1.211491</v>
      </c>
      <c r="R16" t="str">
        <v>11.184358</v>
      </c>
      <c r="S16" t="str">
        <v>11.196185</v>
      </c>
      <c r="T16" t="str">
        <f>(P16/AM16)*1000</f>
        <v>24.785164</v>
      </c>
      <c r="U16" t="str">
        <f>V16*BG16</f>
        <v>0.441786</v>
      </c>
      <c r="V16" t="str">
        <v>7.500000</v>
      </c>
      <c r="W16" t="str">
        <v>PSF-00438_20260108084045_105</v>
      </c>
      <c r="X16" t="str">
        <v>122.815849</v>
      </c>
      <c r="Y16" t="str">
        <v>522.934204</v>
      </c>
      <c r="Z16" t="str">
        <v>0.765141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0.126987</v>
      </c>
      <c r="AG16" t="str">
        <v>1.000000</v>
      </c>
      <c r="AH16" t="str">
        <v>35.56</v>
      </c>
      <c r="AI16" t="str">
        <v>35.52</v>
      </c>
      <c r="AJ16" t="str">
        <v>22.92</v>
      </c>
      <c r="AK16" t="str">
        <v>19.03</v>
      </c>
      <c r="AL16" t="str">
        <f>(AK16-AJ16)*(AJ16*0+0)+AK16</f>
        <v>19.03</v>
      </c>
      <c r="AM16" t="str">
        <v>89.15</v>
      </c>
      <c r="AN16" t="str">
        <v>156.7</v>
      </c>
      <c r="AO16" t="str">
        <v>158.3</v>
      </c>
      <c r="AP16" t="str">
        <v>-1.0</v>
      </c>
      <c r="AQ16" t="str">
        <v>0</v>
      </c>
      <c r="AR16" t="str">
        <v>4.007</v>
      </c>
      <c r="AS16" t="str">
        <v>09:43:21</v>
      </c>
      <c r="AT16" t="str">
        <v>2026-01-08</v>
      </c>
      <c r="AU16" t="str">
        <v>-0.11</v>
      </c>
      <c r="AV16" t="str">
        <v>1</v>
      </c>
      <c r="AW16" t="str">
        <v>-0.002</v>
      </c>
      <c r="AX16" t="str">
        <v>-0.005</v>
      </c>
      <c r="AY16" t="str">
        <v>-9999.000</v>
      </c>
      <c r="AZ16" t="str">
        <v>0.053</v>
      </c>
      <c r="BA16" t="str">
        <v>0.042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6000</v>
      </c>
      <c r="BQ16" t="str">
        <v>5</v>
      </c>
      <c r="BR16" t="str">
        <v>5.000000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2.448220</v>
      </c>
      <c r="CD16" t="str">
        <v>2.462478</v>
      </c>
      <c r="CE16" t="str">
        <v>1.655239</v>
      </c>
      <c r="CF16" t="str">
        <v>0.942156</v>
      </c>
      <c r="CG16" t="str">
        <v>0.296309</v>
      </c>
      <c r="CH16" t="str">
        <v>-0.042007</v>
      </c>
      <c r="CI16" t="str">
        <v>0.100552</v>
      </c>
      <c r="CJ16" t="str">
        <v>0.107674</v>
      </c>
      <c r="CK16" t="str">
        <v>122.815849</v>
      </c>
      <c r="CL16" t="str">
        <v>0.000239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PSF-00438_20260108084045_105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2025-12-11T16:13:15.848Z</v>
      </c>
    </row>
    <row r="17">
      <c r="A17" t="str">
        <v>14</v>
      </c>
      <c r="B17" t="str">
        <v>08:41:16</v>
      </c>
      <c r="C17" t="str">
        <v>2026-01-08</v>
      </c>
      <c r="D17" t="str">
        <v>TT25_psf_dark</v>
      </c>
      <c r="E17" t="str">
        <v>eap</v>
      </c>
      <c r="F17" t="str">
        <v/>
      </c>
      <c r="G17" t="str">
        <v>2546_mai_orange</v>
      </c>
      <c r="H17" t="str">
        <v/>
      </c>
      <c r="I17" t="str">
        <v/>
      </c>
      <c r="J17" t="str">
        <f>1/((1/L17)-(1/K17))</f>
        <v>0.007121</v>
      </c>
      <c r="K17" t="str">
        <f>BH17+(BI17*AN17)+(BJ17*AN17*POWER(V17,2))+(BK17*AN17*V17)+(BL17*POWER(AN17,2))</f>
        <v>2.921909</v>
      </c>
      <c r="L17" t="str">
        <f>((M17/1000)*(1000-((T17+S17)/2)))/(T17-S17)</f>
        <v>0.007103</v>
      </c>
      <c r="M17" t="str">
        <f>(AN17*(S17-R17))/(100*U17*(1000-S17))*1000</f>
        <v>0.117755</v>
      </c>
      <c r="N17" t="str">
        <v>0.967619</v>
      </c>
      <c r="O17" t="str">
        <v>0.964692</v>
      </c>
      <c r="P17" t="str">
        <f>0.61365*EXP((17.502*AL17)/(240.97+AL17))</f>
        <v>2.417624</v>
      </c>
      <c r="Q17" t="str">
        <f>P17-N17</f>
        <v>1.450005</v>
      </c>
      <c r="R17" t="str">
        <v>10.819753</v>
      </c>
      <c r="S17" t="str">
        <v>10.852586</v>
      </c>
      <c r="T17" t="str">
        <f>(P17/AM17)*1000</f>
        <v>27.115494</v>
      </c>
      <c r="U17" t="str">
        <f>V17*BG17</f>
        <v>0.441786</v>
      </c>
      <c r="V17" t="str">
        <v>7.500000</v>
      </c>
      <c r="W17" t="str">
        <v>PSF-00438_20260108084116_c11</v>
      </c>
      <c r="X17" t="str">
        <v>11.656165</v>
      </c>
      <c r="Y17" t="str">
        <v>37.254452</v>
      </c>
      <c r="Z17" t="str">
        <v>0.687120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0.020834</v>
      </c>
      <c r="AG17" t="str">
        <v>1.000000</v>
      </c>
      <c r="AH17" t="str">
        <v>34.58</v>
      </c>
      <c r="AI17" t="str">
        <v>34.48</v>
      </c>
      <c r="AJ17" t="str">
        <v>22.87</v>
      </c>
      <c r="AK17" t="str">
        <v>20.48</v>
      </c>
      <c r="AL17" t="str">
        <f>(AK17-AJ17)*(AJ17*0+0)+AK17</f>
        <v>20.48</v>
      </c>
      <c r="AM17" t="str">
        <v>89.16</v>
      </c>
      <c r="AN17" t="str">
        <v>156.7</v>
      </c>
      <c r="AO17" t="str">
        <v>158.2</v>
      </c>
      <c r="AP17" t="str">
        <v>-0.9</v>
      </c>
      <c r="AQ17" t="str">
        <v>0</v>
      </c>
      <c r="AR17" t="str">
        <v>4.006</v>
      </c>
      <c r="AS17" t="str">
        <v>09:43:21</v>
      </c>
      <c r="AT17" t="str">
        <v>2026-01-08</v>
      </c>
      <c r="AU17" t="str">
        <v>-0.11</v>
      </c>
      <c r="AV17" t="str">
        <v>1</v>
      </c>
      <c r="AW17" t="str">
        <v>0.000</v>
      </c>
      <c r="AX17" t="str">
        <v>-0.002</v>
      </c>
      <c r="AY17" t="str">
        <v>-9999.000</v>
      </c>
      <c r="AZ17" t="str">
        <v>0.131</v>
      </c>
      <c r="BA17" t="str">
        <v>-0.179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6000</v>
      </c>
      <c r="BQ17" t="str">
        <v>5</v>
      </c>
      <c r="BR17" t="str">
        <v>5.000000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2.446745</v>
      </c>
      <c r="CD17" t="str">
        <v>2.461087</v>
      </c>
      <c r="CE17" t="str">
        <v>1.655710</v>
      </c>
      <c r="CF17" t="str">
        <v>0.941807</v>
      </c>
      <c r="CG17" t="str">
        <v>0.296922</v>
      </c>
      <c r="CH17" t="str">
        <v>-0.025794</v>
      </c>
      <c r="CI17" t="str">
        <v>0.104662</v>
      </c>
      <c r="CJ17" t="str">
        <v>0.107369</v>
      </c>
      <c r="CK17" t="str">
        <v>11.656165</v>
      </c>
      <c r="CL17" t="str">
        <v>0.000239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PSF-00438_20260108084116_c11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2025-12-11T16:13:15.848Z</v>
      </c>
    </row>
    <row r="18">
      <c r="A18" t="str">
        <v>15</v>
      </c>
      <c r="B18" t="str">
        <v>08:41:43</v>
      </c>
      <c r="C18" t="str">
        <v>2026-01-08</v>
      </c>
      <c r="D18" t="str">
        <v>TT25_psf_dark</v>
      </c>
      <c r="E18" t="str">
        <v>eap</v>
      </c>
      <c r="F18" t="str">
        <v/>
      </c>
      <c r="G18" t="str">
        <v>TT24_110_mai_pink</v>
      </c>
      <c r="H18" t="str">
        <v/>
      </c>
      <c r="I18" t="str">
        <v/>
      </c>
      <c r="J18" t="str">
        <f>1/((1/L18)-(1/K18))</f>
        <v>-0.000891</v>
      </c>
      <c r="K18" t="str">
        <f>BH18+(BI18*AN18)+(BJ18*AN18*POWER(V18,2))+(BK18*AN18*V18)+(BL18*POWER(AN18,2))</f>
        <v>2.923202</v>
      </c>
      <c r="L18" t="str">
        <f>((M18/1000)*(1000-((T18+S18)/2)))/(T18-S18)</f>
        <v>-0.000891</v>
      </c>
      <c r="M18" t="str">
        <f>(AN18*(S18-R18))/(100*U18*(1000-S18))*1000</f>
        <v>-0.016348</v>
      </c>
      <c r="N18" t="str">
        <v>0.990381</v>
      </c>
      <c r="O18" t="str">
        <v>0.990786</v>
      </c>
      <c r="P18" t="str">
        <f>0.61365*EXP((17.502*AL18)/(240.97+AL18))</f>
        <v>2.593585</v>
      </c>
      <c r="Q18" t="str">
        <f>P18-N18</f>
        <v>1.603205</v>
      </c>
      <c r="R18" t="str">
        <v>11.112705</v>
      </c>
      <c r="S18" t="str">
        <v>11.108152</v>
      </c>
      <c r="T18" t="str">
        <f>(P18/AM18)*1000</f>
        <v>29.089766</v>
      </c>
      <c r="U18" t="str">
        <f>V18*BG18</f>
        <v>0.441786</v>
      </c>
      <c r="V18" t="str">
        <v>7.500000</v>
      </c>
      <c r="W18" t="str">
        <v>PSF-00438_20260108084143_176</v>
      </c>
      <c r="X18" t="str">
        <v>282.652252</v>
      </c>
      <c r="Y18" t="str">
        <v>390.513885</v>
      </c>
      <c r="Z18" t="str">
        <v>0.276204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0.003543</v>
      </c>
      <c r="AG18" t="str">
        <v>1.000000</v>
      </c>
      <c r="AH18" t="str">
        <v>35.50</v>
      </c>
      <c r="AI18" t="str">
        <v>35.51</v>
      </c>
      <c r="AJ18" t="str">
        <v>22.82</v>
      </c>
      <c r="AK18" t="str">
        <v>21.63</v>
      </c>
      <c r="AL18" t="str">
        <f>(AK18-AJ18)*(AJ18*0+0)+AK18</f>
        <v>21.63</v>
      </c>
      <c r="AM18" t="str">
        <v>89.16</v>
      </c>
      <c r="AN18" t="str">
        <v>156.9</v>
      </c>
      <c r="AO18" t="str">
        <v>158.3</v>
      </c>
      <c r="AP18" t="str">
        <v>-0.9</v>
      </c>
      <c r="AQ18" t="str">
        <v>0</v>
      </c>
      <c r="AR18" t="str">
        <v>4.005</v>
      </c>
      <c r="AS18" t="str">
        <v>09:43:21</v>
      </c>
      <c r="AT18" t="str">
        <v>2026-01-08</v>
      </c>
      <c r="AU18" t="str">
        <v>-0.11</v>
      </c>
      <c r="AV18" t="str">
        <v>1</v>
      </c>
      <c r="AW18" t="str">
        <v>-0.001</v>
      </c>
      <c r="AX18" t="str">
        <v>0.000</v>
      </c>
      <c r="AY18" t="str">
        <v>-0.005</v>
      </c>
      <c r="AZ18" t="str">
        <v>-0.046</v>
      </c>
      <c r="BA18" t="str">
        <v>0.435</v>
      </c>
      <c r="BB18" t="str">
        <v>63.292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6000</v>
      </c>
      <c r="BQ18" t="str">
        <v>5</v>
      </c>
      <c r="BR18" t="str">
        <v>5.000000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2.448226</v>
      </c>
      <c r="CD18" t="str">
        <v>2.462410</v>
      </c>
      <c r="CE18" t="str">
        <v>1.657066</v>
      </c>
      <c r="CF18" t="str">
        <v>0.942196</v>
      </c>
      <c r="CG18" t="str">
        <v>0.297504</v>
      </c>
      <c r="CH18" t="str">
        <v>-0.012732</v>
      </c>
      <c r="CI18" t="str">
        <v>0.108225</v>
      </c>
      <c r="CJ18" t="str">
        <v>0.107330</v>
      </c>
      <c r="CK18" t="str">
        <v>282.652252</v>
      </c>
      <c r="CL18" t="str">
        <v>0.000237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PSF-00438_20260108084143_176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2025-12-11T16:13:15.848Z</v>
      </c>
    </row>
    <row r="19">
      <c r="A19" t="str">
        <v>16</v>
      </c>
      <c r="B19" t="str">
        <v>08:42:04</v>
      </c>
      <c r="C19" t="str">
        <v>2026-01-08</v>
      </c>
      <c r="D19" t="str">
        <v>TT25_psf_dark</v>
      </c>
      <c r="E19" t="str">
        <v>eap</v>
      </c>
      <c r="F19" t="str">
        <v/>
      </c>
      <c r="G19" t="str">
        <v>1468_mai_white</v>
      </c>
      <c r="H19" t="str">
        <v/>
      </c>
      <c r="I19" t="str">
        <v/>
      </c>
      <c r="J19" t="str">
        <f>1/((1/L19)-(1/K19))</f>
        <v>0.000062</v>
      </c>
      <c r="K19" t="str">
        <f>BH19+(BI19*AN19)+(BJ19*AN19*POWER(V19,2))+(BK19*AN19*V19)+(BL19*POWER(AN19,2))</f>
        <v>2.920713</v>
      </c>
      <c r="L19" t="str">
        <f>((M19/1000)*(1000-((T19+S19)/2)))/(T19-S19)</f>
        <v>0.000062</v>
      </c>
      <c r="M19" t="str">
        <f>(AN19*(S19-R19))/(100*U19*(1000-S19))*1000</f>
        <v>0.000978</v>
      </c>
      <c r="N19" t="str">
        <v>0.988865</v>
      </c>
      <c r="O19" t="str">
        <v>0.988841</v>
      </c>
      <c r="P19" t="str">
        <f>0.61365*EXP((17.502*AL19)/(240.97+AL19))</f>
        <v>2.360144</v>
      </c>
      <c r="Q19" t="str">
        <f>P19-N19</f>
        <v>1.371279</v>
      </c>
      <c r="R19" t="str">
        <v>11.091314</v>
      </c>
      <c r="S19" t="str">
        <v>11.091587</v>
      </c>
      <c r="T19" t="str">
        <f>(P19/AM19)*1000</f>
        <v>26.472519</v>
      </c>
      <c r="U19" t="str">
        <f>V19*BG19</f>
        <v>0.441786</v>
      </c>
      <c r="V19" t="str">
        <v>7.500000</v>
      </c>
      <c r="W19" t="str">
        <v>PSF-00438_20260108084204_376</v>
      </c>
      <c r="X19" t="str">
        <v>106.022354</v>
      </c>
      <c r="Y19" t="str">
        <v>539.459839</v>
      </c>
      <c r="Z19" t="str">
        <v>0.803466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0.010946</v>
      </c>
      <c r="AG19" t="str">
        <v>1.000000</v>
      </c>
      <c r="AH19" t="str">
        <v>35.52</v>
      </c>
      <c r="AI19" t="str">
        <v>35.51</v>
      </c>
      <c r="AJ19" t="str">
        <v>22.79</v>
      </c>
      <c r="AK19" t="str">
        <v>20.09</v>
      </c>
      <c r="AL19" t="str">
        <f>(AK19-AJ19)*(AJ19*0+0)+AK19</f>
        <v>20.09</v>
      </c>
      <c r="AM19" t="str">
        <v>89.15</v>
      </c>
      <c r="AN19" t="str">
        <v>156.6</v>
      </c>
      <c r="AO19" t="str">
        <v>157.6</v>
      </c>
      <c r="AP19" t="str">
        <v>-0.6</v>
      </c>
      <c r="AQ19" t="str">
        <v>0</v>
      </c>
      <c r="AR19" t="str">
        <v>4.004</v>
      </c>
      <c r="AS19" t="str">
        <v>09:43:21</v>
      </c>
      <c r="AT19" t="str">
        <v>2026-01-08</v>
      </c>
      <c r="AU19" t="str">
        <v>-0.11</v>
      </c>
      <c r="AV19" t="str">
        <v>1</v>
      </c>
      <c r="AW19" t="str">
        <v>-0.001</v>
      </c>
      <c r="AX19" t="str">
        <v>0.000</v>
      </c>
      <c r="AY19" t="str">
        <v>-9999.000</v>
      </c>
      <c r="AZ19" t="str">
        <v>0.236</v>
      </c>
      <c r="BA19" t="str">
        <v>0.542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6000</v>
      </c>
      <c r="BQ19" t="str">
        <v>5</v>
      </c>
      <c r="BR19" t="str">
        <v>5.000000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2.448233</v>
      </c>
      <c r="CD19" t="str">
        <v>2.462440</v>
      </c>
      <c r="CE19" t="str">
        <v>1.654459</v>
      </c>
      <c r="CF19" t="str">
        <v>0.940252</v>
      </c>
      <c r="CG19" t="str">
        <v>0.297894</v>
      </c>
      <c r="CH19" t="str">
        <v>-0.029107</v>
      </c>
      <c r="CI19" t="str">
        <v>0.110917</v>
      </c>
      <c r="CJ19" t="str">
        <v>0.107332</v>
      </c>
      <c r="CK19" t="str">
        <v>106.022354</v>
      </c>
      <c r="CL19" t="str">
        <v>0.000235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PSF-00438_20260108084204_376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2025-12-11T16:13:15.848Z</v>
      </c>
    </row>
    <row r="20">
      <c r="A20" t="str">
        <v>17</v>
      </c>
      <c r="B20" t="str">
        <v>08:42:40</v>
      </c>
      <c r="C20" t="str">
        <v>2026-01-08</v>
      </c>
      <c r="D20" t="str">
        <v>TT25_psf_dark</v>
      </c>
      <c r="E20" t="str">
        <v>eap</v>
      </c>
      <c r="F20" t="str">
        <v/>
      </c>
      <c r="G20" t="str">
        <v>2265_mai_white</v>
      </c>
      <c r="H20" t="str">
        <v/>
      </c>
      <c r="I20" t="str">
        <v/>
      </c>
      <c r="J20" t="str">
        <f>1/((1/L20)-(1/K20))</f>
        <v>0.001283</v>
      </c>
      <c r="K20" t="str">
        <f>BH20+(BI20*AN20)+(BJ20*AN20*POWER(V20,2))+(BK20*AN20*V20)+(BL20*POWER(AN20,2))</f>
        <v>2.921795</v>
      </c>
      <c r="L20" t="str">
        <f>((M20/1000)*(1000-((T20+S20)/2)))/(T20-S20)</f>
        <v>0.001282</v>
      </c>
      <c r="M20" t="str">
        <f>(AN20*(S20-R20))/(100*U20*(1000-S20))*1000</f>
        <v>0.023325</v>
      </c>
      <c r="N20" t="str">
        <v>0.988674</v>
      </c>
      <c r="O20" t="str">
        <v>0.988094</v>
      </c>
      <c r="P20" t="str">
        <f>0.61365*EXP((17.502*AL20)/(240.97+AL20))</f>
        <v>2.577919</v>
      </c>
      <c r="Q20" t="str">
        <f>P20-N20</f>
        <v>1.589245</v>
      </c>
      <c r="R20" t="str">
        <v>11.081918</v>
      </c>
      <c r="S20" t="str">
        <v>11.088421</v>
      </c>
      <c r="T20" t="str">
        <f>(P20/AM20)*1000</f>
        <v>28.912516</v>
      </c>
      <c r="U20" t="str">
        <f>V20*BG20</f>
        <v>0.441786</v>
      </c>
      <c r="V20" t="str">
        <v>7.500000</v>
      </c>
      <c r="W20" t="str">
        <v>PSF-00438_20260108084240_a24</v>
      </c>
      <c r="X20" t="str">
        <v>323.927887</v>
      </c>
      <c r="Y20" t="str">
        <v>369.373444</v>
      </c>
      <c r="Z20" t="str">
        <v>0.123034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0.010696</v>
      </c>
      <c r="AG20" t="str">
        <v>1.000000</v>
      </c>
      <c r="AH20" t="str">
        <v>35.63</v>
      </c>
      <c r="AI20" t="str">
        <v>35.61</v>
      </c>
      <c r="AJ20" t="str">
        <v>22.74</v>
      </c>
      <c r="AK20" t="str">
        <v>21.53</v>
      </c>
      <c r="AL20" t="str">
        <f>(AK20-AJ20)*(AJ20*0+0)+AK20</f>
        <v>21.53</v>
      </c>
      <c r="AM20" t="str">
        <v>89.16</v>
      </c>
      <c r="AN20" t="str">
        <v>156.7</v>
      </c>
      <c r="AO20" t="str">
        <v>158.6</v>
      </c>
      <c r="AP20" t="str">
        <v>-1.2</v>
      </c>
      <c r="AQ20" t="str">
        <v>0</v>
      </c>
      <c r="AR20" t="str">
        <v>4.004</v>
      </c>
      <c r="AS20" t="str">
        <v>09:43:21</v>
      </c>
      <c r="AT20" t="str">
        <v>2026-01-08</v>
      </c>
      <c r="AU20" t="str">
        <v>-0.11</v>
      </c>
      <c r="AV20" t="str">
        <v>1</v>
      </c>
      <c r="AW20" t="str">
        <v>-0.000</v>
      </c>
      <c r="AX20" t="str">
        <v>-0.003</v>
      </c>
      <c r="AY20" t="str">
        <v>-9999.000</v>
      </c>
      <c r="AZ20" t="str">
        <v>0.214</v>
      </c>
      <c r="BA20" t="str">
        <v>0.059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6000</v>
      </c>
      <c r="BQ20" t="str">
        <v>5</v>
      </c>
      <c r="BR20" t="str">
        <v>5.000000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2.448374</v>
      </c>
      <c r="CD20" t="str">
        <v>2.462610</v>
      </c>
      <c r="CE20" t="str">
        <v>1.655590</v>
      </c>
      <c r="CF20" t="str">
        <v>0.942808</v>
      </c>
      <c r="CG20" t="str">
        <v>0.298552</v>
      </c>
      <c r="CH20" t="str">
        <v>-0.012838</v>
      </c>
      <c r="CI20" t="str">
        <v>0.115694</v>
      </c>
      <c r="CJ20" t="str">
        <v>0.107497</v>
      </c>
      <c r="CK20" t="str">
        <v>323.927887</v>
      </c>
      <c r="CL20" t="str">
        <v>0.000240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PSF-00438_20260108084240_a24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2025-12-11T16:13:15.848Z</v>
      </c>
    </row>
    <row r="21">
      <c r="A21" t="str">
        <v>18</v>
      </c>
      <c r="B21" t="str">
        <v>08:43:02</v>
      </c>
      <c r="C21" t="str">
        <v>2026-01-08</v>
      </c>
      <c r="D21" t="str">
        <v>TT25_psf_dark</v>
      </c>
      <c r="E21" t="str">
        <v>eap</v>
      </c>
      <c r="F21" t="str">
        <v/>
      </c>
      <c r="G21" t="str">
        <v>2662_mai_white</v>
      </c>
      <c r="H21" t="str">
        <v/>
      </c>
      <c r="I21" t="str">
        <v/>
      </c>
      <c r="J21" t="str">
        <f>1/((1/L21)-(1/K21))</f>
        <v>0.001008</v>
      </c>
      <c r="K21" t="str">
        <f>BH21+(BI21*AN21)+(BJ21*AN21*POWER(V21,2))+(BK21*AN21*V21)+(BL21*POWER(AN21,2))</f>
        <v>2.921725</v>
      </c>
      <c r="L21" t="str">
        <f>((M21/1000)*(1000-((T21+S21)/2)))/(T21-S21)</f>
        <v>0.001007</v>
      </c>
      <c r="M21" t="str">
        <f>(AN21*(S21-R21))/(100*U21*(1000-S21))*1000</f>
        <v>0.019951</v>
      </c>
      <c r="N21" t="str">
        <v>0.978577</v>
      </c>
      <c r="O21" t="str">
        <v>0.978081</v>
      </c>
      <c r="P21" t="str">
        <f>0.61365*EXP((17.502*AL21)/(240.97+AL21))</f>
        <v>2.707982</v>
      </c>
      <c r="Q21" t="str">
        <f>P21-N21</f>
        <v>1.729406</v>
      </c>
      <c r="R21" t="str">
        <v>10.969950</v>
      </c>
      <c r="S21" t="str">
        <v>10.975513</v>
      </c>
      <c r="T21" t="str">
        <f>(P21/AM21)*1000</f>
        <v>30.372166</v>
      </c>
      <c r="U21" t="str">
        <f>V21*BG21</f>
        <v>0.441786</v>
      </c>
      <c r="V21" t="str">
        <v>7.500000</v>
      </c>
      <c r="W21" t="str">
        <v>PSF-00438_20260108084302_4a8</v>
      </c>
      <c r="X21" t="str">
        <v>28.828026</v>
      </c>
      <c r="Y21" t="str">
        <v>28.610229</v>
      </c>
      <c r="Z21" t="str">
        <v>-0.007613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-0.001306</v>
      </c>
      <c r="AG21" t="str">
        <v>1.000000</v>
      </c>
      <c r="AH21" t="str">
        <v>35.33</v>
      </c>
      <c r="AI21" t="str">
        <v>35.31</v>
      </c>
      <c r="AJ21" t="str">
        <v>22.71</v>
      </c>
      <c r="AK21" t="str">
        <v>22.33</v>
      </c>
      <c r="AL21" t="str">
        <f>(AK21-AJ21)*(AJ21*0+0)+AK21</f>
        <v>22.33</v>
      </c>
      <c r="AM21" t="str">
        <v>89.16</v>
      </c>
      <c r="AN21" t="str">
        <v>156.7</v>
      </c>
      <c r="AO21" t="str">
        <v>158.3</v>
      </c>
      <c r="AP21" t="str">
        <v>-1.0</v>
      </c>
      <c r="AQ21" t="str">
        <v>0</v>
      </c>
      <c r="AR21" t="str">
        <v>3.970</v>
      </c>
      <c r="AS21" t="str">
        <v>09:43:21</v>
      </c>
      <c r="AT21" t="str">
        <v>2026-01-08</v>
      </c>
      <c r="AU21" t="str">
        <v>-0.11</v>
      </c>
      <c r="AV21" t="str">
        <v>1</v>
      </c>
      <c r="AW21" t="str">
        <v>0.001</v>
      </c>
      <c r="AX21" t="str">
        <v>0.000</v>
      </c>
      <c r="AY21" t="str">
        <v>-9999.000</v>
      </c>
      <c r="AZ21" t="str">
        <v>-0.472</v>
      </c>
      <c r="BA21" t="str">
        <v>0.574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6000</v>
      </c>
      <c r="BQ21" t="str">
        <v>5</v>
      </c>
      <c r="BR21" t="str">
        <v>5.000000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2.447960</v>
      </c>
      <c r="CD21" t="str">
        <v>2.462189</v>
      </c>
      <c r="CE21" t="str">
        <v>1.655517</v>
      </c>
      <c r="CF21" t="str">
        <v>0.942161</v>
      </c>
      <c r="CG21" t="str">
        <v>0.298912</v>
      </c>
      <c r="CH21" t="str">
        <v>-0.003585</v>
      </c>
      <c r="CI21" t="str">
        <v>0.118399</v>
      </c>
      <c r="CJ21" t="str">
        <v>0.107687</v>
      </c>
      <c r="CK21" t="str">
        <v>28.828026</v>
      </c>
      <c r="CL21" t="str">
        <v>0.000237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PSF-00438_20260108084302_4a8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2025-12-11T16:13:15.848Z</v>
      </c>
    </row>
    <row r="22">
      <c r="A22" t="str">
        <v>19</v>
      </c>
      <c r="B22" t="str">
        <v>08:43:45</v>
      </c>
      <c r="C22" t="str">
        <v>2026-01-08</v>
      </c>
      <c r="D22" t="str">
        <v>TT25_psf_dark</v>
      </c>
      <c r="E22" t="str">
        <v>eap</v>
      </c>
      <c r="F22" t="str">
        <v/>
      </c>
      <c r="G22" t="str">
        <v>6495_mai_orange</v>
      </c>
      <c r="H22" t="str">
        <v/>
      </c>
      <c r="I22" t="str">
        <v/>
      </c>
      <c r="J22" t="str">
        <f>1/((1/L22)-(1/K22))</f>
        <v>-0.002086</v>
      </c>
      <c r="K22" t="str">
        <f>BH22+(BI22*AN22)+(BJ22*AN22*POWER(V22,2))+(BK22*AN22*V22)+(BL22*POWER(AN22,2))</f>
        <v>2.922226</v>
      </c>
      <c r="L22" t="str">
        <f>((M22/1000)*(1000-((T22+S22)/2)))/(T22-S22)</f>
        <v>-0.002087</v>
      </c>
      <c r="M22" t="str">
        <f>(AN22*(S22-R22))/(100*U22*(1000-S22))*1000</f>
        <v>-0.035684</v>
      </c>
      <c r="N22" t="str">
        <v>1.012158</v>
      </c>
      <c r="O22" t="str">
        <v>1.013044</v>
      </c>
      <c r="P22" t="str">
        <f>0.61365*EXP((17.502*AL22)/(240.97+AL22))</f>
        <v>2.506376</v>
      </c>
      <c r="Q22" t="str">
        <f>P22-N22</f>
        <v>1.494219</v>
      </c>
      <c r="R22" t="str">
        <v>11.361835</v>
      </c>
      <c r="S22" t="str">
        <v>11.351893</v>
      </c>
      <c r="T22" t="str">
        <f>(P22/AM22)*1000</f>
        <v>28.110363</v>
      </c>
      <c r="U22" t="str">
        <f>V22*BG22</f>
        <v>0.441786</v>
      </c>
      <c r="V22" t="str">
        <v>7.500000</v>
      </c>
      <c r="W22" t="str">
        <v>PSF-00438_20260108084345_859</v>
      </c>
      <c r="X22" t="str">
        <v>296.690582</v>
      </c>
      <c r="Y22" t="str">
        <v>367.684723</v>
      </c>
      <c r="Z22" t="str">
        <v>0.193084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0.023172</v>
      </c>
      <c r="AG22" t="str">
        <v>1.000000</v>
      </c>
      <c r="AH22" t="str">
        <v>36.63</v>
      </c>
      <c r="AI22" t="str">
        <v>36.66</v>
      </c>
      <c r="AJ22" t="str">
        <v>22.67</v>
      </c>
      <c r="AK22" t="str">
        <v>21.07</v>
      </c>
      <c r="AL22" t="str">
        <f>(AK22-AJ22)*(AJ22*0+0)+AK22</f>
        <v>21.07</v>
      </c>
      <c r="AM22" t="str">
        <v>89.16</v>
      </c>
      <c r="AN22" t="str">
        <v>156.8</v>
      </c>
      <c r="AO22" t="str">
        <v>158.3</v>
      </c>
      <c r="AP22" t="str">
        <v>-1.0</v>
      </c>
      <c r="AQ22" t="str">
        <v>0</v>
      </c>
      <c r="AR22" t="str">
        <v>4.001</v>
      </c>
      <c r="AS22" t="str">
        <v>09:43:21</v>
      </c>
      <c r="AT22" t="str">
        <v>2026-01-08</v>
      </c>
      <c r="AU22" t="str">
        <v>-0.11</v>
      </c>
      <c r="AV22" t="str">
        <v>1</v>
      </c>
      <c r="AW22" t="str">
        <v>-0.003</v>
      </c>
      <c r="AX22" t="str">
        <v>-0.003</v>
      </c>
      <c r="AY22" t="str">
        <v>-9999.000</v>
      </c>
      <c r="AZ22" t="str">
        <v>-0.165</v>
      </c>
      <c r="BA22" t="str">
        <v>0.172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6000</v>
      </c>
      <c r="BQ22" t="str">
        <v>5</v>
      </c>
      <c r="BR22" t="str">
        <v>5.000000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2.449872</v>
      </c>
      <c r="CD22" t="str">
        <v>2.464046</v>
      </c>
      <c r="CE22" t="str">
        <v>1.656042</v>
      </c>
      <c r="CF22" t="str">
        <v>0.942116</v>
      </c>
      <c r="CG22" t="str">
        <v>0.299380</v>
      </c>
      <c r="CH22" t="str">
        <v>-0.017103</v>
      </c>
      <c r="CI22" t="str">
        <v>0.123896</v>
      </c>
      <c r="CJ22" t="str">
        <v>0.107571</v>
      </c>
      <c r="CK22" t="str">
        <v>296.690582</v>
      </c>
      <c r="CL22" t="str">
        <v>0.000237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PSF-00438_20260108084345_859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2025-12-11T16:13:15.848Z</v>
      </c>
    </row>
    <row r="23">
      <c r="A23" t="str">
        <v>20</v>
      </c>
      <c r="B23" t="str">
        <v>08:44:04</v>
      </c>
      <c r="C23" t="str">
        <v>2026-01-08</v>
      </c>
      <c r="D23" t="str">
        <v>TT25_psf_dark</v>
      </c>
      <c r="E23" t="str">
        <v>eap</v>
      </c>
      <c r="F23" t="str">
        <v/>
      </c>
      <c r="G23" t="str">
        <v>5506_mai_orange</v>
      </c>
      <c r="H23" t="str">
        <v/>
      </c>
      <c r="I23" t="str">
        <v/>
      </c>
      <c r="J23" t="str">
        <f>1/((1/L23)-(1/K23))</f>
        <v>0.000086</v>
      </c>
      <c r="K23" t="str">
        <f>BH23+(BI23*AN23)+(BJ23*AN23*POWER(V23,2))+(BK23*AN23*V23)+(BL23*POWER(AN23,2))</f>
        <v>2.921519</v>
      </c>
      <c r="L23" t="str">
        <f>((M23/1000)*(1000-((T23+S23)/2)))/(T23-S23)</f>
        <v>0.000086</v>
      </c>
      <c r="M23" t="str">
        <f>(AN23*(S23-R23))/(100*U23*(1000-S23))*1000</f>
        <v>0.001471</v>
      </c>
      <c r="N23" t="str">
        <v>1.045263</v>
      </c>
      <c r="O23" t="str">
        <v>1.045227</v>
      </c>
      <c r="P23" t="str">
        <f>0.61365*EXP((17.502*AL23)/(240.97+AL23))</f>
        <v>2.541711</v>
      </c>
      <c r="Q23" t="str">
        <f>P23-N23</f>
        <v>1.496448</v>
      </c>
      <c r="R23" t="str">
        <v>11.723898</v>
      </c>
      <c r="S23" t="str">
        <v>11.724308</v>
      </c>
      <c r="T23" t="str">
        <f>(P23/AM23)*1000</f>
        <v>28.509382</v>
      </c>
      <c r="U23" t="str">
        <f>V23*BG23</f>
        <v>0.441786</v>
      </c>
      <c r="V23" t="str">
        <v>7.500000</v>
      </c>
      <c r="W23" t="str">
        <v>PSF-00438_20260108084404_54a</v>
      </c>
      <c r="X23" t="str">
        <v>58.155655</v>
      </c>
      <c r="Y23" t="str">
        <v>271.753540</v>
      </c>
      <c r="Z23" t="str">
        <v>0.785999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0.061704</v>
      </c>
      <c r="AG23" t="str">
        <v>1.000000</v>
      </c>
      <c r="AH23" t="str">
        <v>37.86</v>
      </c>
      <c r="AI23" t="str">
        <v>37.85</v>
      </c>
      <c r="AJ23" t="str">
        <v>22.65</v>
      </c>
      <c r="AK23" t="str">
        <v>21.30</v>
      </c>
      <c r="AL23" t="str">
        <f>(AK23-AJ23)*(AJ23*0+0)+AK23</f>
        <v>21.30</v>
      </c>
      <c r="AM23" t="str">
        <v>89.15</v>
      </c>
      <c r="AN23" t="str">
        <v>156.7</v>
      </c>
      <c r="AO23" t="str">
        <v>156.2</v>
      </c>
      <c r="AP23" t="str">
        <v>0.3</v>
      </c>
      <c r="AQ23" t="str">
        <v>0</v>
      </c>
      <c r="AR23" t="str">
        <v>4.000</v>
      </c>
      <c r="AS23" t="str">
        <v>09:43:21</v>
      </c>
      <c r="AT23" t="str">
        <v>2026-01-08</v>
      </c>
      <c r="AU23" t="str">
        <v>-0.11</v>
      </c>
      <c r="AV23" t="str">
        <v>1</v>
      </c>
      <c r="AW23" t="str">
        <v>0.000</v>
      </c>
      <c r="AX23" t="str">
        <v>0.000</v>
      </c>
      <c r="AY23" t="str">
        <v>-9999.000</v>
      </c>
      <c r="AZ23" t="str">
        <v>0.962</v>
      </c>
      <c r="BA23" t="str">
        <v>2.164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6000</v>
      </c>
      <c r="BQ23" t="str">
        <v>5</v>
      </c>
      <c r="BR23" t="str">
        <v>5.000000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2.451550</v>
      </c>
      <c r="CD23" t="str">
        <v>2.465786</v>
      </c>
      <c r="CE23" t="str">
        <v>1.655301</v>
      </c>
      <c r="CF23" t="str">
        <v>0.936881</v>
      </c>
      <c r="CG23" t="str">
        <v>0.299538</v>
      </c>
      <c r="CH23" t="str">
        <v>-0.014455</v>
      </c>
      <c r="CI23" t="str">
        <v>0.126247</v>
      </c>
      <c r="CJ23" t="str">
        <v>0.107478</v>
      </c>
      <c r="CK23" t="str">
        <v>58.155655</v>
      </c>
      <c r="CL23" t="str">
        <v>0.000237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PSF-00438_20260108084404_54a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2025-12-11T16:13:15.848Z</v>
      </c>
    </row>
    <row r="24">
      <c r="A24" t="str">
        <v>21</v>
      </c>
      <c r="B24" t="str">
        <v>08:44:20</v>
      </c>
      <c r="C24" t="str">
        <v>2026-01-08</v>
      </c>
      <c r="D24" t="str">
        <v>TT25_psf_dark</v>
      </c>
      <c r="E24" t="str">
        <v>eap</v>
      </c>
      <c r="F24" t="str">
        <v/>
      </c>
      <c r="G24" t="str">
        <v>TT24_111_mai_red</v>
      </c>
      <c r="H24" t="str">
        <v/>
      </c>
      <c r="I24" t="str">
        <v/>
      </c>
      <c r="J24" t="str">
        <f>1/((1/L24)-(1/K24))</f>
        <v>0.000268</v>
      </c>
      <c r="K24" t="str">
        <f>BH24+(BI24*AN24)+(BJ24*AN24*POWER(V24,2))+(BK24*AN24*V24)+(BL24*POWER(AN24,2))</f>
        <v>2.922035</v>
      </c>
      <c r="L24" t="str">
        <f>((M24/1000)*(1000-((T24+S24)/2)))/(T24-S24)</f>
        <v>0.000268</v>
      </c>
      <c r="M24" t="str">
        <f>(AN24*(S24-R24))/(100*U24*(1000-S24))*1000</f>
        <v>0.004724</v>
      </c>
      <c r="N24" t="str">
        <v>1.030760</v>
      </c>
      <c r="O24" t="str">
        <v>1.030643</v>
      </c>
      <c r="P24" t="str">
        <f>0.61365*EXP((17.502*AL24)/(240.97+AL24))</f>
        <v>2.571016</v>
      </c>
      <c r="Q24" t="str">
        <f>P24-N24</f>
        <v>1.540256</v>
      </c>
      <c r="R24" t="str">
        <v>11.559993</v>
      </c>
      <c r="S24" t="str">
        <v>11.561309</v>
      </c>
      <c r="T24" t="str">
        <f>(P24/AM24)*1000</f>
        <v>28.837275</v>
      </c>
      <c r="U24" t="str">
        <f>V24*BG24</f>
        <v>0.441786</v>
      </c>
      <c r="V24" t="str">
        <v>7.500000</v>
      </c>
      <c r="W24" t="str">
        <v>PSF-00438_20260108084420_88a</v>
      </c>
      <c r="X24" t="str">
        <v>108.154533</v>
      </c>
      <c r="Y24" t="str">
        <v>522.599792</v>
      </c>
      <c r="Z24" t="str">
        <v>0.793045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0.051538</v>
      </c>
      <c r="AG24" t="str">
        <v>1.000000</v>
      </c>
      <c r="AH24" t="str">
        <v>37.34</v>
      </c>
      <c r="AI24" t="str">
        <v>37.33</v>
      </c>
      <c r="AJ24" t="str">
        <v>22.65</v>
      </c>
      <c r="AK24" t="str">
        <v>21.48</v>
      </c>
      <c r="AL24" t="str">
        <f>(AK24-AJ24)*(AJ24*0+0)+AK24</f>
        <v>21.48</v>
      </c>
      <c r="AM24" t="str">
        <v>89.16</v>
      </c>
      <c r="AN24" t="str">
        <v>156.7</v>
      </c>
      <c r="AO24" t="str">
        <v>157.7</v>
      </c>
      <c r="AP24" t="str">
        <v>-0.6</v>
      </c>
      <c r="AQ24" t="str">
        <v>0</v>
      </c>
      <c r="AR24" t="str">
        <v>3.999</v>
      </c>
      <c r="AS24" t="str">
        <v>09:43:21</v>
      </c>
      <c r="AT24" t="str">
        <v>2026-01-08</v>
      </c>
      <c r="AU24" t="str">
        <v>-0.11</v>
      </c>
      <c r="AV24" t="str">
        <v>1</v>
      </c>
      <c r="AW24" t="str">
        <v>-0.002</v>
      </c>
      <c r="AX24" t="str">
        <v>0.002</v>
      </c>
      <c r="AY24" t="str">
        <v>-9999.000</v>
      </c>
      <c r="AZ24" t="str">
        <v>-0.324</v>
      </c>
      <c r="BA24" t="str">
        <v>0.144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6000</v>
      </c>
      <c r="BQ24" t="str">
        <v>5</v>
      </c>
      <c r="BR24" t="str">
        <v>5.000000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2.450821</v>
      </c>
      <c r="CD24" t="str">
        <v>2.465055</v>
      </c>
      <c r="CE24" t="str">
        <v>1.655842</v>
      </c>
      <c r="CF24" t="str">
        <v>0.940563</v>
      </c>
      <c r="CG24" t="str">
        <v>0.299576</v>
      </c>
      <c r="CH24" t="str">
        <v>-0.012363</v>
      </c>
      <c r="CI24" t="str">
        <v>0.128270</v>
      </c>
      <c r="CJ24" t="str">
        <v>0.107447</v>
      </c>
      <c r="CK24" t="str">
        <v>108.154533</v>
      </c>
      <c r="CL24" t="str">
        <v>0.000238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PSF-00438_20260108084420_88a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2025-12-11T16:13:15.848Z</v>
      </c>
    </row>
    <row r="25">
      <c r="A25" t="str">
        <v>22</v>
      </c>
      <c r="B25" t="str">
        <v>08:45:27</v>
      </c>
      <c r="C25" t="str">
        <v>2026-01-08</v>
      </c>
      <c r="D25" t="str">
        <v>TT25_psf_dark</v>
      </c>
      <c r="E25" t="str">
        <v>eap</v>
      </c>
      <c r="F25" t="str">
        <v/>
      </c>
      <c r="G25" t="str">
        <v>2692_mai_pinkblue</v>
      </c>
      <c r="H25" t="str">
        <v/>
      </c>
      <c r="I25" t="str">
        <v/>
      </c>
      <c r="J25" t="str">
        <f>1/((1/L25)-(1/K25))</f>
        <v>-0.000309</v>
      </c>
      <c r="K25" t="str">
        <f>BH25+(BI25*AN25)+(BJ25*AN25*POWER(V25,2))+(BK25*AN25*V25)+(BL25*POWER(AN25,2))</f>
        <v>2.922981</v>
      </c>
      <c r="L25" t="str">
        <f>((M25/1000)*(1000-((T25+S25)/2)))/(T25-S25)</f>
        <v>-0.000309</v>
      </c>
      <c r="M25" t="str">
        <f>(AN25*(S25-R25))/(100*U25*(1000-S25))*1000</f>
        <v>-0.004474</v>
      </c>
      <c r="N25" t="str">
        <v>0.978683</v>
      </c>
      <c r="O25" t="str">
        <v>0.978794</v>
      </c>
      <c r="P25" t="str">
        <f>0.61365*EXP((17.502*AL25)/(240.97+AL25))</f>
        <v>2.244710</v>
      </c>
      <c r="Q25" t="str">
        <f>P25-N25</f>
        <v>1.266028</v>
      </c>
      <c r="R25" t="str">
        <v>10.978654</v>
      </c>
      <c r="S25" t="str">
        <v>10.977407</v>
      </c>
      <c r="T25" t="str">
        <f>(P25/AM25)*1000</f>
        <v>25.177830</v>
      </c>
      <c r="U25" t="str">
        <f>V25*BG25</f>
        <v>0.441786</v>
      </c>
      <c r="V25" t="str">
        <v>7.500000</v>
      </c>
      <c r="W25" t="str">
        <v>PSF-00438_20260108084527_91c</v>
      </c>
      <c r="X25" t="str">
        <v>117.144585</v>
      </c>
      <c r="Y25" t="str">
        <v>482.664215</v>
      </c>
      <c r="Z25" t="str">
        <v>0.757296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0.085222</v>
      </c>
      <c r="AG25" t="str">
        <v>1.000000</v>
      </c>
      <c r="AH25" t="str">
        <v>35.44</v>
      </c>
      <c r="AI25" t="str">
        <v>35.45</v>
      </c>
      <c r="AJ25" t="str">
        <v>22.65</v>
      </c>
      <c r="AK25" t="str">
        <v>19.29</v>
      </c>
      <c r="AL25" t="str">
        <f>(AK25-AJ25)*(AJ25*0+0)+AK25</f>
        <v>19.29</v>
      </c>
      <c r="AM25" t="str">
        <v>89.15</v>
      </c>
      <c r="AN25" t="str">
        <v>156.9</v>
      </c>
      <c r="AO25" t="str">
        <v>157.3</v>
      </c>
      <c r="AP25" t="str">
        <v>-0.3</v>
      </c>
      <c r="AQ25" t="str">
        <v>0</v>
      </c>
      <c r="AR25" t="str">
        <v>3.998</v>
      </c>
      <c r="AS25" t="str">
        <v>08:45:09</v>
      </c>
      <c r="AT25" t="str">
        <v>2026-01-08</v>
      </c>
      <c r="AU25" t="str">
        <v>-0.12</v>
      </c>
      <c r="AV25" t="str">
        <v>1</v>
      </c>
      <c r="AW25" t="str">
        <v>-0.001</v>
      </c>
      <c r="AX25" t="str">
        <v>-0.003</v>
      </c>
      <c r="AY25" t="str">
        <v>-9999.000</v>
      </c>
      <c r="AZ25" t="str">
        <v>-0.349</v>
      </c>
      <c r="BA25" t="str">
        <v>0.463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6000</v>
      </c>
      <c r="BQ25" t="str">
        <v>5</v>
      </c>
      <c r="BR25" t="str">
        <v>5.000000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2.448164</v>
      </c>
      <c r="CD25" t="str">
        <v>2.462375</v>
      </c>
      <c r="CE25" t="str">
        <v>1.656834</v>
      </c>
      <c r="CF25" t="str">
        <v>0.939513</v>
      </c>
      <c r="CG25" t="str">
        <v>0.299532</v>
      </c>
      <c r="CH25" t="str">
        <v>-0.036291</v>
      </c>
      <c r="CI25" t="str">
        <v>0.136512</v>
      </c>
      <c r="CJ25" t="str">
        <v>0.107554</v>
      </c>
      <c r="CK25" t="str">
        <v>117.144585</v>
      </c>
      <c r="CL25" t="str">
        <v>0.000238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PSF-00438_20260108084527_91c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2025-12-11T16:13:15.848Z</v>
      </c>
    </row>
    <row r="26">
      <c r="A26" t="str">
        <v>23</v>
      </c>
      <c r="B26" t="str">
        <v>08:46:01</v>
      </c>
      <c r="C26" t="str">
        <v>2026-01-08</v>
      </c>
      <c r="D26" t="str">
        <v>TT25_psf_dark</v>
      </c>
      <c r="E26" t="str">
        <v>eap</v>
      </c>
      <c r="F26" t="str">
        <v/>
      </c>
      <c r="G26" t="str">
        <v>1499_mai_purple</v>
      </c>
      <c r="H26" t="str">
        <v/>
      </c>
      <c r="I26" t="str">
        <v/>
      </c>
      <c r="J26" t="str">
        <f>1/((1/L26)-(1/K26))</f>
        <v>0.009394</v>
      </c>
      <c r="K26" t="str">
        <f>BH26+(BI26*AN26)+(BJ26*AN26*POWER(V26,2))+(BK26*AN26*V26)+(BL26*POWER(AN26,2))</f>
        <v>2.923814</v>
      </c>
      <c r="L26" t="str">
        <f>((M26/1000)*(1000-((T26+S26)/2)))/(T26-S26)</f>
        <v>0.009364</v>
      </c>
      <c r="M26" t="str">
        <f>(AN26*(S26-R26))/(100*U26*(1000-S26))*1000</f>
        <v>0.174798</v>
      </c>
      <c r="N26" t="str">
        <v>0.938275</v>
      </c>
      <c r="O26" t="str">
        <v>0.933935</v>
      </c>
      <c r="P26" t="str">
        <f>0.61365*EXP((17.502*AL26)/(240.97+AL26))</f>
        <v>2.569950</v>
      </c>
      <c r="Q26" t="str">
        <f>P26-N26</f>
        <v>1.631675</v>
      </c>
      <c r="R26" t="str">
        <v>10.474408</v>
      </c>
      <c r="S26" t="str">
        <v>10.523088</v>
      </c>
      <c r="T26" t="str">
        <f>(P26/AM26)*1000</f>
        <v>28.822891</v>
      </c>
      <c r="U26" t="str">
        <f>V26*BG26</f>
        <v>0.441786</v>
      </c>
      <c r="V26" t="str">
        <v>7.500000</v>
      </c>
      <c r="W26" t="str">
        <v>PSF-00438_20260108084601_43e</v>
      </c>
      <c r="X26" t="str">
        <v>115.577103</v>
      </c>
      <c r="Y26" t="str">
        <v>547.132751</v>
      </c>
      <c r="Z26" t="str">
        <v>0.788759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0.007860</v>
      </c>
      <c r="AG26" t="str">
        <v>1.000000</v>
      </c>
      <c r="AH26" t="str">
        <v>34.11</v>
      </c>
      <c r="AI26" t="str">
        <v>33.96</v>
      </c>
      <c r="AJ26" t="str">
        <v>22.59</v>
      </c>
      <c r="AK26" t="str">
        <v>21.48</v>
      </c>
      <c r="AL26" t="str">
        <f>(AK26-AJ26)*(AJ26*0+0)+AK26</f>
        <v>21.48</v>
      </c>
      <c r="AM26" t="str">
        <v>89.16</v>
      </c>
      <c r="AN26" t="str">
        <v>157.0</v>
      </c>
      <c r="AO26" t="str">
        <v>158.7</v>
      </c>
      <c r="AP26" t="str">
        <v>-1.1</v>
      </c>
      <c r="AQ26" t="str">
        <v>0</v>
      </c>
      <c r="AR26" t="str">
        <v>3.997</v>
      </c>
      <c r="AS26" t="str">
        <v>08:45:09</v>
      </c>
      <c r="AT26" t="str">
        <v>2026-01-08</v>
      </c>
      <c r="AU26" t="str">
        <v>-0.12</v>
      </c>
      <c r="AV26" t="str">
        <v>1</v>
      </c>
      <c r="AW26" t="str">
        <v>-0.000</v>
      </c>
      <c r="AX26" t="str">
        <v>-0.000</v>
      </c>
      <c r="AY26" t="str">
        <v>-9999.000</v>
      </c>
      <c r="AZ26" t="str">
        <v>-0.019</v>
      </c>
      <c r="BA26" t="str">
        <v>0.023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6000</v>
      </c>
      <c r="BQ26" t="str">
        <v>5</v>
      </c>
      <c r="BR26" t="str">
        <v>5.000000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2.446057</v>
      </c>
      <c r="CD26" t="str">
        <v>2.460483</v>
      </c>
      <c r="CE26" t="str">
        <v>1.657709</v>
      </c>
      <c r="CF26" t="str">
        <v>0.943039</v>
      </c>
      <c r="CG26" t="str">
        <v>0.300313</v>
      </c>
      <c r="CH26" t="str">
        <v>-0.011752</v>
      </c>
      <c r="CI26" t="str">
        <v>0.140531</v>
      </c>
      <c r="CJ26" t="str">
        <v>0.107323</v>
      </c>
      <c r="CK26" t="str">
        <v>115.577103</v>
      </c>
      <c r="CL26" t="str">
        <v>0.000239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PSF-00438_20260108084601_43e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2025-12-11T16:13:15.848Z</v>
      </c>
    </row>
    <row r="27">
      <c r="A27" t="str">
        <v>24</v>
      </c>
      <c r="B27" t="str">
        <v>08:46:37</v>
      </c>
      <c r="C27" t="str">
        <v>2026-01-08</v>
      </c>
      <c r="D27" t="str">
        <v>TT25_psf_dark</v>
      </c>
      <c r="E27" t="str">
        <v>eap</v>
      </c>
      <c r="F27" t="str">
        <v/>
      </c>
      <c r="G27" t="str">
        <v>1495_mai_yellow</v>
      </c>
      <c r="H27" t="str">
        <v/>
      </c>
      <c r="I27" t="str">
        <v/>
      </c>
      <c r="J27" t="str">
        <f>1/((1/L27)-(1/K27))</f>
        <v>0.019168</v>
      </c>
      <c r="K27" t="str">
        <f>BH27+(BI27*AN27)+(BJ27*AN27*POWER(V27,2))+(BK27*AN27*V27)+(BL27*POWER(AN27,2))</f>
        <v>2.920789</v>
      </c>
      <c r="L27" t="str">
        <f>((M27/1000)*(1000-((T27+S27)/2)))/(T27-S27)</f>
        <v>0.019043</v>
      </c>
      <c r="M27" t="str">
        <f>(AN27*(S27-R27))/(100*U27*(1000-S27))*1000</f>
        <v>0.334349</v>
      </c>
      <c r="N27" t="str">
        <v>0.944332</v>
      </c>
      <c r="O27" t="str">
        <v>0.936010</v>
      </c>
      <c r="P27" t="str">
        <f>0.61365*EXP((17.502*AL27)/(240.97+AL27))</f>
        <v>2.479769</v>
      </c>
      <c r="Q27" t="str">
        <f>P27-N27</f>
        <v>1.535437</v>
      </c>
      <c r="R27" t="str">
        <v>10.497858</v>
      </c>
      <c r="S27" t="str">
        <v>10.591189</v>
      </c>
      <c r="T27" t="str">
        <f>(P27/AM27)*1000</f>
        <v>27.811949</v>
      </c>
      <c r="U27" t="str">
        <f>V27*BG27</f>
        <v>0.441786</v>
      </c>
      <c r="V27" t="str">
        <v>7.500000</v>
      </c>
      <c r="W27" t="str">
        <v>PSF-00438_20260108084637_894</v>
      </c>
      <c r="X27" t="str">
        <v>268.726227</v>
      </c>
      <c r="Y27" t="str">
        <v>338.325256</v>
      </c>
      <c r="Z27" t="str">
        <v>0.205716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0.003130</v>
      </c>
      <c r="AG27" t="str">
        <v>1.000000</v>
      </c>
      <c r="AH27" t="str">
        <v>34.53</v>
      </c>
      <c r="AI27" t="str">
        <v>34.23</v>
      </c>
      <c r="AJ27" t="str">
        <v>22.50</v>
      </c>
      <c r="AK27" t="str">
        <v>20.89</v>
      </c>
      <c r="AL27" t="str">
        <f>(AK27-AJ27)*(AJ27*0+0)+AK27</f>
        <v>20.89</v>
      </c>
      <c r="AM27" t="str">
        <v>89.16</v>
      </c>
      <c r="AN27" t="str">
        <v>156.6</v>
      </c>
      <c r="AO27" t="str">
        <v>158.4</v>
      </c>
      <c r="AP27" t="str">
        <v>-1.2</v>
      </c>
      <c r="AQ27" t="str">
        <v>0</v>
      </c>
      <c r="AR27" t="str">
        <v>3.992</v>
      </c>
      <c r="AS27" t="str">
        <v>08:45:09</v>
      </c>
      <c r="AT27" t="str">
        <v>2026-01-08</v>
      </c>
      <c r="AU27" t="str">
        <v>-0.12</v>
      </c>
      <c r="AV27" t="str">
        <v>1</v>
      </c>
      <c r="AW27" t="str">
        <v>-0.001</v>
      </c>
      <c r="AX27" t="str">
        <v>-0.004</v>
      </c>
      <c r="AY27" t="str">
        <v>-9999.000</v>
      </c>
      <c r="AZ27" t="str">
        <v>0.064</v>
      </c>
      <c r="BA27" t="str">
        <v>-0.062</v>
      </c>
      <c r="BB27" t="str">
        <v>-9999.000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6000</v>
      </c>
      <c r="BQ27" t="str">
        <v>5</v>
      </c>
      <c r="BR27" t="str">
        <v>5.000000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2.446459</v>
      </c>
      <c r="CD27" t="str">
        <v>2.461099</v>
      </c>
      <c r="CE27" t="str">
        <v>1.654539</v>
      </c>
      <c r="CF27" t="str">
        <v>0.942434</v>
      </c>
      <c r="CG27" t="str">
        <v>0.301442</v>
      </c>
      <c r="CH27" t="str">
        <v>-0.017089</v>
      </c>
      <c r="CI27" t="str">
        <v>0.144860</v>
      </c>
      <c r="CJ27" t="str">
        <v>0.107335</v>
      </c>
      <c r="CK27" t="str">
        <v>268.726227</v>
      </c>
      <c r="CL27" t="str">
        <v>0.000238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PSF-00438_20260108084637_894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2025-12-11T16:13:15.848Z</v>
      </c>
    </row>
    <row r="28">
      <c r="A28" t="str">
        <v>25</v>
      </c>
      <c r="B28" t="str">
        <v>08:47:02</v>
      </c>
      <c r="C28" t="str">
        <v>2026-01-08</v>
      </c>
      <c r="D28" t="str">
        <v>TT25_psf_dark</v>
      </c>
      <c r="E28" t="str">
        <v>eap</v>
      </c>
      <c r="F28" t="str">
        <v/>
      </c>
      <c r="G28" t="str">
        <v>TT24_234_mai_purple</v>
      </c>
      <c r="H28" t="str">
        <v/>
      </c>
      <c r="I28" t="str">
        <v/>
      </c>
      <c r="J28" t="str">
        <f>1/((1/L28)-(1/K28))</f>
        <v>0.003297</v>
      </c>
      <c r="K28" t="str">
        <f>BH28+(BI28*AN28)+(BJ28*AN28*POWER(V28,2))+(BK28*AN28*V28)+(BL28*POWER(AN28,2))</f>
        <v>2.921805</v>
      </c>
      <c r="L28" t="str">
        <f>((M28/1000)*(1000-((T28+S28)/2)))/(T28-S28)</f>
        <v>0.003293</v>
      </c>
      <c r="M28" t="str">
        <f>(AN28*(S28-R28))/(100*U28*(1000-S28))*1000</f>
        <v>0.049213</v>
      </c>
      <c r="N28" t="str">
        <v>0.954914</v>
      </c>
      <c r="O28" t="str">
        <v>0.953690</v>
      </c>
      <c r="P28" t="str">
        <f>0.61365*EXP((17.502*AL28)/(240.97+AL28))</f>
        <v>2.263252</v>
      </c>
      <c r="Q28" t="str">
        <f>P28-N28</f>
        <v>1.308338</v>
      </c>
      <c r="R28" t="str">
        <v>10.695941</v>
      </c>
      <c r="S28" t="str">
        <v>10.709665</v>
      </c>
      <c r="T28" t="str">
        <f>(P28/AM28)*1000</f>
        <v>25.383099</v>
      </c>
      <c r="U28" t="str">
        <f>V28*BG28</f>
        <v>0.441786</v>
      </c>
      <c r="V28" t="str">
        <v>7.500000</v>
      </c>
      <c r="W28" t="str">
        <v>PSF-00438_20260108084702_a36</v>
      </c>
      <c r="X28" t="str">
        <v>117.703560</v>
      </c>
      <c r="Y28" t="str">
        <v>544.479126</v>
      </c>
      <c r="Z28" t="str">
        <v>0.783824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0.007811</v>
      </c>
      <c r="AG28" t="str">
        <v>1.000000</v>
      </c>
      <c r="AH28" t="str">
        <v>35.07</v>
      </c>
      <c r="AI28" t="str">
        <v>35.03</v>
      </c>
      <c r="AJ28" t="str">
        <v>22.42</v>
      </c>
      <c r="AK28" t="str">
        <v>19.42</v>
      </c>
      <c r="AL28" t="str">
        <f>(AK28-AJ28)*(AJ28*0+0)+AK28</f>
        <v>19.42</v>
      </c>
      <c r="AM28" t="str">
        <v>89.16</v>
      </c>
      <c r="AN28" t="str">
        <v>156.7</v>
      </c>
      <c r="AO28" t="str">
        <v>158.4</v>
      </c>
      <c r="AP28" t="str">
        <v>-1.1</v>
      </c>
      <c r="AQ28" t="str">
        <v>0</v>
      </c>
      <c r="AR28" t="str">
        <v>3.996</v>
      </c>
      <c r="AS28" t="str">
        <v>08:45:09</v>
      </c>
      <c r="AT28" t="str">
        <v>2026-01-08</v>
      </c>
      <c r="AU28" t="str">
        <v>-0.12</v>
      </c>
      <c r="AV28" t="str">
        <v>1</v>
      </c>
      <c r="AW28" t="str">
        <v>-0.000</v>
      </c>
      <c r="AX28" t="str">
        <v>0.001</v>
      </c>
      <c r="AY28" t="str">
        <v>-9999.000</v>
      </c>
      <c r="AZ28" t="str">
        <v>0.717</v>
      </c>
      <c r="BA28" t="str">
        <v>0.794</v>
      </c>
      <c r="BB28" t="str">
        <v>-9999.000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6000</v>
      </c>
      <c r="BQ28" t="str">
        <v>5</v>
      </c>
      <c r="BR28" t="str">
        <v>5.000000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2.447613</v>
      </c>
      <c r="CD28" t="str">
        <v>2.461891</v>
      </c>
      <c r="CE28" t="str">
        <v>1.655601</v>
      </c>
      <c r="CF28" t="str">
        <v>0.942388</v>
      </c>
      <c r="CG28" t="str">
        <v>0.302325</v>
      </c>
      <c r="CH28" t="str">
        <v>-0.032294</v>
      </c>
      <c r="CI28" t="str">
        <v>0.147679</v>
      </c>
      <c r="CJ28" t="str">
        <v>0.107323</v>
      </c>
      <c r="CK28" t="str">
        <v>117.703560</v>
      </c>
      <c r="CL28" t="str">
        <v>0.000236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PSF-00438_20260108084702_a36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2025-12-11T16:13:15.848Z</v>
      </c>
    </row>
    <row r="29">
      <c r="A29" t="str">
        <v>26</v>
      </c>
      <c r="B29" t="str">
        <v>08:47:37</v>
      </c>
      <c r="C29" t="str">
        <v>2026-01-08</v>
      </c>
      <c r="D29" t="str">
        <v>TT25_psf_dark</v>
      </c>
      <c r="E29" t="str">
        <v>eap</v>
      </c>
      <c r="F29" t="str">
        <v/>
      </c>
      <c r="G29" t="str">
        <v>4722_mai_yellow</v>
      </c>
      <c r="H29" t="str">
        <v/>
      </c>
      <c r="I29" t="str">
        <v/>
      </c>
      <c r="J29" t="str">
        <f>1/((1/L29)-(1/K29))</f>
        <v>0.002237</v>
      </c>
      <c r="K29" t="str">
        <f>BH29+(BI29*AN29)+(BJ29*AN29*POWER(V29,2))+(BK29*AN29*V29)+(BL29*POWER(AN29,2))</f>
        <v>2.923099</v>
      </c>
      <c r="L29" t="str">
        <f>((M29/1000)*(1000-((T29+S29)/2)))/(T29-S29)</f>
        <v>0.002235</v>
      </c>
      <c r="M29" t="str">
        <f>(AN29*(S29-R29))/(100*U29*(1000-S29))*1000</f>
        <v>0.033492</v>
      </c>
      <c r="N29" t="str">
        <v>0.937947</v>
      </c>
      <c r="O29" t="str">
        <v>0.937115</v>
      </c>
      <c r="P29" t="str">
        <f>0.61365*EXP((17.502*AL29)/(240.97+AL29))</f>
        <v>2.250153</v>
      </c>
      <c r="Q29" t="str">
        <f>P29-N29</f>
        <v>1.312206</v>
      </c>
      <c r="R29" t="str">
        <v>10.510486</v>
      </c>
      <c r="S29" t="str">
        <v>10.519818</v>
      </c>
      <c r="T29" t="str">
        <f>(P29/AM29)*1000</f>
        <v>25.237246</v>
      </c>
      <c r="U29" t="str">
        <f>V29*BG29</f>
        <v>0.441786</v>
      </c>
      <c r="V29" t="str">
        <v>7.500000</v>
      </c>
      <c r="W29" t="str">
        <v>PSF-00438_20260108084737_c55</v>
      </c>
      <c r="X29" t="str">
        <v>135.765198</v>
      </c>
      <c r="Y29" t="str">
        <v>441.030975</v>
      </c>
      <c r="Z29" t="str">
        <v>0.692164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0.135789</v>
      </c>
      <c r="AG29" t="str">
        <v>1.000000</v>
      </c>
      <c r="AH29" t="str">
        <v>34.67</v>
      </c>
      <c r="AI29" t="str">
        <v>34.64</v>
      </c>
      <c r="AJ29" t="str">
        <v>22.32</v>
      </c>
      <c r="AK29" t="str">
        <v>19.32</v>
      </c>
      <c r="AL29" t="str">
        <f>(AK29-AJ29)*(AJ29*0+0)+AK29</f>
        <v>19.32</v>
      </c>
      <c r="AM29" t="str">
        <v>89.16</v>
      </c>
      <c r="AN29" t="str">
        <v>156.9</v>
      </c>
      <c r="AO29" t="str">
        <v>158.4</v>
      </c>
      <c r="AP29" t="str">
        <v>-0.9</v>
      </c>
      <c r="AQ29" t="str">
        <v>0</v>
      </c>
      <c r="AR29" t="str">
        <v>3.996</v>
      </c>
      <c r="AS29" t="str">
        <v>08:45:09</v>
      </c>
      <c r="AT29" t="str">
        <v>2026-01-08</v>
      </c>
      <c r="AU29" t="str">
        <v>-0.12</v>
      </c>
      <c r="AV29" t="str">
        <v>1</v>
      </c>
      <c r="AW29" t="str">
        <v>0.002</v>
      </c>
      <c r="AX29" t="str">
        <v>0.004</v>
      </c>
      <c r="AY29" t="str">
        <v>-9999.000</v>
      </c>
      <c r="AZ29" t="str">
        <v>-0.003</v>
      </c>
      <c r="BA29" t="str">
        <v>1.262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6000</v>
      </c>
      <c r="BQ29" t="str">
        <v>5</v>
      </c>
      <c r="BR29" t="str">
        <v>5.000000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2.447086</v>
      </c>
      <c r="CD29" t="str">
        <v>2.461340</v>
      </c>
      <c r="CE29" t="str">
        <v>1.656957</v>
      </c>
      <c r="CF29" t="str">
        <v>0.942278</v>
      </c>
      <c r="CG29" t="str">
        <v>0.303619</v>
      </c>
      <c r="CH29" t="str">
        <v>-0.032112</v>
      </c>
      <c r="CI29" t="str">
        <v>0.151620</v>
      </c>
      <c r="CJ29" t="str">
        <v>0.107742</v>
      </c>
      <c r="CK29" t="str">
        <v>135.765198</v>
      </c>
      <c r="CL29" t="str">
        <v>0.000239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PSF-00438_20260108084737_c55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2025-12-11T16:13:15.848Z</v>
      </c>
    </row>
    <row r="30">
      <c r="A30" t="str">
        <v>27</v>
      </c>
      <c r="B30" t="str">
        <v>08:48:04</v>
      </c>
      <c r="C30" t="str">
        <v>2026-01-08</v>
      </c>
      <c r="D30" t="str">
        <v>TT25_psf_dark</v>
      </c>
      <c r="E30" t="str">
        <v>eap</v>
      </c>
      <c r="F30" t="str">
        <v/>
      </c>
      <c r="G30" t="str">
        <v>4698_mai_green</v>
      </c>
      <c r="H30" t="str">
        <v/>
      </c>
      <c r="I30" t="str">
        <v/>
      </c>
      <c r="J30" t="str">
        <f>1/((1/L30)-(1/K30))</f>
        <v>0.018367</v>
      </c>
      <c r="K30" t="str">
        <f>BH30+(BI30*AN30)+(BJ30*AN30*POWER(V30,2))+(BK30*AN30*V30)+(BL30*POWER(AN30,2))</f>
        <v>2.922349</v>
      </c>
      <c r="L30" t="str">
        <f>((M30/1000)*(1000-((T30+S30)/2)))/(T30-S30)</f>
        <v>0.018252</v>
      </c>
      <c r="M30" t="str">
        <f>(AN30*(S30-R30))/(100*U30*(1000-S30))*1000</f>
        <v>0.277314</v>
      </c>
      <c r="N30" t="str">
        <v>0.950951</v>
      </c>
      <c r="O30" t="str">
        <v>0.944058</v>
      </c>
      <c r="P30" t="str">
        <f>0.61365*EXP((17.502*AL30)/(240.97+AL30))</f>
        <v>2.281111</v>
      </c>
      <c r="Q30" t="str">
        <f>P30-N30</f>
        <v>1.330160</v>
      </c>
      <c r="R30" t="str">
        <v>10.587702</v>
      </c>
      <c r="S30" t="str">
        <v>10.665010</v>
      </c>
      <c r="T30" t="str">
        <f>(P30/AM30)*1000</f>
        <v>25.582890</v>
      </c>
      <c r="U30" t="str">
        <f>V30*BG30</f>
        <v>0.441786</v>
      </c>
      <c r="V30" t="str">
        <v>7.500000</v>
      </c>
      <c r="W30" t="str">
        <v>PSF-00438_20260108084804_a64</v>
      </c>
      <c r="X30" t="str">
        <v>199.367874</v>
      </c>
      <c r="Y30" t="str">
        <v>370.465637</v>
      </c>
      <c r="Z30" t="str">
        <v>0.461845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0.060566</v>
      </c>
      <c r="AG30" t="str">
        <v>1.000000</v>
      </c>
      <c r="AH30" t="str">
        <v>35.35</v>
      </c>
      <c r="AI30" t="str">
        <v>35.09</v>
      </c>
      <c r="AJ30" t="str">
        <v>22.23</v>
      </c>
      <c r="AK30" t="str">
        <v>19.54</v>
      </c>
      <c r="AL30" t="str">
        <f>(AK30-AJ30)*(AJ30*0+0)+AK30</f>
        <v>19.54</v>
      </c>
      <c r="AM30" t="str">
        <v>89.17</v>
      </c>
      <c r="AN30" t="str">
        <v>156.8</v>
      </c>
      <c r="AO30" t="str">
        <v>157.8</v>
      </c>
      <c r="AP30" t="str">
        <v>-0.6</v>
      </c>
      <c r="AQ30" t="str">
        <v>0</v>
      </c>
      <c r="AR30" t="str">
        <v>3.994</v>
      </c>
      <c r="AS30" t="str">
        <v>08:45:09</v>
      </c>
      <c r="AT30" t="str">
        <v>2026-01-08</v>
      </c>
      <c r="AU30" t="str">
        <v>-0.12</v>
      </c>
      <c r="AV30" t="str">
        <v>1</v>
      </c>
      <c r="AW30" t="str">
        <v>0.000</v>
      </c>
      <c r="AX30" t="str">
        <v>-0.002</v>
      </c>
      <c r="AY30" t="str">
        <v>-9999.000</v>
      </c>
      <c r="AZ30" t="str">
        <v>-0.024</v>
      </c>
      <c r="BA30" t="str">
        <v>0.015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6000</v>
      </c>
      <c r="BQ30" t="str">
        <v>5</v>
      </c>
      <c r="BR30" t="str">
        <v>5.000000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2.447745</v>
      </c>
      <c r="CD30" t="str">
        <v>2.462327</v>
      </c>
      <c r="CE30" t="str">
        <v>1.656170</v>
      </c>
      <c r="CF30" t="str">
        <v>0.940828</v>
      </c>
      <c r="CG30" t="str">
        <v>0.304730</v>
      </c>
      <c r="CH30" t="str">
        <v>-0.028735</v>
      </c>
      <c r="CI30" t="str">
        <v>0.154584</v>
      </c>
      <c r="CJ30" t="str">
        <v>0.107596</v>
      </c>
      <c r="CK30" t="str">
        <v>199.367874</v>
      </c>
      <c r="CL30" t="str">
        <v>0.000236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PSF-00438_20260108084804_a64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2025-12-11T16:13:15.848Z</v>
      </c>
    </row>
    <row r="31">
      <c r="A31" t="str">
        <v>28</v>
      </c>
      <c r="B31" t="str">
        <v>08:48:28</v>
      </c>
      <c r="C31" t="str">
        <v>2026-01-08</v>
      </c>
      <c r="D31" t="str">
        <v>TT25_psf_dark</v>
      </c>
      <c r="E31" t="str">
        <v>eap</v>
      </c>
      <c r="F31" t="str">
        <v/>
      </c>
      <c r="G31" t="str">
        <v>4844_mai_red</v>
      </c>
      <c r="H31" t="str">
        <v/>
      </c>
      <c r="I31" t="str">
        <v/>
      </c>
      <c r="J31" t="str">
        <f>1/((1/L31)-(1/K31))</f>
        <v>-0.000851</v>
      </c>
      <c r="K31" t="str">
        <f>BH31+(BI31*AN31)+(BJ31*AN31*POWER(V31,2))+(BK31*AN31*V31)+(BL31*POWER(AN31,2))</f>
        <v>2.922150</v>
      </c>
      <c r="L31" t="str">
        <f>((M31/1000)*(1000-((T31+S31)/2)))/(T31-S31)</f>
        <v>-0.000852</v>
      </c>
      <c r="M31" t="str">
        <f>(AN31*(S31-R31))/(100*U31*(1000-S31))*1000</f>
        <v>-0.013409</v>
      </c>
      <c r="N31" t="str">
        <v>0.936147</v>
      </c>
      <c r="O31" t="str">
        <v>0.936480</v>
      </c>
      <c r="P31" t="str">
        <f>0.61365*EXP((17.502*AL31)/(240.97+AL31))</f>
        <v>2.314620</v>
      </c>
      <c r="Q31" t="str">
        <f>P31-N31</f>
        <v>1.378473</v>
      </c>
      <c r="R31" t="str">
        <v>10.501839</v>
      </c>
      <c r="S31" t="str">
        <v>10.498099</v>
      </c>
      <c r="T31" t="str">
        <f>(P31/AM31)*1000</f>
        <v>25.956509</v>
      </c>
      <c r="U31" t="str">
        <f>V31*BG31</f>
        <v>0.441786</v>
      </c>
      <c r="V31" t="str">
        <v>7.500000</v>
      </c>
      <c r="W31" t="str">
        <v>PSF-00438_20260108084828_abf</v>
      </c>
      <c r="X31" t="str">
        <v>124.708412</v>
      </c>
      <c r="Y31" t="str">
        <v>504.097931</v>
      </c>
      <c r="Z31" t="str">
        <v>0.752611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0.026051</v>
      </c>
      <c r="AG31" t="str">
        <v>1.000000</v>
      </c>
      <c r="AH31" t="str">
        <v>34.98</v>
      </c>
      <c r="AI31" t="str">
        <v>34.99</v>
      </c>
      <c r="AJ31" t="str">
        <v>22.14</v>
      </c>
      <c r="AK31" t="str">
        <v>19.78</v>
      </c>
      <c r="AL31" t="str">
        <f>(AK31-AJ31)*(AJ31*0+0)+AK31</f>
        <v>19.78</v>
      </c>
      <c r="AM31" t="str">
        <v>89.17</v>
      </c>
      <c r="AN31" t="str">
        <v>156.8</v>
      </c>
      <c r="AO31" t="str">
        <v>158.2</v>
      </c>
      <c r="AP31" t="str">
        <v>-0.9</v>
      </c>
      <c r="AQ31" t="str">
        <v>0</v>
      </c>
      <c r="AR31" t="str">
        <v>3.994</v>
      </c>
      <c r="AS31" t="str">
        <v>08:45:09</v>
      </c>
      <c r="AT31" t="str">
        <v>2026-01-08</v>
      </c>
      <c r="AU31" t="str">
        <v>-0.12</v>
      </c>
      <c r="AV31" t="str">
        <v>1</v>
      </c>
      <c r="AW31" t="str">
        <v>0.000</v>
      </c>
      <c r="AX31" t="str">
        <v>0.002</v>
      </c>
      <c r="AY31" t="str">
        <v>-9999.000</v>
      </c>
      <c r="AZ31" t="str">
        <v>-2.009</v>
      </c>
      <c r="BA31" t="str">
        <v>-0.922</v>
      </c>
      <c r="BB31" t="str">
        <v>-9999.000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6000</v>
      </c>
      <c r="BQ31" t="str">
        <v>5</v>
      </c>
      <c r="BR31" t="str">
        <v>5.000000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2.447612</v>
      </c>
      <c r="CD31" t="str">
        <v>2.461809</v>
      </c>
      <c r="CE31" t="str">
        <v>1.655962</v>
      </c>
      <c r="CF31" t="str">
        <v>0.942000</v>
      </c>
      <c r="CG31" t="str">
        <v>0.305750</v>
      </c>
      <c r="CH31" t="str">
        <v>-0.025274</v>
      </c>
      <c r="CI31" t="str">
        <v>0.157260</v>
      </c>
      <c r="CJ31" t="str">
        <v>0.107379</v>
      </c>
      <c r="CK31" t="str">
        <v>124.708412</v>
      </c>
      <c r="CL31" t="str">
        <v>0.000236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PSF-00438_20260108084828_abf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2025-12-11T16:13:15.848Z</v>
      </c>
    </row>
    <row r="32">
      <c r="A32" t="str">
        <v>29</v>
      </c>
      <c r="B32" t="str">
        <v>08:48:47</v>
      </c>
      <c r="C32" t="str">
        <v>2026-01-08</v>
      </c>
      <c r="D32" t="str">
        <v>TT25_psf_dark</v>
      </c>
      <c r="E32" t="str">
        <v>eap</v>
      </c>
      <c r="F32" t="str">
        <v/>
      </c>
      <c r="G32" t="str">
        <v>5600_mai_red</v>
      </c>
      <c r="H32" t="str">
        <v/>
      </c>
      <c r="I32" t="str">
        <v/>
      </c>
      <c r="J32" t="str">
        <f>1/((1/L32)-(1/K32))</f>
        <v>-0.001701</v>
      </c>
      <c r="K32" t="str">
        <f>BH32+(BI32*AN32)+(BJ32*AN32*POWER(V32,2))+(BK32*AN32*V32)+(BL32*POWER(AN32,2))</f>
        <v>2.920055</v>
      </c>
      <c r="L32" t="str">
        <f>((M32/1000)*(1000-((T32+S32)/2)))/(T32-S32)</f>
        <v>-0.001702</v>
      </c>
      <c r="M32" t="str">
        <f>(AN32*(S32-R32))/(100*U32*(1000-S32))*1000</f>
        <v>-0.028844</v>
      </c>
      <c r="N32" t="str">
        <v>0.946906</v>
      </c>
      <c r="O32" t="str">
        <v>0.947625</v>
      </c>
      <c r="P32" t="str">
        <f>0.61365*EXP((17.502*AL32)/(240.97+AL32))</f>
        <v>2.429255</v>
      </c>
      <c r="Q32" t="str">
        <f>P32-N32</f>
        <v>1.482349</v>
      </c>
      <c r="R32" t="str">
        <v>10.627018</v>
      </c>
      <c r="S32" t="str">
        <v>10.618962</v>
      </c>
      <c r="T32" t="str">
        <f>(P32/AM32)*1000</f>
        <v>27.242586</v>
      </c>
      <c r="U32" t="str">
        <f>V32*BG32</f>
        <v>0.441786</v>
      </c>
      <c r="V32" t="str">
        <v>7.500000</v>
      </c>
      <c r="W32" t="str">
        <v>PSF-00438_20260108084847_709</v>
      </c>
      <c r="X32" t="str">
        <v>106.748344</v>
      </c>
      <c r="Y32" t="str">
        <v>494.232422</v>
      </c>
      <c r="Z32" t="str">
        <v>0.784012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0.049080</v>
      </c>
      <c r="AG32" t="str">
        <v>1.000000</v>
      </c>
      <c r="AH32" t="str">
        <v>35.52</v>
      </c>
      <c r="AI32" t="str">
        <v>35.55</v>
      </c>
      <c r="AJ32" t="str">
        <v>22.08</v>
      </c>
      <c r="AK32" t="str">
        <v>20.56</v>
      </c>
      <c r="AL32" t="str">
        <f>(AK32-AJ32)*(AJ32*0+0)+AK32</f>
        <v>20.56</v>
      </c>
      <c r="AM32" t="str">
        <v>89.17</v>
      </c>
      <c r="AN32" t="str">
        <v>156.5</v>
      </c>
      <c r="AO32" t="str">
        <v>158.4</v>
      </c>
      <c r="AP32" t="str">
        <v>-1.2</v>
      </c>
      <c r="AQ32" t="str">
        <v>0</v>
      </c>
      <c r="AR32" t="str">
        <v>3.993</v>
      </c>
      <c r="AS32" t="str">
        <v>08:45:09</v>
      </c>
      <c r="AT32" t="str">
        <v>2026-01-08</v>
      </c>
      <c r="AU32" t="str">
        <v>-0.12</v>
      </c>
      <c r="AV32" t="str">
        <v>1</v>
      </c>
      <c r="AW32" t="str">
        <v>0.003</v>
      </c>
      <c r="AX32" t="str">
        <v>0.004</v>
      </c>
      <c r="AY32" t="str">
        <v>-9999.000</v>
      </c>
      <c r="AZ32" t="str">
        <v>-0.160</v>
      </c>
      <c r="BA32" t="str">
        <v>-0.018</v>
      </c>
      <c r="BB32" t="str">
        <v>-9999.000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6000</v>
      </c>
      <c r="BQ32" t="str">
        <v>5</v>
      </c>
      <c r="BR32" t="str">
        <v>5.000000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2.448420</v>
      </c>
      <c r="CD32" t="str">
        <v>2.462603</v>
      </c>
      <c r="CE32" t="str">
        <v>1.653772</v>
      </c>
      <c r="CF32" t="str">
        <v>0.942288</v>
      </c>
      <c r="CG32" t="str">
        <v>0.306565</v>
      </c>
      <c r="CH32" t="str">
        <v>-0.016052</v>
      </c>
      <c r="CI32" t="str">
        <v>0.159379</v>
      </c>
      <c r="CJ32" t="str">
        <v>0.107442</v>
      </c>
      <c r="CK32" t="str">
        <v>106.748344</v>
      </c>
      <c r="CL32" t="str">
        <v>0.000237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PSF-00438_20260108084847_709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2025-12-11T16:13:15.848Z</v>
      </c>
    </row>
    <row r="33">
      <c r="A33" t="str">
        <v>30</v>
      </c>
      <c r="B33" t="str">
        <v>08:49:13</v>
      </c>
      <c r="C33" t="str">
        <v>2026-01-08</v>
      </c>
      <c r="D33" t="str">
        <v>TT25_psf_dark</v>
      </c>
      <c r="E33" t="str">
        <v>eap</v>
      </c>
      <c r="F33" t="str">
        <v/>
      </c>
      <c r="G33" t="str">
        <v>5569_mai_purple</v>
      </c>
      <c r="H33" t="str">
        <v/>
      </c>
      <c r="I33" t="str">
        <v/>
      </c>
      <c r="J33" t="str">
        <f>1/((1/L33)-(1/K33))</f>
        <v>-0.006093</v>
      </c>
      <c r="K33" t="str">
        <f>BH33+(BI33*AN33)+(BJ33*AN33*POWER(V33,2))+(BK33*AN33*V33)+(BL33*POWER(AN33,2))</f>
        <v>2.921659</v>
      </c>
      <c r="L33" t="str">
        <f>((M33/1000)*(1000-((T33+S33)/2)))/(T33-S33)</f>
        <v>-0.006105</v>
      </c>
      <c r="M33" t="str">
        <f>(AN33*(S33-R33))/(100*U33*(1000-S33))*1000</f>
        <v>-0.109876</v>
      </c>
      <c r="N33" t="str">
        <v>0.921283</v>
      </c>
      <c r="O33" t="str">
        <v>0.924016</v>
      </c>
      <c r="P33" t="str">
        <f>0.61365*EXP((17.502*AL33)/(240.97+AL33))</f>
        <v>2.495354</v>
      </c>
      <c r="Q33" t="str">
        <f>P33-N33</f>
        <v>1.574072</v>
      </c>
      <c r="R33" t="str">
        <v>10.362123</v>
      </c>
      <c r="S33" t="str">
        <v>10.331465</v>
      </c>
      <c r="T33" t="str">
        <f>(P33/AM33)*1000</f>
        <v>27.983450</v>
      </c>
      <c r="U33" t="str">
        <f>V33*BG33</f>
        <v>0.441786</v>
      </c>
      <c r="V33" t="str">
        <v>7.500000</v>
      </c>
      <c r="W33" t="str">
        <v>PSF-00438_20260108084913_31d</v>
      </c>
      <c r="X33" t="str">
        <v>63.780067</v>
      </c>
      <c r="Y33" t="str">
        <v>63.794731</v>
      </c>
      <c r="Z33" t="str">
        <v>0.000230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0.000004</v>
      </c>
      <c r="AG33" t="str">
        <v>1.000000</v>
      </c>
      <c r="AH33" t="str">
        <v>34.75</v>
      </c>
      <c r="AI33" t="str">
        <v>34.86</v>
      </c>
      <c r="AJ33" t="str">
        <v>21.98</v>
      </c>
      <c r="AK33" t="str">
        <v>21.00</v>
      </c>
      <c r="AL33" t="str">
        <f>(AK33-AJ33)*(AJ33*0+0)+AK33</f>
        <v>21.00</v>
      </c>
      <c r="AM33" t="str">
        <v>89.17</v>
      </c>
      <c r="AN33" t="str">
        <v>156.7</v>
      </c>
      <c r="AO33" t="str">
        <v>158.5</v>
      </c>
      <c r="AP33" t="str">
        <v>-1.1</v>
      </c>
      <c r="AQ33" t="str">
        <v>0</v>
      </c>
      <c r="AR33" t="str">
        <v>3.992</v>
      </c>
      <c r="AS33" t="str">
        <v>08:45:09</v>
      </c>
      <c r="AT33" t="str">
        <v>2026-01-08</v>
      </c>
      <c r="AU33" t="str">
        <v>-0.12</v>
      </c>
      <c r="AV33" t="str">
        <v>1</v>
      </c>
      <c r="AW33" t="str">
        <v>0.000</v>
      </c>
      <c r="AX33" t="str">
        <v>-0.002</v>
      </c>
      <c r="AY33" t="str">
        <v>-9999.000</v>
      </c>
      <c r="AZ33" t="str">
        <v>0.058</v>
      </c>
      <c r="BA33" t="str">
        <v>0.526</v>
      </c>
      <c r="BB33" t="str">
        <v>-9999.000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6000</v>
      </c>
      <c r="BQ33" t="str">
        <v>5</v>
      </c>
      <c r="BR33" t="str">
        <v>5.000000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2.447453</v>
      </c>
      <c r="CD33" t="str">
        <v>2.461519</v>
      </c>
      <c r="CE33" t="str">
        <v>1.655448</v>
      </c>
      <c r="CF33" t="str">
        <v>0.942632</v>
      </c>
      <c r="CG33" t="str">
        <v>0.307682</v>
      </c>
      <c r="CH33" t="str">
        <v>-0.010275</v>
      </c>
      <c r="CI33" t="str">
        <v>0.162122</v>
      </c>
      <c r="CJ33" t="str">
        <v>0.107339</v>
      </c>
      <c r="CK33" t="str">
        <v>63.780067</v>
      </c>
      <c r="CL33" t="str">
        <v>0.000235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PSF-00438_20260108084913_31d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2025-12-11T16:13:15.848Z</v>
      </c>
    </row>
  </sheetData>
  <ignoredErrors>
    <ignoredError numberStoredAsText="1" sqref="A1:D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