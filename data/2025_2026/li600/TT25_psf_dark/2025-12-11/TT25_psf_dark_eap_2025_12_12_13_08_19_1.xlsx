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25_psf_da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58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09:42:23</v>
      </c>
      <c r="C4" t="str">
        <v>2025-12-11</v>
      </c>
      <c r="D4" t="str">
        <v>TT25_psf_dark</v>
      </c>
      <c r="E4" t="str">
        <v>eap</v>
      </c>
      <c r="F4" t="str">
        <v/>
      </c>
      <c r="G4" t="str">
        <v>4942_Tri_pink</v>
      </c>
      <c r="H4" t="str">
        <v/>
      </c>
      <c r="I4" t="str">
        <v/>
      </c>
      <c r="J4" t="str">
        <f>1/((1/L4)-(1/K4))</f>
        <v>-0.008336</v>
      </c>
      <c r="K4" t="str">
        <f>BH4+(BI4*AN4)+(BJ4*AN4*POWER(V4,2))+(BK4*AN4*V4)+(BL4*POWER(AN4,2))</f>
        <v>2.923889</v>
      </c>
      <c r="L4" t="str">
        <f>((M4/1000)*(1000-((T4+S4)/2)))/(T4-S4)</f>
        <v>-0.008359</v>
      </c>
      <c r="M4" t="str">
        <f>(AN4*(S4-R4))/(100*U4*(1000-S4))*1000</f>
        <v>-0.158247</v>
      </c>
      <c r="N4" t="str">
        <v>0.538562</v>
      </c>
      <c r="O4" t="str">
        <v>0.542561</v>
      </c>
      <c r="P4" t="str">
        <f>0.61365*EXP((17.502*AL4)/(240.97+AL4))</f>
        <v>2.222372</v>
      </c>
      <c r="Q4" t="str">
        <f>P4-N4</f>
        <v>1.683810</v>
      </c>
      <c r="R4" t="str">
        <v>6.006579</v>
      </c>
      <c r="S4" t="str">
        <v>5.962307</v>
      </c>
      <c r="T4" t="str">
        <f>(P4/AM4)*1000</f>
        <v>24.603428</v>
      </c>
      <c r="U4" t="str">
        <f>V4*BG4</f>
        <v>0.441786</v>
      </c>
      <c r="V4" t="str">
        <v>7.500000</v>
      </c>
      <c r="W4" t="str">
        <v>PSF-00438_20251211094223_dbe</v>
      </c>
      <c r="X4" t="str">
        <v>300.965668</v>
      </c>
      <c r="Y4" t="str">
        <v>366.263153</v>
      </c>
      <c r="Z4" t="str">
        <v>0.178280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0.028823</v>
      </c>
      <c r="AG4" t="str">
        <v>1.000000</v>
      </c>
      <c r="AH4" t="str">
        <v>19.23</v>
      </c>
      <c r="AI4" t="str">
        <v>19.37</v>
      </c>
      <c r="AJ4" t="str">
        <v>22.89</v>
      </c>
      <c r="AK4" t="str">
        <v>19.12</v>
      </c>
      <c r="AL4" t="str">
        <f>(AK4-AJ4)*(AJ4*0+0)+AK4</f>
        <v>19.12</v>
      </c>
      <c r="AM4" t="str">
        <v>90.33</v>
      </c>
      <c r="AN4" t="str">
        <v>157.0</v>
      </c>
      <c r="AO4" t="str">
        <v>158.5</v>
      </c>
      <c r="AP4" t="str">
        <v>-1.0</v>
      </c>
      <c r="AQ4" t="str">
        <v>0</v>
      </c>
      <c r="AR4" t="str">
        <v>4.114</v>
      </c>
      <c r="AS4" t="str">
        <v>09:42:10</v>
      </c>
      <c r="AT4" t="str">
        <v>2025-12-11</v>
      </c>
      <c r="AU4" t="str">
        <v>-0.28</v>
      </c>
      <c r="AV4" t="str">
        <v>1</v>
      </c>
      <c r="AW4" t="str">
        <v>0.001</v>
      </c>
      <c r="AX4" t="str">
        <v>0.001</v>
      </c>
      <c r="AY4" t="str">
        <v>0.006</v>
      </c>
      <c r="AZ4" t="str">
        <v>-0.712</v>
      </c>
      <c r="BA4" t="str">
        <v>-1.103</v>
      </c>
      <c r="BB4" t="str">
        <v>-2.463</v>
      </c>
      <c r="BC4" t="str">
        <v>1</v>
      </c>
      <c r="BD4" t="str">
        <v>150</v>
      </c>
      <c r="BE4" t="str">
        <v>0.005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6000</v>
      </c>
      <c r="BQ4" t="str">
        <v>5</v>
      </c>
      <c r="BR4" t="str">
        <v>5.000000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2.424078</v>
      </c>
      <c r="CD4" t="str">
        <v>2.438130</v>
      </c>
      <c r="CE4" t="str">
        <v>1.657789</v>
      </c>
      <c r="CF4" t="str">
        <v>0.942580</v>
      </c>
      <c r="CG4" t="str">
        <v>0.296700</v>
      </c>
      <c r="CH4" t="str">
        <v>-0.040655</v>
      </c>
      <c r="CI4" t="str">
        <v>0.049468</v>
      </c>
      <c r="CJ4" t="str">
        <v>0.107665</v>
      </c>
      <c r="CK4" t="str">
        <v>300.965668</v>
      </c>
      <c r="CL4" t="str">
        <v>0.000235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PSF-00438_20251211094223_dbe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2025-12-10T14:09:08.064Z</v>
      </c>
    </row>
    <row r="5">
      <c r="A5" t="str">
        <v>2</v>
      </c>
      <c r="B5" t="str">
        <v>09:42:46</v>
      </c>
      <c r="C5" t="str">
        <v>2025-12-11</v>
      </c>
      <c r="D5" t="str">
        <v>TT25_psf_dark</v>
      </c>
      <c r="E5" t="str">
        <v>eap</v>
      </c>
      <c r="F5" t="str">
        <v/>
      </c>
      <c r="G5" t="str">
        <v>1666_Tri_pink</v>
      </c>
      <c r="H5" t="str">
        <v/>
      </c>
      <c r="I5" t="str">
        <v/>
      </c>
      <c r="J5" t="str">
        <f>1/((1/L5)-(1/K5))</f>
        <v>-0.014441</v>
      </c>
      <c r="K5" t="str">
        <f>BH5+(BI5*AN5)+(BJ5*AN5*POWER(V5,2))+(BK5*AN5*V5)+(BL5*POWER(AN5,2))</f>
        <v>2.921916</v>
      </c>
      <c r="L5" t="str">
        <f>((M5/1000)*(1000-((T5+S5)/2)))/(T5-S5)</f>
        <v>-0.014513</v>
      </c>
      <c r="M5" t="str">
        <f>(AN5*(S5-R5))/(100*U5*(1000-S5))*1000</f>
        <v>-0.226200</v>
      </c>
      <c r="N5" t="str">
        <v>0.648771</v>
      </c>
      <c r="O5" t="str">
        <v>0.654489</v>
      </c>
      <c r="P5" t="str">
        <f>0.61365*EXP((17.502*AL5)/(240.97+AL5))</f>
        <v>2.035737</v>
      </c>
      <c r="Q5" t="str">
        <f>P5-N5</f>
        <v>1.386966</v>
      </c>
      <c r="R5" t="str">
        <v>7.245636</v>
      </c>
      <c r="S5" t="str">
        <v>7.182333</v>
      </c>
      <c r="T5" t="str">
        <f>(P5/AM5)*1000</f>
        <v>22.536978</v>
      </c>
      <c r="U5" t="str">
        <f>V5*BG5</f>
        <v>0.441786</v>
      </c>
      <c r="V5" t="str">
        <v>7.500000</v>
      </c>
      <c r="W5" t="str">
        <v>PSF-00438_20251211094246_a9c</v>
      </c>
      <c r="X5" t="str">
        <v>247.535706</v>
      </c>
      <c r="Y5" t="str">
        <v>347.523804</v>
      </c>
      <c r="Z5" t="str">
        <v>0.287716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0.045601</v>
      </c>
      <c r="AG5" t="str">
        <v>1.000000</v>
      </c>
      <c r="AH5" t="str">
        <v>23.21</v>
      </c>
      <c r="AI5" t="str">
        <v>23.42</v>
      </c>
      <c r="AJ5" t="str">
        <v>22.85</v>
      </c>
      <c r="AK5" t="str">
        <v>17.73</v>
      </c>
      <c r="AL5" t="str">
        <f>(AK5-AJ5)*(AJ5*0+0)+AK5</f>
        <v>17.73</v>
      </c>
      <c r="AM5" t="str">
        <v>90.33</v>
      </c>
      <c r="AN5" t="str">
        <v>156.7</v>
      </c>
      <c r="AO5" t="str">
        <v>158.5</v>
      </c>
      <c r="AP5" t="str">
        <v>-1.2</v>
      </c>
      <c r="AQ5" t="str">
        <v>0</v>
      </c>
      <c r="AR5" t="str">
        <v>4.112</v>
      </c>
      <c r="AS5" t="str">
        <v>09:42:10</v>
      </c>
      <c r="AT5" t="str">
        <v>2025-12-11</v>
      </c>
      <c r="AU5" t="str">
        <v>-0.28</v>
      </c>
      <c r="AV5" t="str">
        <v>1</v>
      </c>
      <c r="AW5" t="str">
        <v>-0.001</v>
      </c>
      <c r="AX5" t="str">
        <v>-0.001</v>
      </c>
      <c r="AY5" t="str">
        <v>-9999.000</v>
      </c>
      <c r="AZ5" t="str">
        <v>-0.845</v>
      </c>
      <c r="BA5" t="str">
        <v>-1.209</v>
      </c>
      <c r="BB5" t="str">
        <v>-9999.000</v>
      </c>
      <c r="BC5" t="str">
        <v>1</v>
      </c>
      <c r="BD5" t="str">
        <v>150</v>
      </c>
      <c r="BE5" t="str">
        <v>0.005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6000</v>
      </c>
      <c r="BQ5" t="str">
        <v>5</v>
      </c>
      <c r="BR5" t="str">
        <v>5.000000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2.430429</v>
      </c>
      <c r="CD5" t="str">
        <v>2.444431</v>
      </c>
      <c r="CE5" t="str">
        <v>1.655716</v>
      </c>
      <c r="CF5" t="str">
        <v>0.942742</v>
      </c>
      <c r="CG5" t="str">
        <v>0.297144</v>
      </c>
      <c r="CH5" t="str">
        <v>-0.055121</v>
      </c>
      <c r="CI5" t="str">
        <v>0.053108</v>
      </c>
      <c r="CJ5" t="str">
        <v>0.107657</v>
      </c>
      <c r="CK5" t="str">
        <v>247.535706</v>
      </c>
      <c r="CL5" t="str">
        <v>0.000234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PSF-00438_20251211094246_a9c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2025-12-10T14:09:08.064Z</v>
      </c>
    </row>
    <row r="6">
      <c r="A6" t="str">
        <v>3</v>
      </c>
      <c r="B6" t="str">
        <v>09:43:21</v>
      </c>
      <c r="C6" t="str">
        <v>2025-12-11</v>
      </c>
      <c r="D6" t="str">
        <v>TT25_psf_dark</v>
      </c>
      <c r="E6" t="str">
        <v>eap</v>
      </c>
      <c r="F6" t="str">
        <v/>
      </c>
      <c r="G6" t="str">
        <v>flag2_tri_Tri_pink</v>
      </c>
      <c r="H6" t="str">
        <v/>
      </c>
      <c r="I6" t="str">
        <v/>
      </c>
      <c r="J6" t="str">
        <f>1/((1/L6)-(1/K6))</f>
        <v>-0.012570</v>
      </c>
      <c r="K6" t="str">
        <f>BH6+(BI6*AN6)+(BJ6*AN6*POWER(V6,2))+(BK6*AN6*V6)+(BL6*POWER(AN6,2))</f>
        <v>2.920970</v>
      </c>
      <c r="L6" t="str">
        <f>((M6/1000)*(1000-((T6+S6)/2)))/(T6-S6)</f>
        <v>-0.012624</v>
      </c>
      <c r="M6" t="str">
        <f>(AN6*(S6-R6))/(100*U6*(1000-S6))*1000</f>
        <v>-0.225470</v>
      </c>
      <c r="N6" t="str">
        <v>0.640178</v>
      </c>
      <c r="O6" t="str">
        <v>0.645883</v>
      </c>
      <c r="P6" t="str">
        <f>0.61365*EXP((17.502*AL6)/(240.97+AL6))</f>
        <v>2.227799</v>
      </c>
      <c r="Q6" t="str">
        <f>P6-N6</f>
        <v>1.587620</v>
      </c>
      <c r="R6" t="str">
        <v>7.150495</v>
      </c>
      <c r="S6" t="str">
        <v>7.087342</v>
      </c>
      <c r="T6" t="str">
        <f>(P6/AM6)*1000</f>
        <v>24.663710</v>
      </c>
      <c r="U6" t="str">
        <f>V6*BG6</f>
        <v>0.441786</v>
      </c>
      <c r="V6" t="str">
        <v>7.500000</v>
      </c>
      <c r="W6" t="str">
        <v>PSF-00438_20251211094321_750</v>
      </c>
      <c r="X6" t="str">
        <v>506.741516</v>
      </c>
      <c r="Y6" t="str">
        <v>516.410339</v>
      </c>
      <c r="Z6" t="str">
        <v>0.018723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0.004391</v>
      </c>
      <c r="AG6" t="str">
        <v>1.000000</v>
      </c>
      <c r="AH6" t="str">
        <v>23.03</v>
      </c>
      <c r="AI6" t="str">
        <v>23.23</v>
      </c>
      <c r="AJ6" t="str">
        <v>22.77</v>
      </c>
      <c r="AK6" t="str">
        <v>19.16</v>
      </c>
      <c r="AL6" t="str">
        <f>(AK6-AJ6)*(AJ6*0+0)+AK6</f>
        <v>19.16</v>
      </c>
      <c r="AM6" t="str">
        <v>90.33</v>
      </c>
      <c r="AN6" t="str">
        <v>156.6</v>
      </c>
      <c r="AO6" t="str">
        <v>158.4</v>
      </c>
      <c r="AP6" t="str">
        <v>-1.2</v>
      </c>
      <c r="AQ6" t="str">
        <v>1</v>
      </c>
      <c r="AR6" t="str">
        <v>4.110</v>
      </c>
      <c r="AS6" t="str">
        <v>09:42:10</v>
      </c>
      <c r="AT6" t="str">
        <v>2025-12-11</v>
      </c>
      <c r="AU6" t="str">
        <v>-0.28</v>
      </c>
      <c r="AV6" t="str">
        <v>1</v>
      </c>
      <c r="AW6" t="str">
        <v>-0.000</v>
      </c>
      <c r="AX6" t="str">
        <v>-0.001</v>
      </c>
      <c r="AY6" t="str">
        <v>-9999.000</v>
      </c>
      <c r="AZ6" t="str">
        <v>-1.080</v>
      </c>
      <c r="BA6" t="str">
        <v>-2.482</v>
      </c>
      <c r="BB6" t="str">
        <v>-9999.000</v>
      </c>
      <c r="BC6" t="str">
        <v>1</v>
      </c>
      <c r="BD6" t="str">
        <v>150</v>
      </c>
      <c r="BE6" t="str">
        <v>0.005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6000</v>
      </c>
      <c r="BQ6" t="str">
        <v>5</v>
      </c>
      <c r="BR6" t="str">
        <v>5.000000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2.430159</v>
      </c>
      <c r="CD6" t="str">
        <v>2.444160</v>
      </c>
      <c r="CE6" t="str">
        <v>1.654728</v>
      </c>
      <c r="CF6" t="str">
        <v>0.942452</v>
      </c>
      <c r="CG6" t="str">
        <v>0.298208</v>
      </c>
      <c r="CH6" t="str">
        <v>-0.038826</v>
      </c>
      <c r="CI6" t="str">
        <v>0.058375</v>
      </c>
      <c r="CJ6" t="str">
        <v>0.107828</v>
      </c>
      <c r="CK6" t="str">
        <v>506.741516</v>
      </c>
      <c r="CL6" t="str">
        <v>0.000237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PSF-00438_20251211094321_750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2025-12-10T14:09:08.064Z</v>
      </c>
    </row>
    <row r="7">
      <c r="A7" t="str">
        <v>4</v>
      </c>
      <c r="B7" t="str">
        <v>09:44:26</v>
      </c>
      <c r="C7" t="str">
        <v>2025-12-11</v>
      </c>
      <c r="D7" t="str">
        <v>TT25_psf_dark</v>
      </c>
      <c r="E7" t="str">
        <v>eap</v>
      </c>
      <c r="F7" t="str">
        <v/>
      </c>
      <c r="G7" t="str">
        <v>7147_Tri_pink</v>
      </c>
      <c r="H7" t="str">
        <v/>
      </c>
      <c r="I7" t="str">
        <v/>
      </c>
      <c r="J7" t="str">
        <f>1/((1/L7)-(1/K7))</f>
        <v>-0.011348</v>
      </c>
      <c r="K7" t="str">
        <f>BH7+(BI7*AN7)+(BJ7*AN7*POWER(V7,2))+(BK7*AN7*V7)+(BL7*POWER(AN7,2))</f>
        <v>2.921945</v>
      </c>
      <c r="L7" t="str">
        <f>((M7/1000)*(1000-((T7+S7)/2)))/(T7-S7)</f>
        <v>-0.011392</v>
      </c>
      <c r="M7" t="str">
        <f>(AN7*(S7-R7))/(100*U7*(1000-S7))*1000</f>
        <v>-0.213536</v>
      </c>
      <c r="N7" t="str">
        <v>0.666176</v>
      </c>
      <c r="O7" t="str">
        <v>0.671572</v>
      </c>
      <c r="P7" t="str">
        <f>0.61365*EXP((17.502*AL7)/(240.97+AL7))</f>
        <v>2.330875</v>
      </c>
      <c r="Q7" t="str">
        <f>P7-N7</f>
        <v>1.664699</v>
      </c>
      <c r="R7" t="str">
        <v>7.436108</v>
      </c>
      <c r="S7" t="str">
        <v>7.376362</v>
      </c>
      <c r="T7" t="str">
        <f>(P7/AM7)*1000</f>
        <v>25.809065</v>
      </c>
      <c r="U7" t="str">
        <f>V7*BG7</f>
        <v>0.441786</v>
      </c>
      <c r="V7" t="str">
        <v>7.500000</v>
      </c>
      <c r="W7" t="str">
        <v>PSF-00438_20251211094426_7ec</v>
      </c>
      <c r="X7" t="str">
        <v>194.682602</v>
      </c>
      <c r="Y7" t="str">
        <v>306.111572</v>
      </c>
      <c r="Z7" t="str">
        <v>0.364014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0.007043</v>
      </c>
      <c r="AG7" t="str">
        <v>1.000000</v>
      </c>
      <c r="AH7" t="str">
        <v>24.17</v>
      </c>
      <c r="AI7" t="str">
        <v>24.36</v>
      </c>
      <c r="AJ7" t="str">
        <v>22.63</v>
      </c>
      <c r="AK7" t="str">
        <v>19.89</v>
      </c>
      <c r="AL7" t="str">
        <f>(AK7-AJ7)*(AJ7*0+0)+AK7</f>
        <v>19.89</v>
      </c>
      <c r="AM7" t="str">
        <v>90.31</v>
      </c>
      <c r="AN7" t="str">
        <v>156.7</v>
      </c>
      <c r="AO7" t="str">
        <v>145.1</v>
      </c>
      <c r="AP7" t="str">
        <v>7.4</v>
      </c>
      <c r="AQ7" t="str">
        <v>0</v>
      </c>
      <c r="AR7" t="str">
        <v>4.109</v>
      </c>
      <c r="AS7" t="str">
        <v>09:42:10</v>
      </c>
      <c r="AT7" t="str">
        <v>2025-12-11</v>
      </c>
      <c r="AU7" t="str">
        <v>-0.28</v>
      </c>
      <c r="AV7" t="str">
        <v>1</v>
      </c>
      <c r="AW7" t="str">
        <v>0.001</v>
      </c>
      <c r="AX7" t="str">
        <v>0.001</v>
      </c>
      <c r="AY7" t="str">
        <v>-9999.000</v>
      </c>
      <c r="AZ7" t="str">
        <v>3.758</v>
      </c>
      <c r="BA7" t="str">
        <v>-2.352</v>
      </c>
      <c r="BB7" t="str">
        <v>-9999.000</v>
      </c>
      <c r="BC7" t="str">
        <v>1</v>
      </c>
      <c r="BD7" t="str">
        <v>150</v>
      </c>
      <c r="BE7" t="str">
        <v>0.005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6000</v>
      </c>
      <c r="BQ7" t="str">
        <v>5</v>
      </c>
      <c r="BR7" t="str">
        <v>5.000000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2.431908</v>
      </c>
      <c r="CD7" t="str">
        <v>2.445938</v>
      </c>
      <c r="CE7" t="str">
        <v>1.655747</v>
      </c>
      <c r="CF7" t="str">
        <v>0.908695</v>
      </c>
      <c r="CG7" t="str">
        <v>0.299862</v>
      </c>
      <c r="CH7" t="str">
        <v>-0.029453</v>
      </c>
      <c r="CI7" t="str">
        <v>0.068316</v>
      </c>
      <c r="CJ7" t="str">
        <v>0.107345</v>
      </c>
      <c r="CK7" t="str">
        <v>194.682602</v>
      </c>
      <c r="CL7" t="str">
        <v>0.000237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PSF-00438_20251211094426_7ec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2025-12-10T14:09:08.064Z</v>
      </c>
    </row>
    <row r="8">
      <c r="A8" t="str">
        <v>5</v>
      </c>
      <c r="B8" t="str">
        <v>09:44:47</v>
      </c>
      <c r="C8" t="str">
        <v>2025-12-11</v>
      </c>
      <c r="D8" t="str">
        <v>TT25_psf_dark</v>
      </c>
      <c r="E8" t="str">
        <v>eap</v>
      </c>
      <c r="F8" t="str">
        <v/>
      </c>
      <c r="G8" t="str">
        <v>2547_Tri_pink</v>
      </c>
      <c r="H8" t="str">
        <v/>
      </c>
      <c r="I8" t="str">
        <v/>
      </c>
      <c r="J8" t="str">
        <f>1/((1/L8)-(1/K8))</f>
        <v>-0.012825</v>
      </c>
      <c r="K8" t="str">
        <f>BH8+(BI8*AN8)+(BJ8*AN8*POWER(V8,2))+(BK8*AN8*V8)+(BL8*POWER(AN8,2))</f>
        <v>2.921169</v>
      </c>
      <c r="L8" t="str">
        <f>((M8/1000)*(1000-((T8+S8)/2)))/(T8-S8)</f>
        <v>-0.012882</v>
      </c>
      <c r="M8" t="str">
        <f>(AN8*(S8-R8))/(100*U8*(1000-S8))*1000</f>
        <v>-0.205953</v>
      </c>
      <c r="N8" t="str">
        <v>0.706776</v>
      </c>
      <c r="O8" t="str">
        <v>0.711981</v>
      </c>
      <c r="P8" t="str">
        <f>0.61365*EXP((17.502*AL8)/(240.97+AL8))</f>
        <v>2.127983</v>
      </c>
      <c r="Q8" t="str">
        <f>P8-N8</f>
        <v>1.421207</v>
      </c>
      <c r="R8" t="str">
        <v>7.883614</v>
      </c>
      <c r="S8" t="str">
        <v>7.825980</v>
      </c>
      <c r="T8" t="str">
        <f>(P8/AM8)*1000</f>
        <v>23.562698</v>
      </c>
      <c r="U8" t="str">
        <f>V8*BG8</f>
        <v>0.441786</v>
      </c>
      <c r="V8" t="str">
        <v>7.500000</v>
      </c>
      <c r="W8" t="str">
        <v>PSF-00438_20251211094447_4a0</v>
      </c>
      <c r="X8" t="str">
        <v>266.869080</v>
      </c>
      <c r="Y8" t="str">
        <v>408.652771</v>
      </c>
      <c r="Z8" t="str">
        <v>0.346954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0.011402</v>
      </c>
      <c r="AG8" t="str">
        <v>1.000000</v>
      </c>
      <c r="AH8" t="str">
        <v>25.74</v>
      </c>
      <c r="AI8" t="str">
        <v>25.93</v>
      </c>
      <c r="AJ8" t="str">
        <v>22.56</v>
      </c>
      <c r="AK8" t="str">
        <v>18.43</v>
      </c>
      <c r="AL8" t="str">
        <f>(AK8-AJ8)*(AJ8*0+0)+AK8</f>
        <v>18.43</v>
      </c>
      <c r="AM8" t="str">
        <v>90.31</v>
      </c>
      <c r="AN8" t="str">
        <v>156.6</v>
      </c>
      <c r="AO8" t="str">
        <v>145.2</v>
      </c>
      <c r="AP8" t="str">
        <v>7.3</v>
      </c>
      <c r="AQ8" t="str">
        <v>0</v>
      </c>
      <c r="AR8" t="str">
        <v>4.108</v>
      </c>
      <c r="AS8" t="str">
        <v>09:42:10</v>
      </c>
      <c r="AT8" t="str">
        <v>2025-12-11</v>
      </c>
      <c r="AU8" t="str">
        <v>-0.28</v>
      </c>
      <c r="AV8" t="str">
        <v>1</v>
      </c>
      <c r="AW8" t="str">
        <v>0.000</v>
      </c>
      <c r="AX8" t="str">
        <v>0.002</v>
      </c>
      <c r="AY8" t="str">
        <v>-9999.000</v>
      </c>
      <c r="AZ8" t="str">
        <v>0.030</v>
      </c>
      <c r="BA8" t="str">
        <v>0.236</v>
      </c>
      <c r="BB8" t="str">
        <v>-9999.000</v>
      </c>
      <c r="BC8" t="str">
        <v>1</v>
      </c>
      <c r="BD8" t="str">
        <v>150</v>
      </c>
      <c r="BE8" t="str">
        <v>0.005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6000</v>
      </c>
      <c r="BQ8" t="str">
        <v>5</v>
      </c>
      <c r="BR8" t="str">
        <v>5.000000</v>
      </c>
      <c r="BS8" t="str">
        <v>2.000000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2.434302</v>
      </c>
      <c r="CD8" t="str">
        <v>2.448361</v>
      </c>
      <c r="CE8" t="str">
        <v>1.654935</v>
      </c>
      <c r="CF8" t="str">
        <v>0.909089</v>
      </c>
      <c r="CG8" t="str">
        <v>0.300668</v>
      </c>
      <c r="CH8" t="str">
        <v>-0.044377</v>
      </c>
      <c r="CI8" t="str">
        <v>0.071301</v>
      </c>
      <c r="CJ8" t="str">
        <v>0.107375</v>
      </c>
      <c r="CK8" t="str">
        <v>266.869080</v>
      </c>
      <c r="CL8" t="str">
        <v>0.000237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PSF-00438_20251211094447_4a0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2025-12-10T14:09:08.064Z</v>
      </c>
    </row>
    <row r="9">
      <c r="A9" t="str">
        <v>6</v>
      </c>
      <c r="B9" t="str">
        <v>09:45:14</v>
      </c>
      <c r="C9" t="str">
        <v>2025-12-11</v>
      </c>
      <c r="D9" t="str">
        <v>TT25_psf_dark</v>
      </c>
      <c r="E9" t="str">
        <v>eap</v>
      </c>
      <c r="F9" t="str">
        <v/>
      </c>
      <c r="G9" t="str">
        <v>5267_Tri_pink</v>
      </c>
      <c r="H9" t="str">
        <v/>
      </c>
      <c r="I9" t="str">
        <v/>
      </c>
      <c r="J9" t="str">
        <f>1/((1/L9)-(1/K9))</f>
        <v>-0.014660</v>
      </c>
      <c r="K9" t="str">
        <f>BH9+(BI9*AN9)+(BJ9*AN9*POWER(V9,2))+(BK9*AN9*V9)+(BL9*POWER(AN9,2))</f>
        <v>2.921446</v>
      </c>
      <c r="L9" t="str">
        <f>((M9/1000)*(1000-((T9+S9)/2)))/(T9-S9)</f>
        <v>-0.014734</v>
      </c>
      <c r="M9" t="str">
        <f>(AN9*(S9-R9))/(100*U9*(1000-S9))*1000</f>
        <v>-0.215379</v>
      </c>
      <c r="N9" t="str">
        <v>0.745760</v>
      </c>
      <c r="O9" t="str">
        <v>0.751199</v>
      </c>
      <c r="P9" t="str">
        <f>0.61365*EXP((17.502*AL9)/(240.97+AL9))</f>
        <v>2.045590</v>
      </c>
      <c r="Q9" t="str">
        <f>P9-N9</f>
        <v>1.299831</v>
      </c>
      <c r="R9" t="str">
        <v>8.317641</v>
      </c>
      <c r="S9" t="str">
        <v>8.257409</v>
      </c>
      <c r="T9" t="str">
        <f>(P9/AM9)*1000</f>
        <v>22.649759</v>
      </c>
      <c r="U9" t="str">
        <f>V9*BG9</f>
        <v>0.441786</v>
      </c>
      <c r="V9" t="str">
        <v>7.500000</v>
      </c>
      <c r="W9" t="str">
        <v>PSF-00438_20251211094514_5a3</v>
      </c>
      <c r="X9" t="str">
        <v>260.588043</v>
      </c>
      <c r="Y9" t="str">
        <v>313.223724</v>
      </c>
      <c r="Z9" t="str">
        <v>0.168045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0.002129</v>
      </c>
      <c r="AG9" t="str">
        <v>1.000000</v>
      </c>
      <c r="AH9" t="str">
        <v>27.33</v>
      </c>
      <c r="AI9" t="str">
        <v>27.53</v>
      </c>
      <c r="AJ9" t="str">
        <v>22.46</v>
      </c>
      <c r="AK9" t="str">
        <v>17.80</v>
      </c>
      <c r="AL9" t="str">
        <f>(AK9-AJ9)*(AJ9*0+0)+AK9</f>
        <v>17.80</v>
      </c>
      <c r="AM9" t="str">
        <v>90.31</v>
      </c>
      <c r="AN9" t="str">
        <v>156.7</v>
      </c>
      <c r="AO9" t="str">
        <v>158.0</v>
      </c>
      <c r="AP9" t="str">
        <v>-0.9</v>
      </c>
      <c r="AQ9" t="str">
        <v>0</v>
      </c>
      <c r="AR9" t="str">
        <v>4.107</v>
      </c>
      <c r="AS9" t="str">
        <v>09:42:10</v>
      </c>
      <c r="AT9" t="str">
        <v>2025-12-11</v>
      </c>
      <c r="AU9" t="str">
        <v>-0.28</v>
      </c>
      <c r="AV9" t="str">
        <v>1</v>
      </c>
      <c r="AW9" t="str">
        <v>-0.001</v>
      </c>
      <c r="AX9" t="str">
        <v>0.000</v>
      </c>
      <c r="AY9" t="str">
        <v>-9999.000</v>
      </c>
      <c r="AZ9" t="str">
        <v>-0.174</v>
      </c>
      <c r="BA9" t="str">
        <v>-1.743</v>
      </c>
      <c r="BB9" t="str">
        <v>-9999.000</v>
      </c>
      <c r="BC9" t="str">
        <v>1</v>
      </c>
      <c r="BD9" t="str">
        <v>150</v>
      </c>
      <c r="BE9" t="str">
        <v>0.005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6000</v>
      </c>
      <c r="BQ9" t="str">
        <v>5</v>
      </c>
      <c r="BR9" t="str">
        <v>5.000000</v>
      </c>
      <c r="BS9" t="str">
        <v>2.000000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2.436715</v>
      </c>
      <c r="CD9" t="str">
        <v>2.450780</v>
      </c>
      <c r="CE9" t="str">
        <v>1.655225</v>
      </c>
      <c r="CF9" t="str">
        <v>0.941475</v>
      </c>
      <c r="CG9" t="str">
        <v>0.301906</v>
      </c>
      <c r="CH9" t="str">
        <v>-0.049906</v>
      </c>
      <c r="CI9" t="str">
        <v>0.075181</v>
      </c>
      <c r="CJ9" t="str">
        <v>0.107329</v>
      </c>
      <c r="CK9" t="str">
        <v>260.588043</v>
      </c>
      <c r="CL9" t="str">
        <v>0.000238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PSF-00438_20251211094514_5a3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2025-12-10T14:09:08.064Z</v>
      </c>
    </row>
    <row r="10">
      <c r="A10" t="str">
        <v>7</v>
      </c>
      <c r="B10" t="str">
        <v>09:45:37</v>
      </c>
      <c r="C10" t="str">
        <v>2025-12-11</v>
      </c>
      <c r="D10" t="str">
        <v>TT25_psf_dark</v>
      </c>
      <c r="E10" t="str">
        <v>eap</v>
      </c>
      <c r="F10" t="str">
        <v/>
      </c>
      <c r="G10" t="str">
        <v>955_Tri_pink</v>
      </c>
      <c r="H10" t="str">
        <v/>
      </c>
      <c r="I10" t="str">
        <v/>
      </c>
      <c r="J10" t="str">
        <f>1/((1/L10)-(1/K10))</f>
        <v>-0.003351</v>
      </c>
      <c r="K10" t="str">
        <f>BH10+(BI10*AN10)+(BJ10*AN10*POWER(V10,2))+(BK10*AN10*V10)+(BL10*POWER(AN10,2))</f>
        <v>2.922765</v>
      </c>
      <c r="L10" t="str">
        <f>((M10/1000)*(1000-((T10+S10)/2)))/(T10-S10)</f>
        <v>-0.003355</v>
      </c>
      <c r="M10" t="str">
        <f>(AN10*(S10-R10))/(100*U10*(1000-S10))*1000</f>
        <v>-0.054666</v>
      </c>
      <c r="N10" t="str">
        <v>0.713386</v>
      </c>
      <c r="O10" t="str">
        <v>0.714766</v>
      </c>
      <c r="P10" t="str">
        <f>0.61365*EXP((17.502*AL10)/(240.97+AL10))</f>
        <v>2.161442</v>
      </c>
      <c r="Q10" t="str">
        <f>P10-N10</f>
        <v>1.448056</v>
      </c>
      <c r="R10" t="str">
        <v>7.914011</v>
      </c>
      <c r="S10" t="str">
        <v>7.898733</v>
      </c>
      <c r="T10" t="str">
        <f>(P10/AM10)*1000</f>
        <v>23.931862</v>
      </c>
      <c r="U10" t="str">
        <f>V10*BG10</f>
        <v>0.441786</v>
      </c>
      <c r="V10" t="str">
        <v>7.500000</v>
      </c>
      <c r="W10" t="str">
        <v>PSF-00438_20251211094537_99b</v>
      </c>
      <c r="X10" t="str">
        <v>162.608383</v>
      </c>
      <c r="Y10" t="str">
        <v>444.361938</v>
      </c>
      <c r="Z10" t="str">
        <v>0.634063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0.009243</v>
      </c>
      <c r="AG10" t="str">
        <v>1.000000</v>
      </c>
      <c r="AH10" t="str">
        <v>26.29</v>
      </c>
      <c r="AI10" t="str">
        <v>26.34</v>
      </c>
      <c r="AJ10" t="str">
        <v>22.37</v>
      </c>
      <c r="AK10" t="str">
        <v>18.68</v>
      </c>
      <c r="AL10" t="str">
        <f>(AK10-AJ10)*(AJ10*0+0)+AK10</f>
        <v>18.68</v>
      </c>
      <c r="AM10" t="str">
        <v>90.32</v>
      </c>
      <c r="AN10" t="str">
        <v>156.8</v>
      </c>
      <c r="AO10" t="str">
        <v>158.1</v>
      </c>
      <c r="AP10" t="str">
        <v>-0.8</v>
      </c>
      <c r="AQ10" t="str">
        <v>0</v>
      </c>
      <c r="AR10" t="str">
        <v>4.106</v>
      </c>
      <c r="AS10" t="str">
        <v>09:42:10</v>
      </c>
      <c r="AT10" t="str">
        <v>2025-12-11</v>
      </c>
      <c r="AU10" t="str">
        <v>-0.28</v>
      </c>
      <c r="AV10" t="str">
        <v>1</v>
      </c>
      <c r="AW10" t="str">
        <v>0.001</v>
      </c>
      <c r="AX10" t="str">
        <v>0.001</v>
      </c>
      <c r="AY10" t="str">
        <v>-9999.000</v>
      </c>
      <c r="AZ10" t="str">
        <v>0.331</v>
      </c>
      <c r="BA10" t="str">
        <v>0.274</v>
      </c>
      <c r="BB10" t="str">
        <v>-9999.000</v>
      </c>
      <c r="BC10" t="str">
        <v>1</v>
      </c>
      <c r="BD10" t="str">
        <v>150</v>
      </c>
      <c r="BE10" t="str">
        <v>0.005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6000</v>
      </c>
      <c r="BQ10" t="str">
        <v>5</v>
      </c>
      <c r="BR10" t="str">
        <v>5.000000</v>
      </c>
      <c r="BS10" t="str">
        <v>2.000000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2.434948</v>
      </c>
      <c r="CD10" t="str">
        <v>2.449224</v>
      </c>
      <c r="CE10" t="str">
        <v>1.656607</v>
      </c>
      <c r="CF10" t="str">
        <v>0.941621</v>
      </c>
      <c r="CG10" t="str">
        <v>0.303011</v>
      </c>
      <c r="CH10" t="str">
        <v>-0.039572</v>
      </c>
      <c r="CI10" t="str">
        <v>0.078304</v>
      </c>
      <c r="CJ10" t="str">
        <v>0.107334</v>
      </c>
      <c r="CK10" t="str">
        <v>162.608383</v>
      </c>
      <c r="CL10" t="str">
        <v>0.000235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PSF-00438_20251211094537_99b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2025-12-10T14:09:08.064Z</v>
      </c>
    </row>
    <row r="11">
      <c r="A11" t="str">
        <v>8</v>
      </c>
      <c r="B11" t="str">
        <v>09:46:03</v>
      </c>
      <c r="C11" t="str">
        <v>2025-12-11</v>
      </c>
      <c r="D11" t="str">
        <v>TT25_psf_dark</v>
      </c>
      <c r="E11" t="str">
        <v>eap</v>
      </c>
      <c r="F11" t="str">
        <v/>
      </c>
      <c r="G11" t="str">
        <v>4452_Tri_pink</v>
      </c>
      <c r="H11" t="str">
        <v/>
      </c>
      <c r="I11" t="str">
        <v/>
      </c>
      <c r="J11" t="str">
        <f>1/((1/L11)-(1/K11))</f>
        <v>-0.011538</v>
      </c>
      <c r="K11" t="str">
        <f>BH11+(BI11*AN11)+(BJ11*AN11*POWER(V11,2))+(BK11*AN11*V11)+(BL11*POWER(AN11,2))</f>
        <v>2.922326</v>
      </c>
      <c r="L11" t="str">
        <f>((M11/1000)*(1000-((T11+S11)/2)))/(T11-S11)</f>
        <v>-0.011584</v>
      </c>
      <c r="M11" t="str">
        <f>(AN11*(S11-R11))/(100*U11*(1000-S11))*1000</f>
        <v>-0.190564</v>
      </c>
      <c r="N11" t="str">
        <v>0.726485</v>
      </c>
      <c r="O11" t="str">
        <v>0.731296</v>
      </c>
      <c r="P11" t="str">
        <f>0.61365*EXP((17.502*AL11)/(240.97+AL11))</f>
        <v>2.188313</v>
      </c>
      <c r="Q11" t="str">
        <f>P11-N11</f>
        <v>1.461828</v>
      </c>
      <c r="R11" t="str">
        <v>8.097084</v>
      </c>
      <c r="S11" t="str">
        <v>8.043818</v>
      </c>
      <c r="T11" t="str">
        <f>(P11/AM11)*1000</f>
        <v>24.229515</v>
      </c>
      <c r="U11" t="str">
        <f>V11*BG11</f>
        <v>0.441786</v>
      </c>
      <c r="V11" t="str">
        <v>7.500000</v>
      </c>
      <c r="W11" t="str">
        <v>PSF-00438_20251211094603_310</v>
      </c>
      <c r="X11" t="str">
        <v>185.131790</v>
      </c>
      <c r="Y11" t="str">
        <v>244.917877</v>
      </c>
      <c r="Z11" t="str">
        <v>0.244107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0.008876</v>
      </c>
      <c r="AG11" t="str">
        <v>1.000000</v>
      </c>
      <c r="AH11" t="str">
        <v>26.95</v>
      </c>
      <c r="AI11" t="str">
        <v>27.13</v>
      </c>
      <c r="AJ11" t="str">
        <v>22.26</v>
      </c>
      <c r="AK11" t="str">
        <v>18.88</v>
      </c>
      <c r="AL11" t="str">
        <f>(AK11-AJ11)*(AJ11*0+0)+AK11</f>
        <v>18.88</v>
      </c>
      <c r="AM11" t="str">
        <v>90.32</v>
      </c>
      <c r="AN11" t="str">
        <v>156.8</v>
      </c>
      <c r="AO11" t="str">
        <v>158.6</v>
      </c>
      <c r="AP11" t="str">
        <v>-1.2</v>
      </c>
      <c r="AQ11" t="str">
        <v>0</v>
      </c>
      <c r="AR11" t="str">
        <v>4.077</v>
      </c>
      <c r="AS11" t="str">
        <v>09:42:10</v>
      </c>
      <c r="AT11" t="str">
        <v>2025-12-11</v>
      </c>
      <c r="AU11" t="str">
        <v>-0.28</v>
      </c>
      <c r="AV11" t="str">
        <v>1</v>
      </c>
      <c r="AW11" t="str">
        <v>0.000</v>
      </c>
      <c r="AX11" t="str">
        <v>0.001</v>
      </c>
      <c r="AY11" t="str">
        <v>-9999.000</v>
      </c>
      <c r="AZ11" t="str">
        <v>-0.001</v>
      </c>
      <c r="BA11" t="str">
        <v>-0.129</v>
      </c>
      <c r="BB11" t="str">
        <v>-9999.000</v>
      </c>
      <c r="BC11" t="str">
        <v>1</v>
      </c>
      <c r="BD11" t="str">
        <v>150</v>
      </c>
      <c r="BE11" t="str">
        <v>0.005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6000</v>
      </c>
      <c r="BQ11" t="str">
        <v>5</v>
      </c>
      <c r="BR11" t="str">
        <v>5.000000</v>
      </c>
      <c r="BS11" t="str">
        <v>2.000000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2.436147</v>
      </c>
      <c r="CD11" t="str">
        <v>2.450240</v>
      </c>
      <c r="CE11" t="str">
        <v>1.656147</v>
      </c>
      <c r="CF11" t="str">
        <v>0.942875</v>
      </c>
      <c r="CG11" t="str">
        <v>0.304334</v>
      </c>
      <c r="CH11" t="str">
        <v>-0.036253</v>
      </c>
      <c r="CI11" t="str">
        <v>0.081999</v>
      </c>
      <c r="CJ11" t="str">
        <v>0.107383</v>
      </c>
      <c r="CK11" t="str">
        <v>185.131790</v>
      </c>
      <c r="CL11" t="str">
        <v>0.000236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PSF-00438_20251211094603_310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2025-12-10T14:09:08.064Z</v>
      </c>
    </row>
    <row r="12">
      <c r="A12" t="str">
        <v>9</v>
      </c>
      <c r="B12" t="str">
        <v>09:46:25</v>
      </c>
      <c r="C12" t="str">
        <v>2025-12-11</v>
      </c>
      <c r="D12" t="str">
        <v>TT25_psf_dark</v>
      </c>
      <c r="E12" t="str">
        <v>eap</v>
      </c>
      <c r="F12" t="str">
        <v/>
      </c>
      <c r="G12" t="str">
        <v>3077_Tri_pink</v>
      </c>
      <c r="H12" t="str">
        <v/>
      </c>
      <c r="I12" t="str">
        <v/>
      </c>
      <c r="J12" t="str">
        <f>1/((1/L12)-(1/K12))</f>
        <v>0.002687</v>
      </c>
      <c r="K12" t="str">
        <f>BH12+(BI12*AN12)+(BJ12*AN12*POWER(V12,2))+(BK12*AN12*V12)+(BL12*POWER(AN12,2))</f>
        <v>2.922274</v>
      </c>
      <c r="L12" t="str">
        <f>((M12/1000)*(1000-((T12+S12)/2)))/(T12-S12)</f>
        <v>0.002684</v>
      </c>
      <c r="M12" t="str">
        <f>(AN12*(S12-R12))/(100*U12*(1000-S12))*1000</f>
        <v>0.040892</v>
      </c>
      <c r="N12" t="str">
        <v>0.686374</v>
      </c>
      <c r="O12" t="str">
        <v>0.685341</v>
      </c>
      <c r="P12" t="str">
        <f>0.61365*EXP((17.502*AL12)/(240.97+AL12))</f>
        <v>2.041493</v>
      </c>
      <c r="Q12" t="str">
        <f>P12-N12</f>
        <v>1.355119</v>
      </c>
      <c r="R12" t="str">
        <v>7.588131</v>
      </c>
      <c r="S12" t="str">
        <v>7.599566</v>
      </c>
      <c r="T12" t="str">
        <f>(P12/AM12)*1000</f>
        <v>22.603514</v>
      </c>
      <c r="U12" t="str">
        <f>V12*BG12</f>
        <v>0.441786</v>
      </c>
      <c r="V12" t="str">
        <v>7.500000</v>
      </c>
      <c r="W12" t="str">
        <v>PSF-00438_20251211094625_c68</v>
      </c>
      <c r="X12" t="str">
        <v>226.731415</v>
      </c>
      <c r="Y12" t="str">
        <v>639.019104</v>
      </c>
      <c r="Z12" t="str">
        <v>0.645188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0.046341</v>
      </c>
      <c r="AG12" t="str">
        <v>1.000000</v>
      </c>
      <c r="AH12" t="str">
        <v>25.62</v>
      </c>
      <c r="AI12" t="str">
        <v>25.58</v>
      </c>
      <c r="AJ12" t="str">
        <v>22.16</v>
      </c>
      <c r="AK12" t="str">
        <v>17.77</v>
      </c>
      <c r="AL12" t="str">
        <f>(AK12-AJ12)*(AJ12*0+0)+AK12</f>
        <v>17.77</v>
      </c>
      <c r="AM12" t="str">
        <v>90.32</v>
      </c>
      <c r="AN12" t="str">
        <v>156.8</v>
      </c>
      <c r="AO12" t="str">
        <v>158.6</v>
      </c>
      <c r="AP12" t="str">
        <v>-1.1</v>
      </c>
      <c r="AQ12" t="str">
        <v>0</v>
      </c>
      <c r="AR12" t="str">
        <v>4.105</v>
      </c>
      <c r="AS12" t="str">
        <v>09:42:10</v>
      </c>
      <c r="AT12" t="str">
        <v>2025-12-11</v>
      </c>
      <c r="AU12" t="str">
        <v>-0.28</v>
      </c>
      <c r="AV12" t="str">
        <v>1</v>
      </c>
      <c r="AW12" t="str">
        <v>0.002</v>
      </c>
      <c r="AX12" t="str">
        <v>0.002</v>
      </c>
      <c r="AY12" t="str">
        <v>-9999.000</v>
      </c>
      <c r="AZ12" t="str">
        <v>-1.101</v>
      </c>
      <c r="BA12" t="str">
        <v>0.462</v>
      </c>
      <c r="BB12" t="str">
        <v>-9999.000</v>
      </c>
      <c r="BC12" t="str">
        <v>1</v>
      </c>
      <c r="BD12" t="str">
        <v>150</v>
      </c>
      <c r="BE12" t="str">
        <v>0.005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6000</v>
      </c>
      <c r="BQ12" t="str">
        <v>5</v>
      </c>
      <c r="BR12" t="str">
        <v>5.000000</v>
      </c>
      <c r="BS12" t="str">
        <v>2.000000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2.433824</v>
      </c>
      <c r="CD12" t="str">
        <v>2.448230</v>
      </c>
      <c r="CE12" t="str">
        <v>1.656092</v>
      </c>
      <c r="CF12" t="str">
        <v>0.942796</v>
      </c>
      <c r="CG12" t="str">
        <v>0.305529</v>
      </c>
      <c r="CH12" t="str">
        <v>-0.046947</v>
      </c>
      <c r="CI12" t="str">
        <v>0.084970</v>
      </c>
      <c r="CJ12" t="str">
        <v>0.107463</v>
      </c>
      <c r="CK12" t="str">
        <v>226.731415</v>
      </c>
      <c r="CL12" t="str">
        <v>0.000236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PSF-00438_20251211094625_c68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2025-12-10T14:09:08.064Z</v>
      </c>
    </row>
    <row r="13">
      <c r="A13" t="str">
        <v>10</v>
      </c>
      <c r="B13" t="str">
        <v>09:46:49</v>
      </c>
      <c r="C13" t="str">
        <v>2025-12-11</v>
      </c>
      <c r="D13" t="str">
        <v>TT25_psf_dark</v>
      </c>
      <c r="E13" t="str">
        <v>eap</v>
      </c>
      <c r="F13" t="str">
        <v/>
      </c>
      <c r="G13" t="str">
        <v>flag2_tri_Tri_pink</v>
      </c>
      <c r="H13" t="str">
        <v/>
      </c>
      <c r="I13" t="str">
        <v/>
      </c>
      <c r="J13" t="str">
        <f>1/((1/L13)-(1/K13))</f>
        <v>-0.011166</v>
      </c>
      <c r="K13" t="str">
        <f>BH13+(BI13*AN13)+(BJ13*AN13*POWER(V13,2))+(BK13*AN13*V13)+(BL13*POWER(AN13,2))</f>
        <v>2.921092</v>
      </c>
      <c r="L13" t="str">
        <f>((M13/1000)*(1000-((T13+S13)/2)))/(T13-S13)</f>
        <v>-0.011209</v>
      </c>
      <c r="M13" t="str">
        <f>(AN13*(S13-R13))/(100*U13*(1000-S13))*1000</f>
        <v>-0.184871</v>
      </c>
      <c r="N13" t="str">
        <v>0.694829</v>
      </c>
      <c r="O13" t="str">
        <v>0.699503</v>
      </c>
      <c r="P13" t="str">
        <f>0.61365*EXP((17.502*AL13)/(240.97+AL13))</f>
        <v>2.160959</v>
      </c>
      <c r="Q13" t="str">
        <f>P13-N13</f>
        <v>1.466130</v>
      </c>
      <c r="R13" t="str">
        <v>7.744547</v>
      </c>
      <c r="S13" t="str">
        <v>7.692803</v>
      </c>
      <c r="T13" t="str">
        <f>(P13/AM13)*1000</f>
        <v>23.925060</v>
      </c>
      <c r="U13" t="str">
        <f>V13*BG13</f>
        <v>0.441786</v>
      </c>
      <c r="V13" t="str">
        <v>7.500000</v>
      </c>
      <c r="W13" t="str">
        <v>PSF-00438_20251211094649_75c</v>
      </c>
      <c r="X13" t="str">
        <v>322.893616</v>
      </c>
      <c r="Y13" t="str">
        <v>389.259338</v>
      </c>
      <c r="Z13" t="str">
        <v>0.170492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0.041906</v>
      </c>
      <c r="AG13" t="str">
        <v>1.000000</v>
      </c>
      <c r="AH13" t="str">
        <v>26.12</v>
      </c>
      <c r="AI13" t="str">
        <v>26.30</v>
      </c>
      <c r="AJ13" t="str">
        <v>22.04</v>
      </c>
      <c r="AK13" t="str">
        <v>18.68</v>
      </c>
      <c r="AL13" t="str">
        <f>(AK13-AJ13)*(AJ13*0+0)+AK13</f>
        <v>18.68</v>
      </c>
      <c r="AM13" t="str">
        <v>90.32</v>
      </c>
      <c r="AN13" t="str">
        <v>156.6</v>
      </c>
      <c r="AO13" t="str">
        <v>158.5</v>
      </c>
      <c r="AP13" t="str">
        <v>-1.2</v>
      </c>
      <c r="AQ13" t="str">
        <v>1</v>
      </c>
      <c r="AR13" t="str">
        <v>4.103</v>
      </c>
      <c r="AS13" t="str">
        <v>09:42:10</v>
      </c>
      <c r="AT13" t="str">
        <v>2025-12-11</v>
      </c>
      <c r="AU13" t="str">
        <v>-0.28</v>
      </c>
      <c r="AV13" t="str">
        <v>1</v>
      </c>
      <c r="AW13" t="str">
        <v>0.000</v>
      </c>
      <c r="AX13" t="str">
        <v>-0.000</v>
      </c>
      <c r="AY13" t="str">
        <v>-9999.000</v>
      </c>
      <c r="AZ13" t="str">
        <v>-0.023</v>
      </c>
      <c r="BA13" t="str">
        <v>-0.483</v>
      </c>
      <c r="BB13" t="str">
        <v>-9999.000</v>
      </c>
      <c r="BC13" t="str">
        <v>1</v>
      </c>
      <c r="BD13" t="str">
        <v>150</v>
      </c>
      <c r="BE13" t="str">
        <v>0.005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6000</v>
      </c>
      <c r="BQ13" t="str">
        <v>5</v>
      </c>
      <c r="BR13" t="str">
        <v>5.000000</v>
      </c>
      <c r="BS13" t="str">
        <v>2.000000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2.434931</v>
      </c>
      <c r="CD13" t="str">
        <v>2.449020</v>
      </c>
      <c r="CE13" t="str">
        <v>1.654855</v>
      </c>
      <c r="CF13" t="str">
        <v>0.942617</v>
      </c>
      <c r="CG13" t="str">
        <v>0.307012</v>
      </c>
      <c r="CH13" t="str">
        <v>-0.035982</v>
      </c>
      <c r="CI13" t="str">
        <v>0.088235</v>
      </c>
      <c r="CJ13" t="str">
        <v>0.107854</v>
      </c>
      <c r="CK13" t="str">
        <v>322.893616</v>
      </c>
      <c r="CL13" t="str">
        <v>0.000238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PSF-00438_20251211094649_75c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2025-12-10T14:09:08.064Z</v>
      </c>
    </row>
    <row r="14">
      <c r="A14" t="str">
        <v>11</v>
      </c>
      <c r="B14" t="str">
        <v>09:47:21</v>
      </c>
      <c r="C14" t="str">
        <v>2025-12-11</v>
      </c>
      <c r="D14" t="str">
        <v>TT25_psf_dark</v>
      </c>
      <c r="E14" t="str">
        <v>eap</v>
      </c>
      <c r="F14" t="str">
        <v/>
      </c>
      <c r="G14" t="str">
        <v>4373_Tri_pink</v>
      </c>
      <c r="H14" t="str">
        <v/>
      </c>
      <c r="I14" t="str">
        <v/>
      </c>
      <c r="J14" t="str">
        <f>1/((1/L14)-(1/K14))</f>
        <v>-0.010887</v>
      </c>
      <c r="K14" t="str">
        <f>BH14+(BI14*AN14)+(BJ14*AN14*POWER(V14,2))+(BK14*AN14*V14)+(BL14*POWER(AN14,2))</f>
        <v>2.922154</v>
      </c>
      <c r="L14" t="str">
        <f>((M14/1000)*(1000-((T14+S14)/2)))/(T14-S14)</f>
        <v>-0.010928</v>
      </c>
      <c r="M14" t="str">
        <f>(AN14*(S14-R14))/(100*U14*(1000-S14))*1000</f>
        <v>-0.174038</v>
      </c>
      <c r="N14" t="str">
        <v>0.689389</v>
      </c>
      <c r="O14" t="str">
        <v>0.693785</v>
      </c>
      <c r="P14" t="str">
        <f>0.61365*EXP((17.502*AL14)/(240.97+AL14))</f>
        <v>2.105564</v>
      </c>
      <c r="Q14" t="str">
        <f>P14-N14</f>
        <v>1.416175</v>
      </c>
      <c r="R14" t="str">
        <v>7.681605</v>
      </c>
      <c r="S14" t="str">
        <v>7.632931</v>
      </c>
      <c r="T14" t="str">
        <f>(P14/AM14)*1000</f>
        <v>23.312851</v>
      </c>
      <c r="U14" t="str">
        <f>V14*BG14</f>
        <v>0.441786</v>
      </c>
      <c r="V14" t="str">
        <v>7.500000</v>
      </c>
      <c r="W14" t="str">
        <v>PSF-00438_20251211094721_877</v>
      </c>
      <c r="X14" t="str">
        <v>351.475586</v>
      </c>
      <c r="Y14" t="str">
        <v>385.278229</v>
      </c>
      <c r="Z14" t="str">
        <v>0.087736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0.017589</v>
      </c>
      <c r="AG14" t="str">
        <v>1.000000</v>
      </c>
      <c r="AH14" t="str">
        <v>26.13</v>
      </c>
      <c r="AI14" t="str">
        <v>26.30</v>
      </c>
      <c r="AJ14" t="str">
        <v>21.90</v>
      </c>
      <c r="AK14" t="str">
        <v>18.26</v>
      </c>
      <c r="AL14" t="str">
        <f>(AK14-AJ14)*(AJ14*0+0)+AK14</f>
        <v>18.26</v>
      </c>
      <c r="AM14" t="str">
        <v>90.32</v>
      </c>
      <c r="AN14" t="str">
        <v>156.8</v>
      </c>
      <c r="AO14" t="str">
        <v>158.5</v>
      </c>
      <c r="AP14" t="str">
        <v>-1.1</v>
      </c>
      <c r="AQ14" t="str">
        <v>1</v>
      </c>
      <c r="AR14" t="str">
        <v>4.102</v>
      </c>
      <c r="AS14" t="str">
        <v>09:42:10</v>
      </c>
      <c r="AT14" t="str">
        <v>2025-12-11</v>
      </c>
      <c r="AU14" t="str">
        <v>-0.28</v>
      </c>
      <c r="AV14" t="str">
        <v>1</v>
      </c>
      <c r="AW14" t="str">
        <v>0.001</v>
      </c>
      <c r="AX14" t="str">
        <v>0.002</v>
      </c>
      <c r="AY14" t="str">
        <v>-9999.000</v>
      </c>
      <c r="AZ14" t="str">
        <v>-0.623</v>
      </c>
      <c r="BA14" t="str">
        <v>-1.535</v>
      </c>
      <c r="BB14" t="str">
        <v>-9999.000</v>
      </c>
      <c r="BC14" t="str">
        <v>1</v>
      </c>
      <c r="BD14" t="str">
        <v>150</v>
      </c>
      <c r="BE14" t="str">
        <v>0.005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6000</v>
      </c>
      <c r="BQ14" t="str">
        <v>5</v>
      </c>
      <c r="BR14" t="str">
        <v>5.000000</v>
      </c>
      <c r="BS14" t="str">
        <v>2.000000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2.434952</v>
      </c>
      <c r="CD14" t="str">
        <v>2.449055</v>
      </c>
      <c r="CE14" t="str">
        <v>1.655966</v>
      </c>
      <c r="CF14" t="str">
        <v>0.942695</v>
      </c>
      <c r="CG14" t="str">
        <v>0.308673</v>
      </c>
      <c r="CH14" t="str">
        <v>-0.038910</v>
      </c>
      <c r="CI14" t="str">
        <v>0.092352</v>
      </c>
      <c r="CJ14" t="str">
        <v>0.107752</v>
      </c>
      <c r="CK14" t="str">
        <v>351.475586</v>
      </c>
      <c r="CL14" t="str">
        <v>0.000238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PSF-00438_20251211094721_877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2025-12-10T14:09:08.064Z</v>
      </c>
    </row>
    <row r="15">
      <c r="A15" t="str">
        <v>12</v>
      </c>
      <c r="B15" t="str">
        <v>09:47:40</v>
      </c>
      <c r="C15" t="str">
        <v>2025-12-11</v>
      </c>
      <c r="D15" t="str">
        <v>TT25_psf_dark</v>
      </c>
      <c r="E15" t="str">
        <v>eap</v>
      </c>
      <c r="F15" t="str">
        <v/>
      </c>
      <c r="G15" t="str">
        <v>2573_Tri_pink</v>
      </c>
      <c r="H15" t="str">
        <v/>
      </c>
      <c r="I15" t="str">
        <v/>
      </c>
      <c r="J15" t="str">
        <f>1/((1/L15)-(1/K15))</f>
        <v>0.001410</v>
      </c>
      <c r="K15" t="str">
        <f>BH15+(BI15*AN15)+(BJ15*AN15*POWER(V15,2))+(BK15*AN15*V15)+(BL15*POWER(AN15,2))</f>
        <v>2.920930</v>
      </c>
      <c r="L15" t="str">
        <f>((M15/1000)*(1000-((T15+S15)/2)))/(T15-S15)</f>
        <v>0.001409</v>
      </c>
      <c r="M15" t="str">
        <f>(AN15*(S15-R15))/(100*U15*(1000-S15))*1000</f>
        <v>0.020925</v>
      </c>
      <c r="N15" t="str">
        <v>0.688922</v>
      </c>
      <c r="O15" t="str">
        <v>0.688393</v>
      </c>
      <c r="P15" t="str">
        <f>0.61365*EXP((17.502*AL15)/(240.97+AL15))</f>
        <v>2.010205</v>
      </c>
      <c r="Q15" t="str">
        <f>P15-N15</f>
        <v>1.321282</v>
      </c>
      <c r="R15" t="str">
        <v>7.622581</v>
      </c>
      <c r="S15" t="str">
        <v>7.628439</v>
      </c>
      <c r="T15" t="str">
        <f>(P15/AM15)*1000</f>
        <v>22.258997</v>
      </c>
      <c r="U15" t="str">
        <f>V15*BG15</f>
        <v>0.441786</v>
      </c>
      <c r="V15" t="str">
        <v>7.500000</v>
      </c>
      <c r="W15" t="str">
        <v>PSF-00438_20251211094740_e28</v>
      </c>
      <c r="X15" t="str">
        <v>165.143616</v>
      </c>
      <c r="Y15" t="str">
        <v>560.648560</v>
      </c>
      <c r="Z15" t="str">
        <v>0.705442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0.160381</v>
      </c>
      <c r="AG15" t="str">
        <v>1.000000</v>
      </c>
      <c r="AH15" t="str">
        <v>26.26</v>
      </c>
      <c r="AI15" t="str">
        <v>26.24</v>
      </c>
      <c r="AJ15" t="str">
        <v>21.81</v>
      </c>
      <c r="AK15" t="str">
        <v>17.52</v>
      </c>
      <c r="AL15" t="str">
        <f>(AK15-AJ15)*(AJ15*0+0)+AK15</f>
        <v>17.52</v>
      </c>
      <c r="AM15" t="str">
        <v>90.31</v>
      </c>
      <c r="AN15" t="str">
        <v>156.6</v>
      </c>
      <c r="AO15" t="str">
        <v>140.6</v>
      </c>
      <c r="AP15" t="str">
        <v>10.2</v>
      </c>
      <c r="AQ15" t="str">
        <v>1</v>
      </c>
      <c r="AR15" t="str">
        <v>4.074</v>
      </c>
      <c r="AS15" t="str">
        <v>09:42:10</v>
      </c>
      <c r="AT15" t="str">
        <v>2025-12-11</v>
      </c>
      <c r="AU15" t="str">
        <v>-0.28</v>
      </c>
      <c r="AV15" t="str">
        <v>1</v>
      </c>
      <c r="AW15" t="str">
        <v>-0.000</v>
      </c>
      <c r="AX15" t="str">
        <v>-0.001</v>
      </c>
      <c r="AY15" t="str">
        <v>-9999.000</v>
      </c>
      <c r="AZ15" t="str">
        <v>0.008</v>
      </c>
      <c r="BA15" t="str">
        <v>-0.328</v>
      </c>
      <c r="BB15" t="str">
        <v>-9999.000</v>
      </c>
      <c r="BC15" t="str">
        <v>1</v>
      </c>
      <c r="BD15" t="str">
        <v>150</v>
      </c>
      <c r="BE15" t="str">
        <v>0.005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6000</v>
      </c>
      <c r="BQ15" t="str">
        <v>5</v>
      </c>
      <c r="BR15" t="str">
        <v>5.000000</v>
      </c>
      <c r="BS15" t="str">
        <v>2.000000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2.434877</v>
      </c>
      <c r="CD15" t="str">
        <v>2.449264</v>
      </c>
      <c r="CE15" t="str">
        <v>1.654685</v>
      </c>
      <c r="CF15" t="str">
        <v>0.897555</v>
      </c>
      <c r="CG15" t="str">
        <v>0.309804</v>
      </c>
      <c r="CH15" t="str">
        <v>-0.045706</v>
      </c>
      <c r="CI15" t="str">
        <v>0.094961</v>
      </c>
      <c r="CJ15" t="str">
        <v>0.107812</v>
      </c>
      <c r="CK15" t="str">
        <v>165.143616</v>
      </c>
      <c r="CL15" t="str">
        <v>0.000236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PSF-00438_20251211094740_e28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2025-12-10T14:09:08.064Z</v>
      </c>
    </row>
    <row r="16">
      <c r="A16" t="str">
        <v>13</v>
      </c>
      <c r="B16" t="str">
        <v>09:48:03</v>
      </c>
      <c r="C16" t="str">
        <v>2025-12-11</v>
      </c>
      <c r="D16" t="str">
        <v>TT25_psf_dark</v>
      </c>
      <c r="E16" t="str">
        <v>eap</v>
      </c>
      <c r="F16" t="str">
        <v/>
      </c>
      <c r="G16" t="str">
        <v>4777-A_Tri_pink</v>
      </c>
      <c r="H16" t="str">
        <v/>
      </c>
      <c r="I16" t="str">
        <v/>
      </c>
      <c r="J16" t="str">
        <f>1/((1/L16)-(1/K16))</f>
        <v>-0.016753</v>
      </c>
      <c r="K16" t="str">
        <f>BH16+(BI16*AN16)+(BJ16*AN16*POWER(V16,2))+(BK16*AN16*V16)+(BL16*POWER(AN16,2))</f>
        <v>2.921340</v>
      </c>
      <c r="L16" t="str">
        <f>((M16/1000)*(1000-((T16+S16)/2)))/(T16-S16)</f>
        <v>-0.016849</v>
      </c>
      <c r="M16" t="str">
        <f>(AN16*(S16-R16))/(100*U16*(1000-S16))*1000</f>
        <v>-0.227952</v>
      </c>
      <c r="N16" t="str">
        <v>0.670410</v>
      </c>
      <c r="O16" t="str">
        <v>0.676172</v>
      </c>
      <c r="P16" t="str">
        <f>0.61365*EXP((17.502*AL16)/(240.97+AL16))</f>
        <v>1.874901</v>
      </c>
      <c r="Q16" t="str">
        <f>P16-N16</f>
        <v>1.204492</v>
      </c>
      <c r="R16" t="str">
        <v>7.487643</v>
      </c>
      <c r="S16" t="str">
        <v>7.423836</v>
      </c>
      <c r="T16" t="str">
        <f>(P16/AM16)*1000</f>
        <v>20.761875</v>
      </c>
      <c r="U16" t="str">
        <f>V16*BG16</f>
        <v>0.441786</v>
      </c>
      <c r="V16" t="str">
        <v>7.500000</v>
      </c>
      <c r="W16" t="str">
        <v>PSF-00438_20251211094803_db8</v>
      </c>
      <c r="X16" t="str">
        <v>342.665802</v>
      </c>
      <c r="Y16" t="str">
        <v>415.955200</v>
      </c>
      <c r="Z16" t="str">
        <v>0.176195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0.005679</v>
      </c>
      <c r="AG16" t="str">
        <v>1.000000</v>
      </c>
      <c r="AH16" t="str">
        <v>25.70</v>
      </c>
      <c r="AI16" t="str">
        <v>25.92</v>
      </c>
      <c r="AJ16" t="str">
        <v>21.72</v>
      </c>
      <c r="AK16" t="str">
        <v>16.43</v>
      </c>
      <c r="AL16" t="str">
        <f>(AK16-AJ16)*(AJ16*0+0)+AK16</f>
        <v>16.43</v>
      </c>
      <c r="AM16" t="str">
        <v>90.31</v>
      </c>
      <c r="AN16" t="str">
        <v>156.7</v>
      </c>
      <c r="AO16" t="str">
        <v>158.2</v>
      </c>
      <c r="AP16" t="str">
        <v>-1.0</v>
      </c>
      <c r="AQ16" t="str">
        <v>0</v>
      </c>
      <c r="AR16" t="str">
        <v>4.100</v>
      </c>
      <c r="AS16" t="str">
        <v>09:42:10</v>
      </c>
      <c r="AT16" t="str">
        <v>2025-12-11</v>
      </c>
      <c r="AU16" t="str">
        <v>-0.28</v>
      </c>
      <c r="AV16" t="str">
        <v>1</v>
      </c>
      <c r="AW16" t="str">
        <v>-0.001</v>
      </c>
      <c r="AX16" t="str">
        <v>-0.002</v>
      </c>
      <c r="AY16" t="str">
        <v>-9999.000</v>
      </c>
      <c r="AZ16" t="str">
        <v>-0.417</v>
      </c>
      <c r="BA16" t="str">
        <v>-1.374</v>
      </c>
      <c r="BB16" t="str">
        <v>-9999.000</v>
      </c>
      <c r="BC16" t="str">
        <v>1</v>
      </c>
      <c r="BD16" t="str">
        <v>150</v>
      </c>
      <c r="BE16" t="str">
        <v>0.005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6000</v>
      </c>
      <c r="BQ16" t="str">
        <v>5</v>
      </c>
      <c r="BR16" t="str">
        <v>5.000000</v>
      </c>
      <c r="BS16" t="str">
        <v>2.000000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2.434412</v>
      </c>
      <c r="CD16" t="str">
        <v>2.448430</v>
      </c>
      <c r="CE16" t="str">
        <v>1.655113</v>
      </c>
      <c r="CF16" t="str">
        <v>0.941760</v>
      </c>
      <c r="CG16" t="str">
        <v>0.310978</v>
      </c>
      <c r="CH16" t="str">
        <v>-0.056205</v>
      </c>
      <c r="CI16" t="str">
        <v>0.097905</v>
      </c>
      <c r="CJ16" t="str">
        <v>0.107373</v>
      </c>
      <c r="CK16" t="str">
        <v>342.665802</v>
      </c>
      <c r="CL16" t="str">
        <v>0.000239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PSF-00438_20251211094803_db8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2025-12-10T14:09:08.064Z</v>
      </c>
    </row>
    <row r="17">
      <c r="A17" t="str">
        <v>14</v>
      </c>
      <c r="B17" t="str">
        <v>09:48:55</v>
      </c>
      <c r="C17" t="str">
        <v>2025-12-11</v>
      </c>
      <c r="D17" t="str">
        <v>TT25_psf_dark</v>
      </c>
      <c r="E17" t="str">
        <v>eap</v>
      </c>
      <c r="F17" t="str">
        <v/>
      </c>
      <c r="G17" t="str">
        <v>2703_Tri_pink</v>
      </c>
      <c r="H17" t="str">
        <v/>
      </c>
      <c r="I17" t="str">
        <v/>
      </c>
      <c r="J17" t="str">
        <f>1/((1/L17)-(1/K17))</f>
        <v>-0.012292</v>
      </c>
      <c r="K17" t="str">
        <f>BH17+(BI17*AN17)+(BJ17*AN17*POWER(V17,2))+(BK17*AN17*V17)+(BL17*POWER(AN17,2))</f>
        <v>2.921426</v>
      </c>
      <c r="L17" t="str">
        <f>((M17/1000)*(1000-((T17+S17)/2)))/(T17-S17)</f>
        <v>-0.012344</v>
      </c>
      <c r="M17" t="str">
        <f>(AN17*(S17-R17))/(100*U17*(1000-S17))*1000</f>
        <v>-0.216190</v>
      </c>
      <c r="N17" t="str">
        <v>0.700537</v>
      </c>
      <c r="O17" t="str">
        <v>0.705999</v>
      </c>
      <c r="P17" t="str">
        <f>0.61365*EXP((17.502*AL17)/(240.97+AL17))</f>
        <v>2.256107</v>
      </c>
      <c r="Q17" t="str">
        <f>P17-N17</f>
        <v>1.555570</v>
      </c>
      <c r="R17" t="str">
        <v>7.818485</v>
      </c>
      <c r="S17" t="str">
        <v>7.757994</v>
      </c>
      <c r="T17" t="str">
        <f>(P17/AM17)*1000</f>
        <v>24.984917</v>
      </c>
      <c r="U17" t="str">
        <f>V17*BG17</f>
        <v>0.441786</v>
      </c>
      <c r="V17" t="str">
        <v>7.500000</v>
      </c>
      <c r="W17" t="str">
        <v>PSF-00438_20251211094855_286</v>
      </c>
      <c r="X17" t="str">
        <v>233.554245</v>
      </c>
      <c r="Y17" t="str">
        <v>511.525146</v>
      </c>
      <c r="Z17" t="str">
        <v>0.543416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0.011119</v>
      </c>
      <c r="AG17" t="str">
        <v>1.000000</v>
      </c>
      <c r="AH17" t="str">
        <v>27.18</v>
      </c>
      <c r="AI17" t="str">
        <v>27.39</v>
      </c>
      <c r="AJ17" t="str">
        <v>21.52</v>
      </c>
      <c r="AK17" t="str">
        <v>19.37</v>
      </c>
      <c r="AL17" t="str">
        <f>(AK17-AJ17)*(AJ17*0+0)+AK17</f>
        <v>19.37</v>
      </c>
      <c r="AM17" t="str">
        <v>90.30</v>
      </c>
      <c r="AN17" t="str">
        <v>156.7</v>
      </c>
      <c r="AO17" t="str">
        <v>129.1</v>
      </c>
      <c r="AP17" t="str">
        <v>17.6</v>
      </c>
      <c r="AQ17" t="str">
        <v>0</v>
      </c>
      <c r="AR17" t="str">
        <v>4.072</v>
      </c>
      <c r="AS17" t="str">
        <v>09:42:10</v>
      </c>
      <c r="AT17" t="str">
        <v>2025-12-11</v>
      </c>
      <c r="AU17" t="str">
        <v>-0.28</v>
      </c>
      <c r="AV17" t="str">
        <v>1</v>
      </c>
      <c r="AW17" t="str">
        <v>-0.000</v>
      </c>
      <c r="AX17" t="str">
        <v>-0.001</v>
      </c>
      <c r="AY17" t="str">
        <v>-9999.000</v>
      </c>
      <c r="AZ17" t="str">
        <v>-0.257</v>
      </c>
      <c r="BA17" t="str">
        <v>-1.500</v>
      </c>
      <c r="BB17" t="str">
        <v>-9999.000</v>
      </c>
      <c r="BC17" t="str">
        <v>1</v>
      </c>
      <c r="BD17" t="str">
        <v>150</v>
      </c>
      <c r="BE17" t="str">
        <v>0.005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6000</v>
      </c>
      <c r="BQ17" t="str">
        <v>5</v>
      </c>
      <c r="BR17" t="str">
        <v>5.000000</v>
      </c>
      <c r="BS17" t="str">
        <v>2.000000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2.436651</v>
      </c>
      <c r="CD17" t="str">
        <v>2.450702</v>
      </c>
      <c r="CE17" t="str">
        <v>1.655204</v>
      </c>
      <c r="CF17" t="str">
        <v>0.869468</v>
      </c>
      <c r="CG17" t="str">
        <v>0.313419</v>
      </c>
      <c r="CH17" t="str">
        <v>-0.022874</v>
      </c>
      <c r="CI17" t="str">
        <v>0.104906</v>
      </c>
      <c r="CJ17" t="str">
        <v>0.107347</v>
      </c>
      <c r="CK17" t="str">
        <v>233.554245</v>
      </c>
      <c r="CL17" t="str">
        <v>0.000237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PSF-00438_20251211094855_286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2025-12-10T14:09:08.064Z</v>
      </c>
    </row>
    <row r="18">
      <c r="A18" t="str">
        <v>15</v>
      </c>
      <c r="B18" t="str">
        <v>09:49:16</v>
      </c>
      <c r="C18" t="str">
        <v>2025-12-11</v>
      </c>
      <c r="D18" t="str">
        <v>TT25_psf_dark</v>
      </c>
      <c r="E18" t="str">
        <v>eap</v>
      </c>
      <c r="F18" t="str">
        <v/>
      </c>
      <c r="G18" t="str">
        <v>5115_Tri_pink</v>
      </c>
      <c r="H18" t="str">
        <v/>
      </c>
      <c r="I18" t="str">
        <v/>
      </c>
      <c r="J18" t="str">
        <f>1/((1/L18)-(1/K18))</f>
        <v>-0.014440</v>
      </c>
      <c r="K18" t="str">
        <f>BH18+(BI18*AN18)+(BJ18*AN18*POWER(V18,2))+(BK18*AN18*V18)+(BL18*POWER(AN18,2))</f>
        <v>2.922172</v>
      </c>
      <c r="L18" t="str">
        <f>((M18/1000)*(1000-((T18+S18)/2)))/(T18-S18)</f>
        <v>-0.014512</v>
      </c>
      <c r="M18" t="str">
        <f>(AN18*(S18-R18))/(100*U18*(1000-S18))*1000</f>
        <v>-0.203063</v>
      </c>
      <c r="N18" t="str">
        <v>0.674562</v>
      </c>
      <c r="O18" t="str">
        <v>0.679691</v>
      </c>
      <c r="P18" t="str">
        <f>0.61365*EXP((17.502*AL18)/(240.97+AL18))</f>
        <v>1.919938</v>
      </c>
      <c r="Q18" t="str">
        <f>P18-N18</f>
        <v>1.245376</v>
      </c>
      <c r="R18" t="str">
        <v>7.527182</v>
      </c>
      <c r="S18" t="str">
        <v>7.470381</v>
      </c>
      <c r="T18" t="str">
        <f>(P18/AM18)*1000</f>
        <v>21.262188</v>
      </c>
      <c r="U18" t="str">
        <f>V18*BG18</f>
        <v>0.441786</v>
      </c>
      <c r="V18" t="str">
        <v>7.500000</v>
      </c>
      <c r="W18" t="str">
        <v>PSF-00438_20251211094916_b42</v>
      </c>
      <c r="X18" t="str">
        <v>371.657959</v>
      </c>
      <c r="Y18" t="str">
        <v>428.238983</v>
      </c>
      <c r="Z18" t="str">
        <v>0.132125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0.002977</v>
      </c>
      <c r="AG18" t="str">
        <v>1.000000</v>
      </c>
      <c r="AH18" t="str">
        <v>26.30</v>
      </c>
      <c r="AI18" t="str">
        <v>26.50</v>
      </c>
      <c r="AJ18" t="str">
        <v>21.44</v>
      </c>
      <c r="AK18" t="str">
        <v>16.80</v>
      </c>
      <c r="AL18" t="str">
        <f>(AK18-AJ18)*(AJ18*0+0)+AK18</f>
        <v>16.80</v>
      </c>
      <c r="AM18" t="str">
        <v>90.30</v>
      </c>
      <c r="AN18" t="str">
        <v>156.8</v>
      </c>
      <c r="AO18" t="str">
        <v>156.1</v>
      </c>
      <c r="AP18" t="str">
        <v>0.4</v>
      </c>
      <c r="AQ18" t="str">
        <v>0</v>
      </c>
      <c r="AR18" t="str">
        <v>4.099</v>
      </c>
      <c r="AS18" t="str">
        <v>09:42:10</v>
      </c>
      <c r="AT18" t="str">
        <v>2025-12-11</v>
      </c>
      <c r="AU18" t="str">
        <v>-0.28</v>
      </c>
      <c r="AV18" t="str">
        <v>1</v>
      </c>
      <c r="AW18" t="str">
        <v>0.001</v>
      </c>
      <c r="AX18" t="str">
        <v>0.002</v>
      </c>
      <c r="AY18" t="str">
        <v>-9999.000</v>
      </c>
      <c r="AZ18" t="str">
        <v>-0.150</v>
      </c>
      <c r="BA18" t="str">
        <v>0.010</v>
      </c>
      <c r="BB18" t="str">
        <v>-9999.000</v>
      </c>
      <c r="BC18" t="str">
        <v>1</v>
      </c>
      <c r="BD18" t="str">
        <v>150</v>
      </c>
      <c r="BE18" t="str">
        <v>0.005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6000</v>
      </c>
      <c r="BQ18" t="str">
        <v>5</v>
      </c>
      <c r="BR18" t="str">
        <v>5.000000</v>
      </c>
      <c r="BS18" t="str">
        <v>2.000000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2.435330</v>
      </c>
      <c r="CD18" t="str">
        <v>2.449389</v>
      </c>
      <c r="CE18" t="str">
        <v>1.655985</v>
      </c>
      <c r="CF18" t="str">
        <v>0.936508</v>
      </c>
      <c r="CG18" t="str">
        <v>0.314454</v>
      </c>
      <c r="CH18" t="str">
        <v>-0.049251</v>
      </c>
      <c r="CI18" t="str">
        <v>0.107551</v>
      </c>
      <c r="CJ18" t="str">
        <v>0.107352</v>
      </c>
      <c r="CK18" t="str">
        <v>371.657959</v>
      </c>
      <c r="CL18" t="str">
        <v>0.000238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PSF-00438_20251211094916_b42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2025-12-10T14:09:08.064Z</v>
      </c>
    </row>
    <row r="19">
      <c r="A19" t="str">
        <v>16</v>
      </c>
      <c r="B19" t="str">
        <v>09:49:52</v>
      </c>
      <c r="C19" t="str">
        <v>2025-12-11</v>
      </c>
      <c r="D19" t="str">
        <v>TT25_psf_dark</v>
      </c>
      <c r="E19" t="str">
        <v>eap</v>
      </c>
      <c r="F19" t="str">
        <v/>
      </c>
      <c r="G19" t="str">
        <v>972_Tri_purple</v>
      </c>
      <c r="H19" t="str">
        <v/>
      </c>
      <c r="I19" t="str">
        <v/>
      </c>
      <c r="J19" t="str">
        <f>1/((1/L19)-(1/K19))</f>
        <v>-0.015417</v>
      </c>
      <c r="K19" t="str">
        <f>BH19+(BI19*AN19)+(BJ19*AN19*POWER(V19,2))+(BK19*AN19*V19)+(BL19*POWER(AN19,2))</f>
        <v>2.920994</v>
      </c>
      <c r="L19" t="str">
        <f>((M19/1000)*(1000-((T19+S19)/2)))/(T19-S19)</f>
        <v>-0.015499</v>
      </c>
      <c r="M19" t="str">
        <f>(AN19*(S19-R19))/(100*U19*(1000-S19))*1000</f>
        <v>-0.235031</v>
      </c>
      <c r="N19" t="str">
        <v>0.657877</v>
      </c>
      <c r="O19" t="str">
        <v>0.663820</v>
      </c>
      <c r="P19" t="str">
        <f>0.61365*EXP((17.502*AL19)/(240.97+AL19))</f>
        <v>2.007011</v>
      </c>
      <c r="Q19" t="str">
        <f>P19-N19</f>
        <v>1.349135</v>
      </c>
      <c r="R19" t="str">
        <v>7.351211</v>
      </c>
      <c r="S19" t="str">
        <v>7.285395</v>
      </c>
      <c r="T19" t="str">
        <f>(P19/AM19)*1000</f>
        <v>22.225853</v>
      </c>
      <c r="U19" t="str">
        <f>V19*BG19</f>
        <v>0.441786</v>
      </c>
      <c r="V19" t="str">
        <v>7.500000</v>
      </c>
      <c r="W19" t="str">
        <v>PSF-00438_20251211094952_fb6</v>
      </c>
      <c r="X19" t="str">
        <v>186.222549</v>
      </c>
      <c r="Y19" t="str">
        <v>514.789246</v>
      </c>
      <c r="Z19" t="str">
        <v>0.638255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0.120341</v>
      </c>
      <c r="AG19" t="str">
        <v>1.000000</v>
      </c>
      <c r="AH19" t="str">
        <v>25.84</v>
      </c>
      <c r="AI19" t="str">
        <v>26.08</v>
      </c>
      <c r="AJ19" t="str">
        <v>21.32</v>
      </c>
      <c r="AK19" t="str">
        <v>17.50</v>
      </c>
      <c r="AL19" t="str">
        <f>(AK19-AJ19)*(AJ19*0+0)+AK19</f>
        <v>17.50</v>
      </c>
      <c r="AM19" t="str">
        <v>90.30</v>
      </c>
      <c r="AN19" t="str">
        <v>156.6</v>
      </c>
      <c r="AO19" t="str">
        <v>158.3</v>
      </c>
      <c r="AP19" t="str">
        <v>-1.1</v>
      </c>
      <c r="AQ19" t="str">
        <v>0</v>
      </c>
      <c r="AR19" t="str">
        <v>4.099</v>
      </c>
      <c r="AS19" t="str">
        <v>09:42:10</v>
      </c>
      <c r="AT19" t="str">
        <v>2025-12-11</v>
      </c>
      <c r="AU19" t="str">
        <v>-0.28</v>
      </c>
      <c r="AV19" t="str">
        <v>1</v>
      </c>
      <c r="AW19" t="str">
        <v>-0.000</v>
      </c>
      <c r="AX19" t="str">
        <v>0.002</v>
      </c>
      <c r="AY19" t="str">
        <v>-9999.000</v>
      </c>
      <c r="AZ19" t="str">
        <v>-0.166</v>
      </c>
      <c r="BA19" t="str">
        <v>0.266</v>
      </c>
      <c r="BB19" t="str">
        <v>-9999.000</v>
      </c>
      <c r="BC19" t="str">
        <v>1</v>
      </c>
      <c r="BD19" t="str">
        <v>150</v>
      </c>
      <c r="BE19" t="str">
        <v>0.005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6000</v>
      </c>
      <c r="BQ19" t="str">
        <v>5</v>
      </c>
      <c r="BR19" t="str">
        <v>5.000000</v>
      </c>
      <c r="BS19" t="str">
        <v>2.000000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2.434703</v>
      </c>
      <c r="CD19" t="str">
        <v>2.448707</v>
      </c>
      <c r="CE19" t="str">
        <v>1.654752</v>
      </c>
      <c r="CF19" t="str">
        <v>0.942137</v>
      </c>
      <c r="CG19" t="str">
        <v>0.315977</v>
      </c>
      <c r="CH19" t="str">
        <v>-0.040554</v>
      </c>
      <c r="CI19" t="str">
        <v>0.112173</v>
      </c>
      <c r="CJ19" t="str">
        <v>0.107725</v>
      </c>
      <c r="CK19" t="str">
        <v>186.222549</v>
      </c>
      <c r="CL19" t="str">
        <v>0.000239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PSF-00438_20251211094952_fb6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2025-12-10T14:09:08.064Z</v>
      </c>
    </row>
    <row r="20">
      <c r="A20" t="str">
        <v>17</v>
      </c>
      <c r="B20" t="str">
        <v>09:50:07</v>
      </c>
      <c r="C20" t="str">
        <v>2025-12-11</v>
      </c>
      <c r="D20" t="str">
        <v>TT25_psf_dark</v>
      </c>
      <c r="E20" t="str">
        <v>eap</v>
      </c>
      <c r="F20" t="str">
        <v/>
      </c>
      <c r="G20" t="str">
        <v>3043_Tri_purple</v>
      </c>
      <c r="H20" t="str">
        <v/>
      </c>
      <c r="I20" t="str">
        <v/>
      </c>
      <c r="J20" t="str">
        <f>1/((1/L20)-(1/K20))</f>
        <v>-0.012044</v>
      </c>
      <c r="K20" t="str">
        <f>BH20+(BI20*AN20)+(BJ20*AN20*POWER(V20,2))+(BK20*AN20*V20)+(BL20*POWER(AN20,2))</f>
        <v>2.923758</v>
      </c>
      <c r="L20" t="str">
        <f>((M20/1000)*(1000-((T20+S20)/2)))/(T20-S20)</f>
        <v>-0.012093</v>
      </c>
      <c r="M20" t="str">
        <f>(AN20*(S20-R20))/(100*U20*(1000-S20))*1000</f>
        <v>-0.172764</v>
      </c>
      <c r="N20" t="str">
        <v>0.653158</v>
      </c>
      <c r="O20" t="str">
        <v>0.657517</v>
      </c>
      <c r="P20" t="str">
        <f>0.61365*EXP((17.502*AL20)/(240.97+AL20))</f>
        <v>1.924756</v>
      </c>
      <c r="Q20" t="str">
        <f>P20-N20</f>
        <v>1.271598</v>
      </c>
      <c r="R20" t="str">
        <v>7.281492</v>
      </c>
      <c r="S20" t="str">
        <v>7.233216</v>
      </c>
      <c r="T20" t="str">
        <f>(P20/AM20)*1000</f>
        <v>21.315187</v>
      </c>
      <c r="U20" t="str">
        <f>V20*BG20</f>
        <v>0.441786</v>
      </c>
      <c r="V20" t="str">
        <v>7.500000</v>
      </c>
      <c r="W20" t="str">
        <v>PSF-00438_20251211095007_827</v>
      </c>
      <c r="X20" t="str">
        <v>140.352493</v>
      </c>
      <c r="Y20" t="str">
        <v>452.897797</v>
      </c>
      <c r="Z20" t="str">
        <v>0.690101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0.077441</v>
      </c>
      <c r="AG20" t="str">
        <v>1.000000</v>
      </c>
      <c r="AH20" t="str">
        <v>25.74</v>
      </c>
      <c r="AI20" t="str">
        <v>25.92</v>
      </c>
      <c r="AJ20" t="str">
        <v>21.27</v>
      </c>
      <c r="AK20" t="str">
        <v>16.84</v>
      </c>
      <c r="AL20" t="str">
        <f>(AK20-AJ20)*(AJ20*0+0)+AK20</f>
        <v>16.84</v>
      </c>
      <c r="AM20" t="str">
        <v>90.30</v>
      </c>
      <c r="AN20" t="str">
        <v>157.0</v>
      </c>
      <c r="AO20" t="str">
        <v>158.7</v>
      </c>
      <c r="AP20" t="str">
        <v>-1.1</v>
      </c>
      <c r="AQ20" t="str">
        <v>0</v>
      </c>
      <c r="AR20" t="str">
        <v>4.098</v>
      </c>
      <c r="AS20" t="str">
        <v>09:42:10</v>
      </c>
      <c r="AT20" t="str">
        <v>2025-12-11</v>
      </c>
      <c r="AU20" t="str">
        <v>-0.28</v>
      </c>
      <c r="AV20" t="str">
        <v>1</v>
      </c>
      <c r="AW20" t="str">
        <v>0.001</v>
      </c>
      <c r="AX20" t="str">
        <v>0.002</v>
      </c>
      <c r="AY20" t="str">
        <v>-9999.000</v>
      </c>
      <c r="AZ20" t="str">
        <v>-0.417</v>
      </c>
      <c r="BA20" t="str">
        <v>0.435</v>
      </c>
      <c r="BB20" t="str">
        <v>-9999.000</v>
      </c>
      <c r="BC20" t="str">
        <v>1</v>
      </c>
      <c r="BD20" t="str">
        <v>150</v>
      </c>
      <c r="BE20" t="str">
        <v>0.005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6000</v>
      </c>
      <c r="BQ20" t="str">
        <v>5</v>
      </c>
      <c r="BR20" t="str">
        <v>5.000000</v>
      </c>
      <c r="BS20" t="str">
        <v>2.000000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2.434467</v>
      </c>
      <c r="CD20" t="str">
        <v>2.448563</v>
      </c>
      <c r="CE20" t="str">
        <v>1.657650</v>
      </c>
      <c r="CF20" t="str">
        <v>0.943259</v>
      </c>
      <c r="CG20" t="str">
        <v>0.316668</v>
      </c>
      <c r="CH20" t="str">
        <v>-0.046916</v>
      </c>
      <c r="CI20" t="str">
        <v>0.113999</v>
      </c>
      <c r="CJ20" t="str">
        <v>0.107553</v>
      </c>
      <c r="CK20" t="str">
        <v>140.352493</v>
      </c>
      <c r="CL20" t="str">
        <v>0.000236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PSF-00438_20251211095007_827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2025-12-10T14:09:08.064Z</v>
      </c>
    </row>
    <row r="21">
      <c r="A21" t="str">
        <v>18</v>
      </c>
      <c r="B21" t="str">
        <v>09:50:26</v>
      </c>
      <c r="C21" t="str">
        <v>2025-12-11</v>
      </c>
      <c r="D21" t="str">
        <v>TT25_psf_dark</v>
      </c>
      <c r="E21" t="str">
        <v>eap</v>
      </c>
      <c r="F21" t="str">
        <v/>
      </c>
      <c r="G21" t="str">
        <v>2379_Tri_purple</v>
      </c>
      <c r="H21" t="str">
        <v/>
      </c>
      <c r="I21" t="str">
        <v/>
      </c>
      <c r="J21" t="str">
        <f>1/((1/L21)-(1/K21))</f>
        <v>-0.009560</v>
      </c>
      <c r="K21" t="str">
        <f>BH21+(BI21*AN21)+(BJ21*AN21*POWER(V21,2))+(BK21*AN21*V21)+(BL21*POWER(AN21,2))</f>
        <v>2.921187</v>
      </c>
      <c r="L21" t="str">
        <f>((M21/1000)*(1000-((T21+S21)/2)))/(T21-S21)</f>
        <v>-0.009592</v>
      </c>
      <c r="M21" t="str">
        <f>(AN21*(S21-R21))/(100*U21*(1000-S21))*1000</f>
        <v>-0.146846</v>
      </c>
      <c r="N21" t="str">
        <v>0.654201</v>
      </c>
      <c r="O21" t="str">
        <v>0.657914</v>
      </c>
      <c r="P21" t="str">
        <f>0.61365*EXP((17.502*AL21)/(240.97+AL21))</f>
        <v>2.016196</v>
      </c>
      <c r="Q21" t="str">
        <f>P21-N21</f>
        <v>1.361995</v>
      </c>
      <c r="R21" t="str">
        <v>7.285985</v>
      </c>
      <c r="S21" t="str">
        <v>7.244869</v>
      </c>
      <c r="T21" t="str">
        <f>(P21/AM21)*1000</f>
        <v>22.328125</v>
      </c>
      <c r="U21" t="str">
        <f>V21*BG21</f>
        <v>0.441786</v>
      </c>
      <c r="V21" t="str">
        <v>7.500000</v>
      </c>
      <c r="W21" t="str">
        <v>PSF-00438_20251211095026_336</v>
      </c>
      <c r="X21" t="str">
        <v>172.238953</v>
      </c>
      <c r="Y21" t="str">
        <v>632.830017</v>
      </c>
      <c r="Z21" t="str">
        <v>0.727827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0.012924</v>
      </c>
      <c r="AG21" t="str">
        <v>1.000000</v>
      </c>
      <c r="AH21" t="str">
        <v>25.89</v>
      </c>
      <c r="AI21" t="str">
        <v>26.04</v>
      </c>
      <c r="AJ21" t="str">
        <v>21.20</v>
      </c>
      <c r="AK21" t="str">
        <v>17.57</v>
      </c>
      <c r="AL21" t="str">
        <f>(AK21-AJ21)*(AJ21*0+0)+AK21</f>
        <v>17.57</v>
      </c>
      <c r="AM21" t="str">
        <v>90.30</v>
      </c>
      <c r="AN21" t="str">
        <v>156.6</v>
      </c>
      <c r="AO21" t="str">
        <v>158.5</v>
      </c>
      <c r="AP21" t="str">
        <v>-1.2</v>
      </c>
      <c r="AQ21" t="str">
        <v>0</v>
      </c>
      <c r="AR21" t="str">
        <v>4.069</v>
      </c>
      <c r="AS21" t="str">
        <v>09:42:10</v>
      </c>
      <c r="AT21" t="str">
        <v>2025-12-11</v>
      </c>
      <c r="AU21" t="str">
        <v>-0.28</v>
      </c>
      <c r="AV21" t="str">
        <v>1</v>
      </c>
      <c r="AW21" t="str">
        <v>-0.001</v>
      </c>
      <c r="AX21" t="str">
        <v>-0.005</v>
      </c>
      <c r="AY21" t="str">
        <v>-9999.000</v>
      </c>
      <c r="AZ21" t="str">
        <v>0.277</v>
      </c>
      <c r="BA21" t="str">
        <v>0.452</v>
      </c>
      <c r="BB21" t="str">
        <v>-9999.000</v>
      </c>
      <c r="BC21" t="str">
        <v>1</v>
      </c>
      <c r="BD21" t="str">
        <v>150</v>
      </c>
      <c r="BE21" t="str">
        <v>0.005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6000</v>
      </c>
      <c r="BQ21" t="str">
        <v>5</v>
      </c>
      <c r="BR21" t="str">
        <v>5.000000</v>
      </c>
      <c r="BS21" t="str">
        <v>2.000000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2.434663</v>
      </c>
      <c r="CD21" t="str">
        <v>2.448799</v>
      </c>
      <c r="CE21" t="str">
        <v>1.654954</v>
      </c>
      <c r="CF21" t="str">
        <v>0.942672</v>
      </c>
      <c r="CG21" t="str">
        <v>0.317523</v>
      </c>
      <c r="CH21" t="str">
        <v>-0.038452</v>
      </c>
      <c r="CI21" t="str">
        <v>0.116322</v>
      </c>
      <c r="CJ21" t="str">
        <v>0.107341</v>
      </c>
      <c r="CK21" t="str">
        <v>172.238953</v>
      </c>
      <c r="CL21" t="str">
        <v>0.000238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PSF-00438_20251211095026_336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2025-12-10T14:09:08.064Z</v>
      </c>
    </row>
    <row r="22">
      <c r="A22" t="str">
        <v>19</v>
      </c>
      <c r="B22" t="str">
        <v>09:50:43</v>
      </c>
      <c r="C22" t="str">
        <v>2025-12-11</v>
      </c>
      <c r="D22" t="str">
        <v>TT25_psf_dark</v>
      </c>
      <c r="E22" t="str">
        <v>eap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-0.000217</v>
      </c>
      <c r="K22" t="str">
        <f>BH22+(BI22*AN22)+(BJ22*AN22*POWER(V22,2))+(BK22*AN22*V22)+(BL22*POWER(AN22,2))</f>
        <v>2.922158</v>
      </c>
      <c r="L22" t="str">
        <f>((M22/1000)*(1000-((T22+S22)/2)))/(T22-S22)</f>
        <v>-0.000217</v>
      </c>
      <c r="M22" t="str">
        <f>(AN22*(S22-R22))/(100*U22*(1000-S22))*1000</f>
        <v>-0.003090</v>
      </c>
      <c r="N22" t="str">
        <v>0.667736</v>
      </c>
      <c r="O22" t="str">
        <v>0.667814</v>
      </c>
      <c r="P22" t="str">
        <f>0.61365*EXP((17.502*AL22)/(240.97+AL22))</f>
        <v>1.934462</v>
      </c>
      <c r="Q22" t="str">
        <f>P22-N22</f>
        <v>1.266726</v>
      </c>
      <c r="R22" t="str">
        <v>7.396239</v>
      </c>
      <c r="S22" t="str">
        <v>7.395375</v>
      </c>
      <c r="T22" t="str">
        <f>(P22/AM22)*1000</f>
        <v>21.424751</v>
      </c>
      <c r="U22" t="str">
        <f>V22*BG22</f>
        <v>0.441786</v>
      </c>
      <c r="V22" t="str">
        <v>7.500000</v>
      </c>
      <c r="W22" t="str">
        <v>PSF-00438_20251211095043_c5c</v>
      </c>
      <c r="X22" t="str">
        <v>150.632141</v>
      </c>
      <c r="Y22" t="str">
        <v>559.682251</v>
      </c>
      <c r="Z22" t="str">
        <v>0.730861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0.009259</v>
      </c>
      <c r="AG22" t="str">
        <v>1.000000</v>
      </c>
      <c r="AH22" t="str">
        <v>26.54</v>
      </c>
      <c r="AI22" t="str">
        <v>26.54</v>
      </c>
      <c r="AJ22" t="str">
        <v>21.13</v>
      </c>
      <c r="AK22" t="str">
        <v>16.92</v>
      </c>
      <c r="AL22" t="str">
        <f>(AK22-AJ22)*(AJ22*0+0)+AK22</f>
        <v>16.92</v>
      </c>
      <c r="AM22" t="str">
        <v>90.29</v>
      </c>
      <c r="AN22" t="str">
        <v>156.8</v>
      </c>
      <c r="AO22" t="str">
        <v>158.5</v>
      </c>
      <c r="AP22" t="str">
        <v>-1.1</v>
      </c>
      <c r="AQ22" t="str">
        <v>0</v>
      </c>
      <c r="AR22" t="str">
        <v>4.096</v>
      </c>
      <c r="AS22" t="str">
        <v>09:42:10</v>
      </c>
      <c r="AT22" t="str">
        <v>2025-12-11</v>
      </c>
      <c r="AU22" t="str">
        <v>-0.28</v>
      </c>
      <c r="AV22" t="str">
        <v>1</v>
      </c>
      <c r="AW22" t="str">
        <v>0.002</v>
      </c>
      <c r="AX22" t="str">
        <v>0.003</v>
      </c>
      <c r="AY22" t="str">
        <v>-9999.000</v>
      </c>
      <c r="AZ22" t="str">
        <v>-0.223</v>
      </c>
      <c r="BA22" t="str">
        <v>-0.050</v>
      </c>
      <c r="BB22" t="str">
        <v>-9999.000</v>
      </c>
      <c r="BC22" t="str">
        <v>1</v>
      </c>
      <c r="BD22" t="str">
        <v>150</v>
      </c>
      <c r="BE22" t="str">
        <v>0.005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6000</v>
      </c>
      <c r="BQ22" t="str">
        <v>5</v>
      </c>
      <c r="BR22" t="str">
        <v>5.000000</v>
      </c>
      <c r="BS22" t="str">
        <v>2.000000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2.435437</v>
      </c>
      <c r="CD22" t="str">
        <v>2.449798</v>
      </c>
      <c r="CE22" t="str">
        <v>1.655970</v>
      </c>
      <c r="CF22" t="str">
        <v>0.942716</v>
      </c>
      <c r="CG22" t="str">
        <v>0.318413</v>
      </c>
      <c r="CH22" t="str">
        <v>-0.044581</v>
      </c>
      <c r="CI22" t="str">
        <v>0.118383</v>
      </c>
      <c r="CJ22" t="str">
        <v>0.107329</v>
      </c>
      <c r="CK22" t="str">
        <v>150.632141</v>
      </c>
      <c r="CL22" t="str">
        <v>0.000236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PSF-00438_20251211095043_c5c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2025-12-10T14:09:08.064Z</v>
      </c>
    </row>
    <row r="23">
      <c r="A23" t="str">
        <v>20</v>
      </c>
      <c r="B23" t="str">
        <v>09:52:23</v>
      </c>
      <c r="C23" t="str">
        <v>2025-12-11</v>
      </c>
      <c r="D23" t="str">
        <v>TT25_psf_dark</v>
      </c>
      <c r="E23" t="str">
        <v>eap</v>
      </c>
      <c r="F23" t="str">
        <v/>
      </c>
      <c r="G23" t="str">
        <v>4547_Tri_purple</v>
      </c>
      <c r="H23" t="str">
        <v/>
      </c>
      <c r="I23" t="str">
        <v/>
      </c>
      <c r="J23" t="str">
        <f>1/((1/L23)-(1/K23))</f>
        <v>-0.008695</v>
      </c>
      <c r="K23" t="str">
        <f>BH23+(BI23*AN23)+(BJ23*AN23*POWER(V23,2))+(BK23*AN23*V23)+(BL23*POWER(AN23,2))</f>
        <v>2.922716</v>
      </c>
      <c r="L23" t="str">
        <f>((M23/1000)*(1000-((T23+S23)/2)))/(T23-S23)</f>
        <v>-0.008721</v>
      </c>
      <c r="M23" t="str">
        <f>(AN23*(S23-R23))/(100*U23*(1000-S23))*1000</f>
        <v>-0.128790</v>
      </c>
      <c r="N23" t="str">
        <v>0.614958</v>
      </c>
      <c r="O23" t="str">
        <v>0.618212</v>
      </c>
      <c r="P23" t="str">
        <f>0.61365*EXP((17.502*AL23)/(240.97+AL23))</f>
        <v>1.929463</v>
      </c>
      <c r="Q23" t="str">
        <f>P23-N23</f>
        <v>1.314504</v>
      </c>
      <c r="R23" t="str">
        <v>6.847277</v>
      </c>
      <c r="S23" t="str">
        <v>6.811244</v>
      </c>
      <c r="T23" t="str">
        <f>(P23/AM23)*1000</f>
        <v>21.370621</v>
      </c>
      <c r="U23" t="str">
        <f>V23*BG23</f>
        <v>0.441786</v>
      </c>
      <c r="V23" t="str">
        <v>7.500000</v>
      </c>
      <c r="W23" t="str">
        <v>PSF-00438_20251211095223_cb7</v>
      </c>
      <c r="X23" t="str">
        <v>174.548157</v>
      </c>
      <c r="Y23" t="str">
        <v>497.115967</v>
      </c>
      <c r="Z23" t="str">
        <v>0.648878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0.007292</v>
      </c>
      <c r="AG23" t="str">
        <v>1.000000</v>
      </c>
      <c r="AH23" t="str">
        <v>24.69</v>
      </c>
      <c r="AI23" t="str">
        <v>24.82</v>
      </c>
      <c r="AJ23" t="str">
        <v>20.97</v>
      </c>
      <c r="AK23" t="str">
        <v>16.88</v>
      </c>
      <c r="AL23" t="str">
        <f>(AK23-AJ23)*(AJ23*0+0)+AK23</f>
        <v>16.88</v>
      </c>
      <c r="AM23" t="str">
        <v>90.29</v>
      </c>
      <c r="AN23" t="str">
        <v>156.8</v>
      </c>
      <c r="AO23" t="str">
        <v>158.8</v>
      </c>
      <c r="AP23" t="str">
        <v>-1.3</v>
      </c>
      <c r="AQ23" t="str">
        <v>0</v>
      </c>
      <c r="AR23" t="str">
        <v>4.094</v>
      </c>
      <c r="AS23" t="str">
        <v>09:42:10</v>
      </c>
      <c r="AT23" t="str">
        <v>2025-12-11</v>
      </c>
      <c r="AU23" t="str">
        <v>-0.28</v>
      </c>
      <c r="AV23" t="str">
        <v>1</v>
      </c>
      <c r="AW23" t="str">
        <v>-0.001</v>
      </c>
      <c r="AX23" t="str">
        <v>-0.001</v>
      </c>
      <c r="AY23" t="str">
        <v>-9999.000</v>
      </c>
      <c r="AZ23" t="str">
        <v>-1.089</v>
      </c>
      <c r="BA23" t="str">
        <v>0.909</v>
      </c>
      <c r="BB23" t="str">
        <v>-9999.000</v>
      </c>
      <c r="BC23" t="str">
        <v>1</v>
      </c>
      <c r="BD23" t="str">
        <v>150</v>
      </c>
      <c r="BE23" t="str">
        <v>0.005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6000</v>
      </c>
      <c r="BQ23" t="str">
        <v>5</v>
      </c>
      <c r="BR23" t="str">
        <v>5.000000</v>
      </c>
      <c r="BS23" t="str">
        <v>2.000000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2.432842</v>
      </c>
      <c r="CD23" t="str">
        <v>2.446990</v>
      </c>
      <c r="CE23" t="str">
        <v>1.656555</v>
      </c>
      <c r="CF23" t="str">
        <v>0.943393</v>
      </c>
      <c r="CG23" t="str">
        <v>0.320505</v>
      </c>
      <c r="CH23" t="str">
        <v>-0.043221</v>
      </c>
      <c r="CI23" t="str">
        <v>0.131416</v>
      </c>
      <c r="CJ23" t="str">
        <v>0.107326</v>
      </c>
      <c r="CK23" t="str">
        <v>174.548157</v>
      </c>
      <c r="CL23" t="str">
        <v>0.000236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PSF-00438_20251211095223_cb7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2025-12-10T14:09:08.064Z</v>
      </c>
    </row>
    <row r="24">
      <c r="A24" t="str">
        <v>21</v>
      </c>
      <c r="B24" t="str">
        <v>09:52:55</v>
      </c>
      <c r="C24" t="str">
        <v>2025-12-11</v>
      </c>
      <c r="D24" t="str">
        <v>TT25_psf_dark</v>
      </c>
      <c r="E24" t="str">
        <v>eap</v>
      </c>
      <c r="F24" t="str">
        <v/>
      </c>
      <c r="G24" t="str">
        <v/>
      </c>
      <c r="H24" t="str">
        <v/>
      </c>
      <c r="I24" t="str">
        <v/>
      </c>
      <c r="J24" t="str">
        <f>1/((1/L24)-(1/K24))</f>
        <v>0.001155</v>
      </c>
      <c r="K24" t="str">
        <f>BH24+(BI24*AN24)+(BJ24*AN24*POWER(V24,2))+(BK24*AN24*V24)+(BL24*POWER(AN24,2))</f>
        <v>2.921711</v>
      </c>
      <c r="L24" t="str">
        <f>((M24/1000)*(1000-((T24+S24)/2)))/(T24-S24)</f>
        <v>0.001154</v>
      </c>
      <c r="M24" t="str">
        <f>(AN24*(S24-R24))/(100*U24*(1000-S24))*1000</f>
        <v>0.018549</v>
      </c>
      <c r="N24" t="str">
        <v>0.651132</v>
      </c>
      <c r="O24" t="str">
        <v>0.650663</v>
      </c>
      <c r="P24" t="str">
        <f>0.61365*EXP((17.502*AL24)/(240.97+AL24))</f>
        <v>2.080398</v>
      </c>
      <c r="Q24" t="str">
        <f>P24-N24</f>
        <v>1.429266</v>
      </c>
      <c r="R24" t="str">
        <v>7.205750</v>
      </c>
      <c r="S24" t="str">
        <v>7.210941</v>
      </c>
      <c r="T24" t="str">
        <f>(P24/AM24)*1000</f>
        <v>23.039307</v>
      </c>
      <c r="U24" t="str">
        <f>V24*BG24</f>
        <v>0.441786</v>
      </c>
      <c r="V24" t="str">
        <v>7.500000</v>
      </c>
      <c r="W24" t="str">
        <v>PSF-00438_20251211095255_513</v>
      </c>
      <c r="X24" t="str">
        <v>136.853104</v>
      </c>
      <c r="Y24" t="str">
        <v>633.288879</v>
      </c>
      <c r="Z24" t="str">
        <v>0.783901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0.010679</v>
      </c>
      <c r="AG24" t="str">
        <v>1.000000</v>
      </c>
      <c r="AH24" t="str">
        <v>26.17</v>
      </c>
      <c r="AI24" t="str">
        <v>26.15</v>
      </c>
      <c r="AJ24" t="str">
        <v>20.95</v>
      </c>
      <c r="AK24" t="str">
        <v>18.07</v>
      </c>
      <c r="AL24" t="str">
        <f>(AK24-AJ24)*(AJ24*0+0)+AK24</f>
        <v>18.07</v>
      </c>
      <c r="AM24" t="str">
        <v>90.30</v>
      </c>
      <c r="AN24" t="str">
        <v>156.7</v>
      </c>
      <c r="AO24" t="str">
        <v>158.7</v>
      </c>
      <c r="AP24" t="str">
        <v>-1.3</v>
      </c>
      <c r="AQ24" t="str">
        <v>0</v>
      </c>
      <c r="AR24" t="str">
        <v>4.093</v>
      </c>
      <c r="AS24" t="str">
        <v>09:52:43</v>
      </c>
      <c r="AT24" t="str">
        <v>2025-12-11</v>
      </c>
      <c r="AU24" t="str">
        <v>-0.12</v>
      </c>
      <c r="AV24" t="str">
        <v>1</v>
      </c>
      <c r="AW24" t="str">
        <v>0.001</v>
      </c>
      <c r="AX24" t="str">
        <v>-0.002</v>
      </c>
      <c r="AY24" t="str">
        <v>-9999.000</v>
      </c>
      <c r="AZ24" t="str">
        <v>0.617</v>
      </c>
      <c r="BA24" t="str">
        <v>0.576</v>
      </c>
      <c r="BB24" t="str">
        <v>-9999.000</v>
      </c>
      <c r="BC24" t="str">
        <v>1</v>
      </c>
      <c r="BD24" t="str">
        <v>150</v>
      </c>
      <c r="BE24" t="str">
        <v>0.005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6000</v>
      </c>
      <c r="BQ24" t="str">
        <v>5</v>
      </c>
      <c r="BR24" t="str">
        <v>5.000000</v>
      </c>
      <c r="BS24" t="str">
        <v>2.000000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2.434877</v>
      </c>
      <c r="CD24" t="str">
        <v>2.449013</v>
      </c>
      <c r="CE24" t="str">
        <v>1.655502</v>
      </c>
      <c r="CF24" t="str">
        <v>0.943072</v>
      </c>
      <c r="CG24" t="str">
        <v>0.320761</v>
      </c>
      <c r="CH24" t="str">
        <v>-0.030394</v>
      </c>
      <c r="CI24" t="str">
        <v>0.135292</v>
      </c>
      <c r="CJ24" t="str">
        <v>0.107332</v>
      </c>
      <c r="CK24" t="str">
        <v>136.853104</v>
      </c>
      <c r="CL24" t="str">
        <v>0.000236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PSF-00438_20251211095255_513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2025-12-10T14:09:08.064Z</v>
      </c>
    </row>
    <row r="25">
      <c r="A25" t="str">
        <v>22</v>
      </c>
      <c r="B25" t="str">
        <v>09:53:41</v>
      </c>
      <c r="C25" t="str">
        <v>2025-12-11</v>
      </c>
      <c r="D25" t="str">
        <v>TT25_psf_dark</v>
      </c>
      <c r="E25" t="str">
        <v>eap</v>
      </c>
      <c r="F25" t="str">
        <v/>
      </c>
      <c r="G25" t="str">
        <v>614_Tri_purple</v>
      </c>
      <c r="H25" t="str">
        <v/>
      </c>
      <c r="I25" t="str">
        <v/>
      </c>
      <c r="J25" t="str">
        <f>1/((1/L25)-(1/K25))</f>
        <v>0.004863</v>
      </c>
      <c r="K25" t="str">
        <f>BH25+(BI25*AN25)+(BJ25*AN25*POWER(V25,2))+(BK25*AN25*V25)+(BL25*POWER(AN25,2))</f>
        <v>2.921063</v>
      </c>
      <c r="L25" t="str">
        <f>((M25/1000)*(1000-((T25+S25)/2)))/(T25-S25)</f>
        <v>0.004855</v>
      </c>
      <c r="M25" t="str">
        <f>(AN25*(S25-R25))/(100*U25*(1000-S25))*1000</f>
        <v>0.076206</v>
      </c>
      <c r="N25" t="str">
        <v>0.686882</v>
      </c>
      <c r="O25" t="str">
        <v>0.684956</v>
      </c>
      <c r="P25" t="str">
        <f>0.61365*EXP((17.502*AL25)/(240.97+AL25))</f>
        <v>2.082351</v>
      </c>
      <c r="Q25" t="str">
        <f>P25-N25</f>
        <v>1.395469</v>
      </c>
      <c r="R25" t="str">
        <v>7.586603</v>
      </c>
      <c r="S25" t="str">
        <v>7.607934</v>
      </c>
      <c r="T25" t="str">
        <f>(P25/AM25)*1000</f>
        <v>23.064199</v>
      </c>
      <c r="U25" t="str">
        <f>V25*BG25</f>
        <v>0.441786</v>
      </c>
      <c r="V25" t="str">
        <v>7.500000</v>
      </c>
      <c r="W25" t="str">
        <v>PSF-00438_20251211095341_da7</v>
      </c>
      <c r="X25" t="str">
        <v>147.632355</v>
      </c>
      <c r="Y25" t="str">
        <v>568.010681</v>
      </c>
      <c r="Z25" t="str">
        <v>0.740089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0.060101</v>
      </c>
      <c r="AG25" t="str">
        <v>1.000000</v>
      </c>
      <c r="AH25" t="str">
        <v>27.65</v>
      </c>
      <c r="AI25" t="str">
        <v>27.57</v>
      </c>
      <c r="AJ25" t="str">
        <v>20.92</v>
      </c>
      <c r="AK25" t="str">
        <v>18.08</v>
      </c>
      <c r="AL25" t="str">
        <f>(AK25-AJ25)*(AJ25*0+0)+AK25</f>
        <v>18.08</v>
      </c>
      <c r="AM25" t="str">
        <v>90.29</v>
      </c>
      <c r="AN25" t="str">
        <v>156.6</v>
      </c>
      <c r="AO25" t="str">
        <v>158.7</v>
      </c>
      <c r="AP25" t="str">
        <v>-1.3</v>
      </c>
      <c r="AQ25" t="str">
        <v>0</v>
      </c>
      <c r="AR25" t="str">
        <v>4.092</v>
      </c>
      <c r="AS25" t="str">
        <v>09:52:43</v>
      </c>
      <c r="AT25" t="str">
        <v>2025-12-11</v>
      </c>
      <c r="AU25" t="str">
        <v>-0.12</v>
      </c>
      <c r="AV25" t="str">
        <v>1</v>
      </c>
      <c r="AW25" t="str">
        <v>-0.000</v>
      </c>
      <c r="AX25" t="str">
        <v>-0.001</v>
      </c>
      <c r="AY25" t="str">
        <v>-9999.000</v>
      </c>
      <c r="AZ25" t="str">
        <v>-0.525</v>
      </c>
      <c r="BA25" t="str">
        <v>0.463</v>
      </c>
      <c r="BB25" t="str">
        <v>-9999.000</v>
      </c>
      <c r="BC25" t="str">
        <v>1</v>
      </c>
      <c r="BD25" t="str">
        <v>150</v>
      </c>
      <c r="BE25" t="str">
        <v>0.005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6000</v>
      </c>
      <c r="BQ25" t="str">
        <v>5</v>
      </c>
      <c r="BR25" t="str">
        <v>5.000000</v>
      </c>
      <c r="BS25" t="str">
        <v>2.000000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2.437017</v>
      </c>
      <c r="CD25" t="str">
        <v>2.451259</v>
      </c>
      <c r="CE25" t="str">
        <v>1.654824</v>
      </c>
      <c r="CF25" t="str">
        <v>0.943083</v>
      </c>
      <c r="CG25" t="str">
        <v>0.321071</v>
      </c>
      <c r="CH25" t="str">
        <v>-0.029972</v>
      </c>
      <c r="CI25" t="str">
        <v>0.140890</v>
      </c>
      <c r="CJ25" t="str">
        <v>0.107484</v>
      </c>
      <c r="CK25" t="str">
        <v>147.632355</v>
      </c>
      <c r="CL25" t="str">
        <v>0.000237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PSF-00438_20251211095341_da7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2025-12-10T14:09:08.064Z</v>
      </c>
    </row>
    <row r="26">
      <c r="A26" t="str">
        <v>23</v>
      </c>
      <c r="B26" t="str">
        <v>09:54:02</v>
      </c>
      <c r="C26" t="str">
        <v>2025-12-11</v>
      </c>
      <c r="D26" t="str">
        <v>TT25_psf_dark</v>
      </c>
      <c r="E26" t="str">
        <v>eap</v>
      </c>
      <c r="F26" t="str">
        <v/>
      </c>
      <c r="G26" t="str">
        <v>2941_Tri_purple</v>
      </c>
      <c r="H26" t="str">
        <v/>
      </c>
      <c r="I26" t="str">
        <v/>
      </c>
      <c r="J26" t="str">
        <f>1/((1/L26)-(1/K26))</f>
        <v>0.008703</v>
      </c>
      <c r="K26" t="str">
        <f>BH26+(BI26*AN26)+(BJ26*AN26*POWER(V26,2))+(BK26*AN26*V26)+(BL26*POWER(AN26,2))</f>
        <v>2.922224</v>
      </c>
      <c r="L26" t="str">
        <f>((M26/1000)*(1000-((T26+S26)/2)))/(T26-S26)</f>
        <v>0.008678</v>
      </c>
      <c r="M26" t="str">
        <f>(AN26*(S26-R26))/(100*U26*(1000-S26))*1000</f>
        <v>0.140588</v>
      </c>
      <c r="N26" t="str">
        <v>0.711246</v>
      </c>
      <c r="O26" t="str">
        <v>0.707697</v>
      </c>
      <c r="P26" t="str">
        <f>0.61365*EXP((17.502*AL26)/(240.97+AL26))</f>
        <v>2.150944</v>
      </c>
      <c r="Q26" t="str">
        <f>P26-N26</f>
        <v>1.439698</v>
      </c>
      <c r="R26" t="str">
        <v>7.837700</v>
      </c>
      <c r="S26" t="str">
        <v>7.877007</v>
      </c>
      <c r="T26" t="str">
        <f>(P26/AM26)*1000</f>
        <v>23.821560</v>
      </c>
      <c r="U26" t="str">
        <f>V26*BG26</f>
        <v>0.441786</v>
      </c>
      <c r="V26" t="str">
        <v>7.500000</v>
      </c>
      <c r="W26" t="str">
        <v>PSF-00438_20251211095402_e22</v>
      </c>
      <c r="X26" t="str">
        <v>143.385529</v>
      </c>
      <c r="Y26" t="str">
        <v>583.652588</v>
      </c>
      <c r="Z26" t="str">
        <v>0.754331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0.116676</v>
      </c>
      <c r="AG26" t="str">
        <v>1.000000</v>
      </c>
      <c r="AH26" t="str">
        <v>28.67</v>
      </c>
      <c r="AI26" t="str">
        <v>28.53</v>
      </c>
      <c r="AJ26" t="str">
        <v>20.90</v>
      </c>
      <c r="AK26" t="str">
        <v>18.60</v>
      </c>
      <c r="AL26" t="str">
        <f>(AK26-AJ26)*(AJ26*0+0)+AK26</f>
        <v>18.60</v>
      </c>
      <c r="AM26" t="str">
        <v>90.29</v>
      </c>
      <c r="AN26" t="str">
        <v>156.8</v>
      </c>
      <c r="AO26" t="str">
        <v>158.5</v>
      </c>
      <c r="AP26" t="str">
        <v>-1.1</v>
      </c>
      <c r="AQ26" t="str">
        <v>0</v>
      </c>
      <c r="AR26" t="str">
        <v>4.092</v>
      </c>
      <c r="AS26" t="str">
        <v>09:52:43</v>
      </c>
      <c r="AT26" t="str">
        <v>2025-12-11</v>
      </c>
      <c r="AU26" t="str">
        <v>-0.12</v>
      </c>
      <c r="AV26" t="str">
        <v>1</v>
      </c>
      <c r="AW26" t="str">
        <v>0.001</v>
      </c>
      <c r="AX26" t="str">
        <v>0.002</v>
      </c>
      <c r="AY26" t="str">
        <v>-9999.000</v>
      </c>
      <c r="AZ26" t="str">
        <v>-0.116</v>
      </c>
      <c r="BA26" t="str">
        <v>0.719</v>
      </c>
      <c r="BB26" t="str">
        <v>-9999.000</v>
      </c>
      <c r="BC26" t="str">
        <v>1</v>
      </c>
      <c r="BD26" t="str">
        <v>150</v>
      </c>
      <c r="BE26" t="str">
        <v>0.005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6000</v>
      </c>
      <c r="BQ26" t="str">
        <v>5</v>
      </c>
      <c r="BR26" t="str">
        <v>5.000000</v>
      </c>
      <c r="BS26" t="str">
        <v>2.000000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2.438441</v>
      </c>
      <c r="CD26" t="str">
        <v>2.452791</v>
      </c>
      <c r="CE26" t="str">
        <v>1.656039</v>
      </c>
      <c r="CF26" t="str">
        <v>0.942760</v>
      </c>
      <c r="CG26" t="str">
        <v>0.321335</v>
      </c>
      <c r="CH26" t="str">
        <v>-0.024233</v>
      </c>
      <c r="CI26" t="str">
        <v>0.143418</v>
      </c>
      <c r="CJ26" t="str">
        <v>0.107649</v>
      </c>
      <c r="CK26" t="str">
        <v>143.385529</v>
      </c>
      <c r="CL26" t="str">
        <v>0.000237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PSF-00438_20251211095402_e22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2025-12-10T14:09:08.064Z</v>
      </c>
    </row>
    <row r="27">
      <c r="A27" t="str">
        <v>24</v>
      </c>
      <c r="B27" t="str">
        <v>09:54:20</v>
      </c>
      <c r="C27" t="str">
        <v>2025-12-11</v>
      </c>
      <c r="D27" t="str">
        <v>TT25_psf_dark</v>
      </c>
      <c r="E27" t="str">
        <v>eap</v>
      </c>
      <c r="F27" t="str">
        <v/>
      </c>
      <c r="G27" t="str">
        <v>1926_Tri_purple</v>
      </c>
      <c r="H27" t="str">
        <v/>
      </c>
      <c r="I27" t="str">
        <v/>
      </c>
      <c r="J27" t="str">
        <f>1/((1/L27)-(1/K27))</f>
        <v>0.002969</v>
      </c>
      <c r="K27" t="str">
        <f>BH27+(BI27*AN27)+(BJ27*AN27*POWER(V27,2))+(BK27*AN27*V27)+(BL27*POWER(AN27,2))</f>
        <v>2.921228</v>
      </c>
      <c r="L27" t="str">
        <f>((M27/1000)*(1000-((T27+S27)/2)))/(T27-S27)</f>
        <v>0.002966</v>
      </c>
      <c r="M27" t="str">
        <f>(AN27*(S27-R27))/(100*U27*(1000-S27))*1000</f>
        <v>0.047008</v>
      </c>
      <c r="N27" t="str">
        <v>0.703267</v>
      </c>
      <c r="O27" t="str">
        <v>0.702080</v>
      </c>
      <c r="P27" t="str">
        <f>0.61365*EXP((17.502*AL27)/(240.97+AL27))</f>
        <v>2.112017</v>
      </c>
      <c r="Q27" t="str">
        <f>P27-N27</f>
        <v>1.408749</v>
      </c>
      <c r="R27" t="str">
        <v>7.775680</v>
      </c>
      <c r="S27" t="str">
        <v>7.788834</v>
      </c>
      <c r="T27" t="str">
        <f>(P27/AM27)*1000</f>
        <v>23.391029</v>
      </c>
      <c r="U27" t="str">
        <f>V27*BG27</f>
        <v>0.441786</v>
      </c>
      <c r="V27" t="str">
        <v>7.500000</v>
      </c>
      <c r="W27" t="str">
        <v>PSF-00438_20251211095420_a41</v>
      </c>
      <c r="X27" t="str">
        <v>145.941132</v>
      </c>
      <c r="Y27" t="str">
        <v>495.672577</v>
      </c>
      <c r="Z27" t="str">
        <v>0.705570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0.105656</v>
      </c>
      <c r="AG27" t="str">
        <v>1.000000</v>
      </c>
      <c r="AH27" t="str">
        <v>28.38</v>
      </c>
      <c r="AI27" t="str">
        <v>28.34</v>
      </c>
      <c r="AJ27" t="str">
        <v>20.88</v>
      </c>
      <c r="AK27" t="str">
        <v>18.31</v>
      </c>
      <c r="AL27" t="str">
        <f>(AK27-AJ27)*(AJ27*0+0)+AK27</f>
        <v>18.31</v>
      </c>
      <c r="AM27" t="str">
        <v>90.29</v>
      </c>
      <c r="AN27" t="str">
        <v>156.6</v>
      </c>
      <c r="AO27" t="str">
        <v>158.5</v>
      </c>
      <c r="AP27" t="str">
        <v>-1.2</v>
      </c>
      <c r="AQ27" t="str">
        <v>0</v>
      </c>
      <c r="AR27" t="str">
        <v>4.091</v>
      </c>
      <c r="AS27" t="str">
        <v>09:52:43</v>
      </c>
      <c r="AT27" t="str">
        <v>2025-12-11</v>
      </c>
      <c r="AU27" t="str">
        <v>-0.12</v>
      </c>
      <c r="AV27" t="str">
        <v>1</v>
      </c>
      <c r="AW27" t="str">
        <v>-0.001</v>
      </c>
      <c r="AX27" t="str">
        <v>-0.002</v>
      </c>
      <c r="AY27" t="str">
        <v>-9999.000</v>
      </c>
      <c r="AZ27" t="str">
        <v>0.109</v>
      </c>
      <c r="BA27" t="str">
        <v>0.057</v>
      </c>
      <c r="BB27" t="str">
        <v>-9999.000</v>
      </c>
      <c r="BC27" t="str">
        <v>1</v>
      </c>
      <c r="BD27" t="str">
        <v>150</v>
      </c>
      <c r="BE27" t="str">
        <v>0.005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6000</v>
      </c>
      <c r="BQ27" t="str">
        <v>5</v>
      </c>
      <c r="BR27" t="str">
        <v>5.000000</v>
      </c>
      <c r="BS27" t="str">
        <v>2.000000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2.438163</v>
      </c>
      <c r="CD27" t="str">
        <v>2.452369</v>
      </c>
      <c r="CE27" t="str">
        <v>1.654997</v>
      </c>
      <c r="CF27" t="str">
        <v>0.942637</v>
      </c>
      <c r="CG27" t="str">
        <v>0.321613</v>
      </c>
      <c r="CH27" t="str">
        <v>-0.027110</v>
      </c>
      <c r="CI27" t="str">
        <v>0.145565</v>
      </c>
      <c r="CJ27" t="str">
        <v>0.107638</v>
      </c>
      <c r="CK27" t="str">
        <v>145.941132</v>
      </c>
      <c r="CL27" t="str">
        <v>0.000235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PSF-00438_20251211095420_a41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2025-12-10T14:09:08.064Z</v>
      </c>
    </row>
    <row r="28">
      <c r="A28" t="str">
        <v>25</v>
      </c>
      <c r="B28" t="str">
        <v>09:54:37</v>
      </c>
      <c r="C28" t="str">
        <v>2025-12-11</v>
      </c>
      <c r="D28" t="str">
        <v>TT25_psf_dark</v>
      </c>
      <c r="E28" t="str">
        <v>eap</v>
      </c>
      <c r="F28" t="str">
        <v/>
      </c>
      <c r="G28" t="str">
        <v>1975_Tri_purple</v>
      </c>
      <c r="H28" t="str">
        <v/>
      </c>
      <c r="I28" t="str">
        <v/>
      </c>
      <c r="J28" t="str">
        <f>1/((1/L28)-(1/K28))</f>
        <v>0.021547</v>
      </c>
      <c r="K28" t="str">
        <f>BH28+(BI28*AN28)+(BJ28*AN28*POWER(V28,2))+(BK28*AN28*V28)+(BL28*POWER(AN28,2))</f>
        <v>2.922775</v>
      </c>
      <c r="L28" t="str">
        <f>((M28/1000)*(1000-((T28+S28)/2)))/(T28-S28)</f>
        <v>0.021389</v>
      </c>
      <c r="M28" t="str">
        <f>(AN28*(S28-R28))/(100*U28*(1000-S28))*1000</f>
        <v>0.337281</v>
      </c>
      <c r="N28" t="str">
        <v>0.733214</v>
      </c>
      <c r="O28" t="str">
        <v>0.724704</v>
      </c>
      <c r="P28" t="str">
        <f>0.61365*EXP((17.502*AL28)/(240.97+AL28))</f>
        <v>2.134481</v>
      </c>
      <c r="Q28" t="str">
        <f>P28-N28</f>
        <v>1.401268</v>
      </c>
      <c r="R28" t="str">
        <v>8.025717</v>
      </c>
      <c r="S28" t="str">
        <v>8.119954</v>
      </c>
      <c r="T28" t="str">
        <f>(P28/AM28)*1000</f>
        <v>23.638256</v>
      </c>
      <c r="U28" t="str">
        <f>V28*BG28</f>
        <v>0.441786</v>
      </c>
      <c r="V28" t="str">
        <v>7.500000</v>
      </c>
      <c r="W28" t="str">
        <v>PSF-00438_20251211095437_a77</v>
      </c>
      <c r="X28" t="str">
        <v>132.642746</v>
      </c>
      <c r="Y28" t="str">
        <v>558.594360</v>
      </c>
      <c r="Z28" t="str">
        <v>0.762542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0.058165</v>
      </c>
      <c r="AG28" t="str">
        <v>1.000000</v>
      </c>
      <c r="AH28" t="str">
        <v>29.64</v>
      </c>
      <c r="AI28" t="str">
        <v>29.29</v>
      </c>
      <c r="AJ28" t="str">
        <v>20.86</v>
      </c>
      <c r="AK28" t="str">
        <v>18.48</v>
      </c>
      <c r="AL28" t="str">
        <f>(AK28-AJ28)*(AJ28*0+0)+AK28</f>
        <v>18.48</v>
      </c>
      <c r="AM28" t="str">
        <v>90.30</v>
      </c>
      <c r="AN28" t="str">
        <v>156.8</v>
      </c>
      <c r="AO28" t="str">
        <v>158.8</v>
      </c>
      <c r="AP28" t="str">
        <v>-1.2</v>
      </c>
      <c r="AQ28" t="str">
        <v>0</v>
      </c>
      <c r="AR28" t="str">
        <v>4.091</v>
      </c>
      <c r="AS28" t="str">
        <v>09:52:43</v>
      </c>
      <c r="AT28" t="str">
        <v>2025-12-11</v>
      </c>
      <c r="AU28" t="str">
        <v>-0.12</v>
      </c>
      <c r="AV28" t="str">
        <v>1</v>
      </c>
      <c r="AW28" t="str">
        <v>0.002</v>
      </c>
      <c r="AX28" t="str">
        <v>0.000</v>
      </c>
      <c r="AY28" t="str">
        <v>-9999.000</v>
      </c>
      <c r="AZ28" t="str">
        <v>-0.005</v>
      </c>
      <c r="BA28" t="str">
        <v>-0.331</v>
      </c>
      <c r="BB28" t="str">
        <v>-9999.000</v>
      </c>
      <c r="BC28" t="str">
        <v>1</v>
      </c>
      <c r="BD28" t="str">
        <v>150</v>
      </c>
      <c r="BE28" t="str">
        <v>0.005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6000</v>
      </c>
      <c r="BQ28" t="str">
        <v>5</v>
      </c>
      <c r="BR28" t="str">
        <v>5.000000</v>
      </c>
      <c r="BS28" t="str">
        <v>2.000000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2.439585</v>
      </c>
      <c r="CD28" t="str">
        <v>2.454243</v>
      </c>
      <c r="CE28" t="str">
        <v>1.656617</v>
      </c>
      <c r="CF28" t="str">
        <v>0.943333</v>
      </c>
      <c r="CG28" t="str">
        <v>0.321915</v>
      </c>
      <c r="CH28" t="str">
        <v>-0.025051</v>
      </c>
      <c r="CI28" t="str">
        <v>0.147459</v>
      </c>
      <c r="CJ28" t="str">
        <v>0.107473</v>
      </c>
      <c r="CK28" t="str">
        <v>132.642746</v>
      </c>
      <c r="CL28" t="str">
        <v>0.000236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PSF-00438_20251211095437_a77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2025-12-10T14:09:08.064Z</v>
      </c>
    </row>
    <row r="29">
      <c r="A29" t="str">
        <v>26</v>
      </c>
      <c r="B29" t="str">
        <v>09:54:54</v>
      </c>
      <c r="C29" t="str">
        <v>2025-12-11</v>
      </c>
      <c r="D29" t="str">
        <v>TT25_psf_dark</v>
      </c>
      <c r="E29" t="str">
        <v>eap</v>
      </c>
      <c r="F29" t="str">
        <v/>
      </c>
      <c r="G29" t="str">
        <v>4414_Tri_purple</v>
      </c>
      <c r="H29" t="str">
        <v/>
      </c>
      <c r="I29" t="str">
        <v/>
      </c>
      <c r="J29" t="str">
        <f>1/((1/L29)-(1/K29))</f>
        <v>0.006920</v>
      </c>
      <c r="K29" t="str">
        <f>BH29+(BI29*AN29)+(BJ29*AN29*POWER(V29,2))+(BK29*AN29*V29)+(BL29*POWER(AN29,2))</f>
        <v>2.922267</v>
      </c>
      <c r="L29" t="str">
        <f>((M29/1000)*(1000-((T29+S29)/2)))/(T29-S29)</f>
        <v>0.006903</v>
      </c>
      <c r="M29" t="str">
        <f>(AN29*(S29-R29))/(100*U29*(1000-S29))*1000</f>
        <v>0.108484</v>
      </c>
      <c r="N29" t="str">
        <v>0.695729</v>
      </c>
      <c r="O29" t="str">
        <v>0.692990</v>
      </c>
      <c r="P29" t="str">
        <f>0.61365*EXP((17.502*AL29)/(240.97+AL29))</f>
        <v>2.092629</v>
      </c>
      <c r="Q29" t="str">
        <f>P29-N29</f>
        <v>1.396900</v>
      </c>
      <c r="R29" t="str">
        <v>7.675627</v>
      </c>
      <c r="S29" t="str">
        <v>7.705962</v>
      </c>
      <c r="T29" t="str">
        <f>(P29/AM29)*1000</f>
        <v>23.178164</v>
      </c>
      <c r="U29" t="str">
        <f>V29*BG29</f>
        <v>0.441786</v>
      </c>
      <c r="V29" t="str">
        <v>7.500000</v>
      </c>
      <c r="W29" t="str">
        <v>PSF-00438_20251211095454_c7d</v>
      </c>
      <c r="X29" t="str">
        <v>191.250443</v>
      </c>
      <c r="Y29" t="str">
        <v>676.087280</v>
      </c>
      <c r="Z29" t="str">
        <v>0.717122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0.071806</v>
      </c>
      <c r="AG29" t="str">
        <v>1.000000</v>
      </c>
      <c r="AH29" t="str">
        <v>28.16</v>
      </c>
      <c r="AI29" t="str">
        <v>28.05</v>
      </c>
      <c r="AJ29" t="str">
        <v>20.83</v>
      </c>
      <c r="AK29" t="str">
        <v>18.16</v>
      </c>
      <c r="AL29" t="str">
        <f>(AK29-AJ29)*(AJ29*0+0)+AK29</f>
        <v>18.16</v>
      </c>
      <c r="AM29" t="str">
        <v>90.28</v>
      </c>
      <c r="AN29" t="str">
        <v>156.8</v>
      </c>
      <c r="AO29" t="str">
        <v>158.7</v>
      </c>
      <c r="AP29" t="str">
        <v>-1.2</v>
      </c>
      <c r="AQ29" t="str">
        <v>0</v>
      </c>
      <c r="AR29" t="str">
        <v>4.086</v>
      </c>
      <c r="AS29" t="str">
        <v>09:52:43</v>
      </c>
      <c r="AT29" t="str">
        <v>2025-12-11</v>
      </c>
      <c r="AU29" t="str">
        <v>-0.12</v>
      </c>
      <c r="AV29" t="str">
        <v>1</v>
      </c>
      <c r="AW29" t="str">
        <v>0.001</v>
      </c>
      <c r="AX29" t="str">
        <v>0.001</v>
      </c>
      <c r="AY29" t="str">
        <v>-9999.000</v>
      </c>
      <c r="AZ29" t="str">
        <v>0.239</v>
      </c>
      <c r="BA29" t="str">
        <v>0.473</v>
      </c>
      <c r="BB29" t="str">
        <v>-9999.000</v>
      </c>
      <c r="BC29" t="str">
        <v>1</v>
      </c>
      <c r="BD29" t="str">
        <v>150</v>
      </c>
      <c r="BE29" t="str">
        <v>0.005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6000</v>
      </c>
      <c r="BQ29" t="str">
        <v>5</v>
      </c>
      <c r="BR29" t="str">
        <v>5.000000</v>
      </c>
      <c r="BS29" t="str">
        <v>2.000000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2.437745</v>
      </c>
      <c r="CD29" t="str">
        <v>2.452043</v>
      </c>
      <c r="CE29" t="str">
        <v>1.656085</v>
      </c>
      <c r="CF29" t="str">
        <v>0.943215</v>
      </c>
      <c r="CG29" t="str">
        <v>0.322223</v>
      </c>
      <c r="CH29" t="str">
        <v>-0.028158</v>
      </c>
      <c r="CI29" t="str">
        <v>0.149471</v>
      </c>
      <c r="CJ29" t="str">
        <v>0.107526</v>
      </c>
      <c r="CK29" t="str">
        <v>191.250443</v>
      </c>
      <c r="CL29" t="str">
        <v>0.000236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PSF-00438_20251211095454_c7d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2025-12-10T14:09:08.064Z</v>
      </c>
    </row>
    <row r="30">
      <c r="A30" t="str">
        <v>27</v>
      </c>
      <c r="B30" t="str">
        <v>09:55:11</v>
      </c>
      <c r="C30" t="str">
        <v>2025-12-11</v>
      </c>
      <c r="D30" t="str">
        <v>TT25_psf_dark</v>
      </c>
      <c r="E30" t="str">
        <v>eap</v>
      </c>
      <c r="F30" t="str">
        <v/>
      </c>
      <c r="G30" t="str">
        <v/>
      </c>
      <c r="H30" t="str">
        <v/>
      </c>
      <c r="I30" t="str">
        <v/>
      </c>
      <c r="J30" t="str">
        <f>1/((1/L30)-(1/K30))</f>
        <v>0.008956</v>
      </c>
      <c r="K30" t="str">
        <f>BH30+(BI30*AN30)+(BJ30*AN30*POWER(V30,2))+(BK30*AN30*V30)+(BL30*POWER(AN30,2))</f>
        <v>2.921226</v>
      </c>
      <c r="L30" t="str">
        <f>((M30/1000)*(1000-((T30+S30)/2)))/(T30-S30)</f>
        <v>0.008928</v>
      </c>
      <c r="M30" t="str">
        <f>(AN30*(S30-R30))/(100*U30*(1000-S30))*1000</f>
        <v>0.144471</v>
      </c>
      <c r="N30" t="str">
        <v>0.648946</v>
      </c>
      <c r="O30" t="str">
        <v>0.645293</v>
      </c>
      <c r="P30" t="str">
        <f>0.61365*EXP((17.502*AL30)/(240.97+AL30))</f>
        <v>2.087727</v>
      </c>
      <c r="Q30" t="str">
        <f>P30-N30</f>
        <v>1.438782</v>
      </c>
      <c r="R30" t="str">
        <v>7.147313</v>
      </c>
      <c r="S30" t="str">
        <v>7.187766</v>
      </c>
      <c r="T30" t="str">
        <f>(P30/AM30)*1000</f>
        <v>23.123808</v>
      </c>
      <c r="U30" t="str">
        <f>V30*BG30</f>
        <v>0.441786</v>
      </c>
      <c r="V30" t="str">
        <v>7.500000</v>
      </c>
      <c r="W30" t="str">
        <v>PSF-00438_20251211095511_594</v>
      </c>
      <c r="X30" t="str">
        <v>185.813782</v>
      </c>
      <c r="Y30" t="str">
        <v>612.708069</v>
      </c>
      <c r="Z30" t="str">
        <v>0.696734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0.009492</v>
      </c>
      <c r="AG30" t="str">
        <v>1.000000</v>
      </c>
      <c r="AH30" t="str">
        <v>26.30</v>
      </c>
      <c r="AI30" t="str">
        <v>26.16</v>
      </c>
      <c r="AJ30" t="str">
        <v>20.81</v>
      </c>
      <c r="AK30" t="str">
        <v>18.13</v>
      </c>
      <c r="AL30" t="str">
        <f>(AK30-AJ30)*(AJ30*0+0)+AK30</f>
        <v>18.13</v>
      </c>
      <c r="AM30" t="str">
        <v>90.28</v>
      </c>
      <c r="AN30" t="str">
        <v>156.6</v>
      </c>
      <c r="AO30" t="str">
        <v>158.7</v>
      </c>
      <c r="AP30" t="str">
        <v>-1.3</v>
      </c>
      <c r="AQ30" t="str">
        <v>0</v>
      </c>
      <c r="AR30" t="str">
        <v>4.061</v>
      </c>
      <c r="AS30" t="str">
        <v>09:52:43</v>
      </c>
      <c r="AT30" t="str">
        <v>2025-12-11</v>
      </c>
      <c r="AU30" t="str">
        <v>-0.12</v>
      </c>
      <c r="AV30" t="str">
        <v>1</v>
      </c>
      <c r="AW30" t="str">
        <v>-0.001</v>
      </c>
      <c r="AX30" t="str">
        <v>-0.001</v>
      </c>
      <c r="AY30" t="str">
        <v>-9999.000</v>
      </c>
      <c r="AZ30" t="str">
        <v>0.085</v>
      </c>
      <c r="BA30" t="str">
        <v>-0.561</v>
      </c>
      <c r="BB30" t="str">
        <v>-9999.000</v>
      </c>
      <c r="BC30" t="str">
        <v>1</v>
      </c>
      <c r="BD30" t="str">
        <v>150</v>
      </c>
      <c r="BE30" t="str">
        <v>0.005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6000</v>
      </c>
      <c r="BQ30" t="str">
        <v>5</v>
      </c>
      <c r="BR30" t="str">
        <v>5.000000</v>
      </c>
      <c r="BS30" t="str">
        <v>2.000000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2.434898</v>
      </c>
      <c r="CD30" t="str">
        <v>2.449232</v>
      </c>
      <c r="CE30" t="str">
        <v>1.654995</v>
      </c>
      <c r="CF30" t="str">
        <v>0.943230</v>
      </c>
      <c r="CG30" t="str">
        <v>0.322506</v>
      </c>
      <c r="CH30" t="str">
        <v>-0.028316</v>
      </c>
      <c r="CI30" t="str">
        <v>0.151404</v>
      </c>
      <c r="CJ30" t="str">
        <v>0.107332</v>
      </c>
      <c r="CK30" t="str">
        <v>185.813782</v>
      </c>
      <c r="CL30" t="str">
        <v>0.000236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PSF-00438_20251211095511_594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2025-12-10T14:09:08.064Z</v>
      </c>
    </row>
    <row r="31">
      <c r="A31" t="str">
        <v>28</v>
      </c>
      <c r="B31" t="str">
        <v>09:55:45</v>
      </c>
      <c r="C31" t="str">
        <v>2025-12-11</v>
      </c>
      <c r="D31" t="str">
        <v>TT25_psf_dark</v>
      </c>
      <c r="E31" t="str">
        <v>eap</v>
      </c>
      <c r="F31" t="str">
        <v/>
      </c>
      <c r="G31" t="str">
        <v>4105_Tri_purple</v>
      </c>
      <c r="H31" t="str">
        <v/>
      </c>
      <c r="I31" t="str">
        <v/>
      </c>
      <c r="J31" t="str">
        <f>1/((1/L31)-(1/K31))</f>
        <v>-0.003356</v>
      </c>
      <c r="K31" t="str">
        <f>BH31+(BI31*AN31)+(BJ31*AN31*POWER(V31,2))+(BK31*AN31*V31)+(BL31*POWER(AN31,2))</f>
        <v>2.921690</v>
      </c>
      <c r="L31" t="str">
        <f>((M31/1000)*(1000-((T31+S31)/2)))/(T31-S31)</f>
        <v>-0.003360</v>
      </c>
      <c r="M31" t="str">
        <f>(AN31*(S31-R31))/(100*U31*(1000-S31))*1000</f>
        <v>-0.052590</v>
      </c>
      <c r="N31" t="str">
        <v>0.652389</v>
      </c>
      <c r="O31" t="str">
        <v>0.653718</v>
      </c>
      <c r="P31" t="str">
        <f>0.61365*EXP((17.502*AL31)/(240.97+AL31))</f>
        <v>2.044465</v>
      </c>
      <c r="Q31" t="str">
        <f>P31-N31</f>
        <v>1.392076</v>
      </c>
      <c r="R31" t="str">
        <v>7.239804</v>
      </c>
      <c r="S31" t="str">
        <v>7.225085</v>
      </c>
      <c r="T31" t="str">
        <f>(P31/AM31)*1000</f>
        <v>22.642057</v>
      </c>
      <c r="U31" t="str">
        <f>V31*BG31</f>
        <v>0.441786</v>
      </c>
      <c r="V31" t="str">
        <v>7.500000</v>
      </c>
      <c r="W31" t="str">
        <v>PSF-00438_20251211095545_bd8</v>
      </c>
      <c r="X31" t="str">
        <v>182.950623</v>
      </c>
      <c r="Y31" t="str">
        <v>522.836182</v>
      </c>
      <c r="Z31" t="str">
        <v>0.650080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0.009063</v>
      </c>
      <c r="AG31" t="str">
        <v>1.000000</v>
      </c>
      <c r="AH31" t="str">
        <v>26.48</v>
      </c>
      <c r="AI31" t="str">
        <v>26.54</v>
      </c>
      <c r="AJ31" t="str">
        <v>20.79</v>
      </c>
      <c r="AK31" t="str">
        <v>17.79</v>
      </c>
      <c r="AL31" t="str">
        <f>(AK31-AJ31)*(AJ31*0+0)+AK31</f>
        <v>17.79</v>
      </c>
      <c r="AM31" t="str">
        <v>90.29</v>
      </c>
      <c r="AN31" t="str">
        <v>156.7</v>
      </c>
      <c r="AO31" t="str">
        <v>158.7</v>
      </c>
      <c r="AP31" t="str">
        <v>-1.3</v>
      </c>
      <c r="AQ31" t="str">
        <v>0</v>
      </c>
      <c r="AR31" t="str">
        <v>4.089</v>
      </c>
      <c r="AS31" t="str">
        <v>09:52:43</v>
      </c>
      <c r="AT31" t="str">
        <v>2025-12-11</v>
      </c>
      <c r="AU31" t="str">
        <v>-0.12</v>
      </c>
      <c r="AV31" t="str">
        <v>1</v>
      </c>
      <c r="AW31" t="str">
        <v>0.001</v>
      </c>
      <c r="AX31" t="str">
        <v>-0.001</v>
      </c>
      <c r="AY31" t="str">
        <v>-0.030</v>
      </c>
      <c r="AZ31" t="str">
        <v>0.006</v>
      </c>
      <c r="BA31" t="str">
        <v>0.403</v>
      </c>
      <c r="BB31" t="str">
        <v>1.011</v>
      </c>
      <c r="BC31" t="str">
        <v>1</v>
      </c>
      <c r="BD31" t="str">
        <v>150</v>
      </c>
      <c r="BE31" t="str">
        <v>0.005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6000</v>
      </c>
      <c r="BQ31" t="str">
        <v>5</v>
      </c>
      <c r="BR31" t="str">
        <v>5.000000</v>
      </c>
      <c r="BS31" t="str">
        <v>2.000000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2.435480</v>
      </c>
      <c r="CD31" t="str">
        <v>2.449512</v>
      </c>
      <c r="CE31" t="str">
        <v>1.655480</v>
      </c>
      <c r="CF31" t="str">
        <v>0.943139</v>
      </c>
      <c r="CG31" t="str">
        <v>0.322831</v>
      </c>
      <c r="CH31" t="str">
        <v>-0.031578</v>
      </c>
      <c r="CI31" t="str">
        <v>0.155418</v>
      </c>
      <c r="CJ31" t="str">
        <v>0.107332</v>
      </c>
      <c r="CK31" t="str">
        <v>182.950623</v>
      </c>
      <c r="CL31" t="str">
        <v>0.000237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PSF-00438_20251211095545_bd8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2025-12-10T14:09:08.064Z</v>
      </c>
    </row>
    <row r="32">
      <c r="A32" t="str">
        <v>29</v>
      </c>
      <c r="B32" t="str">
        <v>09:56:08</v>
      </c>
      <c r="C32" t="str">
        <v>2025-12-11</v>
      </c>
      <c r="D32" t="str">
        <v>TT25_psf_dark</v>
      </c>
      <c r="E32" t="str">
        <v>eap</v>
      </c>
      <c r="F32" t="str">
        <v/>
      </c>
      <c r="G32" t="str">
        <v>4745_Tri_green</v>
      </c>
      <c r="H32" t="str">
        <v/>
      </c>
      <c r="I32" t="str">
        <v/>
      </c>
      <c r="J32" t="str">
        <f>1/((1/L32)-(1/K32))</f>
        <v>0.016588</v>
      </c>
      <c r="K32" t="str">
        <f>BH32+(BI32*AN32)+(BJ32*AN32*POWER(V32,2))+(BK32*AN32*V32)+(BL32*POWER(AN32,2))</f>
        <v>2.922798</v>
      </c>
      <c r="L32" t="str">
        <f>((M32/1000)*(1000-((T32+S32)/2)))/(T32-S32)</f>
        <v>0.016494</v>
      </c>
      <c r="M32" t="str">
        <f>(AN32*(S32-R32))/(100*U32*(1000-S32))*1000</f>
        <v>0.231085</v>
      </c>
      <c r="N32" t="str">
        <v>0.641270</v>
      </c>
      <c r="O32" t="str">
        <v>0.635434</v>
      </c>
      <c r="P32" t="str">
        <f>0.61365*EXP((17.502*AL32)/(240.97+AL32))</f>
        <v>1.888498</v>
      </c>
      <c r="Q32" t="str">
        <f>P32-N32</f>
        <v>1.247228</v>
      </c>
      <c r="R32" t="str">
        <v>7.037822</v>
      </c>
      <c r="S32" t="str">
        <v>7.102453</v>
      </c>
      <c r="T32" t="str">
        <f>(P32/AM32)*1000</f>
        <v>20.916264</v>
      </c>
      <c r="U32" t="str">
        <f>V32*BG32</f>
        <v>0.441786</v>
      </c>
      <c r="V32" t="str">
        <v>7.500000</v>
      </c>
      <c r="W32" t="str">
        <v>PSF-00438_20251211095608_063</v>
      </c>
      <c r="X32" t="str">
        <v>131.806610</v>
      </c>
      <c r="Y32" t="str">
        <v>517.460693</v>
      </c>
      <c r="Z32" t="str">
        <v>0.745282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0.021530</v>
      </c>
      <c r="AG32" t="str">
        <v>1.000000</v>
      </c>
      <c r="AH32" t="str">
        <v>26.08</v>
      </c>
      <c r="AI32" t="str">
        <v>25.84</v>
      </c>
      <c r="AJ32" t="str">
        <v>20.76</v>
      </c>
      <c r="AK32" t="str">
        <v>16.54</v>
      </c>
      <c r="AL32" t="str">
        <f>(AK32-AJ32)*(AJ32*0+0)+AK32</f>
        <v>16.54</v>
      </c>
      <c r="AM32" t="str">
        <v>90.29</v>
      </c>
      <c r="AN32" t="str">
        <v>156.8</v>
      </c>
      <c r="AO32" t="str">
        <v>158.8</v>
      </c>
      <c r="AP32" t="str">
        <v>-1.2</v>
      </c>
      <c r="AQ32" t="str">
        <v>0</v>
      </c>
      <c r="AR32" t="str">
        <v>4.089</v>
      </c>
      <c r="AS32" t="str">
        <v>09:52:43</v>
      </c>
      <c r="AT32" t="str">
        <v>2025-12-11</v>
      </c>
      <c r="AU32" t="str">
        <v>-0.12</v>
      </c>
      <c r="AV32" t="str">
        <v>1</v>
      </c>
      <c r="AW32" t="str">
        <v>0.000</v>
      </c>
      <c r="AX32" t="str">
        <v>-0.002</v>
      </c>
      <c r="AY32" t="str">
        <v>-9999.000</v>
      </c>
      <c r="AZ32" t="str">
        <v>-0.101</v>
      </c>
      <c r="BA32" t="str">
        <v>0.186</v>
      </c>
      <c r="BB32" t="str">
        <v>-9999.000</v>
      </c>
      <c r="BC32" t="str">
        <v>1</v>
      </c>
      <c r="BD32" t="str">
        <v>150</v>
      </c>
      <c r="BE32" t="str">
        <v>0.005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6000</v>
      </c>
      <c r="BQ32" t="str">
        <v>5</v>
      </c>
      <c r="BR32" t="str">
        <v>5.000000</v>
      </c>
      <c r="BS32" t="str">
        <v>2.000000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2.434433</v>
      </c>
      <c r="CD32" t="str">
        <v>2.448901</v>
      </c>
      <c r="CE32" t="str">
        <v>1.656642</v>
      </c>
      <c r="CF32" t="str">
        <v>0.943347</v>
      </c>
      <c r="CG32" t="str">
        <v>0.323218</v>
      </c>
      <c r="CH32" t="str">
        <v>-0.044465</v>
      </c>
      <c r="CI32" t="str">
        <v>0.157930</v>
      </c>
      <c r="CJ32" t="str">
        <v>0.107366</v>
      </c>
      <c r="CK32" t="str">
        <v>131.806610</v>
      </c>
      <c r="CL32" t="str">
        <v>0.000239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PSF-00438_20251211095608_063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2025-12-10T14:09:08.064Z</v>
      </c>
    </row>
    <row r="33">
      <c r="A33" t="str">
        <v>30</v>
      </c>
      <c r="B33" t="str">
        <v>09:56:30</v>
      </c>
      <c r="C33" t="str">
        <v>2025-12-11</v>
      </c>
      <c r="D33" t="str">
        <v>TT25_psf_dark</v>
      </c>
      <c r="E33" t="str">
        <v>eap</v>
      </c>
      <c r="F33" t="str">
        <v/>
      </c>
      <c r="G33" t="str">
        <v>3526_Tri_green</v>
      </c>
      <c r="H33" t="str">
        <v/>
      </c>
      <c r="I33" t="str">
        <v/>
      </c>
      <c r="J33" t="str">
        <f>1/((1/L33)-(1/K33))</f>
        <v>0.090274</v>
      </c>
      <c r="K33" t="str">
        <f>BH33+(BI33*AN33)+(BJ33*AN33*POWER(V33,2))+(BK33*AN33*V33)+(BL33*POWER(AN33,2))</f>
        <v>2.922191</v>
      </c>
      <c r="L33" t="str">
        <f>((M33/1000)*(1000-((T33+S33)/2)))/(T33-S33)</f>
        <v>0.087568</v>
      </c>
      <c r="M33" t="str">
        <f>(AN33*(S33-R33))/(100*U33*(1000-S33))*1000</f>
        <v>1.371679</v>
      </c>
      <c r="N33" t="str">
        <v>0.702147</v>
      </c>
      <c r="O33" t="str">
        <v>0.667517</v>
      </c>
      <c r="P33" t="str">
        <f>0.61365*EXP((17.502*AL33)/(240.97+AL33))</f>
        <v>2.094488</v>
      </c>
      <c r="Q33" t="str">
        <f>P33-N33</f>
        <v>1.392341</v>
      </c>
      <c r="R33" t="str">
        <v>7.393383</v>
      </c>
      <c r="S33" t="str">
        <v>7.776942</v>
      </c>
      <c r="T33" t="str">
        <f>(P33/AM33)*1000</f>
        <v>23.198429</v>
      </c>
      <c r="U33" t="str">
        <f>V33*BG33</f>
        <v>0.441786</v>
      </c>
      <c r="V33" t="str">
        <v>7.500000</v>
      </c>
      <c r="W33" t="str">
        <v>PSF-00438_20251211095630_431</v>
      </c>
      <c r="X33" t="str">
        <v>221.796158</v>
      </c>
      <c r="Y33" t="str">
        <v>389.376648</v>
      </c>
      <c r="Z33" t="str">
        <v>0.430381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0.091618</v>
      </c>
      <c r="AG33" t="str">
        <v>1.000000</v>
      </c>
      <c r="AH33" t="str">
        <v>28.66</v>
      </c>
      <c r="AI33" t="str">
        <v>27.25</v>
      </c>
      <c r="AJ33" t="str">
        <v>20.70</v>
      </c>
      <c r="AK33" t="str">
        <v>18.18</v>
      </c>
      <c r="AL33" t="str">
        <f>(AK33-AJ33)*(AJ33*0+0)+AK33</f>
        <v>18.18</v>
      </c>
      <c r="AM33" t="str">
        <v>90.29</v>
      </c>
      <c r="AN33" t="str">
        <v>156.8</v>
      </c>
      <c r="AO33" t="str">
        <v>158.0</v>
      </c>
      <c r="AP33" t="str">
        <v>-0.8</v>
      </c>
      <c r="AQ33" t="str">
        <v>1</v>
      </c>
      <c r="AR33" t="str">
        <v>4.087</v>
      </c>
      <c r="AS33" t="str">
        <v>09:52:43</v>
      </c>
      <c r="AT33" t="str">
        <v>2025-12-11</v>
      </c>
      <c r="AU33" t="str">
        <v>-0.12</v>
      </c>
      <c r="AV33" t="str">
        <v>1</v>
      </c>
      <c r="AW33" t="str">
        <v>-0.003</v>
      </c>
      <c r="AX33" t="str">
        <v>-0.005</v>
      </c>
      <c r="AY33" t="str">
        <v>-0.011</v>
      </c>
      <c r="AZ33" t="str">
        <v>-0.514</v>
      </c>
      <c r="BA33" t="str">
        <v>-0.689</v>
      </c>
      <c r="BB33" t="str">
        <v>-1.289</v>
      </c>
      <c r="BC33" t="str">
        <v>1</v>
      </c>
      <c r="BD33" t="str">
        <v>150</v>
      </c>
      <c r="BE33" t="str">
        <v>0.005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6000</v>
      </c>
      <c r="BQ33" t="str">
        <v>5</v>
      </c>
      <c r="BR33" t="str">
        <v>5.000000</v>
      </c>
      <c r="BS33" t="str">
        <v>2.000000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2.436562</v>
      </c>
      <c r="CD33" t="str">
        <v>2.452814</v>
      </c>
      <c r="CE33" t="str">
        <v>1.656005</v>
      </c>
      <c r="CF33" t="str">
        <v>0.941371</v>
      </c>
      <c r="CG33" t="str">
        <v>0.323984</v>
      </c>
      <c r="CH33" t="str">
        <v>-0.026517</v>
      </c>
      <c r="CI33" t="str">
        <v>0.160356</v>
      </c>
      <c r="CJ33" t="str">
        <v>0.107780</v>
      </c>
      <c r="CK33" t="str">
        <v>221.796158</v>
      </c>
      <c r="CL33" t="str">
        <v>0.000237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PSF-00438_20251211095630_431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2025-12-10T14:09:08.064Z</v>
      </c>
    </row>
    <row r="34">
      <c r="A34" t="str">
        <v>31</v>
      </c>
      <c r="B34" t="str">
        <v>09:56:46</v>
      </c>
      <c r="C34" t="str">
        <v>2025-12-11</v>
      </c>
      <c r="D34" t="str">
        <v>TT25_psf_dark</v>
      </c>
      <c r="E34" t="str">
        <v>eap</v>
      </c>
      <c r="F34" t="str">
        <v/>
      </c>
      <c r="G34" t="str">
        <v>5626_Tri_green</v>
      </c>
      <c r="H34" t="str">
        <v/>
      </c>
      <c r="I34" t="str">
        <v/>
      </c>
      <c r="J34" t="str">
        <f>1/((1/L34)-(1/K34))</f>
        <v>0.000912</v>
      </c>
      <c r="K34" t="str">
        <f>BH34+(BI34*AN34)+(BJ34*AN34*POWER(V34,2))+(BK34*AN34*V34)+(BL34*POWER(AN34,2))</f>
        <v>2.921225</v>
      </c>
      <c r="L34" t="str">
        <f>((M34/1000)*(1000-((T34+S34)/2)))/(T34-S34)</f>
        <v>0.000912</v>
      </c>
      <c r="M34" t="str">
        <f>(AN34*(S34-R34))/(100*U34*(1000-S34))*1000</f>
        <v>0.012022</v>
      </c>
      <c r="N34" t="str">
        <v>0.676586</v>
      </c>
      <c r="O34" t="str">
        <v>0.676282</v>
      </c>
      <c r="P34" t="str">
        <f>0.61365*EXP((17.502*AL34)/(240.97+AL34))</f>
        <v>1.850574</v>
      </c>
      <c r="Q34" t="str">
        <f>P34-N34</f>
        <v>1.173988</v>
      </c>
      <c r="R34" t="str">
        <v>7.488802</v>
      </c>
      <c r="S34" t="str">
        <v>7.492167</v>
      </c>
      <c r="T34" t="str">
        <f>(P34/AM34)*1000</f>
        <v>20.492313</v>
      </c>
      <c r="U34" t="str">
        <f>V34*BG34</f>
        <v>0.441786</v>
      </c>
      <c r="V34" t="str">
        <v>7.500000</v>
      </c>
      <c r="W34" t="str">
        <v>PSF-00438_20251211095646_e67</v>
      </c>
      <c r="X34" t="str">
        <v>216.705673</v>
      </c>
      <c r="Y34" t="str">
        <v>358.950378</v>
      </c>
      <c r="Z34" t="str">
        <v>0.396280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0.059467</v>
      </c>
      <c r="AG34" t="str">
        <v>1.000000</v>
      </c>
      <c r="AH34" t="str">
        <v>27.70</v>
      </c>
      <c r="AI34" t="str">
        <v>27.69</v>
      </c>
      <c r="AJ34" t="str">
        <v>20.65</v>
      </c>
      <c r="AK34" t="str">
        <v>16.22</v>
      </c>
      <c r="AL34" t="str">
        <f>(AK34-AJ34)*(AJ34*0+0)+AK34</f>
        <v>16.22</v>
      </c>
      <c r="AM34" t="str">
        <v>90.31</v>
      </c>
      <c r="AN34" t="str">
        <v>156.6</v>
      </c>
      <c r="AO34" t="str">
        <v>158.6</v>
      </c>
      <c r="AP34" t="str">
        <v>-1.2</v>
      </c>
      <c r="AQ34" t="str">
        <v>0</v>
      </c>
      <c r="AR34" t="str">
        <v>4.085</v>
      </c>
      <c r="AS34" t="str">
        <v>09:52:43</v>
      </c>
      <c r="AT34" t="str">
        <v>2025-12-11</v>
      </c>
      <c r="AU34" t="str">
        <v>-0.12</v>
      </c>
      <c r="AV34" t="str">
        <v>1</v>
      </c>
      <c r="AW34" t="str">
        <v>0.000</v>
      </c>
      <c r="AX34" t="str">
        <v>-0.001</v>
      </c>
      <c r="AY34" t="str">
        <v>-0.030</v>
      </c>
      <c r="AZ34" t="str">
        <v>-0.026</v>
      </c>
      <c r="BA34" t="str">
        <v>-0.918</v>
      </c>
      <c r="BB34" t="str">
        <v>-1.707</v>
      </c>
      <c r="BC34" t="str">
        <v>1</v>
      </c>
      <c r="BD34" t="str">
        <v>150</v>
      </c>
      <c r="BE34" t="str">
        <v>0.005</v>
      </c>
      <c r="BF34" t="str">
        <v>2.000000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6000</v>
      </c>
      <c r="BQ34" t="str">
        <v>5</v>
      </c>
      <c r="BR34" t="str">
        <v>5.000000</v>
      </c>
      <c r="BS34" t="str">
        <v>2.000000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2.437232</v>
      </c>
      <c r="CD34" t="str">
        <v>2.451379</v>
      </c>
      <c r="CE34" t="str">
        <v>1.654993</v>
      </c>
      <c r="CF34" t="str">
        <v>0.942804</v>
      </c>
      <c r="CG34" t="str">
        <v>0.324626</v>
      </c>
      <c r="CH34" t="str">
        <v>-0.046613</v>
      </c>
      <c r="CI34" t="str">
        <v>0.161875</v>
      </c>
      <c r="CJ34" t="str">
        <v>0.107638</v>
      </c>
      <c r="CK34" t="str">
        <v>216.705673</v>
      </c>
      <c r="CL34" t="str">
        <v>0.000236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PSF-00438_20251211095646_e67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2025-12-10T14:09:08.064Z</v>
      </c>
    </row>
    <row r="35">
      <c r="A35" t="str">
        <v>32</v>
      </c>
      <c r="B35" t="str">
        <v>09:57:25</v>
      </c>
      <c r="C35" t="str">
        <v>2025-12-11</v>
      </c>
      <c r="D35" t="str">
        <v>TT25_psf_dark</v>
      </c>
      <c r="E35" t="str">
        <v>eap</v>
      </c>
      <c r="F35" t="str">
        <v/>
      </c>
      <c r="G35" t="str">
        <v>4959_Tri_green</v>
      </c>
      <c r="H35" t="str">
        <v/>
      </c>
      <c r="I35" t="str">
        <v/>
      </c>
      <c r="J35" t="str">
        <f>1/((1/L35)-(1/K35))</f>
        <v>-0.004752</v>
      </c>
      <c r="K35" t="str">
        <f>BH35+(BI35*AN35)+(BJ35*AN35*POWER(V35,2))+(BK35*AN35*V35)+(BL35*POWER(AN35,2))</f>
        <v>2.922192</v>
      </c>
      <c r="L35" t="str">
        <f>((M35/1000)*(1000-((T35+S35)/2)))/(T35-S35)</f>
        <v>-0.004760</v>
      </c>
      <c r="M35" t="str">
        <f>(AN35*(S35-R35))/(100*U35*(1000-S35))*1000</f>
        <v>-0.056896</v>
      </c>
      <c r="N35" t="str">
        <v>0.659061</v>
      </c>
      <c r="O35" t="str">
        <v>0.660498</v>
      </c>
      <c r="P35" t="str">
        <f>0.61365*EXP((17.502*AL35)/(240.97+AL35))</f>
        <v>1.724255</v>
      </c>
      <c r="Q35" t="str">
        <f>P35-N35</f>
        <v>1.065194</v>
      </c>
      <c r="R35" t="str">
        <v>7.314044</v>
      </c>
      <c r="S35" t="str">
        <v>7.298127</v>
      </c>
      <c r="T35" t="str">
        <f>(P35/AM35)*1000</f>
        <v>19.093575</v>
      </c>
      <c r="U35" t="str">
        <f>V35*BG35</f>
        <v>0.441786</v>
      </c>
      <c r="V35" t="str">
        <v>7.500000</v>
      </c>
      <c r="W35" t="str">
        <v>PSF-00438_20251211095725_54e</v>
      </c>
      <c r="X35" t="str">
        <v>228.768463</v>
      </c>
      <c r="Y35" t="str">
        <v>372.234467</v>
      </c>
      <c r="Z35" t="str">
        <v>0.385418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0.006905</v>
      </c>
      <c r="AG35" t="str">
        <v>1.000000</v>
      </c>
      <c r="AH35" t="str">
        <v>27.20</v>
      </c>
      <c r="AI35" t="str">
        <v>27.26</v>
      </c>
      <c r="AJ35" t="str">
        <v>20.52</v>
      </c>
      <c r="AK35" t="str">
        <v>15.12</v>
      </c>
      <c r="AL35" t="str">
        <f>(AK35-AJ35)*(AJ35*0+0)+AK35</f>
        <v>15.12</v>
      </c>
      <c r="AM35" t="str">
        <v>90.31</v>
      </c>
      <c r="AN35" t="str">
        <v>156.8</v>
      </c>
      <c r="AO35" t="str">
        <v>157.3</v>
      </c>
      <c r="AP35" t="str">
        <v>-0.3</v>
      </c>
      <c r="AQ35" t="str">
        <v>0</v>
      </c>
      <c r="AR35" t="str">
        <v>4.082</v>
      </c>
      <c r="AS35" t="str">
        <v>09:52:43</v>
      </c>
      <c r="AT35" t="str">
        <v>2025-12-11</v>
      </c>
      <c r="AU35" t="str">
        <v>-0.12</v>
      </c>
      <c r="AV35" t="str">
        <v>1</v>
      </c>
      <c r="AW35" t="str">
        <v>-0.001</v>
      </c>
      <c r="AX35" t="str">
        <v>-0.001</v>
      </c>
      <c r="AY35" t="str">
        <v>-9999.000</v>
      </c>
      <c r="AZ35" t="str">
        <v>-0.100</v>
      </c>
      <c r="BA35" t="str">
        <v>-0.071</v>
      </c>
      <c r="BB35" t="str">
        <v>-9999.000</v>
      </c>
      <c r="BC35" t="str">
        <v>1</v>
      </c>
      <c r="BD35" t="str">
        <v>150</v>
      </c>
      <c r="BE35" t="str">
        <v>0.005</v>
      </c>
      <c r="BF35" t="str">
        <v>2.000000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6000</v>
      </c>
      <c r="BQ35" t="str">
        <v>5</v>
      </c>
      <c r="BR35" t="str">
        <v>5.000000</v>
      </c>
      <c r="BS35" t="str">
        <v>2.000000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2.436617</v>
      </c>
      <c r="CD35" t="str">
        <v>2.450651</v>
      </c>
      <c r="CE35" t="str">
        <v>1.656006</v>
      </c>
      <c r="CF35" t="str">
        <v>0.939464</v>
      </c>
      <c r="CG35" t="str">
        <v>0.326361</v>
      </c>
      <c r="CH35" t="str">
        <v>-0.056624</v>
      </c>
      <c r="CI35" t="str">
        <v>0.165808</v>
      </c>
      <c r="CJ35" t="str">
        <v>0.107341</v>
      </c>
      <c r="CK35" t="str">
        <v>228.768463</v>
      </c>
      <c r="CL35" t="str">
        <v>0.000235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PSF-00438_20251211095725_54e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2025-12-10T14:09:08.064Z</v>
      </c>
    </row>
    <row r="36">
      <c r="A36" t="str">
        <v>33</v>
      </c>
      <c r="B36" t="str">
        <v>09:57:45</v>
      </c>
      <c r="C36" t="str">
        <v>2025-12-11</v>
      </c>
      <c r="D36" t="str">
        <v>TT25_psf_dark</v>
      </c>
      <c r="E36" t="str">
        <v>eap</v>
      </c>
      <c r="F36" t="str">
        <v/>
      </c>
      <c r="G36" t="str">
        <v>6881_Tri_green</v>
      </c>
      <c r="H36" t="str">
        <v/>
      </c>
      <c r="I36" t="str">
        <v/>
      </c>
      <c r="J36" t="str">
        <f>1/((1/L36)-(1/K36))</f>
        <v>-0.003843</v>
      </c>
      <c r="K36" t="str">
        <f>BH36+(BI36*AN36)+(BJ36*AN36*POWER(V36,2))+(BK36*AN36*V36)+(BL36*POWER(AN36,2))</f>
        <v>2.921954</v>
      </c>
      <c r="L36" t="str">
        <f>((M36/1000)*(1000-((T36+S36)/2)))/(T36-S36)</f>
        <v>-0.003848</v>
      </c>
      <c r="M36" t="str">
        <f>(AN36*(S36-R36))/(100*U36*(1000-S36))*1000</f>
        <v>-0.049934</v>
      </c>
      <c r="N36" t="str">
        <v>0.689565</v>
      </c>
      <c r="O36" t="str">
        <v>0.690826</v>
      </c>
      <c r="P36" t="str">
        <f>0.61365*EXP((17.502*AL36)/(240.97+AL36))</f>
        <v>1.845006</v>
      </c>
      <c r="Q36" t="str">
        <f>P36-N36</f>
        <v>1.155441</v>
      </c>
      <c r="R36" t="str">
        <v>7.650200</v>
      </c>
      <c r="S36" t="str">
        <v>7.636233</v>
      </c>
      <c r="T36" t="str">
        <f>(P36/AM36)*1000</f>
        <v>20.431568</v>
      </c>
      <c r="U36" t="str">
        <f>V36*BG36</f>
        <v>0.441786</v>
      </c>
      <c r="V36" t="str">
        <v>7.500000</v>
      </c>
      <c r="W36" t="str">
        <v>PSF-00438_20251211095745_90f</v>
      </c>
      <c r="X36" t="str">
        <v>300.908813</v>
      </c>
      <c r="Y36" t="str">
        <v>331.325775</v>
      </c>
      <c r="Z36" t="str">
        <v>0.091804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0.001090</v>
      </c>
      <c r="AG36" t="str">
        <v>1.000000</v>
      </c>
      <c r="AH36" t="str">
        <v>28.63</v>
      </c>
      <c r="AI36" t="str">
        <v>28.68</v>
      </c>
      <c r="AJ36" t="str">
        <v>20.42</v>
      </c>
      <c r="AK36" t="str">
        <v>16.17</v>
      </c>
      <c r="AL36" t="str">
        <f>(AK36-AJ36)*(AJ36*0+0)+AK36</f>
        <v>16.17</v>
      </c>
      <c r="AM36" t="str">
        <v>90.30</v>
      </c>
      <c r="AN36" t="str">
        <v>156.7</v>
      </c>
      <c r="AO36" t="str">
        <v>158.8</v>
      </c>
      <c r="AP36" t="str">
        <v>-1.4</v>
      </c>
      <c r="AQ36" t="str">
        <v>0</v>
      </c>
      <c r="AR36" t="str">
        <v>4.057</v>
      </c>
      <c r="AS36" t="str">
        <v>09:52:43</v>
      </c>
      <c r="AT36" t="str">
        <v>2025-12-11</v>
      </c>
      <c r="AU36" t="str">
        <v>-0.12</v>
      </c>
      <c r="AV36" t="str">
        <v>1</v>
      </c>
      <c r="AW36" t="str">
        <v>-0.004</v>
      </c>
      <c r="AX36" t="str">
        <v>-0.003</v>
      </c>
      <c r="AY36" t="str">
        <v>-9999.000</v>
      </c>
      <c r="AZ36" t="str">
        <v>-0.786</v>
      </c>
      <c r="BA36" t="str">
        <v>-1.523</v>
      </c>
      <c r="BB36" t="str">
        <v>-9999.000</v>
      </c>
      <c r="BC36" t="str">
        <v>1</v>
      </c>
      <c r="BD36" t="str">
        <v>150</v>
      </c>
      <c r="BE36" t="str">
        <v>0.005</v>
      </c>
      <c r="BF36" t="str">
        <v>2.000000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6000</v>
      </c>
      <c r="BQ36" t="str">
        <v>5</v>
      </c>
      <c r="BR36" t="str">
        <v>5.000000</v>
      </c>
      <c r="BS36" t="str">
        <v>2.000000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2.438756</v>
      </c>
      <c r="CD36" t="str">
        <v>2.452819</v>
      </c>
      <c r="CE36" t="str">
        <v>1.655756</v>
      </c>
      <c r="CF36" t="str">
        <v>0.943549</v>
      </c>
      <c r="CG36" t="str">
        <v>0.327610</v>
      </c>
      <c r="CH36" t="str">
        <v>-0.044618</v>
      </c>
      <c r="CI36" t="str">
        <v>0.167697</v>
      </c>
      <c r="CJ36" t="str">
        <v>0.107328</v>
      </c>
      <c r="CK36" t="str">
        <v>300.908813</v>
      </c>
      <c r="CL36" t="str">
        <v>0.000235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PSF-00438_20251211095745_90f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2025-12-10T14:09:08.064Z</v>
      </c>
    </row>
    <row r="37">
      <c r="A37" t="str">
        <v>34</v>
      </c>
      <c r="B37" t="str">
        <v>09:58:02</v>
      </c>
      <c r="C37" t="str">
        <v>2025-12-11</v>
      </c>
      <c r="D37" t="str">
        <v>TT25_psf_dark</v>
      </c>
      <c r="E37" t="str">
        <v>eap</v>
      </c>
      <c r="F37" t="str">
        <v/>
      </c>
      <c r="G37" t="str">
        <v>4081_Tri_green</v>
      </c>
      <c r="H37" t="str">
        <v/>
      </c>
      <c r="I37" t="str">
        <v/>
      </c>
      <c r="J37" t="str">
        <f>1/((1/L37)-(1/K37))</f>
        <v>0.006469</v>
      </c>
      <c r="K37" t="str">
        <f>BH37+(BI37*AN37)+(BJ37*AN37*POWER(V37,2))+(BK37*AN37*V37)+(BL37*POWER(AN37,2))</f>
        <v>2.921688</v>
      </c>
      <c r="L37" t="str">
        <f>((M37/1000)*(1000-((T37+S37)/2)))/(T37-S37)</f>
        <v>0.006455</v>
      </c>
      <c r="M37" t="str">
        <f>(AN37*(S37-R37))/(100*U37*(1000-S37))*1000</f>
        <v>0.065826</v>
      </c>
      <c r="N37" t="str">
        <v>0.689065</v>
      </c>
      <c r="O37" t="str">
        <v>0.687402</v>
      </c>
      <c r="P37" t="str">
        <f>0.61365*EXP((17.502*AL37)/(240.97+AL37))</f>
        <v>1.598378</v>
      </c>
      <c r="Q37" t="str">
        <f>P37-N37</f>
        <v>0.909313</v>
      </c>
      <c r="R37" t="str">
        <v>7.611621</v>
      </c>
      <c r="S37" t="str">
        <v>7.630038</v>
      </c>
      <c r="T37" t="str">
        <f>(P37/AM37)*1000</f>
        <v>17.698889</v>
      </c>
      <c r="U37" t="str">
        <f>V37*BG37</f>
        <v>0.441786</v>
      </c>
      <c r="V37" t="str">
        <v>7.500000</v>
      </c>
      <c r="W37" t="str">
        <v>PSF-00438_20251211095802_2eb</v>
      </c>
      <c r="X37" t="str">
        <v>213.398331</v>
      </c>
      <c r="Y37" t="str">
        <v>397.140747</v>
      </c>
      <c r="Z37" t="str">
        <v>0.462663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0.005052</v>
      </c>
      <c r="AG37" t="str">
        <v>1.000000</v>
      </c>
      <c r="AH37" t="str">
        <v>28.78</v>
      </c>
      <c r="AI37" t="str">
        <v>28.71</v>
      </c>
      <c r="AJ37" t="str">
        <v>20.33</v>
      </c>
      <c r="AK37" t="str">
        <v>13.94</v>
      </c>
      <c r="AL37" t="str">
        <f>(AK37-AJ37)*(AJ37*0+0)+AK37</f>
        <v>13.94</v>
      </c>
      <c r="AM37" t="str">
        <v>90.31</v>
      </c>
      <c r="AN37" t="str">
        <v>156.7</v>
      </c>
      <c r="AO37" t="str">
        <v>142.2</v>
      </c>
      <c r="AP37" t="str">
        <v>9.3</v>
      </c>
      <c r="AQ37" t="str">
        <v>0</v>
      </c>
      <c r="AR37" t="str">
        <v>4.085</v>
      </c>
      <c r="AS37" t="str">
        <v>09:52:43</v>
      </c>
      <c r="AT37" t="str">
        <v>2025-12-11</v>
      </c>
      <c r="AU37" t="str">
        <v>-0.12</v>
      </c>
      <c r="AV37" t="str">
        <v>1</v>
      </c>
      <c r="AW37" t="str">
        <v>0.001</v>
      </c>
      <c r="AX37" t="str">
        <v>0.001</v>
      </c>
      <c r="AY37" t="str">
        <v>-9999.000</v>
      </c>
      <c r="AZ37" t="str">
        <v>0.087</v>
      </c>
      <c r="BA37" t="str">
        <v>0.081</v>
      </c>
      <c r="BB37" t="str">
        <v>-9999.000</v>
      </c>
      <c r="BC37" t="str">
        <v>1</v>
      </c>
      <c r="BD37" t="str">
        <v>150</v>
      </c>
      <c r="BE37" t="str">
        <v>0.005</v>
      </c>
      <c r="BF37" t="str">
        <v>2.000000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6000</v>
      </c>
      <c r="BQ37" t="str">
        <v>5</v>
      </c>
      <c r="BR37" t="str">
        <v>5.000000</v>
      </c>
      <c r="BS37" t="str">
        <v>2.000000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2.438804</v>
      </c>
      <c r="CD37" t="str">
        <v>2.453051</v>
      </c>
      <c r="CE37" t="str">
        <v>1.655478</v>
      </c>
      <c r="CF37" t="str">
        <v>0.901561</v>
      </c>
      <c r="CG37" t="str">
        <v>0.328837</v>
      </c>
      <c r="CH37" t="str">
        <v>-0.066618</v>
      </c>
      <c r="CI37" t="str">
        <v>0.169032</v>
      </c>
      <c r="CJ37" t="str">
        <v>0.107326</v>
      </c>
      <c r="CK37" t="str">
        <v>213.398331</v>
      </c>
      <c r="CL37" t="str">
        <v>0.000236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PSF-00438_20251211095802_2eb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2025-12-10T14:09:08.064Z</v>
      </c>
    </row>
    <row r="38">
      <c r="A38" t="str">
        <v>35</v>
      </c>
      <c r="B38" t="str">
        <v>09:58:21</v>
      </c>
      <c r="C38" t="str">
        <v>2025-12-11</v>
      </c>
      <c r="D38" t="str">
        <v>TT25_psf_dark</v>
      </c>
      <c r="E38" t="str">
        <v>eap</v>
      </c>
      <c r="F38" t="str">
        <v>redo</v>
      </c>
      <c r="G38" t="str">
        <v>2289_Tri_green</v>
      </c>
      <c r="H38" t="str">
        <v/>
      </c>
      <c r="I38" t="str">
        <v/>
      </c>
      <c r="J38" t="str">
        <f>1/((1/L38)-(1/K38))</f>
        <v>0.006129</v>
      </c>
      <c r="K38" t="str">
        <f>BH38+(BI38*AN38)+(BJ38*AN38*POWER(V38,2))+(BK38*AN38*V38)+(BL38*POWER(AN38,2))</f>
        <v>2.921757</v>
      </c>
      <c r="L38" t="str">
        <f>((M38/1000)*(1000-((T38+S38)/2)))/(T38-S38)</f>
        <v>0.006116</v>
      </c>
      <c r="M38" t="str">
        <f>(AN38*(S38-R38))/(100*U38*(1000-S38))*1000</f>
        <v>0.084527</v>
      </c>
      <c r="N38" t="str">
        <v>0.676338</v>
      </c>
      <c r="O38" t="str">
        <v>0.674202</v>
      </c>
      <c r="P38" t="str">
        <f>0.61365*EXP((17.502*AL38)/(240.97+AL38))</f>
        <v>1.906714</v>
      </c>
      <c r="Q38" t="str">
        <f>P38-N38</f>
        <v>1.230376</v>
      </c>
      <c r="R38" t="str">
        <v>7.464927</v>
      </c>
      <c r="S38" t="str">
        <v>7.488578</v>
      </c>
      <c r="T38" t="str">
        <f>(P38/AM38)*1000</f>
        <v>21.111586</v>
      </c>
      <c r="U38" t="str">
        <f>V38*BG38</f>
        <v>0.441786</v>
      </c>
      <c r="V38" t="str">
        <v>7.500000</v>
      </c>
      <c r="W38" t="str">
        <v>PSF-00438_20251211095821_ffa</v>
      </c>
      <c r="X38" t="str">
        <v>141.981476</v>
      </c>
      <c r="Y38" t="str">
        <v>521.312012</v>
      </c>
      <c r="Z38" t="str">
        <v>0.727646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0.114863</v>
      </c>
      <c r="AG38" t="str">
        <v>1.000000</v>
      </c>
      <c r="AH38" t="str">
        <v>28.45</v>
      </c>
      <c r="AI38" t="str">
        <v>28.36</v>
      </c>
      <c r="AJ38" t="str">
        <v>20.21</v>
      </c>
      <c r="AK38" t="str">
        <v>16.69</v>
      </c>
      <c r="AL38" t="str">
        <f>(AK38-AJ38)*(AJ38*0+0)+AK38</f>
        <v>16.69</v>
      </c>
      <c r="AM38" t="str">
        <v>90.32</v>
      </c>
      <c r="AN38" t="str">
        <v>156.7</v>
      </c>
      <c r="AO38" t="str">
        <v>158.8</v>
      </c>
      <c r="AP38" t="str">
        <v>-1.4</v>
      </c>
      <c r="AQ38" t="str">
        <v>0</v>
      </c>
      <c r="AR38" t="str">
        <v>4.084</v>
      </c>
      <c r="AS38" t="str">
        <v>09:52:43</v>
      </c>
      <c r="AT38" t="str">
        <v>2025-12-11</v>
      </c>
      <c r="AU38" t="str">
        <v>-0.12</v>
      </c>
      <c r="AV38" t="str">
        <v>1</v>
      </c>
      <c r="AW38" t="str">
        <v>0.001</v>
      </c>
      <c r="AX38" t="str">
        <v>0.001</v>
      </c>
      <c r="AY38" t="str">
        <v>-9999.000</v>
      </c>
      <c r="AZ38" t="str">
        <v>-0.264</v>
      </c>
      <c r="BA38" t="str">
        <v>0.091</v>
      </c>
      <c r="BB38" t="str">
        <v>-9999.000</v>
      </c>
      <c r="BC38" t="str">
        <v>1</v>
      </c>
      <c r="BD38" t="str">
        <v>150</v>
      </c>
      <c r="BE38" t="str">
        <v>0.005</v>
      </c>
      <c r="BF38" t="str">
        <v>2.000000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6000</v>
      </c>
      <c r="BQ38" t="str">
        <v>5</v>
      </c>
      <c r="BR38" t="str">
        <v>5.000000</v>
      </c>
      <c r="BS38" t="str">
        <v>2.000000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2.438312</v>
      </c>
      <c r="CD38" t="str">
        <v>2.452587</v>
      </c>
      <c r="CE38" t="str">
        <v>1.655550</v>
      </c>
      <c r="CF38" t="str">
        <v>0.943508</v>
      </c>
      <c r="CG38" t="str">
        <v>0.330416</v>
      </c>
      <c r="CH38" t="str">
        <v>-0.036893</v>
      </c>
      <c r="CI38" t="str">
        <v>0.170645</v>
      </c>
      <c r="CJ38" t="str">
        <v>0.107656</v>
      </c>
      <c r="CK38" t="str">
        <v>141.981476</v>
      </c>
      <c r="CL38" t="str">
        <v>0.000236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PSF-00438_20251211095821_ffa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2025-12-10T14:09:08.064Z</v>
      </c>
    </row>
    <row r="39">
      <c r="A39" t="str">
        <v>36</v>
      </c>
      <c r="B39" t="str">
        <v>09:58:45</v>
      </c>
      <c r="C39" t="str">
        <v>2025-12-11</v>
      </c>
      <c r="D39" t="str">
        <v>TT25_psf_dark</v>
      </c>
      <c r="E39" t="str">
        <v>eap</v>
      </c>
      <c r="F39" t="str">
        <v/>
      </c>
      <c r="G39" t="str">
        <v>2289_Tri_green</v>
      </c>
      <c r="H39" t="str">
        <v/>
      </c>
      <c r="I39" t="str">
        <v/>
      </c>
      <c r="J39" t="str">
        <f>1/((1/L39)-(1/K39))</f>
        <v>0.005631</v>
      </c>
      <c r="K39" t="str">
        <f>BH39+(BI39*AN39)+(BJ39*AN39*POWER(V39,2))+(BK39*AN39*V39)+(BL39*POWER(AN39,2))</f>
        <v>2.922391</v>
      </c>
      <c r="L39" t="str">
        <f>((M39/1000)*(1000-((T39+S39)/2)))/(T39-S39)</f>
        <v>0.005620</v>
      </c>
      <c r="M39" t="str">
        <f>(AN39*(S39-R39))/(100*U39*(1000-S39))*1000</f>
        <v>0.073586</v>
      </c>
      <c r="N39" t="str">
        <v>0.681673</v>
      </c>
      <c r="O39" t="str">
        <v>0.679815</v>
      </c>
      <c r="P39" t="str">
        <f>0.61365*EXP((17.502*AL39)/(240.97+AL39))</f>
        <v>1.847666</v>
      </c>
      <c r="Q39" t="str">
        <f>P39-N39</f>
        <v>1.165992</v>
      </c>
      <c r="R39" t="str">
        <v>7.527089</v>
      </c>
      <c r="S39" t="str">
        <v>7.547667</v>
      </c>
      <c r="T39" t="str">
        <f>(P39/AM39)*1000</f>
        <v>20.457844</v>
      </c>
      <c r="U39" t="str">
        <f>V39*BG39</f>
        <v>0.441786</v>
      </c>
      <c r="V39" t="str">
        <v>7.500000</v>
      </c>
      <c r="W39" t="str">
        <v>PSF-00438_20251211095845_904</v>
      </c>
      <c r="X39" t="str">
        <v>170.323135</v>
      </c>
      <c r="Y39" t="str">
        <v>455.633636</v>
      </c>
      <c r="Z39" t="str">
        <v>0.626184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0.094366</v>
      </c>
      <c r="AG39" t="str">
        <v>1.000000</v>
      </c>
      <c r="AH39" t="str">
        <v>28.94</v>
      </c>
      <c r="AI39" t="str">
        <v>28.86</v>
      </c>
      <c r="AJ39" t="str">
        <v>20.06</v>
      </c>
      <c r="AK39" t="str">
        <v>16.20</v>
      </c>
      <c r="AL39" t="str">
        <f>(AK39-AJ39)*(AJ39*0+0)+AK39</f>
        <v>16.20</v>
      </c>
      <c r="AM39" t="str">
        <v>90.32</v>
      </c>
      <c r="AN39" t="str">
        <v>156.8</v>
      </c>
      <c r="AO39" t="str">
        <v>158.7</v>
      </c>
      <c r="AP39" t="str">
        <v>-1.2</v>
      </c>
      <c r="AQ39" t="str">
        <v>0</v>
      </c>
      <c r="AR39" t="str">
        <v>4.055</v>
      </c>
      <c r="AS39" t="str">
        <v>09:52:43</v>
      </c>
      <c r="AT39" t="str">
        <v>2025-12-11</v>
      </c>
      <c r="AU39" t="str">
        <v>-0.12</v>
      </c>
      <c r="AV39" t="str">
        <v>1</v>
      </c>
      <c r="AW39" t="str">
        <v>-0.001</v>
      </c>
      <c r="AX39" t="str">
        <v>0.002</v>
      </c>
      <c r="AY39" t="str">
        <v>-9999.000</v>
      </c>
      <c r="AZ39" t="str">
        <v>-0.296</v>
      </c>
      <c r="BA39" t="str">
        <v>-1.209</v>
      </c>
      <c r="BB39" t="str">
        <v>-9999.000</v>
      </c>
      <c r="BC39" t="str">
        <v>1</v>
      </c>
      <c r="BD39" t="str">
        <v>150</v>
      </c>
      <c r="BE39" t="str">
        <v>0.005</v>
      </c>
      <c r="BF39" t="str">
        <v>2.000000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6000</v>
      </c>
      <c r="BQ39" t="str">
        <v>5</v>
      </c>
      <c r="BR39" t="str">
        <v>5.000000</v>
      </c>
      <c r="BS39" t="str">
        <v>2.000000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2.439071</v>
      </c>
      <c r="CD39" t="str">
        <v>2.453336</v>
      </c>
      <c r="CE39" t="str">
        <v>1.656215</v>
      </c>
      <c r="CF39" t="str">
        <v>0.943255</v>
      </c>
      <c r="CG39" t="str">
        <v>0.332345</v>
      </c>
      <c r="CH39" t="str">
        <v>-0.040491</v>
      </c>
      <c r="CI39" t="str">
        <v>0.172804</v>
      </c>
      <c r="CJ39" t="str">
        <v>0.107640</v>
      </c>
      <c r="CK39" t="str">
        <v>170.323135</v>
      </c>
      <c r="CL39" t="str">
        <v>0.000236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PSF-00438_20251211095845_904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2025-12-10T14:09:08.064Z</v>
      </c>
    </row>
    <row r="40">
      <c r="A40" t="str">
        <v>37</v>
      </c>
      <c r="B40" t="str">
        <v>09:59:21</v>
      </c>
      <c r="C40" t="str">
        <v>2025-12-11</v>
      </c>
      <c r="D40" t="str">
        <v>TT25_psf_dark</v>
      </c>
      <c r="E40" t="str">
        <v>eap</v>
      </c>
      <c r="F40" t="str">
        <v/>
      </c>
      <c r="G40" t="str">
        <v>4582_Tri_green</v>
      </c>
      <c r="H40" t="str">
        <v/>
      </c>
      <c r="I40" t="str">
        <v/>
      </c>
      <c r="J40" t="str">
        <f>1/((1/L40)-(1/K40))</f>
        <v>0.002232</v>
      </c>
      <c r="K40" t="str">
        <f>BH40+(BI40*AN40)+(BJ40*AN40*POWER(V40,2))+(BK40*AN40*V40)+(BL40*POWER(AN40,2))</f>
        <v>2.921304</v>
      </c>
      <c r="L40" t="str">
        <f>((M40/1000)*(1000-((T40+S40)/2)))/(T40-S40)</f>
        <v>0.002230</v>
      </c>
      <c r="M40" t="str">
        <f>(AN40*(S40-R40))/(100*U40*(1000-S40))*1000</f>
        <v>0.028947</v>
      </c>
      <c r="N40" t="str">
        <v>0.695774</v>
      </c>
      <c r="O40" t="str">
        <v>0.695042</v>
      </c>
      <c r="P40" t="str">
        <f>0.61365*EXP((17.502*AL40)/(240.97+AL40))</f>
        <v>1.851396</v>
      </c>
      <c r="Q40" t="str">
        <f>P40-N40</f>
        <v>1.155622</v>
      </c>
      <c r="R40" t="str">
        <v>7.696243</v>
      </c>
      <c r="S40" t="str">
        <v>7.704344</v>
      </c>
      <c r="T40" t="str">
        <f>(P40/AM40)*1000</f>
        <v>20.500620</v>
      </c>
      <c r="U40" t="str">
        <f>V40*BG40</f>
        <v>0.441786</v>
      </c>
      <c r="V40" t="str">
        <v>7.500000</v>
      </c>
      <c r="W40" t="str">
        <v>PSF-00438_20251211095921_0d0</v>
      </c>
      <c r="X40" t="str">
        <v>365.304352</v>
      </c>
      <c r="Y40" t="str">
        <v>412.617432</v>
      </c>
      <c r="Z40" t="str">
        <v>0.114666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0.019176</v>
      </c>
      <c r="AG40" t="str">
        <v>1.000000</v>
      </c>
      <c r="AH40" t="str">
        <v>29.93</v>
      </c>
      <c r="AI40" t="str">
        <v>29.90</v>
      </c>
      <c r="AJ40" t="str">
        <v>19.85</v>
      </c>
      <c r="AK40" t="str">
        <v>16.23</v>
      </c>
      <c r="AL40" t="str">
        <f>(AK40-AJ40)*(AJ40*0+0)+AK40</f>
        <v>16.23</v>
      </c>
      <c r="AM40" t="str">
        <v>90.31</v>
      </c>
      <c r="AN40" t="str">
        <v>156.7</v>
      </c>
      <c r="AO40" t="str">
        <v>158.6</v>
      </c>
      <c r="AP40" t="str">
        <v>-1.2</v>
      </c>
      <c r="AQ40" t="str">
        <v>0</v>
      </c>
      <c r="AR40" t="str">
        <v>4.082</v>
      </c>
      <c r="AS40" t="str">
        <v>09:52:43</v>
      </c>
      <c r="AT40" t="str">
        <v>2025-12-11</v>
      </c>
      <c r="AU40" t="str">
        <v>-0.12</v>
      </c>
      <c r="AV40" t="str">
        <v>1</v>
      </c>
      <c r="AW40" t="str">
        <v>0.000</v>
      </c>
      <c r="AX40" t="str">
        <v>-0.003</v>
      </c>
      <c r="AY40" t="str">
        <v>-9999.000</v>
      </c>
      <c r="AZ40" t="str">
        <v>-1.210</v>
      </c>
      <c r="BA40" t="str">
        <v>-1.261</v>
      </c>
      <c r="BB40" t="str">
        <v>-9999.000</v>
      </c>
      <c r="BC40" t="str">
        <v>1</v>
      </c>
      <c r="BD40" t="str">
        <v>150</v>
      </c>
      <c r="BE40" t="str">
        <v>0.005</v>
      </c>
      <c r="BF40" t="str">
        <v>2.000000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6000</v>
      </c>
      <c r="BQ40" t="str">
        <v>5</v>
      </c>
      <c r="BR40" t="str">
        <v>5.000000</v>
      </c>
      <c r="BS40" t="str">
        <v>2.000000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2.440651</v>
      </c>
      <c r="CD40" t="str">
        <v>2.454859</v>
      </c>
      <c r="CE40" t="str">
        <v>1.655076</v>
      </c>
      <c r="CF40" t="str">
        <v>0.942913</v>
      </c>
      <c r="CG40" t="str">
        <v>0.335222</v>
      </c>
      <c r="CH40" t="str">
        <v>-0.037828</v>
      </c>
      <c r="CI40" t="str">
        <v>0.176061</v>
      </c>
      <c r="CJ40" t="str">
        <v>0.107677</v>
      </c>
      <c r="CK40" t="str">
        <v>365.304352</v>
      </c>
      <c r="CL40" t="str">
        <v>0.000234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PSF-00438_20251211095921_0d0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2025-12-10T14:09:08.064Z</v>
      </c>
    </row>
    <row r="41">
      <c r="A41" t="str">
        <v>38</v>
      </c>
      <c r="B41" t="str">
        <v>09:59:44</v>
      </c>
      <c r="C41" t="str">
        <v>2025-12-11</v>
      </c>
      <c r="D41" t="str">
        <v>TT25_psf_dark</v>
      </c>
      <c r="E41" t="str">
        <v>eap</v>
      </c>
      <c r="F41" t="str">
        <v/>
      </c>
      <c r="G41" t="str">
        <v>1686_Tri_green</v>
      </c>
      <c r="H41" t="str">
        <v/>
      </c>
      <c r="I41" t="str">
        <v/>
      </c>
      <c r="J41" t="str">
        <f>1/((1/L41)-(1/K41))</f>
        <v>-0.000112</v>
      </c>
      <c r="K41" t="str">
        <f>BH41+(BI41*AN41)+(BJ41*AN41*POWER(V41,2))+(BK41*AN41*V41)+(BL41*POWER(AN41,2))</f>
        <v>2.921330</v>
      </c>
      <c r="L41" t="str">
        <f>((M41/1000)*(1000-((T41+S41)/2)))/(T41-S41)</f>
        <v>-0.000112</v>
      </c>
      <c r="M41" t="str">
        <f>(AN41*(S41-R41))/(100*U41*(1000-S41))*1000</f>
        <v>-0.001250</v>
      </c>
      <c r="N41" t="str">
        <v>0.688819</v>
      </c>
      <c r="O41" t="str">
        <v>0.688851</v>
      </c>
      <c r="P41" t="str">
        <f>0.61365*EXP((17.502*AL41)/(240.97+AL41))</f>
        <v>1.679105</v>
      </c>
      <c r="Q41" t="str">
        <f>P41-N41</f>
        <v>0.990286</v>
      </c>
      <c r="R41" t="str">
        <v>7.628007</v>
      </c>
      <c r="S41" t="str">
        <v>7.627657</v>
      </c>
      <c r="T41" t="str">
        <f>(P41/AM41)*1000</f>
        <v>18.593609</v>
      </c>
      <c r="U41" t="str">
        <f>V41*BG41</f>
        <v>0.441786</v>
      </c>
      <c r="V41" t="str">
        <v>7.500000</v>
      </c>
      <c r="W41" t="str">
        <v>PSF-00438_20251211095944_de1</v>
      </c>
      <c r="X41" t="str">
        <v>301.471008</v>
      </c>
      <c r="Y41" t="str">
        <v>395.356903</v>
      </c>
      <c r="Z41" t="str">
        <v>0.237471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0.022456</v>
      </c>
      <c r="AG41" t="str">
        <v>1.000000</v>
      </c>
      <c r="AH41" t="str">
        <v>29.88</v>
      </c>
      <c r="AI41" t="str">
        <v>29.88</v>
      </c>
      <c r="AJ41" t="str">
        <v>19.71</v>
      </c>
      <c r="AK41" t="str">
        <v>14.70</v>
      </c>
      <c r="AL41" t="str">
        <f>(AK41-AJ41)*(AJ41*0+0)+AK41</f>
        <v>14.70</v>
      </c>
      <c r="AM41" t="str">
        <v>90.31</v>
      </c>
      <c r="AN41" t="str">
        <v>156.7</v>
      </c>
      <c r="AO41" t="str">
        <v>158.7</v>
      </c>
      <c r="AP41" t="str">
        <v>-1.3</v>
      </c>
      <c r="AQ41" t="str">
        <v>0</v>
      </c>
      <c r="AR41" t="str">
        <v>4.082</v>
      </c>
      <c r="AS41" t="str">
        <v>09:52:43</v>
      </c>
      <c r="AT41" t="str">
        <v>2025-12-11</v>
      </c>
      <c r="AU41" t="str">
        <v>-0.12</v>
      </c>
      <c r="AV41" t="str">
        <v>1</v>
      </c>
      <c r="AW41" t="str">
        <v>-0.001</v>
      </c>
      <c r="AX41" t="str">
        <v>-0.001</v>
      </c>
      <c r="AY41" t="str">
        <v>-9999.000</v>
      </c>
      <c r="AZ41" t="str">
        <v>-0.663</v>
      </c>
      <c r="BA41" t="str">
        <v>-0.980</v>
      </c>
      <c r="BB41" t="str">
        <v>-9999.000</v>
      </c>
      <c r="BC41" t="str">
        <v>1</v>
      </c>
      <c r="BD41" t="str">
        <v>150</v>
      </c>
      <c r="BE41" t="str">
        <v>0.005</v>
      </c>
      <c r="BF41" t="str">
        <v>2.000000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6000</v>
      </c>
      <c r="BQ41" t="str">
        <v>5</v>
      </c>
      <c r="BR41" t="str">
        <v>5.000000</v>
      </c>
      <c r="BS41" t="str">
        <v>2.000000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2.440651</v>
      </c>
      <c r="CD41" t="str">
        <v>2.454810</v>
      </c>
      <c r="CE41" t="str">
        <v>1.655103</v>
      </c>
      <c r="CF41" t="str">
        <v>0.943199</v>
      </c>
      <c r="CG41" t="str">
        <v>0.337054</v>
      </c>
      <c r="CH41" t="str">
        <v>-0.052158</v>
      </c>
      <c r="CI41" t="str">
        <v>0.178127</v>
      </c>
      <c r="CJ41" t="str">
        <v>0.107514</v>
      </c>
      <c r="CK41" t="str">
        <v>301.471008</v>
      </c>
      <c r="CL41" t="str">
        <v>0.000234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PSF-00438_20251211095944_de1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2025-12-10T14:09:08.064Z</v>
      </c>
    </row>
    <row r="42">
      <c r="A42" t="str">
        <v>39</v>
      </c>
      <c r="B42" t="str">
        <v>10:00:01</v>
      </c>
      <c r="C42" t="str">
        <v>2025-12-11</v>
      </c>
      <c r="D42" t="str">
        <v>TT25_psf_dark</v>
      </c>
      <c r="E42" t="str">
        <v>eap</v>
      </c>
      <c r="F42" t="str">
        <v/>
      </c>
      <c r="G42" t="str">
        <v>4934_Tri_green</v>
      </c>
      <c r="H42" t="str">
        <v/>
      </c>
      <c r="I42" t="str">
        <v/>
      </c>
      <c r="J42" t="str">
        <f>1/((1/L42)-(1/K42))</f>
        <v>0.002335</v>
      </c>
      <c r="K42" t="str">
        <f>BH42+(BI42*AN42)+(BJ42*AN42*POWER(V42,2))+(BK42*AN42*V42)+(BL42*POWER(AN42,2))</f>
        <v>2.921820</v>
      </c>
      <c r="L42" t="str">
        <f>((M42/1000)*(1000-((T42+S42)/2)))/(T42-S42)</f>
        <v>0.002333</v>
      </c>
      <c r="M42" t="str">
        <f>(AN42*(S42-R42))/(100*U42*(1000-S42))*1000</f>
        <v>0.029674</v>
      </c>
      <c r="N42" t="str">
        <v>0.703071</v>
      </c>
      <c r="O42" t="str">
        <v>0.702322</v>
      </c>
      <c r="P42" t="str">
        <f>0.61365*EXP((17.502*AL42)/(240.97+AL42))</f>
        <v>1.835265</v>
      </c>
      <c r="Q42" t="str">
        <f>P42-N42</f>
        <v>1.132194</v>
      </c>
      <c r="R42" t="str">
        <v>7.777369</v>
      </c>
      <c r="S42" t="str">
        <v>7.785669</v>
      </c>
      <c r="T42" t="str">
        <f>(P42/AM42)*1000</f>
        <v>20.323357</v>
      </c>
      <c r="U42" t="str">
        <f>V42*BG42</f>
        <v>0.441786</v>
      </c>
      <c r="V42" t="str">
        <v>7.500000</v>
      </c>
      <c r="W42" t="str">
        <v>PSF-00438_20251211100001_02e</v>
      </c>
      <c r="X42" t="str">
        <v>512.492920</v>
      </c>
      <c r="Y42" t="str">
        <v>563.755249</v>
      </c>
      <c r="Z42" t="str">
        <v>0.090930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0.008151</v>
      </c>
      <c r="AG42" t="str">
        <v>1.000000</v>
      </c>
      <c r="AH42" t="str">
        <v>30.69</v>
      </c>
      <c r="AI42" t="str">
        <v>30.65</v>
      </c>
      <c r="AJ42" t="str">
        <v>19.61</v>
      </c>
      <c r="AK42" t="str">
        <v>16.09</v>
      </c>
      <c r="AL42" t="str">
        <f>(AK42-AJ42)*(AJ42*0+0)+AK42</f>
        <v>16.09</v>
      </c>
      <c r="AM42" t="str">
        <v>90.30</v>
      </c>
      <c r="AN42" t="str">
        <v>156.7</v>
      </c>
      <c r="AO42" t="str">
        <v>156.6</v>
      </c>
      <c r="AP42" t="str">
        <v>0.1</v>
      </c>
      <c r="AQ42" t="str">
        <v>0</v>
      </c>
      <c r="AR42" t="str">
        <v>4.081</v>
      </c>
      <c r="AS42" t="str">
        <v>09:52:43</v>
      </c>
      <c r="AT42" t="str">
        <v>2025-12-11</v>
      </c>
      <c r="AU42" t="str">
        <v>-0.12</v>
      </c>
      <c r="AV42" t="str">
        <v>1</v>
      </c>
      <c r="AW42" t="str">
        <v>0.001</v>
      </c>
      <c r="AX42" t="str">
        <v>-0.001</v>
      </c>
      <c r="AY42" t="str">
        <v>-9999.000</v>
      </c>
      <c r="AZ42" t="str">
        <v>-0.616</v>
      </c>
      <c r="BA42" t="str">
        <v>-1.970</v>
      </c>
      <c r="BB42" t="str">
        <v>-9999.000</v>
      </c>
      <c r="BC42" t="str">
        <v>1</v>
      </c>
      <c r="BD42" t="str">
        <v>150</v>
      </c>
      <c r="BE42" t="str">
        <v>0.005</v>
      </c>
      <c r="BF42" t="str">
        <v>2.000000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6000</v>
      </c>
      <c r="BQ42" t="str">
        <v>5</v>
      </c>
      <c r="BR42" t="str">
        <v>5.000000</v>
      </c>
      <c r="BS42" t="str">
        <v>2.000000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2.441808</v>
      </c>
      <c r="CD42" t="str">
        <v>2.456028</v>
      </c>
      <c r="CE42" t="str">
        <v>1.655616</v>
      </c>
      <c r="CF42" t="str">
        <v>0.937712</v>
      </c>
      <c r="CG42" t="str">
        <v>0.338401</v>
      </c>
      <c r="CH42" t="str">
        <v>-0.036712</v>
      </c>
      <c r="CI42" t="str">
        <v>0.179608</v>
      </c>
      <c r="CJ42" t="str">
        <v>0.107503</v>
      </c>
      <c r="CK42" t="str">
        <v>512.492920</v>
      </c>
      <c r="CL42" t="str">
        <v>0.000234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PSF-00438_20251211100001_02e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2025-12-10T14:09:08.064Z</v>
      </c>
    </row>
    <row r="43">
      <c r="A43" t="str">
        <v>40</v>
      </c>
      <c r="B43" t="str">
        <v>10:00:25</v>
      </c>
      <c r="C43" t="str">
        <v>2025-12-11</v>
      </c>
      <c r="D43" t="str">
        <v>TT25_psf_dark</v>
      </c>
      <c r="E43" t="str">
        <v>eap</v>
      </c>
      <c r="F43" t="str">
        <v/>
      </c>
      <c r="G43" t="str">
        <v>7574_Tri_green</v>
      </c>
      <c r="H43" t="str">
        <v/>
      </c>
      <c r="I43" t="str">
        <v/>
      </c>
      <c r="J43" t="str">
        <f>1/((1/L43)-(1/K43))</f>
        <v>0.001766</v>
      </c>
      <c r="K43" t="str">
        <f>BH43+(BI43*AN43)+(BJ43*AN43*POWER(V43,2))+(BK43*AN43*V43)+(BL43*POWER(AN43,2))</f>
        <v>2.921342</v>
      </c>
      <c r="L43" t="str">
        <f>((M43/1000)*(1000-((T43+S43)/2)))/(T43-S43)</f>
        <v>0.001765</v>
      </c>
      <c r="M43" t="str">
        <f>(AN43*(S43-R43))/(100*U43*(1000-S43))*1000</f>
        <v>0.018628</v>
      </c>
      <c r="N43" t="str">
        <v>0.680739</v>
      </c>
      <c r="O43" t="str">
        <v>0.680268</v>
      </c>
      <c r="P43" t="str">
        <f>0.61365*EXP((17.502*AL43)/(240.97+AL43))</f>
        <v>1.621448</v>
      </c>
      <c r="Q43" t="str">
        <f>P43-N43</f>
        <v>0.940710</v>
      </c>
      <c r="R43" t="str">
        <v>7.533546</v>
      </c>
      <c r="S43" t="str">
        <v>7.538760</v>
      </c>
      <c r="T43" t="str">
        <f>(P43/AM43)*1000</f>
        <v>17.956537</v>
      </c>
      <c r="U43" t="str">
        <f>V43*BG43</f>
        <v>0.441786</v>
      </c>
      <c r="V43" t="str">
        <v>7.500000</v>
      </c>
      <c r="W43" t="str">
        <v>PSF-00438_20251211100025_231</v>
      </c>
      <c r="X43" t="str">
        <v>130.739090</v>
      </c>
      <c r="Y43" t="str">
        <v>469.052185</v>
      </c>
      <c r="Z43" t="str">
        <v>0.721270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0.008220</v>
      </c>
      <c r="AG43" t="str">
        <v>1.000000</v>
      </c>
      <c r="AH43" t="str">
        <v>29.97</v>
      </c>
      <c r="AI43" t="str">
        <v>29.95</v>
      </c>
      <c r="AJ43" t="str">
        <v>19.47</v>
      </c>
      <c r="AK43" t="str">
        <v>14.16</v>
      </c>
      <c r="AL43" t="str">
        <f>(AK43-AJ43)*(AJ43*0+0)+AK43</f>
        <v>14.16</v>
      </c>
      <c r="AM43" t="str">
        <v>90.30</v>
      </c>
      <c r="AN43" t="str">
        <v>156.7</v>
      </c>
      <c r="AO43" t="str">
        <v>158.5</v>
      </c>
      <c r="AP43" t="str">
        <v>-1.2</v>
      </c>
      <c r="AQ43" t="str">
        <v>0</v>
      </c>
      <c r="AR43" t="str">
        <v>4.053</v>
      </c>
      <c r="AS43" t="str">
        <v>09:52:43</v>
      </c>
      <c r="AT43" t="str">
        <v>2025-12-11</v>
      </c>
      <c r="AU43" t="str">
        <v>-0.12</v>
      </c>
      <c r="AV43" t="str">
        <v>1</v>
      </c>
      <c r="AW43" t="str">
        <v>0.000</v>
      </c>
      <c r="AX43" t="str">
        <v>-0.002</v>
      </c>
      <c r="AY43" t="str">
        <v>-9999.000</v>
      </c>
      <c r="AZ43" t="str">
        <v>-0.032</v>
      </c>
      <c r="BA43" t="str">
        <v>0.103</v>
      </c>
      <c r="BB43" t="str">
        <v>-9999.000</v>
      </c>
      <c r="BC43" t="str">
        <v>1</v>
      </c>
      <c r="BD43" t="str">
        <v>150</v>
      </c>
      <c r="BE43" t="str">
        <v>0.005</v>
      </c>
      <c r="BF43" t="str">
        <v>2.000000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6000</v>
      </c>
      <c r="BQ43" t="str">
        <v>5</v>
      </c>
      <c r="BR43" t="str">
        <v>5.000000</v>
      </c>
      <c r="BS43" t="str">
        <v>2.000000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2.440795</v>
      </c>
      <c r="CD43" t="str">
        <v>2.454990</v>
      </c>
      <c r="CE43" t="str">
        <v>1.655116</v>
      </c>
      <c r="CF43" t="str">
        <v>0.942720</v>
      </c>
      <c r="CG43" t="str">
        <v>0.340315</v>
      </c>
      <c r="CH43" t="str">
        <v>-0.055118</v>
      </c>
      <c r="CI43" t="str">
        <v>0.181777</v>
      </c>
      <c r="CJ43" t="str">
        <v>0.107327</v>
      </c>
      <c r="CK43" t="str">
        <v>130.739090</v>
      </c>
      <c r="CL43" t="str">
        <v>0.000236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PSF-00438_20251211100025_231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2025-12-10T14:09:08.064Z</v>
      </c>
    </row>
    <row r="44">
      <c r="A44" t="str">
        <v>41</v>
      </c>
      <c r="B44" t="str">
        <v>10:05:04</v>
      </c>
      <c r="C44" t="str">
        <v>2025-12-11</v>
      </c>
      <c r="D44" t="str">
        <v>TT25_psf_dark</v>
      </c>
      <c r="E44" t="str">
        <v>eap</v>
      </c>
      <c r="F44" t="str">
        <v/>
      </c>
      <c r="G44" t="str">
        <v>4000_Tri_red</v>
      </c>
      <c r="H44" t="str">
        <v/>
      </c>
      <c r="I44" t="str">
        <v/>
      </c>
      <c r="J44" t="str">
        <f>1/((1/L44)-(1/K44))</f>
        <v>0.027079</v>
      </c>
      <c r="K44" t="str">
        <f>BH44+(BI44*AN44)+(BJ44*AN44*POWER(V44,2))+(BK44*AN44*V44)+(BL44*POWER(AN44,2))</f>
        <v>2.921609</v>
      </c>
      <c r="L44" t="str">
        <f>((M44/1000)*(1000-((T44+S44)/2)))/(T44-S44)</f>
        <v>0.026830</v>
      </c>
      <c r="M44" t="str">
        <f>(AN44*(S44-R44))/(100*U44*(1000-S44))*1000</f>
        <v>0.374694</v>
      </c>
      <c r="N44" t="str">
        <v>0.613319</v>
      </c>
      <c r="O44" t="str">
        <v>0.603845</v>
      </c>
      <c r="P44" t="str">
        <f>0.61365*EXP((17.502*AL44)/(240.97+AL44))</f>
        <v>1.857096</v>
      </c>
      <c r="Q44" t="str">
        <f>P44-N44</f>
        <v>1.243777</v>
      </c>
      <c r="R44" t="str">
        <v>6.687372</v>
      </c>
      <c r="S44" t="str">
        <v>6.792298</v>
      </c>
      <c r="T44" t="str">
        <f>(P44/AM44)*1000</f>
        <v>20.566704</v>
      </c>
      <c r="U44" t="str">
        <f>V44*BG44</f>
        <v>0.441786</v>
      </c>
      <c r="V44" t="str">
        <v>7.500000</v>
      </c>
      <c r="W44" t="str">
        <v>PSF-00438_20251211100504_f11</v>
      </c>
      <c r="X44" t="str">
        <v>150.736923</v>
      </c>
      <c r="Y44" t="str">
        <v>477.281921</v>
      </c>
      <c r="Z44" t="str">
        <v>0.684176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0.275769</v>
      </c>
      <c r="AG44" t="str">
        <v>1.000000</v>
      </c>
      <c r="AH44" t="str">
        <v>26.74</v>
      </c>
      <c r="AI44" t="str">
        <v>26.33</v>
      </c>
      <c r="AJ44" t="str">
        <v>19.63</v>
      </c>
      <c r="AK44" t="str">
        <v>16.28</v>
      </c>
      <c r="AL44" t="str">
        <f>(AK44-AJ44)*(AJ44*0+0)+AK44</f>
        <v>16.28</v>
      </c>
      <c r="AM44" t="str">
        <v>90.30</v>
      </c>
      <c r="AN44" t="str">
        <v>156.7</v>
      </c>
      <c r="AO44" t="str">
        <v>157.7</v>
      </c>
      <c r="AP44" t="str">
        <v>-0.7</v>
      </c>
      <c r="AQ44" t="str">
        <v>1</v>
      </c>
      <c r="AR44" t="str">
        <v>4.075</v>
      </c>
      <c r="AS44" t="str">
        <v>09:52:43</v>
      </c>
      <c r="AT44" t="str">
        <v>2025-12-11</v>
      </c>
      <c r="AU44" t="str">
        <v>-0.12</v>
      </c>
      <c r="AV44" t="str">
        <v>1</v>
      </c>
      <c r="AW44" t="str">
        <v>0.001</v>
      </c>
      <c r="AX44" t="str">
        <v>0.001</v>
      </c>
      <c r="AY44" t="str">
        <v>-0.022</v>
      </c>
      <c r="AZ44" t="str">
        <v>-0.049</v>
      </c>
      <c r="BA44" t="str">
        <v>-0.076</v>
      </c>
      <c r="BB44" t="str">
        <v>2.462</v>
      </c>
      <c r="BC44" t="str">
        <v>1</v>
      </c>
      <c r="BD44" t="str">
        <v>150</v>
      </c>
      <c r="BE44" t="str">
        <v>0.005</v>
      </c>
      <c r="BF44" t="str">
        <v>2.000000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6000</v>
      </c>
      <c r="BQ44" t="str">
        <v>5</v>
      </c>
      <c r="BR44" t="str">
        <v>5.000000</v>
      </c>
      <c r="BS44" t="str">
        <v>2.000000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2.435337</v>
      </c>
      <c r="CD44" t="str">
        <v>2.450088</v>
      </c>
      <c r="CE44" t="str">
        <v>1.655395</v>
      </c>
      <c r="CF44" t="str">
        <v>0.940694</v>
      </c>
      <c r="CG44" t="str">
        <v>0.338157</v>
      </c>
      <c r="CH44" t="str">
        <v>-0.034967</v>
      </c>
      <c r="CI44" t="str">
        <v>0.215242</v>
      </c>
      <c r="CJ44" t="str">
        <v>0.108207</v>
      </c>
      <c r="CK44" t="str">
        <v>150.736923</v>
      </c>
      <c r="CL44" t="str">
        <v>0.000237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PSF-00438_20251211100504_f11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2025-12-10T14:09:08.064Z</v>
      </c>
    </row>
    <row r="45">
      <c r="A45" t="str">
        <v>42</v>
      </c>
      <c r="B45" t="str">
        <v>10:05:51</v>
      </c>
      <c r="C45" t="str">
        <v>2025-12-11</v>
      </c>
      <c r="D45" t="str">
        <v>TT25_psf_dark</v>
      </c>
      <c r="E45" t="str">
        <v>eap</v>
      </c>
      <c r="F45" t="str">
        <v/>
      </c>
      <c r="G45" t="str">
        <v>5229_Tri_red</v>
      </c>
      <c r="H45" t="str">
        <v/>
      </c>
      <c r="I45" t="str">
        <v/>
      </c>
      <c r="J45" t="str">
        <f>1/((1/L45)-(1/K45))</f>
        <v>0.004822</v>
      </c>
      <c r="K45" t="str">
        <f>BH45+(BI45*AN45)+(BJ45*AN45*POWER(V45,2))+(BK45*AN45*V45)+(BL45*POWER(AN45,2))</f>
        <v>2.920710</v>
      </c>
      <c r="L45" t="str">
        <f>((M45/1000)*(1000-((T45+S45)/2)))/(T45-S45)</f>
        <v>0.004814</v>
      </c>
      <c r="M45" t="str">
        <f>(AN45*(S45-R45))/(100*U45*(1000-S45))*1000</f>
        <v>0.068437</v>
      </c>
      <c r="N45" t="str">
        <v>0.711542</v>
      </c>
      <c r="O45" t="str">
        <v>0.709812</v>
      </c>
      <c r="P45" t="str">
        <f>0.61365*EXP((17.502*AL45)/(240.97+AL45))</f>
        <v>1.976180</v>
      </c>
      <c r="Q45" t="str">
        <f>P45-N45</f>
        <v>1.264639</v>
      </c>
      <c r="R45" t="str">
        <v>7.860116</v>
      </c>
      <c r="S45" t="str">
        <v>7.879273</v>
      </c>
      <c r="T45" t="str">
        <f>(P45/AM45)*1000</f>
        <v>21.883278</v>
      </c>
      <c r="U45" t="str">
        <f>V45*BG45</f>
        <v>0.441786</v>
      </c>
      <c r="V45" t="str">
        <v>7.500000</v>
      </c>
      <c r="W45" t="str">
        <v>PSF-00438_20251211100551_fc7</v>
      </c>
      <c r="X45" t="str">
        <v>213.818909</v>
      </c>
      <c r="Y45" t="str">
        <v>246.324417</v>
      </c>
      <c r="Z45" t="str">
        <v>0.131962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0.038416</v>
      </c>
      <c r="AG45" t="str">
        <v>1.000000</v>
      </c>
      <c r="AH45" t="str">
        <v>30.90</v>
      </c>
      <c r="AI45" t="str">
        <v>30.83</v>
      </c>
      <c r="AJ45" t="str">
        <v>19.69</v>
      </c>
      <c r="AK45" t="str">
        <v>17.25</v>
      </c>
      <c r="AL45" t="str">
        <f>(AK45-AJ45)*(AJ45*0+0)+AK45</f>
        <v>17.25</v>
      </c>
      <c r="AM45" t="str">
        <v>90.31</v>
      </c>
      <c r="AN45" t="str">
        <v>156.6</v>
      </c>
      <c r="AO45" t="str">
        <v>158.9</v>
      </c>
      <c r="AP45" t="str">
        <v>-1.5</v>
      </c>
      <c r="AQ45" t="str">
        <v>1</v>
      </c>
      <c r="AR45" t="str">
        <v>4.073</v>
      </c>
      <c r="AS45" t="str">
        <v>10:05:37</v>
      </c>
      <c r="AT45" t="str">
        <v>2025-12-11</v>
      </c>
      <c r="AU45" t="str">
        <v>-0.16</v>
      </c>
      <c r="AV45" t="str">
        <v>1</v>
      </c>
      <c r="AW45" t="str">
        <v>-0.002</v>
      </c>
      <c r="AX45" t="str">
        <v>-0.001</v>
      </c>
      <c r="AY45" t="str">
        <v>-0.022</v>
      </c>
      <c r="AZ45" t="str">
        <v>0.882</v>
      </c>
      <c r="BA45" t="str">
        <v>0.078</v>
      </c>
      <c r="BB45" t="str">
        <v>-1.057</v>
      </c>
      <c r="BC45" t="str">
        <v>1</v>
      </c>
      <c r="BD45" t="str">
        <v>150</v>
      </c>
      <c r="BE45" t="str">
        <v>0.005</v>
      </c>
      <c r="BF45" t="str">
        <v>2.000000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6000</v>
      </c>
      <c r="BQ45" t="str">
        <v>5</v>
      </c>
      <c r="BR45" t="str">
        <v>5.000000</v>
      </c>
      <c r="BS45" t="str">
        <v>2.000000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2.442046</v>
      </c>
      <c r="CD45" t="str">
        <v>2.456398</v>
      </c>
      <c r="CE45" t="str">
        <v>1.654455</v>
      </c>
      <c r="CF45" t="str">
        <v>0.943604</v>
      </c>
      <c r="CG45" t="str">
        <v>0.337302</v>
      </c>
      <c r="CH45" t="str">
        <v>-0.025352</v>
      </c>
      <c r="CI45" t="str">
        <v>0.219921</v>
      </c>
      <c r="CJ45" t="str">
        <v>0.107956</v>
      </c>
      <c r="CK45" t="str">
        <v>213.818909</v>
      </c>
      <c r="CL45" t="str">
        <v>0.000235</v>
      </c>
      <c r="CM45" t="str">
        <v>2.388960</v>
      </c>
      <c r="CN45" t="str">
        <v>-0.000025</v>
      </c>
      <c r="CO45" t="str">
        <v>1.000000</v>
      </c>
      <c r="CP45" t="str">
        <v>2.402765</v>
      </c>
      <c r="CQ45" t="str">
        <v>-0.000034</v>
      </c>
      <c r="CR45" t="str">
        <v>1.000000</v>
      </c>
      <c r="CS45" t="str">
        <v>0.600816</v>
      </c>
      <c r="CT45" t="str">
        <v>0.600971</v>
      </c>
      <c r="CU45" t="str">
        <v>0.107301</v>
      </c>
      <c r="CV45" t="str">
        <v>0.000000</v>
      </c>
      <c r="CW45" t="str">
        <v>PSF-00438_20251211100551_fc7</v>
      </c>
      <c r="CX45" t="str">
        <v>PFA-00474</v>
      </c>
      <c r="CY45" t="str">
        <v>PSA-00486</v>
      </c>
      <c r="CZ45" t="str">
        <v>PSF-00438</v>
      </c>
      <c r="DA45" t="str">
        <v>RHS-00603</v>
      </c>
      <c r="DB45" t="str">
        <v>3.0.0</v>
      </c>
      <c r="DC45" t="str">
        <v>2025-12-10T14:09:08.064Z</v>
      </c>
    </row>
    <row r="46">
      <c r="A46" t="str">
        <v>43</v>
      </c>
      <c r="B46" t="str">
        <v>10:06:12</v>
      </c>
      <c r="C46" t="str">
        <v>2025-12-11</v>
      </c>
      <c r="D46" t="str">
        <v>TT25_psf_dark</v>
      </c>
      <c r="E46" t="str">
        <v>eap</v>
      </c>
      <c r="F46" t="str">
        <v/>
      </c>
      <c r="G46" t="str">
        <v>4149_Tri_red</v>
      </c>
      <c r="H46" t="str">
        <v/>
      </c>
      <c r="I46" t="str">
        <v/>
      </c>
      <c r="J46" t="str">
        <f>1/((1/L46)-(1/K46))</f>
        <v>0.033227</v>
      </c>
      <c r="K46" t="str">
        <f>BH46+(BI46*AN46)+(BJ46*AN46*POWER(V46,2))+(BK46*AN46*V46)+(BL46*POWER(AN46,2))</f>
        <v>2.923021</v>
      </c>
      <c r="L46" t="str">
        <f>((M46/1000)*(1000-((T46+S46)/2)))/(T46-S46)</f>
        <v>0.032853</v>
      </c>
      <c r="M46" t="str">
        <f>(AN46*(S46-R46))/(100*U46*(1000-S46))*1000</f>
        <v>0.500829</v>
      </c>
      <c r="N46" t="str">
        <v>0.712405</v>
      </c>
      <c r="O46" t="str">
        <v>0.699767</v>
      </c>
      <c r="P46" t="str">
        <f>0.61365*EXP((17.502*AL46)/(240.97+AL46))</f>
        <v>2.067883</v>
      </c>
      <c r="Q46" t="str">
        <f>P46-N46</f>
        <v>1.355479</v>
      </c>
      <c r="R46" t="str">
        <v>7.748804</v>
      </c>
      <c r="S46" t="str">
        <v>7.888742</v>
      </c>
      <c r="T46" t="str">
        <f>(P46/AM46)*1000</f>
        <v>22.898497</v>
      </c>
      <c r="U46" t="str">
        <f>V46*BG46</f>
        <v>0.441786</v>
      </c>
      <c r="V46" t="str">
        <v>7.500000</v>
      </c>
      <c r="W46" t="str">
        <v>PSF-00438_20251211100612_d28</v>
      </c>
      <c r="X46" t="str">
        <v>196.162109</v>
      </c>
      <c r="Y46" t="str">
        <v>536.466858</v>
      </c>
      <c r="Z46" t="str">
        <v>0.634344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0.135643</v>
      </c>
      <c r="AG46" t="str">
        <v>1.000000</v>
      </c>
      <c r="AH46" t="str">
        <v>30.93</v>
      </c>
      <c r="AI46" t="str">
        <v>30.39</v>
      </c>
      <c r="AJ46" t="str">
        <v>19.70</v>
      </c>
      <c r="AK46" t="str">
        <v>17.97</v>
      </c>
      <c r="AL46" t="str">
        <f>(AK46-AJ46)*(AJ46*0+0)+AK46</f>
        <v>17.97</v>
      </c>
      <c r="AM46" t="str">
        <v>90.31</v>
      </c>
      <c r="AN46" t="str">
        <v>156.9</v>
      </c>
      <c r="AO46" t="str">
        <v>158.8</v>
      </c>
      <c r="AP46" t="str">
        <v>-1.2</v>
      </c>
      <c r="AQ46" t="str">
        <v>1</v>
      </c>
      <c r="AR46" t="str">
        <v>4.072</v>
      </c>
      <c r="AS46" t="str">
        <v>10:05:37</v>
      </c>
      <c r="AT46" t="str">
        <v>2025-12-11</v>
      </c>
      <c r="AU46" t="str">
        <v>-0.16</v>
      </c>
      <c r="AV46" t="str">
        <v>1</v>
      </c>
      <c r="AW46" t="str">
        <v>-0.000</v>
      </c>
      <c r="AX46" t="str">
        <v>0.000</v>
      </c>
      <c r="AY46" t="str">
        <v>-9999.000</v>
      </c>
      <c r="AZ46" t="str">
        <v>-0.199</v>
      </c>
      <c r="BA46" t="str">
        <v>-0.090</v>
      </c>
      <c r="BB46" t="str">
        <v>-9999.000</v>
      </c>
      <c r="BC46" t="str">
        <v>1</v>
      </c>
      <c r="BD46" t="str">
        <v>150</v>
      </c>
      <c r="BE46" t="str">
        <v>0.005</v>
      </c>
      <c r="BF46" t="str">
        <v>2.000000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6000</v>
      </c>
      <c r="BQ46" t="str">
        <v>5</v>
      </c>
      <c r="BR46" t="str">
        <v>5.000000</v>
      </c>
      <c r="BS46" t="str">
        <v>2.000000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2.441397</v>
      </c>
      <c r="CD46" t="str">
        <v>2.456446</v>
      </c>
      <c r="CE46" t="str">
        <v>1.656876</v>
      </c>
      <c r="CF46" t="str">
        <v>0.943433</v>
      </c>
      <c r="CG46" t="str">
        <v>0.337271</v>
      </c>
      <c r="CH46" t="str">
        <v>-0.017740</v>
      </c>
      <c r="CI46" t="str">
        <v>0.222015</v>
      </c>
      <c r="CJ46" t="str">
        <v>0.107782</v>
      </c>
      <c r="CK46" t="str">
        <v>196.162109</v>
      </c>
      <c r="CL46" t="str">
        <v>0.000235</v>
      </c>
      <c r="CM46" t="str">
        <v>2.388960</v>
      </c>
      <c r="CN46" t="str">
        <v>-0.000025</v>
      </c>
      <c r="CO46" t="str">
        <v>1.000000</v>
      </c>
      <c r="CP46" t="str">
        <v>2.402765</v>
      </c>
      <c r="CQ46" t="str">
        <v>-0.000034</v>
      </c>
      <c r="CR46" t="str">
        <v>1.000000</v>
      </c>
      <c r="CS46" t="str">
        <v>0.600816</v>
      </c>
      <c r="CT46" t="str">
        <v>0.600971</v>
      </c>
      <c r="CU46" t="str">
        <v>0.107301</v>
      </c>
      <c r="CV46" t="str">
        <v>0.000000</v>
      </c>
      <c r="CW46" t="str">
        <v>PSF-00438_20251211100612_d28</v>
      </c>
      <c r="CX46" t="str">
        <v>PFA-00474</v>
      </c>
      <c r="CY46" t="str">
        <v>PSA-00486</v>
      </c>
      <c r="CZ46" t="str">
        <v>PSF-00438</v>
      </c>
      <c r="DA46" t="str">
        <v>RHS-00603</v>
      </c>
      <c r="DB46" t="str">
        <v>3.0.0</v>
      </c>
      <c r="DC46" t="str">
        <v>2025-12-10T14:09:08.064Z</v>
      </c>
    </row>
    <row r="47">
      <c r="A47" t="str">
        <v>44</v>
      </c>
      <c r="B47" t="str">
        <v>10:06:30</v>
      </c>
      <c r="C47" t="str">
        <v>2025-12-11</v>
      </c>
      <c r="D47" t="str">
        <v>TT25_psf_dark</v>
      </c>
      <c r="E47" t="str">
        <v>eap</v>
      </c>
      <c r="F47" t="str">
        <v/>
      </c>
      <c r="G47" t="str">
        <v>2329_Tri_red</v>
      </c>
      <c r="H47" t="str">
        <v/>
      </c>
      <c r="I47" t="str">
        <v/>
      </c>
      <c r="J47" t="str">
        <f>1/((1/L47)-(1/K47))</f>
        <v>-0.004188</v>
      </c>
      <c r="K47" t="str">
        <f>BH47+(BI47*AN47)+(BJ47*AN47*POWER(V47,2))+(BK47*AN47*V47)+(BL47*POWER(AN47,2))</f>
        <v>2.922565</v>
      </c>
      <c r="L47" t="str">
        <f>((M47/1000)*(1000-((T47+S47)/2)))/(T47-S47)</f>
        <v>-0.004194</v>
      </c>
      <c r="M47" t="str">
        <f>(AN47*(S47-R47))/(100*U47*(1000-S47))*1000</f>
        <v>-0.052673</v>
      </c>
      <c r="N47" t="str">
        <v>0.708790</v>
      </c>
      <c r="O47" t="str">
        <v>0.710120</v>
      </c>
      <c r="P47" t="str">
        <f>0.61365*EXP((17.502*AL47)/(240.97+AL47))</f>
        <v>1.827039</v>
      </c>
      <c r="Q47" t="str">
        <f>P47-N47</f>
        <v>1.118248</v>
      </c>
      <c r="R47" t="str">
        <v>7.862896</v>
      </c>
      <c r="S47" t="str">
        <v>7.848173</v>
      </c>
      <c r="T47" t="str">
        <f>(P47/AM47)*1000</f>
        <v>20.230129</v>
      </c>
      <c r="U47" t="str">
        <f>V47*BG47</f>
        <v>0.441786</v>
      </c>
      <c r="V47" t="str">
        <v>7.500000</v>
      </c>
      <c r="W47" t="str">
        <v>PSF-00438_20251211100630_c73</v>
      </c>
      <c r="X47" t="str">
        <v>245.966797</v>
      </c>
      <c r="Y47" t="str">
        <v>335.197815</v>
      </c>
      <c r="Z47" t="str">
        <v>0.266204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0.038466</v>
      </c>
      <c r="AG47" t="str">
        <v>1.000000</v>
      </c>
      <c r="AH47" t="str">
        <v>30.80</v>
      </c>
      <c r="AI47" t="str">
        <v>30.86</v>
      </c>
      <c r="AJ47" t="str">
        <v>19.68</v>
      </c>
      <c r="AK47" t="str">
        <v>16.02</v>
      </c>
      <c r="AL47" t="str">
        <f>(AK47-AJ47)*(AJ47*0+0)+AK47</f>
        <v>16.02</v>
      </c>
      <c r="AM47" t="str">
        <v>90.31</v>
      </c>
      <c r="AN47" t="str">
        <v>156.8</v>
      </c>
      <c r="AO47" t="str">
        <v>158.6</v>
      </c>
      <c r="AP47" t="str">
        <v>-1.1</v>
      </c>
      <c r="AQ47" t="str">
        <v>0</v>
      </c>
      <c r="AR47" t="str">
        <v>4.044</v>
      </c>
      <c r="AS47" t="str">
        <v>10:05:37</v>
      </c>
      <c r="AT47" t="str">
        <v>2025-12-11</v>
      </c>
      <c r="AU47" t="str">
        <v>-0.16</v>
      </c>
      <c r="AV47" t="str">
        <v>1</v>
      </c>
      <c r="AW47" t="str">
        <v>0.002</v>
      </c>
      <c r="AX47" t="str">
        <v>-0.000</v>
      </c>
      <c r="AY47" t="str">
        <v>-9999.000</v>
      </c>
      <c r="AZ47" t="str">
        <v>-0.123</v>
      </c>
      <c r="BA47" t="str">
        <v>-0.460</v>
      </c>
      <c r="BB47" t="str">
        <v>-9999.000</v>
      </c>
      <c r="BC47" t="str">
        <v>1</v>
      </c>
      <c r="BD47" t="str">
        <v>150</v>
      </c>
      <c r="BE47" t="str">
        <v>0.005</v>
      </c>
      <c r="BF47" t="str">
        <v>2.000000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6000</v>
      </c>
      <c r="BQ47" t="str">
        <v>5</v>
      </c>
      <c r="BR47" t="str">
        <v>5.000000</v>
      </c>
      <c r="BS47" t="str">
        <v>2.000000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2.442100</v>
      </c>
      <c r="CD47" t="str">
        <v>2.456255</v>
      </c>
      <c r="CE47" t="str">
        <v>1.656398</v>
      </c>
      <c r="CF47" t="str">
        <v>0.942829</v>
      </c>
      <c r="CG47" t="str">
        <v>0.337456</v>
      </c>
      <c r="CH47" t="str">
        <v>-0.038201</v>
      </c>
      <c r="CI47" t="str">
        <v>0.223737</v>
      </c>
      <c r="CJ47" t="str">
        <v>0.107626</v>
      </c>
      <c r="CK47" t="str">
        <v>245.966797</v>
      </c>
      <c r="CL47" t="str">
        <v>0.000234</v>
      </c>
      <c r="CM47" t="str">
        <v>2.388960</v>
      </c>
      <c r="CN47" t="str">
        <v>-0.000025</v>
      </c>
      <c r="CO47" t="str">
        <v>1.000000</v>
      </c>
      <c r="CP47" t="str">
        <v>2.402765</v>
      </c>
      <c r="CQ47" t="str">
        <v>-0.000034</v>
      </c>
      <c r="CR47" t="str">
        <v>1.000000</v>
      </c>
      <c r="CS47" t="str">
        <v>0.600816</v>
      </c>
      <c r="CT47" t="str">
        <v>0.600971</v>
      </c>
      <c r="CU47" t="str">
        <v>0.107301</v>
      </c>
      <c r="CV47" t="str">
        <v>0.000000</v>
      </c>
      <c r="CW47" t="str">
        <v>PSF-00438_20251211100630_c73</v>
      </c>
      <c r="CX47" t="str">
        <v>PFA-00474</v>
      </c>
      <c r="CY47" t="str">
        <v>PSA-00486</v>
      </c>
      <c r="CZ47" t="str">
        <v>PSF-00438</v>
      </c>
      <c r="DA47" t="str">
        <v>RHS-00603</v>
      </c>
      <c r="DB47" t="str">
        <v>3.0.0</v>
      </c>
      <c r="DC47" t="str">
        <v>2025-12-10T14:09:08.064Z</v>
      </c>
    </row>
    <row r="48">
      <c r="A48" t="str">
        <v>45</v>
      </c>
      <c r="B48" t="str">
        <v>10:06:46</v>
      </c>
      <c r="C48" t="str">
        <v>2025-12-11</v>
      </c>
      <c r="D48" t="str">
        <v>TT25_psf_dark</v>
      </c>
      <c r="E48" t="str">
        <v>eap</v>
      </c>
      <c r="F48" t="str">
        <v/>
      </c>
      <c r="G48" t="str">
        <v>2996A2_Tri_red</v>
      </c>
      <c r="H48" t="str">
        <v/>
      </c>
      <c r="I48" t="str">
        <v/>
      </c>
      <c r="J48" t="str">
        <f>1/((1/L48)-(1/K48))</f>
        <v>-0.000120</v>
      </c>
      <c r="K48" t="str">
        <f>BH48+(BI48*AN48)+(BJ48*AN48*POWER(V48,2))+(BK48*AN48*V48)+(BL48*POWER(AN48,2))</f>
        <v>2.921713</v>
      </c>
      <c r="L48" t="str">
        <f>((M48/1000)*(1000-((T48+S48)/2)))/(T48-S48)</f>
        <v>-0.000120</v>
      </c>
      <c r="M48" t="str">
        <f>(AN48*(S48-R48))/(100*U48*(1000-S48))*1000</f>
        <v>-0.001459</v>
      </c>
      <c r="N48" t="str">
        <v>0.742945</v>
      </c>
      <c r="O48" t="str">
        <v>0.742982</v>
      </c>
      <c r="P48" t="str">
        <f>0.61365*EXP((17.502*AL48)/(240.97+AL48))</f>
        <v>1.824011</v>
      </c>
      <c r="Q48" t="str">
        <f>P48-N48</f>
        <v>1.081066</v>
      </c>
      <c r="R48" t="str">
        <v>8.226877</v>
      </c>
      <c r="S48" t="str">
        <v>8.226469</v>
      </c>
      <c r="T48" t="str">
        <f>(P48/AM48)*1000</f>
        <v>20.196882</v>
      </c>
      <c r="U48" t="str">
        <f>V48*BG48</f>
        <v>0.441786</v>
      </c>
      <c r="V48" t="str">
        <v>7.500000</v>
      </c>
      <c r="W48" t="str">
        <v>PSF-00438_20251211100646_6d5</v>
      </c>
      <c r="X48" t="str">
        <v>391.074646</v>
      </c>
      <c r="Y48" t="str">
        <v>549.834595</v>
      </c>
      <c r="Z48" t="str">
        <v>0.288741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0.006229</v>
      </c>
      <c r="AG48" t="str">
        <v>1.000000</v>
      </c>
      <c r="AH48" t="str">
        <v>32.33</v>
      </c>
      <c r="AI48" t="str">
        <v>32.34</v>
      </c>
      <c r="AJ48" t="str">
        <v>19.66</v>
      </c>
      <c r="AK48" t="str">
        <v>15.99</v>
      </c>
      <c r="AL48" t="str">
        <f>(AK48-AJ48)*(AJ48*0+0)+AK48</f>
        <v>15.99</v>
      </c>
      <c r="AM48" t="str">
        <v>90.31</v>
      </c>
      <c r="AN48" t="str">
        <v>156.7</v>
      </c>
      <c r="AO48" t="str">
        <v>158.4</v>
      </c>
      <c r="AP48" t="str">
        <v>-1.1</v>
      </c>
      <c r="AQ48" t="str">
        <v>0</v>
      </c>
      <c r="AR48" t="str">
        <v>4.067</v>
      </c>
      <c r="AS48" t="str">
        <v>10:05:37</v>
      </c>
      <c r="AT48" t="str">
        <v>2025-12-11</v>
      </c>
      <c r="AU48" t="str">
        <v>-0.16</v>
      </c>
      <c r="AV48" t="str">
        <v>1</v>
      </c>
      <c r="AW48" t="str">
        <v>0.002</v>
      </c>
      <c r="AX48" t="str">
        <v>0.001</v>
      </c>
      <c r="AY48" t="str">
        <v>-9999.000</v>
      </c>
      <c r="AZ48" t="str">
        <v>-0.729</v>
      </c>
      <c r="BA48" t="str">
        <v>-0.410</v>
      </c>
      <c r="BB48" t="str">
        <v>-9999.000</v>
      </c>
      <c r="BC48" t="str">
        <v>1</v>
      </c>
      <c r="BD48" t="str">
        <v>150</v>
      </c>
      <c r="BE48" t="str">
        <v>0.005</v>
      </c>
      <c r="BF48" t="str">
        <v>2.000000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6000</v>
      </c>
      <c r="BQ48" t="str">
        <v>5</v>
      </c>
      <c r="BR48" t="str">
        <v>5.000000</v>
      </c>
      <c r="BS48" t="str">
        <v>2.000000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2.444260</v>
      </c>
      <c r="CD48" t="str">
        <v>2.458516</v>
      </c>
      <c r="CE48" t="str">
        <v>1.655504</v>
      </c>
      <c r="CF48" t="str">
        <v>0.942311</v>
      </c>
      <c r="CG48" t="str">
        <v>0.337771</v>
      </c>
      <c r="CH48" t="str">
        <v>-0.038221</v>
      </c>
      <c r="CI48" t="str">
        <v>0.225201</v>
      </c>
      <c r="CJ48" t="str">
        <v>0.107350</v>
      </c>
      <c r="CK48" t="str">
        <v>391.074646</v>
      </c>
      <c r="CL48" t="str">
        <v>0.000235</v>
      </c>
      <c r="CM48" t="str">
        <v>2.388960</v>
      </c>
      <c r="CN48" t="str">
        <v>-0.000025</v>
      </c>
      <c r="CO48" t="str">
        <v>1.000000</v>
      </c>
      <c r="CP48" t="str">
        <v>2.402765</v>
      </c>
      <c r="CQ48" t="str">
        <v>-0.000034</v>
      </c>
      <c r="CR48" t="str">
        <v>1.000000</v>
      </c>
      <c r="CS48" t="str">
        <v>0.600816</v>
      </c>
      <c r="CT48" t="str">
        <v>0.600971</v>
      </c>
      <c r="CU48" t="str">
        <v>0.107301</v>
      </c>
      <c r="CV48" t="str">
        <v>0.000000</v>
      </c>
      <c r="CW48" t="str">
        <v>PSF-00438_20251211100646_6d5</v>
      </c>
      <c r="CX48" t="str">
        <v>PFA-00474</v>
      </c>
      <c r="CY48" t="str">
        <v>PSA-00486</v>
      </c>
      <c r="CZ48" t="str">
        <v>PSF-00438</v>
      </c>
      <c r="DA48" t="str">
        <v>RHS-00603</v>
      </c>
      <c r="DB48" t="str">
        <v>3.0.0</v>
      </c>
      <c r="DC48" t="str">
        <v>2025-12-10T14:09:08.064Z</v>
      </c>
    </row>
    <row r="49">
      <c r="A49" t="str">
        <v>46</v>
      </c>
      <c r="B49" t="str">
        <v>10:07:03</v>
      </c>
      <c r="C49" t="str">
        <v>2025-12-11</v>
      </c>
      <c r="D49" t="str">
        <v>TT25_psf_dark</v>
      </c>
      <c r="E49" t="str">
        <v>eap</v>
      </c>
      <c r="F49" t="str">
        <v/>
      </c>
      <c r="G49" t="str">
        <v>632_Tri_red</v>
      </c>
      <c r="H49" t="str">
        <v/>
      </c>
      <c r="I49" t="str">
        <v/>
      </c>
      <c r="J49" t="str">
        <f>1/((1/L49)-(1/K49))</f>
        <v>-0.003941</v>
      </c>
      <c r="K49" t="str">
        <f>BH49+(BI49*AN49)+(BJ49*AN49*POWER(V49,2))+(BK49*AN49*V49)+(BL49*POWER(AN49,2))</f>
        <v>2.921913</v>
      </c>
      <c r="L49" t="str">
        <f>((M49/1000)*(1000-((T49+S49)/2)))/(T49-S49)</f>
        <v>-0.003947</v>
      </c>
      <c r="M49" t="str">
        <f>(AN49*(S49-R49))/(100*U49*(1000-S49))*1000</f>
        <v>-0.045455</v>
      </c>
      <c r="N49" t="str">
        <v>0.746990</v>
      </c>
      <c r="O49" t="str">
        <v>0.748138</v>
      </c>
      <c r="P49" t="str">
        <f>0.61365*EXP((17.502*AL49)/(240.97+AL49))</f>
        <v>1.772601</v>
      </c>
      <c r="Q49" t="str">
        <f>P49-N49</f>
        <v>1.025611</v>
      </c>
      <c r="R49" t="str">
        <v>8.284109</v>
      </c>
      <c r="S49" t="str">
        <v>8.271401</v>
      </c>
      <c r="T49" t="str">
        <f>(P49/AM49)*1000</f>
        <v>19.627966</v>
      </c>
      <c r="U49" t="str">
        <f>V49*BG49</f>
        <v>0.441786</v>
      </c>
      <c r="V49" t="str">
        <v>7.500000</v>
      </c>
      <c r="W49" t="str">
        <v>PSF-00438_20251211100703_1d6</v>
      </c>
      <c r="X49" t="str">
        <v>234.366058</v>
      </c>
      <c r="Y49" t="str">
        <v>341.916931</v>
      </c>
      <c r="Z49" t="str">
        <v>0.314553</v>
      </c>
      <c r="AA49" t="str">
        <v>0.000000</v>
      </c>
      <c r="AB49" t="str">
        <v>0.000000</v>
      </c>
      <c r="AC49" t="str">
        <v>0.000000</v>
      </c>
      <c r="AD49" t="str">
        <v>0.5</v>
      </c>
      <c r="AE49" t="str">
        <v>0.80</v>
      </c>
      <c r="AF49" t="str">
        <f>AC49*AD49*AE49*AQ49</f>
        <v>0.007036</v>
      </c>
      <c r="AG49" t="str">
        <v>1.000000</v>
      </c>
      <c r="AH49" t="str">
        <v>32.57</v>
      </c>
      <c r="AI49" t="str">
        <v>32.62</v>
      </c>
      <c r="AJ49" t="str">
        <v>19.63</v>
      </c>
      <c r="AK49" t="str">
        <v>15.55</v>
      </c>
      <c r="AL49" t="str">
        <f>(AK49-AJ49)*(AJ49*0+0)+AK49</f>
        <v>15.55</v>
      </c>
      <c r="AM49" t="str">
        <v>90.31</v>
      </c>
      <c r="AN49" t="str">
        <v>156.7</v>
      </c>
      <c r="AO49" t="str">
        <v>155.0</v>
      </c>
      <c r="AP49" t="str">
        <v>1.1</v>
      </c>
      <c r="AQ49" t="str">
        <v>0</v>
      </c>
      <c r="AR49" t="str">
        <v>4.071</v>
      </c>
      <c r="AS49" t="str">
        <v>10:05:37</v>
      </c>
      <c r="AT49" t="str">
        <v>2025-12-11</v>
      </c>
      <c r="AU49" t="str">
        <v>-0.16</v>
      </c>
      <c r="AV49" t="str">
        <v>1</v>
      </c>
      <c r="AW49" t="str">
        <v>-0.000</v>
      </c>
      <c r="AX49" t="str">
        <v>-0.002</v>
      </c>
      <c r="AY49" t="str">
        <v>-0.041</v>
      </c>
      <c r="AZ49" t="str">
        <v>-0.318</v>
      </c>
      <c r="BA49" t="str">
        <v>-0.198</v>
      </c>
      <c r="BB49" t="str">
        <v>0.526</v>
      </c>
      <c r="BC49" t="str">
        <v>1</v>
      </c>
      <c r="BD49" t="str">
        <v>150</v>
      </c>
      <c r="BE49" t="str">
        <v>0.005</v>
      </c>
      <c r="BF49" t="str">
        <v>2.000000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1</v>
      </c>
      <c r="BO49" t="str">
        <v>rectangular</v>
      </c>
      <c r="BP49" t="str">
        <v>6000</v>
      </c>
      <c r="BQ49" t="str">
        <v>5</v>
      </c>
      <c r="BR49" t="str">
        <v>5.000000</v>
      </c>
      <c r="BS49" t="str">
        <v>2.000000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2.444680</v>
      </c>
      <c r="CD49" t="str">
        <v>2.458868</v>
      </c>
      <c r="CE49" t="str">
        <v>1.655714</v>
      </c>
      <c r="CF49" t="str">
        <v>0.933756</v>
      </c>
      <c r="CG49" t="str">
        <v>0.338177</v>
      </c>
      <c r="CH49" t="str">
        <v>-0.042548</v>
      </c>
      <c r="CI49" t="str">
        <v>0.226705</v>
      </c>
      <c r="CJ49" t="str">
        <v>0.107351</v>
      </c>
      <c r="CK49" t="str">
        <v>234.366058</v>
      </c>
      <c r="CL49" t="str">
        <v>0.000234</v>
      </c>
      <c r="CM49" t="str">
        <v>2.388960</v>
      </c>
      <c r="CN49" t="str">
        <v>-0.000025</v>
      </c>
      <c r="CO49" t="str">
        <v>1.000000</v>
      </c>
      <c r="CP49" t="str">
        <v>2.402765</v>
      </c>
      <c r="CQ49" t="str">
        <v>-0.000034</v>
      </c>
      <c r="CR49" t="str">
        <v>1.000000</v>
      </c>
      <c r="CS49" t="str">
        <v>0.600816</v>
      </c>
      <c r="CT49" t="str">
        <v>0.600971</v>
      </c>
      <c r="CU49" t="str">
        <v>0.107301</v>
      </c>
      <c r="CV49" t="str">
        <v>0.000000</v>
      </c>
      <c r="CW49" t="str">
        <v>PSF-00438_20251211100703_1d6</v>
      </c>
      <c r="CX49" t="str">
        <v>PFA-00474</v>
      </c>
      <c r="CY49" t="str">
        <v>PSA-00486</v>
      </c>
      <c r="CZ49" t="str">
        <v>PSF-00438</v>
      </c>
      <c r="DA49" t="str">
        <v>RHS-00603</v>
      </c>
      <c r="DB49" t="str">
        <v>3.0.0</v>
      </c>
      <c r="DC49" t="str">
        <v>2025-12-10T14:09:08.064Z</v>
      </c>
    </row>
    <row r="50">
      <c r="A50" t="str">
        <v>47</v>
      </c>
      <c r="B50" t="str">
        <v>10:07:24</v>
      </c>
      <c r="C50" t="str">
        <v>2025-12-11</v>
      </c>
      <c r="D50" t="str">
        <v>TT25_psf_dark</v>
      </c>
      <c r="E50" t="str">
        <v>eap</v>
      </c>
      <c r="F50" t="str">
        <v/>
      </c>
      <c r="G50" t="str">
        <v>flag3_tri_Tri_red</v>
      </c>
      <c r="H50" t="str">
        <v/>
      </c>
      <c r="I50" t="str">
        <v/>
      </c>
      <c r="J50" t="str">
        <f>1/((1/L50)-(1/K50))</f>
        <v>0.005472</v>
      </c>
      <c r="K50" t="str">
        <f>BH50+(BI50*AN50)+(BJ50*AN50*POWER(V50,2))+(BK50*AN50*V50)+(BL50*POWER(AN50,2))</f>
        <v>2.921215</v>
      </c>
      <c r="L50" t="str">
        <f>((M50/1000)*(1000-((T50+S50)/2)))/(T50-S50)</f>
        <v>0.005461</v>
      </c>
      <c r="M50" t="str">
        <f>(AN50*(S50-R50))/(100*U50*(1000-S50))*1000</f>
        <v>0.070080</v>
      </c>
      <c r="N50" t="str">
        <v>0.709783</v>
      </c>
      <c r="O50" t="str">
        <v>0.708012</v>
      </c>
      <c r="P50" t="str">
        <f>0.61365*EXP((17.502*AL50)/(240.97+AL50))</f>
        <v>1.852334</v>
      </c>
      <c r="Q50" t="str">
        <f>P50-N50</f>
        <v>1.142550</v>
      </c>
      <c r="R50" t="str">
        <v>7.838974</v>
      </c>
      <c r="S50" t="str">
        <v>7.858584</v>
      </c>
      <c r="T50" t="str">
        <f>(P50/AM50)*1000</f>
        <v>20.508680</v>
      </c>
      <c r="U50" t="str">
        <f>V50*BG50</f>
        <v>0.441786</v>
      </c>
      <c r="V50" t="str">
        <v>7.500000</v>
      </c>
      <c r="W50" t="str">
        <v>PSF-00438_20251211100724_a52</v>
      </c>
      <c r="X50" t="str">
        <v>218.696945</v>
      </c>
      <c r="Y50" t="str">
        <v>394.428131</v>
      </c>
      <c r="Z50" t="str">
        <v>0.445534</v>
      </c>
      <c r="AA50" t="str">
        <v>0.000000</v>
      </c>
      <c r="AB50" t="str">
        <v>0.000000</v>
      </c>
      <c r="AC50" t="str">
        <v>0.000000</v>
      </c>
      <c r="AD50" t="str">
        <v>0.5</v>
      </c>
      <c r="AE50" t="str">
        <v>0.80</v>
      </c>
      <c r="AF50" t="str">
        <f>AC50*AD50*AE50*AQ50</f>
        <v>0.011454</v>
      </c>
      <c r="AG50" t="str">
        <v>1.000000</v>
      </c>
      <c r="AH50" t="str">
        <v>31.02</v>
      </c>
      <c r="AI50" t="str">
        <v>30.94</v>
      </c>
      <c r="AJ50" t="str">
        <v>19.59</v>
      </c>
      <c r="AK50" t="str">
        <v>16.24</v>
      </c>
      <c r="AL50" t="str">
        <f>(AK50-AJ50)*(AJ50*0+0)+AK50</f>
        <v>16.24</v>
      </c>
      <c r="AM50" t="str">
        <v>90.32</v>
      </c>
      <c r="AN50" t="str">
        <v>156.6</v>
      </c>
      <c r="AO50" t="str">
        <v>157.0</v>
      </c>
      <c r="AP50" t="str">
        <v>-0.2</v>
      </c>
      <c r="AQ50" t="str">
        <v>0</v>
      </c>
      <c r="AR50" t="str">
        <v>4.070</v>
      </c>
      <c r="AS50" t="str">
        <v>10:05:37</v>
      </c>
      <c r="AT50" t="str">
        <v>2025-12-11</v>
      </c>
      <c r="AU50" t="str">
        <v>-0.16</v>
      </c>
      <c r="AV50" t="str">
        <v>1</v>
      </c>
      <c r="AW50" t="str">
        <v>-0.001</v>
      </c>
      <c r="AX50" t="str">
        <v>-0.001</v>
      </c>
      <c r="AY50" t="str">
        <v>-9999.000</v>
      </c>
      <c r="AZ50" t="str">
        <v>0.555</v>
      </c>
      <c r="BA50" t="str">
        <v>0.728</v>
      </c>
      <c r="BB50" t="str">
        <v>-9999.000</v>
      </c>
      <c r="BC50" t="str">
        <v>1</v>
      </c>
      <c r="BD50" t="str">
        <v>150</v>
      </c>
      <c r="BE50" t="str">
        <v>0.005</v>
      </c>
      <c r="BF50" t="str">
        <v>2.000000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1</v>
      </c>
      <c r="BO50" t="str">
        <v>rectangular</v>
      </c>
      <c r="BP50" t="str">
        <v>6000</v>
      </c>
      <c r="BQ50" t="str">
        <v>5</v>
      </c>
      <c r="BR50" t="str">
        <v>5.000000</v>
      </c>
      <c r="BS50" t="str">
        <v>2.000000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2.442239</v>
      </c>
      <c r="CD50" t="str">
        <v>2.456595</v>
      </c>
      <c r="CE50" t="str">
        <v>1.654983</v>
      </c>
      <c r="CF50" t="str">
        <v>0.938716</v>
      </c>
      <c r="CG50" t="str">
        <v>0.338698</v>
      </c>
      <c r="CH50" t="str">
        <v>-0.034957</v>
      </c>
      <c r="CI50" t="str">
        <v>0.228593</v>
      </c>
      <c r="CJ50" t="str">
        <v>0.107359</v>
      </c>
      <c r="CK50" t="str">
        <v>218.696945</v>
      </c>
      <c r="CL50" t="str">
        <v>0.000234</v>
      </c>
      <c r="CM50" t="str">
        <v>2.388960</v>
      </c>
      <c r="CN50" t="str">
        <v>-0.000025</v>
      </c>
      <c r="CO50" t="str">
        <v>1.000000</v>
      </c>
      <c r="CP50" t="str">
        <v>2.402765</v>
      </c>
      <c r="CQ50" t="str">
        <v>-0.000034</v>
      </c>
      <c r="CR50" t="str">
        <v>1.000000</v>
      </c>
      <c r="CS50" t="str">
        <v>0.600816</v>
      </c>
      <c r="CT50" t="str">
        <v>0.600971</v>
      </c>
      <c r="CU50" t="str">
        <v>0.107301</v>
      </c>
      <c r="CV50" t="str">
        <v>0.000000</v>
      </c>
      <c r="CW50" t="str">
        <v>PSF-00438_20251211100724_a52</v>
      </c>
      <c r="CX50" t="str">
        <v>PFA-00474</v>
      </c>
      <c r="CY50" t="str">
        <v>PSA-00486</v>
      </c>
      <c r="CZ50" t="str">
        <v>PSF-00438</v>
      </c>
      <c r="DA50" t="str">
        <v>RHS-00603</v>
      </c>
      <c r="DB50" t="str">
        <v>3.0.0</v>
      </c>
      <c r="DC50" t="str">
        <v>2025-12-10T14:09:08.064Z</v>
      </c>
    </row>
    <row r="51">
      <c r="A51" t="str">
        <v>48</v>
      </c>
      <c r="B51" t="str">
        <v>10:07:47</v>
      </c>
      <c r="C51" t="str">
        <v>2025-12-11</v>
      </c>
      <c r="D51" t="str">
        <v>TT25_psf_dark</v>
      </c>
      <c r="E51" t="str">
        <v>eap</v>
      </c>
      <c r="F51" t="str">
        <v/>
      </c>
      <c r="G51" t="str">
        <v>6885_Tri_red</v>
      </c>
      <c r="H51" t="str">
        <v/>
      </c>
      <c r="I51" t="str">
        <v/>
      </c>
      <c r="J51" t="str">
        <f>1/((1/L51)-(1/K51))</f>
        <v>0.001215</v>
      </c>
      <c r="K51" t="str">
        <f>BH51+(BI51*AN51)+(BJ51*AN51*POWER(V51,2))+(BK51*AN51*V51)+(BL51*POWER(AN51,2))</f>
        <v>2.921514</v>
      </c>
      <c r="L51" t="str">
        <f>((M51/1000)*(1000-((T51+S51)/2)))/(T51-S51)</f>
        <v>0.001215</v>
      </c>
      <c r="M51" t="str">
        <f>(AN51*(S51-R51))/(100*U51*(1000-S51))*1000</f>
        <v>0.018771</v>
      </c>
      <c r="N51" t="str">
        <v>0.715964</v>
      </c>
      <c r="O51" t="str">
        <v>0.715490</v>
      </c>
      <c r="P51" t="str">
        <f>0.61365*EXP((17.502*AL51)/(240.97+AL51))</f>
        <v>2.090072</v>
      </c>
      <c r="Q51" t="str">
        <f>P51-N51</f>
        <v>1.374108</v>
      </c>
      <c r="R51" t="str">
        <v>7.921308</v>
      </c>
      <c r="S51" t="str">
        <v>7.926558</v>
      </c>
      <c r="T51" t="str">
        <f>(P51/AM51)*1000</f>
        <v>23.139530</v>
      </c>
      <c r="U51" t="str">
        <f>V51*BG51</f>
        <v>0.441786</v>
      </c>
      <c r="V51" t="str">
        <v>7.500000</v>
      </c>
      <c r="W51" t="str">
        <v>PSF-00438_20251211100747_7a6</v>
      </c>
      <c r="X51" t="str">
        <v>371.609680</v>
      </c>
      <c r="Y51" t="str">
        <v>402.355316</v>
      </c>
      <c r="Z51" t="str">
        <v>0.076414</v>
      </c>
      <c r="AA51" t="str">
        <v>0.000000</v>
      </c>
      <c r="AB51" t="str">
        <v>0.000000</v>
      </c>
      <c r="AC51" t="str">
        <v>0.000000</v>
      </c>
      <c r="AD51" t="str">
        <v>0.5</v>
      </c>
      <c r="AE51" t="str">
        <v>0.80</v>
      </c>
      <c r="AF51" t="str">
        <f>AC51*AD51*AE51*AQ51</f>
        <v>0.001576</v>
      </c>
      <c r="AG51" t="str">
        <v>1.000000</v>
      </c>
      <c r="AH51" t="str">
        <v>31.36</v>
      </c>
      <c r="AI51" t="str">
        <v>31.34</v>
      </c>
      <c r="AJ51" t="str">
        <v>19.56</v>
      </c>
      <c r="AK51" t="str">
        <v>18.14</v>
      </c>
      <c r="AL51" t="str">
        <f>(AK51-AJ51)*(AJ51*0+0)+AK51</f>
        <v>18.14</v>
      </c>
      <c r="AM51" t="str">
        <v>90.32</v>
      </c>
      <c r="AN51" t="str">
        <v>156.7</v>
      </c>
      <c r="AO51" t="str">
        <v>158.7</v>
      </c>
      <c r="AP51" t="str">
        <v>-1.3</v>
      </c>
      <c r="AQ51" t="str">
        <v>0</v>
      </c>
      <c r="AR51" t="str">
        <v>4.065</v>
      </c>
      <c r="AS51" t="str">
        <v>10:05:37</v>
      </c>
      <c r="AT51" t="str">
        <v>2025-12-11</v>
      </c>
      <c r="AU51" t="str">
        <v>-0.16</v>
      </c>
      <c r="AV51" t="str">
        <v>1</v>
      </c>
      <c r="AW51" t="str">
        <v>0.000</v>
      </c>
      <c r="AX51" t="str">
        <v>0.001</v>
      </c>
      <c r="AY51" t="str">
        <v>-0.011</v>
      </c>
      <c r="AZ51" t="str">
        <v>-6.884</v>
      </c>
      <c r="BA51" t="str">
        <v>-3.015</v>
      </c>
      <c r="BB51" t="str">
        <v>-4.003</v>
      </c>
      <c r="BC51" t="str">
        <v>1</v>
      </c>
      <c r="BD51" t="str">
        <v>150</v>
      </c>
      <c r="BE51" t="str">
        <v>0.005</v>
      </c>
      <c r="BF51" t="str">
        <v>2.000000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1</v>
      </c>
      <c r="BO51" t="str">
        <v>rectangular</v>
      </c>
      <c r="BP51" t="str">
        <v>6000</v>
      </c>
      <c r="BQ51" t="str">
        <v>5</v>
      </c>
      <c r="BR51" t="str">
        <v>5.000000</v>
      </c>
      <c r="BS51" t="str">
        <v>2.000000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2.442829</v>
      </c>
      <c r="CD51" t="str">
        <v>2.457107</v>
      </c>
      <c r="CE51" t="str">
        <v>1.655296</v>
      </c>
      <c r="CF51" t="str">
        <v>0.943104</v>
      </c>
      <c r="CG51" t="str">
        <v>0.339196</v>
      </c>
      <c r="CH51" t="str">
        <v>-0.014384</v>
      </c>
      <c r="CI51" t="str">
        <v>0.230714</v>
      </c>
      <c r="CJ51" t="str">
        <v>0.107347</v>
      </c>
      <c r="CK51" t="str">
        <v>371.609680</v>
      </c>
      <c r="CL51" t="str">
        <v>0.000236</v>
      </c>
      <c r="CM51" t="str">
        <v>2.388960</v>
      </c>
      <c r="CN51" t="str">
        <v>-0.000025</v>
      </c>
      <c r="CO51" t="str">
        <v>1.000000</v>
      </c>
      <c r="CP51" t="str">
        <v>2.402765</v>
      </c>
      <c r="CQ51" t="str">
        <v>-0.000034</v>
      </c>
      <c r="CR51" t="str">
        <v>1.000000</v>
      </c>
      <c r="CS51" t="str">
        <v>0.600816</v>
      </c>
      <c r="CT51" t="str">
        <v>0.600971</v>
      </c>
      <c r="CU51" t="str">
        <v>0.107301</v>
      </c>
      <c r="CV51" t="str">
        <v>0.000000</v>
      </c>
      <c r="CW51" t="str">
        <v>PSF-00438_20251211100747_7a6</v>
      </c>
      <c r="CX51" t="str">
        <v>PFA-00474</v>
      </c>
      <c r="CY51" t="str">
        <v>PSA-00486</v>
      </c>
      <c r="CZ51" t="str">
        <v>PSF-00438</v>
      </c>
      <c r="DA51" t="str">
        <v>RHS-00603</v>
      </c>
      <c r="DB51" t="str">
        <v>3.0.0</v>
      </c>
      <c r="DC51" t="str">
        <v>2025-12-10T14:09:08.064Z</v>
      </c>
    </row>
    <row r="52">
      <c r="A52" t="str">
        <v>49</v>
      </c>
      <c r="B52" t="str">
        <v>10:08:05</v>
      </c>
      <c r="C52" t="str">
        <v>2025-12-11</v>
      </c>
      <c r="D52" t="str">
        <v>TT25_psf_dark</v>
      </c>
      <c r="E52" t="str">
        <v>eap</v>
      </c>
      <c r="F52" t="str">
        <v/>
      </c>
      <c r="G52" t="str">
        <v>4109_Tri_red</v>
      </c>
      <c r="H52" t="str">
        <v/>
      </c>
      <c r="I52" t="str">
        <v/>
      </c>
      <c r="J52" t="str">
        <f>1/((1/L52)-(1/K52))</f>
        <v>0.001213</v>
      </c>
      <c r="K52" t="str">
        <f>BH52+(BI52*AN52)+(BJ52*AN52*POWER(V52,2))+(BK52*AN52*V52)+(BL52*POWER(AN52,2))</f>
        <v>2.922146</v>
      </c>
      <c r="L52" t="str">
        <f>((M52/1000)*(1000-((T52+S52)/2)))/(T52-S52)</f>
        <v>0.001213</v>
      </c>
      <c r="M52" t="str">
        <f>(AN52*(S52-R52))/(100*U52*(1000-S52))*1000</f>
        <v>0.015740</v>
      </c>
      <c r="N52" t="str">
        <v>0.722514</v>
      </c>
      <c r="O52" t="str">
        <v>0.722117</v>
      </c>
      <c r="P52" t="str">
        <f>0.61365*EXP((17.502*AL52)/(240.97+AL52))</f>
        <v>1.878055</v>
      </c>
      <c r="Q52" t="str">
        <f>P52-N52</f>
        <v>1.155541</v>
      </c>
      <c r="R52" t="str">
        <v>7.995267</v>
      </c>
      <c r="S52" t="str">
        <v>7.999668</v>
      </c>
      <c r="T52" t="str">
        <f>(P52/AM52)*1000</f>
        <v>20.793802</v>
      </c>
      <c r="U52" t="str">
        <f>V52*BG52</f>
        <v>0.441786</v>
      </c>
      <c r="V52" t="str">
        <v>7.500000</v>
      </c>
      <c r="W52" t="str">
        <v>PSF-00438_20251211100805_ad5</v>
      </c>
      <c r="X52" t="str">
        <v>260.419952</v>
      </c>
      <c r="Y52" t="str">
        <v>470.024231</v>
      </c>
      <c r="Z52" t="str">
        <v>0.445944</v>
      </c>
      <c r="AA52" t="str">
        <v>0.000000</v>
      </c>
      <c r="AB52" t="str">
        <v>0.000000</v>
      </c>
      <c r="AC52" t="str">
        <v>0.000000</v>
      </c>
      <c r="AD52" t="str">
        <v>0.5</v>
      </c>
      <c r="AE52" t="str">
        <v>0.80</v>
      </c>
      <c r="AF52" t="str">
        <f>AC52*AD52*AE52*AQ52</f>
        <v>0.066849</v>
      </c>
      <c r="AG52" t="str">
        <v>1.000000</v>
      </c>
      <c r="AH52" t="str">
        <v>31.72</v>
      </c>
      <c r="AI52" t="str">
        <v>31.70</v>
      </c>
      <c r="AJ52" t="str">
        <v>19.52</v>
      </c>
      <c r="AK52" t="str">
        <v>16.45</v>
      </c>
      <c r="AL52" t="str">
        <f>(AK52-AJ52)*(AJ52*0+0)+AK52</f>
        <v>16.45</v>
      </c>
      <c r="AM52" t="str">
        <v>90.32</v>
      </c>
      <c r="AN52" t="str">
        <v>156.8</v>
      </c>
      <c r="AO52" t="str">
        <v>156.7</v>
      </c>
      <c r="AP52" t="str">
        <v>0.1</v>
      </c>
      <c r="AQ52" t="str">
        <v>0</v>
      </c>
      <c r="AR52" t="str">
        <v>4.069</v>
      </c>
      <c r="AS52" t="str">
        <v>10:05:37</v>
      </c>
      <c r="AT52" t="str">
        <v>2025-12-11</v>
      </c>
      <c r="AU52" t="str">
        <v>-0.16</v>
      </c>
      <c r="AV52" t="str">
        <v>1</v>
      </c>
      <c r="AW52" t="str">
        <v>-0.001</v>
      </c>
      <c r="AX52" t="str">
        <v>0.001</v>
      </c>
      <c r="AY52" t="str">
        <v>-9999.000</v>
      </c>
      <c r="AZ52" t="str">
        <v>-0.591</v>
      </c>
      <c r="BA52" t="str">
        <v>-0.694</v>
      </c>
      <c r="BB52" t="str">
        <v>-9999.000</v>
      </c>
      <c r="BC52" t="str">
        <v>1</v>
      </c>
      <c r="BD52" t="str">
        <v>150</v>
      </c>
      <c r="BE52" t="str">
        <v>0.005</v>
      </c>
      <c r="BF52" t="str">
        <v>2.000000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1</v>
      </c>
      <c r="BO52" t="str">
        <v>rectangular</v>
      </c>
      <c r="BP52" t="str">
        <v>6000</v>
      </c>
      <c r="BQ52" t="str">
        <v>5</v>
      </c>
      <c r="BR52" t="str">
        <v>5.000000</v>
      </c>
      <c r="BS52" t="str">
        <v>2.000000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2.443354</v>
      </c>
      <c r="CD52" t="str">
        <v>2.457632</v>
      </c>
      <c r="CE52" t="str">
        <v>1.655958</v>
      </c>
      <c r="CF52" t="str">
        <v>0.937933</v>
      </c>
      <c r="CG52" t="str">
        <v>0.339646</v>
      </c>
      <c r="CH52" t="str">
        <v>-0.031935</v>
      </c>
      <c r="CI52" t="str">
        <v>0.232363</v>
      </c>
      <c r="CJ52" t="str">
        <v>0.107638</v>
      </c>
      <c r="CK52" t="str">
        <v>260.419952</v>
      </c>
      <c r="CL52" t="str">
        <v>0.000234</v>
      </c>
      <c r="CM52" t="str">
        <v>2.388960</v>
      </c>
      <c r="CN52" t="str">
        <v>-0.000025</v>
      </c>
      <c r="CO52" t="str">
        <v>1.000000</v>
      </c>
      <c r="CP52" t="str">
        <v>2.402765</v>
      </c>
      <c r="CQ52" t="str">
        <v>-0.000034</v>
      </c>
      <c r="CR52" t="str">
        <v>1.000000</v>
      </c>
      <c r="CS52" t="str">
        <v>0.600816</v>
      </c>
      <c r="CT52" t="str">
        <v>0.600971</v>
      </c>
      <c r="CU52" t="str">
        <v>0.107301</v>
      </c>
      <c r="CV52" t="str">
        <v>0.000000</v>
      </c>
      <c r="CW52" t="str">
        <v>PSF-00438_20251211100805_ad5</v>
      </c>
      <c r="CX52" t="str">
        <v>PFA-00474</v>
      </c>
      <c r="CY52" t="str">
        <v>PSA-00486</v>
      </c>
      <c r="CZ52" t="str">
        <v>PSF-00438</v>
      </c>
      <c r="DA52" t="str">
        <v>RHS-00603</v>
      </c>
      <c r="DB52" t="str">
        <v>3.0.0</v>
      </c>
      <c r="DC52" t="str">
        <v>2025-12-10T14:09:08.064Z</v>
      </c>
    </row>
    <row r="53">
      <c r="A53" t="str">
        <v>50</v>
      </c>
      <c r="B53" t="str">
        <v>10:08:20</v>
      </c>
      <c r="C53" t="str">
        <v>2025-12-11</v>
      </c>
      <c r="D53" t="str">
        <v>TT25_psf_dark</v>
      </c>
      <c r="E53" t="str">
        <v>eap</v>
      </c>
      <c r="F53" t="str">
        <v/>
      </c>
      <c r="G53" t="str">
        <v/>
      </c>
      <c r="H53" t="str">
        <v/>
      </c>
      <c r="I53" t="str">
        <v/>
      </c>
      <c r="J53" t="str">
        <f>1/((1/L53)-(1/K53))</f>
        <v>0.015827</v>
      </c>
      <c r="K53" t="str">
        <f>BH53+(BI53*AN53)+(BJ53*AN53*POWER(V53,2))+(BK53*AN53*V53)+(BL53*POWER(AN53,2))</f>
        <v>2.921710</v>
      </c>
      <c r="L53" t="str">
        <f>((M53/1000)*(1000-((T53+S53)/2)))/(T53-S53)</f>
        <v>0.015742</v>
      </c>
      <c r="M53" t="str">
        <f>(AN53*(S53-R53))/(100*U53*(1000-S53))*1000</f>
        <v>0.207046</v>
      </c>
      <c r="N53" t="str">
        <v>0.730717</v>
      </c>
      <c r="O53" t="str">
        <v>0.725487</v>
      </c>
      <c r="P53" t="str">
        <f>0.61365*EXP((17.502*AL53)/(240.97+AL53))</f>
        <v>1.901359</v>
      </c>
      <c r="Q53" t="str">
        <f>P53-N53</f>
        <v>1.170642</v>
      </c>
      <c r="R53" t="str">
        <v>8.032253</v>
      </c>
      <c r="S53" t="str">
        <v>8.090153</v>
      </c>
      <c r="T53" t="str">
        <f>(P53/AM53)*1000</f>
        <v>21.050957</v>
      </c>
      <c r="U53" t="str">
        <f>V53*BG53</f>
        <v>0.441786</v>
      </c>
      <c r="V53" t="str">
        <v>7.500000</v>
      </c>
      <c r="W53" t="str">
        <v>PSF-00438_20251211100820_afe</v>
      </c>
      <c r="X53" t="str">
        <v>178.833252</v>
      </c>
      <c r="Y53" t="str">
        <v>655.596985</v>
      </c>
      <c r="Z53" t="str">
        <v>0.727221</v>
      </c>
      <c r="AA53" t="str">
        <v>0.000000</v>
      </c>
      <c r="AB53" t="str">
        <v>0.000000</v>
      </c>
      <c r="AC53" t="str">
        <v>0.000000</v>
      </c>
      <c r="AD53" t="str">
        <v>0.5</v>
      </c>
      <c r="AE53" t="str">
        <v>0.80</v>
      </c>
      <c r="AF53" t="str">
        <f>AC53*AD53*AE53*AQ53</f>
        <v>0.206964</v>
      </c>
      <c r="AG53" t="str">
        <v>1.000000</v>
      </c>
      <c r="AH53" t="str">
        <v>32.14</v>
      </c>
      <c r="AI53" t="str">
        <v>31.91</v>
      </c>
      <c r="AJ53" t="str">
        <v>19.49</v>
      </c>
      <c r="AK53" t="str">
        <v>16.65</v>
      </c>
      <c r="AL53" t="str">
        <f>(AK53-AJ53)*(AJ53*0+0)+AK53</f>
        <v>16.65</v>
      </c>
      <c r="AM53" t="str">
        <v>90.32</v>
      </c>
      <c r="AN53" t="str">
        <v>156.7</v>
      </c>
      <c r="AO53" t="str">
        <v>158.6</v>
      </c>
      <c r="AP53" t="str">
        <v>-1.2</v>
      </c>
      <c r="AQ53" t="str">
        <v>1</v>
      </c>
      <c r="AR53" t="str">
        <v>4.066</v>
      </c>
      <c r="AS53" t="str">
        <v>10:05:37</v>
      </c>
      <c r="AT53" t="str">
        <v>2025-12-11</v>
      </c>
      <c r="AU53" t="str">
        <v>-0.16</v>
      </c>
      <c r="AV53" t="str">
        <v>1</v>
      </c>
      <c r="AW53" t="str">
        <v>0.001</v>
      </c>
      <c r="AX53" t="str">
        <v>0.002</v>
      </c>
      <c r="AY53" t="str">
        <v>-9999.000</v>
      </c>
      <c r="AZ53" t="str">
        <v>-0.212</v>
      </c>
      <c r="BA53" t="str">
        <v>-0.121</v>
      </c>
      <c r="BB53" t="str">
        <v>-9999.000</v>
      </c>
      <c r="BC53" t="str">
        <v>1</v>
      </c>
      <c r="BD53" t="str">
        <v>150</v>
      </c>
      <c r="BE53" t="str">
        <v>0.005</v>
      </c>
      <c r="BF53" t="str">
        <v>2.000000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1</v>
      </c>
      <c r="BO53" t="str">
        <v>rectangular</v>
      </c>
      <c r="BP53" t="str">
        <v>6000</v>
      </c>
      <c r="BQ53" t="str">
        <v>5</v>
      </c>
      <c r="BR53" t="str">
        <v>5.000000</v>
      </c>
      <c r="BS53" t="str">
        <v>2.000000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2.443671</v>
      </c>
      <c r="CD53" t="str">
        <v>2.458264</v>
      </c>
      <c r="CE53" t="str">
        <v>1.655501</v>
      </c>
      <c r="CF53" t="str">
        <v>0.942859</v>
      </c>
      <c r="CG53" t="str">
        <v>0.340093</v>
      </c>
      <c r="CH53" t="str">
        <v>-0.029543</v>
      </c>
      <c r="CI53" t="str">
        <v>0.233639</v>
      </c>
      <c r="CJ53" t="str">
        <v>0.107941</v>
      </c>
      <c r="CK53" t="str">
        <v>178.833252</v>
      </c>
      <c r="CL53" t="str">
        <v>0.000237</v>
      </c>
      <c r="CM53" t="str">
        <v>2.388960</v>
      </c>
      <c r="CN53" t="str">
        <v>-0.000025</v>
      </c>
      <c r="CO53" t="str">
        <v>1.000000</v>
      </c>
      <c r="CP53" t="str">
        <v>2.402765</v>
      </c>
      <c r="CQ53" t="str">
        <v>-0.000034</v>
      </c>
      <c r="CR53" t="str">
        <v>1.000000</v>
      </c>
      <c r="CS53" t="str">
        <v>0.600816</v>
      </c>
      <c r="CT53" t="str">
        <v>0.600971</v>
      </c>
      <c r="CU53" t="str">
        <v>0.107301</v>
      </c>
      <c r="CV53" t="str">
        <v>0.000000</v>
      </c>
      <c r="CW53" t="str">
        <v>PSF-00438_20251211100820_afe</v>
      </c>
      <c r="CX53" t="str">
        <v>PFA-00474</v>
      </c>
      <c r="CY53" t="str">
        <v>PSA-00486</v>
      </c>
      <c r="CZ53" t="str">
        <v>PSF-00438</v>
      </c>
      <c r="DA53" t="str">
        <v>RHS-00603</v>
      </c>
      <c r="DB53" t="str">
        <v>3.0.0</v>
      </c>
      <c r="DC53" t="str">
        <v>2025-12-10T14:09:08.064Z</v>
      </c>
    </row>
    <row r="54">
      <c r="A54" t="str">
        <v>51</v>
      </c>
      <c r="B54" t="str">
        <v>10:09:43</v>
      </c>
      <c r="C54" t="str">
        <v>2025-12-11</v>
      </c>
      <c r="D54" t="str">
        <v>TT25_psf_dark</v>
      </c>
      <c r="E54" t="str">
        <v>eap</v>
      </c>
      <c r="F54" t="str">
        <v/>
      </c>
      <c r="G54" t="str">
        <v>5228_Tri_red</v>
      </c>
      <c r="H54" t="str">
        <v/>
      </c>
      <c r="I54" t="str">
        <v/>
      </c>
      <c r="J54" t="str">
        <f>1/((1/L54)-(1/K54))</f>
        <v>0.058932</v>
      </c>
      <c r="K54" t="str">
        <f>BH54+(BI54*AN54)+(BJ54*AN54*POWER(V54,2))+(BK54*AN54*V54)+(BL54*POWER(AN54,2))</f>
        <v>2.921657</v>
      </c>
      <c r="L54" t="str">
        <f>((M54/1000)*(1000-((T54+S54)/2)))/(T54-S54)</f>
        <v>0.057767</v>
      </c>
      <c r="M54" t="str">
        <f>(AN54*(S54-R54))/(100*U54*(1000-S54))*1000</f>
        <v>0.701966</v>
      </c>
      <c r="N54" t="str">
        <v>0.726099</v>
      </c>
      <c r="O54" t="str">
        <v>0.708370</v>
      </c>
      <c r="P54" t="str">
        <f>0.61365*EXP((17.502*AL54)/(240.97+AL54))</f>
        <v>1.808086</v>
      </c>
      <c r="Q54" t="str">
        <f>P54-N54</f>
        <v>1.081987</v>
      </c>
      <c r="R54" t="str">
        <v>7.844018</v>
      </c>
      <c r="S54" t="str">
        <v>8.040338</v>
      </c>
      <c r="T54" t="str">
        <f>(P54/AM54)*1000</f>
        <v>20.021547</v>
      </c>
      <c r="U54" t="str">
        <f>V54*BG54</f>
        <v>0.441786</v>
      </c>
      <c r="V54" t="str">
        <v>7.500000</v>
      </c>
      <c r="W54" t="str">
        <v>PSF-00438_20251211100943_476</v>
      </c>
      <c r="X54" t="str">
        <v>157.248611</v>
      </c>
      <c r="Y54" t="str">
        <v>458.142395</v>
      </c>
      <c r="Z54" t="str">
        <v>0.656769</v>
      </c>
      <c r="AA54" t="str">
        <v>0.000000</v>
      </c>
      <c r="AB54" t="str">
        <v>0.000000</v>
      </c>
      <c r="AC54" t="str">
        <v>0.000000</v>
      </c>
      <c r="AD54" t="str">
        <v>0.5</v>
      </c>
      <c r="AE54" t="str">
        <v>0.80</v>
      </c>
      <c r="AF54" t="str">
        <f>AC54*AD54*AE54*AQ54</f>
        <v>0.106390</v>
      </c>
      <c r="AG54" t="str">
        <v>1.000000</v>
      </c>
      <c r="AH54" t="str">
        <v>32.21</v>
      </c>
      <c r="AI54" t="str">
        <v>31.43</v>
      </c>
      <c r="AJ54" t="str">
        <v>19.35</v>
      </c>
      <c r="AK54" t="str">
        <v>15.86</v>
      </c>
      <c r="AL54" t="str">
        <f>(AK54-AJ54)*(AJ54*0+0)+AK54</f>
        <v>15.86</v>
      </c>
      <c r="AM54" t="str">
        <v>90.31</v>
      </c>
      <c r="AN54" t="str">
        <v>156.7</v>
      </c>
      <c r="AO54" t="str">
        <v>158.4</v>
      </c>
      <c r="AP54" t="str">
        <v>-1.1</v>
      </c>
      <c r="AQ54" t="str">
        <v>0</v>
      </c>
      <c r="AR54" t="str">
        <v>4.066</v>
      </c>
      <c r="AS54" t="str">
        <v>10:05:37</v>
      </c>
      <c r="AT54" t="str">
        <v>2025-12-11</v>
      </c>
      <c r="AU54" t="str">
        <v>-0.16</v>
      </c>
      <c r="AV54" t="str">
        <v>1</v>
      </c>
      <c r="AW54" t="str">
        <v>-0.001</v>
      </c>
      <c r="AX54" t="str">
        <v>-0.002</v>
      </c>
      <c r="AY54" t="str">
        <v>-0.013</v>
      </c>
      <c r="AZ54" t="str">
        <v>-0.172</v>
      </c>
      <c r="BA54" t="str">
        <v>-0.481</v>
      </c>
      <c r="BB54" t="str">
        <v>-0.774</v>
      </c>
      <c r="BC54" t="str">
        <v>1</v>
      </c>
      <c r="BD54" t="str">
        <v>150</v>
      </c>
      <c r="BE54" t="str">
        <v>0.005</v>
      </c>
      <c r="BF54" t="str">
        <v>2.000000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1</v>
      </c>
      <c r="BO54" t="str">
        <v>rectangular</v>
      </c>
      <c r="BP54" t="str">
        <v>6000</v>
      </c>
      <c r="BQ54" t="str">
        <v>5</v>
      </c>
      <c r="BR54" t="str">
        <v>5.000000</v>
      </c>
      <c r="BS54" t="str">
        <v>2.000000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2.442988</v>
      </c>
      <c r="CD54" t="str">
        <v>2.458396</v>
      </c>
      <c r="CE54" t="str">
        <v>1.655445</v>
      </c>
      <c r="CF54" t="str">
        <v>0.942313</v>
      </c>
      <c r="CG54" t="str">
        <v>0.341987</v>
      </c>
      <c r="CH54" t="str">
        <v>-0.036307</v>
      </c>
      <c r="CI54" t="str">
        <v>0.241033</v>
      </c>
      <c r="CJ54" t="str">
        <v>0.107665</v>
      </c>
      <c r="CK54" t="str">
        <v>157.248611</v>
      </c>
      <c r="CL54" t="str">
        <v>0.000236</v>
      </c>
      <c r="CM54" t="str">
        <v>2.388960</v>
      </c>
      <c r="CN54" t="str">
        <v>-0.000025</v>
      </c>
      <c r="CO54" t="str">
        <v>1.000000</v>
      </c>
      <c r="CP54" t="str">
        <v>2.402765</v>
      </c>
      <c r="CQ54" t="str">
        <v>-0.000034</v>
      </c>
      <c r="CR54" t="str">
        <v>1.000000</v>
      </c>
      <c r="CS54" t="str">
        <v>0.600816</v>
      </c>
      <c r="CT54" t="str">
        <v>0.600971</v>
      </c>
      <c r="CU54" t="str">
        <v>0.107301</v>
      </c>
      <c r="CV54" t="str">
        <v>0.000000</v>
      </c>
      <c r="CW54" t="str">
        <v>PSF-00438_20251211100943_476</v>
      </c>
      <c r="CX54" t="str">
        <v>PFA-00474</v>
      </c>
      <c r="CY54" t="str">
        <v>PSA-00486</v>
      </c>
      <c r="CZ54" t="str">
        <v>PSF-00438</v>
      </c>
      <c r="DA54" t="str">
        <v>RHS-00603</v>
      </c>
      <c r="DB54" t="str">
        <v>3.0.0</v>
      </c>
      <c r="DC54" t="str">
        <v>2025-12-10T14:09:08.064Z</v>
      </c>
    </row>
    <row r="55">
      <c r="A55" t="str">
        <v>52</v>
      </c>
      <c r="B55" t="str">
        <v>10:09:55</v>
      </c>
      <c r="C55" t="str">
        <v>2025-12-11</v>
      </c>
      <c r="D55" t="str">
        <v>TT25_psf_dark</v>
      </c>
      <c r="E55" t="str">
        <v>eap</v>
      </c>
      <c r="F55" t="str">
        <v/>
      </c>
      <c r="G55" t="str">
        <v>4712_Tri_red</v>
      </c>
      <c r="H55" t="str">
        <v/>
      </c>
      <c r="I55" t="str">
        <v/>
      </c>
      <c r="J55" t="str">
        <f>1/((1/L55)-(1/K55))</f>
        <v>0.005348</v>
      </c>
      <c r="K55" t="str">
        <f>BH55+(BI55*AN55)+(BJ55*AN55*POWER(V55,2))+(BK55*AN55*V55)+(BL55*POWER(AN55,2))</f>
        <v>2.921683</v>
      </c>
      <c r="L55" t="str">
        <f>((M55/1000)*(1000-((T55+S55)/2)))/(T55-S55)</f>
        <v>0.005339</v>
      </c>
      <c r="M55" t="str">
        <f>(AN55*(S55-R55))/(100*U55*(1000-S55))*1000</f>
        <v>0.063599</v>
      </c>
      <c r="N55" t="str">
        <v>0.693768</v>
      </c>
      <c r="O55" t="str">
        <v>0.692161</v>
      </c>
      <c r="P55" t="str">
        <f>0.61365*EXP((17.502*AL55)/(240.97+AL55))</f>
        <v>1.755006</v>
      </c>
      <c r="Q55" t="str">
        <f>P55-N55</f>
        <v>1.061238</v>
      </c>
      <c r="R55" t="str">
        <v>7.664576</v>
      </c>
      <c r="S55" t="str">
        <v>7.682369</v>
      </c>
      <c r="T55" t="str">
        <f>(P55/AM55)*1000</f>
        <v>19.433880</v>
      </c>
      <c r="U55" t="str">
        <f>V55*BG55</f>
        <v>0.441786</v>
      </c>
      <c r="V55" t="str">
        <v>7.500000</v>
      </c>
      <c r="W55" t="str">
        <v>PSF-00438_20251211100955_f07</v>
      </c>
      <c r="X55" t="str">
        <v>182.408813</v>
      </c>
      <c r="Y55" t="str">
        <v>636.978149</v>
      </c>
      <c r="Z55" t="str">
        <v>0.713634</v>
      </c>
      <c r="AA55" t="str">
        <v>0.000000</v>
      </c>
      <c r="AB55" t="str">
        <v>0.000000</v>
      </c>
      <c r="AC55" t="str">
        <v>0.000000</v>
      </c>
      <c r="AD55" t="str">
        <v>0.5</v>
      </c>
      <c r="AE55" t="str">
        <v>0.80</v>
      </c>
      <c r="AF55" t="str">
        <f>AC55*AD55*AE55*AQ55</f>
        <v>0.163265</v>
      </c>
      <c r="AG55" t="str">
        <v>1.000000</v>
      </c>
      <c r="AH55" t="str">
        <v>30.83</v>
      </c>
      <c r="AI55" t="str">
        <v>30.76</v>
      </c>
      <c r="AJ55" t="str">
        <v>19.32</v>
      </c>
      <c r="AK55" t="str">
        <v>15.39</v>
      </c>
      <c r="AL55" t="str">
        <f>(AK55-AJ55)*(AJ55*0+0)+AK55</f>
        <v>15.39</v>
      </c>
      <c r="AM55" t="str">
        <v>90.31</v>
      </c>
      <c r="AN55" t="str">
        <v>156.7</v>
      </c>
      <c r="AO55" t="str">
        <v>158.7</v>
      </c>
      <c r="AP55" t="str">
        <v>-1.3</v>
      </c>
      <c r="AQ55" t="str">
        <v>1</v>
      </c>
      <c r="AR55" t="str">
        <v>4.066</v>
      </c>
      <c r="AS55" t="str">
        <v>10:05:37</v>
      </c>
      <c r="AT55" t="str">
        <v>2025-12-11</v>
      </c>
      <c r="AU55" t="str">
        <v>-0.16</v>
      </c>
      <c r="AV55" t="str">
        <v>1</v>
      </c>
      <c r="AW55" t="str">
        <v>0.002</v>
      </c>
      <c r="AX55" t="str">
        <v>0.001</v>
      </c>
      <c r="AY55" t="str">
        <v>-9999.000</v>
      </c>
      <c r="AZ55" t="str">
        <v>-0.551</v>
      </c>
      <c r="BA55" t="str">
        <v>-0.928</v>
      </c>
      <c r="BB55" t="str">
        <v>-9999.000</v>
      </c>
      <c r="BC55" t="str">
        <v>1</v>
      </c>
      <c r="BD55" t="str">
        <v>150</v>
      </c>
      <c r="BE55" t="str">
        <v>0.005</v>
      </c>
      <c r="BF55" t="str">
        <v>2.000000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1</v>
      </c>
      <c r="BO55" t="str">
        <v>rectangular</v>
      </c>
      <c r="BP55" t="str">
        <v>6000</v>
      </c>
      <c r="BQ55" t="str">
        <v>5</v>
      </c>
      <c r="BR55" t="str">
        <v>5.000000</v>
      </c>
      <c r="BS55" t="str">
        <v>2.000000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2.442013</v>
      </c>
      <c r="CD55" t="str">
        <v>2.456361</v>
      </c>
      <c r="CE55" t="str">
        <v>1.655473</v>
      </c>
      <c r="CF55" t="str">
        <v>0.943219</v>
      </c>
      <c r="CG55" t="str">
        <v>0.342359</v>
      </c>
      <c r="CH55" t="str">
        <v>-0.040854</v>
      </c>
      <c r="CI55" t="str">
        <v>0.241940</v>
      </c>
      <c r="CJ55" t="str">
        <v>0.107816</v>
      </c>
      <c r="CK55" t="str">
        <v>182.408813</v>
      </c>
      <c r="CL55" t="str">
        <v>0.000237</v>
      </c>
      <c r="CM55" t="str">
        <v>2.388960</v>
      </c>
      <c r="CN55" t="str">
        <v>-0.000025</v>
      </c>
      <c r="CO55" t="str">
        <v>1.000000</v>
      </c>
      <c r="CP55" t="str">
        <v>2.402765</v>
      </c>
      <c r="CQ55" t="str">
        <v>-0.000034</v>
      </c>
      <c r="CR55" t="str">
        <v>1.000000</v>
      </c>
      <c r="CS55" t="str">
        <v>0.600816</v>
      </c>
      <c r="CT55" t="str">
        <v>0.600971</v>
      </c>
      <c r="CU55" t="str">
        <v>0.107301</v>
      </c>
      <c r="CV55" t="str">
        <v>0.000000</v>
      </c>
      <c r="CW55" t="str">
        <v>PSF-00438_20251211100955_f07</v>
      </c>
      <c r="CX55" t="str">
        <v>PFA-00474</v>
      </c>
      <c r="CY55" t="str">
        <v>PSA-00486</v>
      </c>
      <c r="CZ55" t="str">
        <v>PSF-00438</v>
      </c>
      <c r="DA55" t="str">
        <v>RHS-00603</v>
      </c>
      <c r="DB55" t="str">
        <v>3.0.0</v>
      </c>
      <c r="DC55" t="str">
        <v>2025-12-10T14:09:08.064Z</v>
      </c>
    </row>
    <row r="56">
      <c r="A56" t="str">
        <v>53</v>
      </c>
      <c r="B56" t="str">
        <v>10:10:15</v>
      </c>
      <c r="C56" t="str">
        <v>2025-12-11</v>
      </c>
      <c r="D56" t="str">
        <v>TT25_psf_dark</v>
      </c>
      <c r="E56" t="str">
        <v>eap</v>
      </c>
      <c r="F56" t="str">
        <v/>
      </c>
      <c r="G56" t="str">
        <v>2996A3_Tri_red</v>
      </c>
      <c r="H56" t="str">
        <v/>
      </c>
      <c r="I56" t="str">
        <v/>
      </c>
      <c r="J56" t="str">
        <f>1/((1/L56)-(1/K56))</f>
        <v>0.001943</v>
      </c>
      <c r="K56" t="str">
        <f>BH56+(BI56*AN56)+(BJ56*AN56*POWER(V56,2))+(BK56*AN56*V56)+(BL56*POWER(AN56,2))</f>
        <v>2.921624</v>
      </c>
      <c r="L56" t="str">
        <f>((M56/1000)*(1000-((T56+S56)/2)))/(T56-S56)</f>
        <v>0.001941</v>
      </c>
      <c r="M56" t="str">
        <f>(AN56*(S56-R56))/(100*U56*(1000-S56))*1000</f>
        <v>0.027480</v>
      </c>
      <c r="N56" t="str">
        <v>0.687260</v>
      </c>
      <c r="O56" t="str">
        <v>0.686566</v>
      </c>
      <c r="P56" t="str">
        <f>0.61365*EXP((17.502*AL56)/(240.97+AL56))</f>
        <v>1.946940</v>
      </c>
      <c r="Q56" t="str">
        <f>P56-N56</f>
        <v>1.259680</v>
      </c>
      <c r="R56" t="str">
        <v>7.602642</v>
      </c>
      <c r="S56" t="str">
        <v>7.610331</v>
      </c>
      <c r="T56" t="str">
        <f>(P56/AM56)*1000</f>
        <v>21.559307</v>
      </c>
      <c r="U56" t="str">
        <f>V56*BG56</f>
        <v>0.441786</v>
      </c>
      <c r="V56" t="str">
        <v>7.500000</v>
      </c>
      <c r="W56" t="str">
        <v>PSF-00438_20251211101015_9b5</v>
      </c>
      <c r="X56" t="str">
        <v>414.518951</v>
      </c>
      <c r="Y56" t="str">
        <v>539.052490</v>
      </c>
      <c r="Z56" t="str">
        <v>0.231023</v>
      </c>
      <c r="AA56" t="str">
        <v>0.000000</v>
      </c>
      <c r="AB56" t="str">
        <v>0.000000</v>
      </c>
      <c r="AC56" t="str">
        <v>0.000000</v>
      </c>
      <c r="AD56" t="str">
        <v>0.5</v>
      </c>
      <c r="AE56" t="str">
        <v>0.80</v>
      </c>
      <c r="AF56" t="str">
        <f>AC56*AD56*AE56*AQ56</f>
        <v>0.024345</v>
      </c>
      <c r="AG56" t="str">
        <v>1.000000</v>
      </c>
      <c r="AH56" t="str">
        <v>30.62</v>
      </c>
      <c r="AI56" t="str">
        <v>30.59</v>
      </c>
      <c r="AJ56" t="str">
        <v>19.28</v>
      </c>
      <c r="AK56" t="str">
        <v>17.02</v>
      </c>
      <c r="AL56" t="str">
        <f>(AK56-AJ56)*(AJ56*0+0)+AK56</f>
        <v>17.02</v>
      </c>
      <c r="AM56" t="str">
        <v>90.31</v>
      </c>
      <c r="AN56" t="str">
        <v>156.7</v>
      </c>
      <c r="AO56" t="str">
        <v>158.6</v>
      </c>
      <c r="AP56" t="str">
        <v>-1.2</v>
      </c>
      <c r="AQ56" t="str">
        <v>0</v>
      </c>
      <c r="AR56" t="str">
        <v>4.064</v>
      </c>
      <c r="AS56" t="str">
        <v>10:05:37</v>
      </c>
      <c r="AT56" t="str">
        <v>2025-12-11</v>
      </c>
      <c r="AU56" t="str">
        <v>-0.16</v>
      </c>
      <c r="AV56" t="str">
        <v>1</v>
      </c>
      <c r="AW56" t="str">
        <v>-0.000</v>
      </c>
      <c r="AX56" t="str">
        <v>0.000</v>
      </c>
      <c r="AY56" t="str">
        <v>-9999.000</v>
      </c>
      <c r="AZ56" t="str">
        <v>-0.008</v>
      </c>
      <c r="BA56" t="str">
        <v>-0.069</v>
      </c>
      <c r="BB56" t="str">
        <v>-9999.000</v>
      </c>
      <c r="BC56" t="str">
        <v>1</v>
      </c>
      <c r="BD56" t="str">
        <v>150</v>
      </c>
      <c r="BE56" t="str">
        <v>0.005</v>
      </c>
      <c r="BF56" t="str">
        <v>2.000000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1</v>
      </c>
      <c r="BO56" t="str">
        <v>rectangular</v>
      </c>
      <c r="BP56" t="str">
        <v>6000</v>
      </c>
      <c r="BQ56" t="str">
        <v>5</v>
      </c>
      <c r="BR56" t="str">
        <v>5.000000</v>
      </c>
      <c r="BS56" t="str">
        <v>2.000000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2.441767</v>
      </c>
      <c r="CD56" t="str">
        <v>2.456053</v>
      </c>
      <c r="CE56" t="str">
        <v>1.655410</v>
      </c>
      <c r="CF56" t="str">
        <v>0.943038</v>
      </c>
      <c r="CG56" t="str">
        <v>0.342916</v>
      </c>
      <c r="CH56" t="str">
        <v>-0.023377</v>
      </c>
      <c r="CI56" t="str">
        <v>0.243655</v>
      </c>
      <c r="CJ56" t="str">
        <v>0.107538</v>
      </c>
      <c r="CK56" t="str">
        <v>414.518951</v>
      </c>
      <c r="CL56" t="str">
        <v>0.000234</v>
      </c>
      <c r="CM56" t="str">
        <v>2.388960</v>
      </c>
      <c r="CN56" t="str">
        <v>-0.000025</v>
      </c>
      <c r="CO56" t="str">
        <v>1.000000</v>
      </c>
      <c r="CP56" t="str">
        <v>2.402765</v>
      </c>
      <c r="CQ56" t="str">
        <v>-0.000034</v>
      </c>
      <c r="CR56" t="str">
        <v>1.000000</v>
      </c>
      <c r="CS56" t="str">
        <v>0.600816</v>
      </c>
      <c r="CT56" t="str">
        <v>0.600971</v>
      </c>
      <c r="CU56" t="str">
        <v>0.107301</v>
      </c>
      <c r="CV56" t="str">
        <v>0.000000</v>
      </c>
      <c r="CW56" t="str">
        <v>PSF-00438_20251211101015_9b5</v>
      </c>
      <c r="CX56" t="str">
        <v>PFA-00474</v>
      </c>
      <c r="CY56" t="str">
        <v>PSA-00486</v>
      </c>
      <c r="CZ56" t="str">
        <v>PSF-00438</v>
      </c>
      <c r="DA56" t="str">
        <v>RHS-00603</v>
      </c>
      <c r="DB56" t="str">
        <v>3.0.0</v>
      </c>
      <c r="DC56" t="str">
        <v>2025-12-10T14:09:08.064Z</v>
      </c>
    </row>
    <row r="57">
      <c r="A57" t="str">
        <v>54</v>
      </c>
      <c r="B57" t="str">
        <v>10:10:36</v>
      </c>
      <c r="C57" t="str">
        <v>2025-12-11</v>
      </c>
      <c r="D57" t="str">
        <v>TT25_psf_dark</v>
      </c>
      <c r="E57" t="str">
        <v>eap</v>
      </c>
      <c r="F57" t="str">
        <v/>
      </c>
      <c r="G57" t="str">
        <v>4265_Tri_red</v>
      </c>
      <c r="H57" t="str">
        <v/>
      </c>
      <c r="I57" t="str">
        <v/>
      </c>
      <c r="J57" t="str">
        <f>1/((1/L57)-(1/K57))</f>
        <v>-0.000045</v>
      </c>
      <c r="K57" t="str">
        <f>BH57+(BI57*AN57)+(BJ57*AN57*POWER(V57,2))+(BK57*AN57*V57)+(BL57*POWER(AN57,2))</f>
        <v>2.921808</v>
      </c>
      <c r="L57" t="str">
        <f>((M57/1000)*(1000-((T57+S57)/2)))/(T57-S57)</f>
        <v>-0.000045</v>
      </c>
      <c r="M57" t="str">
        <f>(AN57*(S57-R57))/(100*U57*(1000-S57))*1000</f>
        <v>-0.000618</v>
      </c>
      <c r="N57" t="str">
        <v>0.701803</v>
      </c>
      <c r="O57" t="str">
        <v>0.701819</v>
      </c>
      <c r="P57" t="str">
        <f>0.61365*EXP((17.502*AL57)/(240.97+AL57))</f>
        <v>1.916205</v>
      </c>
      <c r="Q57" t="str">
        <f>P57-N57</f>
        <v>1.214402</v>
      </c>
      <c r="R57" t="str">
        <v>7.771647</v>
      </c>
      <c r="S57" t="str">
        <v>7.771474</v>
      </c>
      <c r="T57" t="str">
        <f>(P57/AM57)*1000</f>
        <v>21.219255</v>
      </c>
      <c r="U57" t="str">
        <f>V57*BG57</f>
        <v>0.441786</v>
      </c>
      <c r="V57" t="str">
        <v>7.500000</v>
      </c>
      <c r="W57" t="str">
        <v>PSF-00438_20251211101036_24d</v>
      </c>
      <c r="X57" t="str">
        <v>198.426239</v>
      </c>
      <c r="Y57" t="str">
        <v>304.808380</v>
      </c>
      <c r="Z57" t="str">
        <v>0.349013</v>
      </c>
      <c r="AA57" t="str">
        <v>0.000000</v>
      </c>
      <c r="AB57" t="str">
        <v>0.000000</v>
      </c>
      <c r="AC57" t="str">
        <v>0.000000</v>
      </c>
      <c r="AD57" t="str">
        <v>0.5</v>
      </c>
      <c r="AE57" t="str">
        <v>0.80</v>
      </c>
      <c r="AF57" t="str">
        <f>AC57*AD57*AE57*AQ57</f>
        <v>0.013135</v>
      </c>
      <c r="AG57" t="str">
        <v>1.000000</v>
      </c>
      <c r="AH57" t="str">
        <v>31.39</v>
      </c>
      <c r="AI57" t="str">
        <v>31.39</v>
      </c>
      <c r="AJ57" t="str">
        <v>19.22</v>
      </c>
      <c r="AK57" t="str">
        <v>16.77</v>
      </c>
      <c r="AL57" t="str">
        <f>(AK57-AJ57)*(AJ57*0+0)+AK57</f>
        <v>16.77</v>
      </c>
      <c r="AM57" t="str">
        <v>90.31</v>
      </c>
      <c r="AN57" t="str">
        <v>156.7</v>
      </c>
      <c r="AO57" t="str">
        <v>157.0</v>
      </c>
      <c r="AP57" t="str">
        <v>-0.2</v>
      </c>
      <c r="AQ57" t="str">
        <v>0</v>
      </c>
      <c r="AR57" t="str">
        <v>4.060</v>
      </c>
      <c r="AS57" t="str">
        <v>10:05:37</v>
      </c>
      <c r="AT57" t="str">
        <v>2025-12-11</v>
      </c>
      <c r="AU57" t="str">
        <v>-0.16</v>
      </c>
      <c r="AV57" t="str">
        <v>1</v>
      </c>
      <c r="AW57" t="str">
        <v>0.001</v>
      </c>
      <c r="AX57" t="str">
        <v>0.002</v>
      </c>
      <c r="AY57" t="str">
        <v>-9999.000</v>
      </c>
      <c r="AZ57" t="str">
        <v>0.423</v>
      </c>
      <c r="BA57" t="str">
        <v>-0.187</v>
      </c>
      <c r="BB57" t="str">
        <v>-9999.000</v>
      </c>
      <c r="BC57" t="str">
        <v>1</v>
      </c>
      <c r="BD57" t="str">
        <v>150</v>
      </c>
      <c r="BE57" t="str">
        <v>0.005</v>
      </c>
      <c r="BF57" t="str">
        <v>2.000000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1</v>
      </c>
      <c r="BO57" t="str">
        <v>rectangular</v>
      </c>
      <c r="BP57" t="str">
        <v>6000</v>
      </c>
      <c r="BQ57" t="str">
        <v>5</v>
      </c>
      <c r="BR57" t="str">
        <v>5.000000</v>
      </c>
      <c r="BS57" t="str">
        <v>2.000000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2.442957</v>
      </c>
      <c r="CD57" t="str">
        <v>2.457206</v>
      </c>
      <c r="CE57" t="str">
        <v>1.655604</v>
      </c>
      <c r="CF57" t="str">
        <v>0.938877</v>
      </c>
      <c r="CG57" t="str">
        <v>0.343782</v>
      </c>
      <c r="CH57" t="str">
        <v>-0.025342</v>
      </c>
      <c r="CI57" t="str">
        <v>0.245426</v>
      </c>
      <c r="CJ57" t="str">
        <v>0.107386</v>
      </c>
      <c r="CK57" t="str">
        <v>198.426239</v>
      </c>
      <c r="CL57" t="str">
        <v>0.000236</v>
      </c>
      <c r="CM57" t="str">
        <v>2.388960</v>
      </c>
      <c r="CN57" t="str">
        <v>-0.000025</v>
      </c>
      <c r="CO57" t="str">
        <v>1.000000</v>
      </c>
      <c r="CP57" t="str">
        <v>2.402765</v>
      </c>
      <c r="CQ57" t="str">
        <v>-0.000034</v>
      </c>
      <c r="CR57" t="str">
        <v>1.000000</v>
      </c>
      <c r="CS57" t="str">
        <v>0.600816</v>
      </c>
      <c r="CT57" t="str">
        <v>0.600971</v>
      </c>
      <c r="CU57" t="str">
        <v>0.107301</v>
      </c>
      <c r="CV57" t="str">
        <v>0.000000</v>
      </c>
      <c r="CW57" t="str">
        <v>PSF-00438_20251211101036_24d</v>
      </c>
      <c r="CX57" t="str">
        <v>PFA-00474</v>
      </c>
      <c r="CY57" t="str">
        <v>PSA-00486</v>
      </c>
      <c r="CZ57" t="str">
        <v>PSF-00438</v>
      </c>
      <c r="DA57" t="str">
        <v>RHS-00603</v>
      </c>
      <c r="DB57" t="str">
        <v>3.0.0</v>
      </c>
      <c r="DC57" t="str">
        <v>2025-12-10T14:09:08.064Z</v>
      </c>
    </row>
    <row r="58">
      <c r="A58" t="str">
        <v>55</v>
      </c>
      <c r="B58" t="str">
        <v>10:10:53</v>
      </c>
      <c r="C58" t="str">
        <v>2025-12-11</v>
      </c>
      <c r="D58" t="str">
        <v>TT25_psf_dark</v>
      </c>
      <c r="E58" t="str">
        <v>eap</v>
      </c>
      <c r="F58" t="str">
        <v/>
      </c>
      <c r="G58" t="str">
        <v>1750_Tri_red</v>
      </c>
      <c r="H58" t="str">
        <v/>
      </c>
      <c r="I58" t="str">
        <v/>
      </c>
      <c r="J58" t="str">
        <f>1/((1/L58)-(1/K58))</f>
        <v>0.011336</v>
      </c>
      <c r="K58" t="str">
        <f>BH58+(BI58*AN58)+(BJ58*AN58*POWER(V58,2))+(BK58*AN58*V58)+(BL58*POWER(AN58,2))</f>
        <v>2.922226</v>
      </c>
      <c r="L58" t="str">
        <f>((M58/1000)*(1000-((T58+S58)/2)))/(T58-S58)</f>
        <v>0.011292</v>
      </c>
      <c r="M58" t="str">
        <f>(AN58*(S58-R58))/(100*U58*(1000-S58))*1000</f>
        <v>0.132049</v>
      </c>
      <c r="N58" t="str">
        <v>0.686183</v>
      </c>
      <c r="O58" t="str">
        <v>0.682848</v>
      </c>
      <c r="P58" t="str">
        <f>0.61365*EXP((17.502*AL58)/(240.97+AL58))</f>
        <v>1.728048</v>
      </c>
      <c r="Q58" t="str">
        <f>P58-N58</f>
        <v>1.041866</v>
      </c>
      <c r="R58" t="str">
        <v>7.561780</v>
      </c>
      <c r="S58" t="str">
        <v>7.598711</v>
      </c>
      <c r="T58" t="str">
        <f>(P58/AM58)*1000</f>
        <v>19.136217</v>
      </c>
      <c r="U58" t="str">
        <f>V58*BG58</f>
        <v>0.441786</v>
      </c>
      <c r="V58" t="str">
        <v>7.500000</v>
      </c>
      <c r="W58" t="str">
        <v>PSF-00438_20251211101053_4c9</v>
      </c>
      <c r="X58" t="str">
        <v>206.296204</v>
      </c>
      <c r="Y58" t="str">
        <v>542.566162</v>
      </c>
      <c r="Z58" t="str">
        <v>0.619777</v>
      </c>
      <c r="AA58" t="str">
        <v>0.000000</v>
      </c>
      <c r="AB58" t="str">
        <v>0.000000</v>
      </c>
      <c r="AC58" t="str">
        <v>0.000000</v>
      </c>
      <c r="AD58" t="str">
        <v>0.5</v>
      </c>
      <c r="AE58" t="str">
        <v>0.80</v>
      </c>
      <c r="AF58" t="str">
        <f>AC58*AD58*AE58*AQ58</f>
        <v>0.017412</v>
      </c>
      <c r="AG58" t="str">
        <v>1.000000</v>
      </c>
      <c r="AH58" t="str">
        <v>30.79</v>
      </c>
      <c r="AI58" t="str">
        <v>30.64</v>
      </c>
      <c r="AJ58" t="str">
        <v>19.17</v>
      </c>
      <c r="AK58" t="str">
        <v>15.15</v>
      </c>
      <c r="AL58" t="str">
        <f>(AK58-AJ58)*(AJ58*0+0)+AK58</f>
        <v>15.15</v>
      </c>
      <c r="AM58" t="str">
        <v>90.30</v>
      </c>
      <c r="AN58" t="str">
        <v>156.8</v>
      </c>
      <c r="AO58" t="str">
        <v>135.0</v>
      </c>
      <c r="AP58" t="str">
        <v>13.9</v>
      </c>
      <c r="AQ58" t="str">
        <v>0</v>
      </c>
      <c r="AR58" t="str">
        <v>4.064</v>
      </c>
      <c r="AS58" t="str">
        <v>10:05:37</v>
      </c>
      <c r="AT58" t="str">
        <v>2025-12-11</v>
      </c>
      <c r="AU58" t="str">
        <v>-0.16</v>
      </c>
      <c r="AV58" t="str">
        <v>1</v>
      </c>
      <c r="AW58" t="str">
        <v>0.003</v>
      </c>
      <c r="AX58" t="str">
        <v>0.003</v>
      </c>
      <c r="AY58" t="str">
        <v>-9999.000</v>
      </c>
      <c r="AZ58" t="str">
        <v>0.407</v>
      </c>
      <c r="BA58" t="str">
        <v>1.035</v>
      </c>
      <c r="BB58" t="str">
        <v>-9999.000</v>
      </c>
      <c r="BC58" t="str">
        <v>1</v>
      </c>
      <c r="BD58" t="str">
        <v>150</v>
      </c>
      <c r="BE58" t="str">
        <v>0.005</v>
      </c>
      <c r="BF58" t="str">
        <v>2.000000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1</v>
      </c>
      <c r="BO58" t="str">
        <v>rectangular</v>
      </c>
      <c r="BP58" t="str">
        <v>6000</v>
      </c>
      <c r="BQ58" t="str">
        <v>5</v>
      </c>
      <c r="BR58" t="str">
        <v>5.000000</v>
      </c>
      <c r="BS58" t="str">
        <v>2.000000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2.441865</v>
      </c>
      <c r="CD58" t="str">
        <v>2.456329</v>
      </c>
      <c r="CE58" t="str">
        <v>1.656042</v>
      </c>
      <c r="CF58" t="str">
        <v>0.883767</v>
      </c>
      <c r="CG58" t="str">
        <v>0.344507</v>
      </c>
      <c r="CH58" t="str">
        <v>-0.041670</v>
      </c>
      <c r="CI58" t="str">
        <v>0.246745</v>
      </c>
      <c r="CJ58" t="str">
        <v>0.107364</v>
      </c>
      <c r="CK58" t="str">
        <v>206.296204</v>
      </c>
      <c r="CL58" t="str">
        <v>0.000235</v>
      </c>
      <c r="CM58" t="str">
        <v>2.388960</v>
      </c>
      <c r="CN58" t="str">
        <v>-0.000025</v>
      </c>
      <c r="CO58" t="str">
        <v>1.000000</v>
      </c>
      <c r="CP58" t="str">
        <v>2.402765</v>
      </c>
      <c r="CQ58" t="str">
        <v>-0.000034</v>
      </c>
      <c r="CR58" t="str">
        <v>1.000000</v>
      </c>
      <c r="CS58" t="str">
        <v>0.600816</v>
      </c>
      <c r="CT58" t="str">
        <v>0.600971</v>
      </c>
      <c r="CU58" t="str">
        <v>0.107301</v>
      </c>
      <c r="CV58" t="str">
        <v>0.000000</v>
      </c>
      <c r="CW58" t="str">
        <v>PSF-00438_20251211101053_4c9</v>
      </c>
      <c r="CX58" t="str">
        <v>PFA-00474</v>
      </c>
      <c r="CY58" t="str">
        <v>PSA-00486</v>
      </c>
      <c r="CZ58" t="str">
        <v>PSF-00438</v>
      </c>
      <c r="DA58" t="str">
        <v>RHS-00603</v>
      </c>
      <c r="DB58" t="str">
        <v>3.0.0</v>
      </c>
      <c r="DC58" t="str">
        <v>2025-12-10T14:09:08.064Z</v>
      </c>
    </row>
  </sheetData>
  <ignoredErrors>
    <ignoredError numberStoredAsText="1" sqref="A1:D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TT25_psf_dark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