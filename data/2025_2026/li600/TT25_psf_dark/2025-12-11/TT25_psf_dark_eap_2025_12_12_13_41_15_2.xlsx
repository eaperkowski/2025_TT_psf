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_d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id_b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10:39:07</v>
      </c>
      <c r="C4" t="str">
        <v>2025-12-11</v>
      </c>
      <c r="D4" t="str">
        <v>TT25_psf_dark</v>
      </c>
      <c r="E4" t="str">
        <v>eap</v>
      </c>
      <c r="F4" t="str">
        <v/>
      </c>
      <c r="G4" t="str">
        <v/>
      </c>
      <c r="H4" t="str">
        <v>001</v>
      </c>
      <c r="I4" t="str">
        <v/>
      </c>
      <c r="J4" t="str">
        <f>1/((1/L4)-(1/K4))</f>
        <v>0.010676</v>
      </c>
      <c r="K4" t="str">
        <f>BH4+(BI4*AN4)+(BJ4*AN4*POWER(V4,2))+(BK4*AN4*V4)+(BL4*POWER(AN4,2))</f>
        <v>2.922285</v>
      </c>
      <c r="L4" t="str">
        <f>((M4/1000)*(1000-((T4+S4)/2)))/(T4-S4)</f>
        <v>0.010637</v>
      </c>
      <c r="M4" t="str">
        <f>(AN4*(S4-R4))/(100*U4*(1000-S4))*1000</f>
        <v>0.231923</v>
      </c>
      <c r="N4" t="str">
        <v>0.601934</v>
      </c>
      <c r="O4" t="str">
        <v>0.596072</v>
      </c>
      <c r="P4" t="str">
        <f>0.61365*EXP((17.502*AL4)/(240.97+AL4))</f>
        <v>2.536601</v>
      </c>
      <c r="Q4" t="str">
        <f>P4-N4</f>
        <v>1.934667</v>
      </c>
      <c r="R4" t="str">
        <v>6.600685</v>
      </c>
      <c r="S4" t="str">
        <v>6.665605</v>
      </c>
      <c r="T4" t="str">
        <f>(P4/AM4)*1000</f>
        <v>28.089418</v>
      </c>
      <c r="U4" t="str">
        <f>V4*BG4</f>
        <v>0.441786</v>
      </c>
      <c r="V4" t="str">
        <v>7.500000</v>
      </c>
      <c r="W4" t="str">
        <v>PSF-00438_20251211103907_bc6</v>
      </c>
      <c r="X4" t="str">
        <v>190.918915</v>
      </c>
      <c r="Y4" t="str">
        <v>626.212463</v>
      </c>
      <c r="Z4" t="str">
        <v>0.695121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0.007369</v>
      </c>
      <c r="AG4" t="str">
        <v>1.000000</v>
      </c>
      <c r="AH4" t="str">
        <v>21.17</v>
      </c>
      <c r="AI4" t="str">
        <v>20.96</v>
      </c>
      <c r="AJ4" t="str">
        <v>23.14</v>
      </c>
      <c r="AK4" t="str">
        <v>21.26</v>
      </c>
      <c r="AL4" t="str">
        <f>(AK4-AJ4)*(AJ4*0+0)+AK4</f>
        <v>21.26</v>
      </c>
      <c r="AM4" t="str">
        <v>90.30</v>
      </c>
      <c r="AN4" t="str">
        <v>156.8</v>
      </c>
      <c r="AO4" t="str">
        <v>158.5</v>
      </c>
      <c r="AP4" t="str">
        <v>-1.1</v>
      </c>
      <c r="AQ4" t="str">
        <v>0</v>
      </c>
      <c r="AR4" t="str">
        <v>4.036</v>
      </c>
      <c r="AS4" t="str">
        <v>10:38:50</v>
      </c>
      <c r="AT4" t="str">
        <v>2025-12-11</v>
      </c>
      <c r="AU4" t="str">
        <v>-0.04</v>
      </c>
      <c r="AV4" t="str">
        <v>1</v>
      </c>
      <c r="AW4" t="str">
        <v>-0.000</v>
      </c>
      <c r="AX4" t="str">
        <v>-0.001</v>
      </c>
      <c r="AY4" t="str">
        <v>-9999.000</v>
      </c>
      <c r="AZ4" t="str">
        <v>-0.240</v>
      </c>
      <c r="BA4" t="str">
        <v>0.641</v>
      </c>
      <c r="BB4" t="str">
        <v>-9999.000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6000</v>
      </c>
      <c r="BQ4" t="str">
        <v>5</v>
      </c>
      <c r="BR4" t="str">
        <v>5.000000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2.426579</v>
      </c>
      <c r="CD4" t="str">
        <v>2.440806</v>
      </c>
      <c r="CE4" t="str">
        <v>1.656103</v>
      </c>
      <c r="CF4" t="str">
        <v>0.942757</v>
      </c>
      <c r="CG4" t="str">
        <v>0.293794</v>
      </c>
      <c r="CH4" t="str">
        <v>-0.020230</v>
      </c>
      <c r="CI4" t="str">
        <v>0.364191</v>
      </c>
      <c r="CJ4" t="str">
        <v>0.107325</v>
      </c>
      <c r="CK4" t="str">
        <v>190.918915</v>
      </c>
      <c r="CL4" t="str">
        <v>0.000239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PSF-00438_20251211103907_bc6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2025-12-11T15:29:05.518Z</v>
      </c>
    </row>
  </sheetData>
  <ignoredErrors>
    <ignoredError numberStoredAsText="1" sqref="A1:D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TT25_psf_dark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