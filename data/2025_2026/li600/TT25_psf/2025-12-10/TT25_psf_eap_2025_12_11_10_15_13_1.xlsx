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T25_p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42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id</v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14:13:53</v>
      </c>
      <c r="C4" t="str">
        <v>2025-12-10</v>
      </c>
      <c r="D4" t="str">
        <v>TT25_psf</v>
      </c>
      <c r="E4" t="str">
        <v>eap</v>
      </c>
      <c r="F4" t="str">
        <v/>
      </c>
      <c r="G4" t="str">
        <v>5060_Tri_red_blue</v>
      </c>
      <c r="H4" t="str">
        <v/>
      </c>
      <c r="I4" t="str">
        <v/>
      </c>
      <c r="J4" t="str">
        <f>1/((1/L4)-(1/K4))</f>
        <v>-0.007564</v>
      </c>
      <c r="K4" t="str">
        <f>BH4+(BI4*AN4)+(BJ4*AN4*POWER(V4,2))+(BK4*AN4*V4)+(BL4*POWER(AN4,2))</f>
        <v>2.922616</v>
      </c>
      <c r="L4" t="str">
        <f>((M4/1000)*(1000-((T4+S4)/2)))/(T4-S4)</f>
        <v>-0.007584</v>
      </c>
      <c r="M4" t="str">
        <f>(AN4*(S4-R4))/(100*U4*(1000-S4))*1000</f>
        <v>-0.144391</v>
      </c>
      <c r="N4" t="str">
        <v>0.704940</v>
      </c>
      <c r="O4" t="str">
        <v>0.708611</v>
      </c>
      <c r="P4" t="str">
        <f>0.61365*EXP((17.502*AL4)/(240.97+AL4))</f>
        <v>2.406641</v>
      </c>
      <c r="Q4" t="str">
        <f>P4-N4</f>
        <v>1.701700</v>
      </c>
      <c r="R4" t="str">
        <v>7.792368</v>
      </c>
      <c r="S4" t="str">
        <v>7.752006</v>
      </c>
      <c r="T4" t="str">
        <f>(P4/AM4)*1000</f>
        <v>26.465065</v>
      </c>
      <c r="U4" t="str">
        <f>V4*BG4</f>
        <v>0.441786</v>
      </c>
      <c r="V4" t="str">
        <v>7.500000</v>
      </c>
      <c r="W4" t="str">
        <v>PSF-00438_20251210141353_b5a</v>
      </c>
      <c r="X4" t="str">
        <v>0.000000</v>
      </c>
      <c r="Y4" t="str">
        <v>0.000000</v>
      </c>
      <c r="Z4" t="str">
        <v>0.000000</v>
      </c>
      <c r="AA4" t="str">
        <v>77.990051</v>
      </c>
      <c r="AB4" t="str">
        <v>86.237053</v>
      </c>
      <c r="AC4" t="str">
        <v>0.095632</v>
      </c>
      <c r="AD4" t="str">
        <v>0.5</v>
      </c>
      <c r="AE4" t="str">
        <v>0.80</v>
      </c>
      <c r="AF4" t="str">
        <f>AC4*AD4*AE4*AQ4</f>
        <v>6.348418</v>
      </c>
      <c r="AG4" t="str">
        <v>1.000000</v>
      </c>
      <c r="AH4" t="str">
        <v>25.67</v>
      </c>
      <c r="AI4" t="str">
        <v>25.80</v>
      </c>
      <c r="AJ4" t="str">
        <v>22.57</v>
      </c>
      <c r="AK4" t="str">
        <v>20.41</v>
      </c>
      <c r="AL4" t="str">
        <f>(AK4-AJ4)*(AJ4*0+0)+AK4</f>
        <v>20.41</v>
      </c>
      <c r="AM4" t="str">
        <v>90.94</v>
      </c>
      <c r="AN4" t="str">
        <v>156.8</v>
      </c>
      <c r="AO4" t="str">
        <v>158.5</v>
      </c>
      <c r="AP4" t="str">
        <v>-1.1</v>
      </c>
      <c r="AQ4" t="str">
        <v>166</v>
      </c>
      <c r="AR4" t="str">
        <v>3.936</v>
      </c>
      <c r="AS4" t="str">
        <v>14:13:42</v>
      </c>
      <c r="AT4" t="str">
        <v>2025-12-10</v>
      </c>
      <c r="AU4" t="str">
        <v>-0.02</v>
      </c>
      <c r="AV4" t="str">
        <v>1</v>
      </c>
      <c r="AW4" t="str">
        <v>0.002</v>
      </c>
      <c r="AX4" t="str">
        <v>0.002</v>
      </c>
      <c r="AY4" t="str">
        <v>0.017</v>
      </c>
      <c r="AZ4" t="str">
        <v>-0.116</v>
      </c>
      <c r="BA4" t="str">
        <v>-0.462</v>
      </c>
      <c r="BB4" t="str">
        <v>-0.139</v>
      </c>
      <c r="BC4" t="str">
        <v>1</v>
      </c>
      <c r="BD4" t="str">
        <v>150</v>
      </c>
      <c r="BE4" t="str">
        <v>0.005</v>
      </c>
      <c r="BF4" t="str">
        <v>2.000000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0</v>
      </c>
      <c r="BO4" t="str">
        <v>mpf</v>
      </c>
      <c r="BP4" t="str">
        <v>7000</v>
      </c>
      <c r="BQ4" t="str">
        <v>500</v>
      </c>
      <c r="BR4" t="str">
        <v>5.000000</v>
      </c>
      <c r="BS4" t="str">
        <v>2.000000</v>
      </c>
      <c r="BT4" t="str">
        <v>300</v>
      </c>
      <c r="BU4" t="str">
        <v>300</v>
      </c>
      <c r="BV4" t="str">
        <v>300</v>
      </c>
      <c r="BW4" t="str">
        <v>86.055283</v>
      </c>
      <c r="BX4" t="str">
        <v>25</v>
      </c>
      <c r="BY4" t="str">
        <v>-0.150365</v>
      </c>
      <c r="BZ4" t="str">
        <v>85.886833</v>
      </c>
      <c r="CA4" t="str">
        <v>86.022110</v>
      </c>
      <c r="CB4" t="str">
        <v>-0.135277</v>
      </c>
      <c r="CC4" t="str">
        <v>2.434102</v>
      </c>
      <c r="CD4" t="str">
        <v>2.447849</v>
      </c>
      <c r="CE4" t="str">
        <v>1.656450</v>
      </c>
      <c r="CF4" t="str">
        <v>0.942769</v>
      </c>
      <c r="CG4" t="str">
        <v>0.300596</v>
      </c>
      <c r="CH4" t="str">
        <v>-0.023167</v>
      </c>
      <c r="CI4" t="str">
        <v>0.050411</v>
      </c>
      <c r="CJ4" t="str">
        <v>0.256593</v>
      </c>
      <c r="CK4" t="str">
        <v>77.990051</v>
      </c>
      <c r="CL4" t="str">
        <v>0.000238</v>
      </c>
      <c r="CM4" t="str">
        <v>2.388960</v>
      </c>
      <c r="CN4" t="str">
        <v>-0.000025</v>
      </c>
      <c r="CO4" t="str">
        <v>1.000000</v>
      </c>
      <c r="CP4" t="str">
        <v>2.402765</v>
      </c>
      <c r="CQ4" t="str">
        <v>-0.000034</v>
      </c>
      <c r="CR4" t="str">
        <v>1.000000</v>
      </c>
      <c r="CS4" t="str">
        <v>0.600816</v>
      </c>
      <c r="CT4" t="str">
        <v>0.600971</v>
      </c>
      <c r="CU4" t="str">
        <v>0.107301</v>
      </c>
      <c r="CV4" t="str">
        <v>0.000000</v>
      </c>
      <c r="CW4" t="str">
        <v>PSF-00438_20251210141353_b5a</v>
      </c>
      <c r="CX4" t="str">
        <v>PFA-00474</v>
      </c>
      <c r="CY4" t="str">
        <v>PSA-00486</v>
      </c>
      <c r="CZ4" t="str">
        <v>PSF-00438</v>
      </c>
      <c r="DA4" t="str">
        <v>RHS-00603</v>
      </c>
      <c r="DB4" t="str">
        <v>3.0.0</v>
      </c>
      <c r="DC4" t="str">
        <v>2025-03-10T14:27:16.709Z</v>
      </c>
    </row>
    <row r="5">
      <c r="A5" t="str">
        <v>2</v>
      </c>
      <c r="B5" t="str">
        <v>14:14:08</v>
      </c>
      <c r="C5" t="str">
        <v>2025-12-10</v>
      </c>
      <c r="D5" t="str">
        <v>TT25_psf</v>
      </c>
      <c r="E5" t="str">
        <v>eap</v>
      </c>
      <c r="F5" t="str">
        <v/>
      </c>
      <c r="G5" t="str">
        <v>4444 (2988)_Tri_red_blue</v>
      </c>
      <c r="H5" t="str">
        <v/>
      </c>
      <c r="I5" t="str">
        <v/>
      </c>
      <c r="J5" t="str">
        <f>1/((1/L5)-(1/K5))</f>
        <v>0.008021</v>
      </c>
      <c r="K5" t="str">
        <f>BH5+(BI5*AN5)+(BJ5*AN5*POWER(V5,2))+(BK5*AN5*V5)+(BL5*POWER(AN5,2))</f>
        <v>2.922637</v>
      </c>
      <c r="L5" t="str">
        <f>((M5/1000)*(1000-((T5+S5)/2)))/(T5-S5)</f>
        <v>0.007999</v>
      </c>
      <c r="M5" t="str">
        <f>(AN5*(S5-R5))/(100*U5*(1000-S5))*1000</f>
        <v>0.156236</v>
      </c>
      <c r="N5" t="str">
        <v>0.666708</v>
      </c>
      <c r="O5" t="str">
        <v>0.662735</v>
      </c>
      <c r="P5" t="str">
        <f>0.61365*EXP((17.502*AL5)/(240.97+AL5))</f>
        <v>2.412852</v>
      </c>
      <c r="Q5" t="str">
        <f>P5-N5</f>
        <v>1.746144</v>
      </c>
      <c r="R5" t="str">
        <v>7.287482</v>
      </c>
      <c r="S5" t="str">
        <v>7.331174</v>
      </c>
      <c r="T5" t="str">
        <f>(P5/AM5)*1000</f>
        <v>26.531908</v>
      </c>
      <c r="U5" t="str">
        <f>V5*BG5</f>
        <v>0.441786</v>
      </c>
      <c r="V5" t="str">
        <v>7.500000</v>
      </c>
      <c r="W5" t="str">
        <v>PSF-00438_20251210141408_883</v>
      </c>
      <c r="X5" t="str">
        <v>0.000000</v>
      </c>
      <c r="Y5" t="str">
        <v>0.000000</v>
      </c>
      <c r="Z5" t="str">
        <v>0.000000</v>
      </c>
      <c r="AA5" t="str">
        <v>79.908012</v>
      </c>
      <c r="AB5" t="str">
        <v>86.636650</v>
      </c>
      <c r="AC5" t="str">
        <v>0.077665</v>
      </c>
      <c r="AD5" t="str">
        <v>0.5</v>
      </c>
      <c r="AE5" t="str">
        <v>0.80</v>
      </c>
      <c r="AF5" t="str">
        <f>AC5*AD5*AE5*AQ5</f>
        <v>8.000294</v>
      </c>
      <c r="AG5" t="str">
        <v>1.000000</v>
      </c>
      <c r="AH5" t="str">
        <v>24.27</v>
      </c>
      <c r="AI5" t="str">
        <v>24.12</v>
      </c>
      <c r="AJ5" t="str">
        <v>22.57</v>
      </c>
      <c r="AK5" t="str">
        <v>20.45</v>
      </c>
      <c r="AL5" t="str">
        <f>(AK5-AJ5)*(AJ5*0+0)+AK5</f>
        <v>20.45</v>
      </c>
      <c r="AM5" t="str">
        <v>90.94</v>
      </c>
      <c r="AN5" t="str">
        <v>156.8</v>
      </c>
      <c r="AO5" t="str">
        <v>158.3</v>
      </c>
      <c r="AP5" t="str">
        <v>-1.0</v>
      </c>
      <c r="AQ5" t="str">
        <v>258</v>
      </c>
      <c r="AR5" t="str">
        <v>3.942</v>
      </c>
      <c r="AS5" t="str">
        <v>14:13:42</v>
      </c>
      <c r="AT5" t="str">
        <v>2025-12-10</v>
      </c>
      <c r="AU5" t="str">
        <v>-0.02</v>
      </c>
      <c r="AV5" t="str">
        <v>1</v>
      </c>
      <c r="AW5" t="str">
        <v>0.001</v>
      </c>
      <c r="AX5" t="str">
        <v>-0.000</v>
      </c>
      <c r="AY5" t="str">
        <v>-9999.000</v>
      </c>
      <c r="AZ5" t="str">
        <v>0.650</v>
      </c>
      <c r="BA5" t="str">
        <v>0.136</v>
      </c>
      <c r="BB5" t="str">
        <v>-9999.000</v>
      </c>
      <c r="BC5" t="str">
        <v>1</v>
      </c>
      <c r="BD5" t="str">
        <v>150</v>
      </c>
      <c r="BE5" t="str">
        <v>0.005</v>
      </c>
      <c r="BF5" t="str">
        <v>2.000000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0</v>
      </c>
      <c r="BO5" t="str">
        <v>mpf</v>
      </c>
      <c r="BP5" t="str">
        <v>7000</v>
      </c>
      <c r="BQ5" t="str">
        <v>500</v>
      </c>
      <c r="BR5" t="str">
        <v>5.000000</v>
      </c>
      <c r="BS5" t="str">
        <v>2.000000</v>
      </c>
      <c r="BT5" t="str">
        <v>300</v>
      </c>
      <c r="BU5" t="str">
        <v>300</v>
      </c>
      <c r="BV5" t="str">
        <v>300</v>
      </c>
      <c r="BW5" t="str">
        <v>86.402176</v>
      </c>
      <c r="BX5" t="str">
        <v>25</v>
      </c>
      <c r="BY5" t="str">
        <v>-0.155377</v>
      </c>
      <c r="BZ5" t="str">
        <v>86.233734</v>
      </c>
      <c r="CA5" t="str">
        <v>86.414543</v>
      </c>
      <c r="CB5" t="str">
        <v>-0.180809</v>
      </c>
      <c r="CC5" t="str">
        <v>2.431553</v>
      </c>
      <c r="CD5" t="str">
        <v>2.445705</v>
      </c>
      <c r="CE5" t="str">
        <v>1.656473</v>
      </c>
      <c r="CF5" t="str">
        <v>0.942208</v>
      </c>
      <c r="CG5" t="str">
        <v>0.300548</v>
      </c>
      <c r="CH5" t="str">
        <v>-0.022758</v>
      </c>
      <c r="CI5" t="str">
        <v>0.052719</v>
      </c>
      <c r="CJ5" t="str">
        <v>0.338963</v>
      </c>
      <c r="CK5" t="str">
        <v>79.908012</v>
      </c>
      <c r="CL5" t="str">
        <v>0.000235</v>
      </c>
      <c r="CM5" t="str">
        <v>2.388960</v>
      </c>
      <c r="CN5" t="str">
        <v>-0.000025</v>
      </c>
      <c r="CO5" t="str">
        <v>1.000000</v>
      </c>
      <c r="CP5" t="str">
        <v>2.402765</v>
      </c>
      <c r="CQ5" t="str">
        <v>-0.000034</v>
      </c>
      <c r="CR5" t="str">
        <v>1.000000</v>
      </c>
      <c r="CS5" t="str">
        <v>0.600816</v>
      </c>
      <c r="CT5" t="str">
        <v>0.600971</v>
      </c>
      <c r="CU5" t="str">
        <v>0.107301</v>
      </c>
      <c r="CV5" t="str">
        <v>0.000000</v>
      </c>
      <c r="CW5" t="str">
        <v>PSF-00438_20251210141408_883</v>
      </c>
      <c r="CX5" t="str">
        <v>PFA-00474</v>
      </c>
      <c r="CY5" t="str">
        <v>PSA-00486</v>
      </c>
      <c r="CZ5" t="str">
        <v>PSF-00438</v>
      </c>
      <c r="DA5" t="str">
        <v>RHS-00603</v>
      </c>
      <c r="DB5" t="str">
        <v>3.0.0</v>
      </c>
      <c r="DC5" t="str">
        <v>2025-03-10T14:27:16.709Z</v>
      </c>
    </row>
    <row r="6">
      <c r="A6" t="str">
        <v>3</v>
      </c>
      <c r="B6" t="str">
        <v>14:14:22</v>
      </c>
      <c r="C6" t="str">
        <v>2025-12-10</v>
      </c>
      <c r="D6" t="str">
        <v>TT25_psf</v>
      </c>
      <c r="E6" t="str">
        <v>eap</v>
      </c>
      <c r="F6" t="str">
        <v/>
      </c>
      <c r="G6" t="str">
        <v>916_Tri_green_blue</v>
      </c>
      <c r="H6" t="str">
        <v/>
      </c>
      <c r="I6" t="str">
        <v/>
      </c>
      <c r="J6" t="str">
        <f>1/((1/L6)-(1/K6))</f>
        <v>0.007058</v>
      </c>
      <c r="K6" t="str">
        <f>BH6+(BI6*AN6)+(BJ6*AN6*POWER(V6,2))+(BK6*AN6*V6)+(BL6*POWER(AN6,2))</f>
        <v>2.921989</v>
      </c>
      <c r="L6" t="str">
        <f>((M6/1000)*(1000-((T6+S6)/2)))/(T6-S6)</f>
        <v>0.007041</v>
      </c>
      <c r="M6" t="str">
        <f>(AN6*(S6-R6))/(100*U6*(1000-S6))*1000</f>
        <v>0.133886</v>
      </c>
      <c r="N6" t="str">
        <v>0.638667</v>
      </c>
      <c r="O6" t="str">
        <v>0.635259</v>
      </c>
      <c r="P6" t="str">
        <f>0.61365*EXP((17.502*AL6)/(240.97+AL6))</f>
        <v>2.339690</v>
      </c>
      <c r="Q6" t="str">
        <f>P6-N6</f>
        <v>1.701024</v>
      </c>
      <c r="R6" t="str">
        <v>6.985206</v>
      </c>
      <c r="S6" t="str">
        <v>7.022678</v>
      </c>
      <c r="T6" t="str">
        <f>(P6/AM6)*1000</f>
        <v>25.726858</v>
      </c>
      <c r="U6" t="str">
        <f>V6*BG6</f>
        <v>0.441786</v>
      </c>
      <c r="V6" t="str">
        <v>7.500000</v>
      </c>
      <c r="W6" t="str">
        <v>PSF-00438_20251210141422_cd7</v>
      </c>
      <c r="X6" t="str">
        <v>0.000000</v>
      </c>
      <c r="Y6" t="str">
        <v>0.000000</v>
      </c>
      <c r="Z6" t="str">
        <v>0.000000</v>
      </c>
      <c r="AA6" t="str">
        <v>95.787048</v>
      </c>
      <c r="AB6" t="str">
        <v>108.961342</v>
      </c>
      <c r="AC6" t="str">
        <v>0.120908</v>
      </c>
      <c r="AD6" t="str">
        <v>0.5</v>
      </c>
      <c r="AE6" t="str">
        <v>0.80</v>
      </c>
      <c r="AF6" t="str">
        <f>AC6*AD6*AE6*AQ6</f>
        <v>7.232680</v>
      </c>
      <c r="AG6" t="str">
        <v>1.000000</v>
      </c>
      <c r="AH6" t="str">
        <v>23.26</v>
      </c>
      <c r="AI6" t="str">
        <v>23.14</v>
      </c>
      <c r="AJ6" t="str">
        <v>22.56</v>
      </c>
      <c r="AK6" t="str">
        <v>19.95</v>
      </c>
      <c r="AL6" t="str">
        <f>(AK6-AJ6)*(AJ6*0+0)+AK6</f>
        <v>19.95</v>
      </c>
      <c r="AM6" t="str">
        <v>90.94</v>
      </c>
      <c r="AN6" t="str">
        <v>156.7</v>
      </c>
      <c r="AO6" t="str">
        <v>157.0</v>
      </c>
      <c r="AP6" t="str">
        <v>-0.1</v>
      </c>
      <c r="AQ6" t="str">
        <v>150</v>
      </c>
      <c r="AR6" t="str">
        <v>3.940</v>
      </c>
      <c r="AS6" t="str">
        <v>14:13:42</v>
      </c>
      <c r="AT6" t="str">
        <v>2025-12-10</v>
      </c>
      <c r="AU6" t="str">
        <v>-0.02</v>
      </c>
      <c r="AV6" t="str">
        <v>1</v>
      </c>
      <c r="AW6" t="str">
        <v>0.000</v>
      </c>
      <c r="AX6" t="str">
        <v>0.002</v>
      </c>
      <c r="AY6" t="str">
        <v>-9999.000</v>
      </c>
      <c r="AZ6" t="str">
        <v>0.828</v>
      </c>
      <c r="BA6" t="str">
        <v>-0.796</v>
      </c>
      <c r="BB6" t="str">
        <v>-9999.000</v>
      </c>
      <c r="BC6" t="str">
        <v>1</v>
      </c>
      <c r="BD6" t="str">
        <v>150</v>
      </c>
      <c r="BE6" t="str">
        <v>0.005</v>
      </c>
      <c r="BF6" t="str">
        <v>2.000000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0</v>
      </c>
      <c r="BO6" t="str">
        <v>mpf</v>
      </c>
      <c r="BP6" t="str">
        <v>7000</v>
      </c>
      <c r="BQ6" t="str">
        <v>500</v>
      </c>
      <c r="BR6" t="str">
        <v>5.000000</v>
      </c>
      <c r="BS6" t="str">
        <v>2.000000</v>
      </c>
      <c r="BT6" t="str">
        <v>300</v>
      </c>
      <c r="BU6" t="str">
        <v>300</v>
      </c>
      <c r="BV6" t="str">
        <v>300</v>
      </c>
      <c r="BW6" t="str">
        <v>108.961342</v>
      </c>
      <c r="BX6" t="str">
        <v>25</v>
      </c>
      <c r="BY6" t="str">
        <v>0.099332</v>
      </c>
      <c r="BZ6" t="str">
        <v>108.927727</v>
      </c>
      <c r="CA6" t="str">
        <v>109.103340</v>
      </c>
      <c r="CB6" t="str">
        <v>-0.175613</v>
      </c>
      <c r="CC6" t="str">
        <v>2.430041</v>
      </c>
      <c r="CD6" t="str">
        <v>2.444150</v>
      </c>
      <c r="CE6" t="str">
        <v>1.655794</v>
      </c>
      <c r="CF6" t="str">
        <v>0.938703</v>
      </c>
      <c r="CG6" t="str">
        <v>0.300681</v>
      </c>
      <c r="CH6" t="str">
        <v>-0.028037</v>
      </c>
      <c r="CI6" t="str">
        <v>0.054840</v>
      </c>
      <c r="CJ6" t="str">
        <v>0.241831</v>
      </c>
      <c r="CK6" t="str">
        <v>95.787048</v>
      </c>
      <c r="CL6" t="str">
        <v>0.000239</v>
      </c>
      <c r="CM6" t="str">
        <v>2.388960</v>
      </c>
      <c r="CN6" t="str">
        <v>-0.000025</v>
      </c>
      <c r="CO6" t="str">
        <v>1.000000</v>
      </c>
      <c r="CP6" t="str">
        <v>2.402765</v>
      </c>
      <c r="CQ6" t="str">
        <v>-0.000034</v>
      </c>
      <c r="CR6" t="str">
        <v>1.000000</v>
      </c>
      <c r="CS6" t="str">
        <v>0.600816</v>
      </c>
      <c r="CT6" t="str">
        <v>0.600971</v>
      </c>
      <c r="CU6" t="str">
        <v>0.107301</v>
      </c>
      <c r="CV6" t="str">
        <v>0.000000</v>
      </c>
      <c r="CW6" t="str">
        <v>PSF-00438_20251210141422_cd7</v>
      </c>
      <c r="CX6" t="str">
        <v>PFA-00474</v>
      </c>
      <c r="CY6" t="str">
        <v>PSA-00486</v>
      </c>
      <c r="CZ6" t="str">
        <v>PSF-00438</v>
      </c>
      <c r="DA6" t="str">
        <v>RHS-00603</v>
      </c>
      <c r="DB6" t="str">
        <v>3.0.0</v>
      </c>
      <c r="DC6" t="str">
        <v>2025-03-10T14:27:16.709Z</v>
      </c>
    </row>
    <row r="7">
      <c r="A7" t="str">
        <v>4</v>
      </c>
      <c r="B7" t="str">
        <v>14:14:37</v>
      </c>
      <c r="C7" t="str">
        <v>2025-12-10</v>
      </c>
      <c r="D7" t="str">
        <v>TT25_psf</v>
      </c>
      <c r="E7" t="str">
        <v>eap</v>
      </c>
      <c r="F7" t="str">
        <v/>
      </c>
      <c r="G7" t="str">
        <v>5722_Tri_purple_blue</v>
      </c>
      <c r="H7" t="str">
        <v/>
      </c>
      <c r="I7" t="str">
        <v/>
      </c>
      <c r="J7" t="str">
        <f>1/((1/L7)-(1/K7))</f>
        <v>-0.001555</v>
      </c>
      <c r="K7" t="str">
        <f>BH7+(BI7*AN7)+(BJ7*AN7*POWER(V7,2))+(BK7*AN7*V7)+(BL7*POWER(AN7,2))</f>
        <v>2.922204</v>
      </c>
      <c r="L7" t="str">
        <f>((M7/1000)*(1000-((T7+S7)/2)))/(T7-S7)</f>
        <v>-0.001556</v>
      </c>
      <c r="M7" t="str">
        <f>(AN7*(S7-R7))/(100*U7*(1000-S7))*1000</f>
        <v>-0.029151</v>
      </c>
      <c r="N7" t="str">
        <v>0.634777</v>
      </c>
      <c r="O7" t="str">
        <v>0.635519</v>
      </c>
      <c r="P7" t="str">
        <f>0.61365*EXP((17.502*AL7)/(240.97+AL7))</f>
        <v>2.310875</v>
      </c>
      <c r="Q7" t="str">
        <f>P7-N7</f>
        <v>1.676098</v>
      </c>
      <c r="R7" t="str">
        <v>6.987911</v>
      </c>
      <c r="S7" t="str">
        <v>6.979753</v>
      </c>
      <c r="T7" t="str">
        <f>(P7/AM7)*1000</f>
        <v>25.409452</v>
      </c>
      <c r="U7" t="str">
        <f>V7*BG7</f>
        <v>0.441786</v>
      </c>
      <c r="V7" t="str">
        <v>7.500000</v>
      </c>
      <c r="W7" t="str">
        <v>PSF-00438_20251210141437_fdd</v>
      </c>
      <c r="X7" t="str">
        <v>0.000000</v>
      </c>
      <c r="Y7" t="str">
        <v>0.000000</v>
      </c>
      <c r="Z7" t="str">
        <v>0.000000</v>
      </c>
      <c r="AA7" t="str">
        <v>73.271156</v>
      </c>
      <c r="AB7" t="str">
        <v>77.374016</v>
      </c>
      <c r="AC7" t="str">
        <v>0.053026</v>
      </c>
      <c r="AD7" t="str">
        <v>0.5</v>
      </c>
      <c r="AE7" t="str">
        <v>0.80</v>
      </c>
      <c r="AF7" t="str">
        <f>AC7*AD7*AE7*AQ7</f>
        <v>3.648886</v>
      </c>
      <c r="AG7" t="str">
        <v>1.000000</v>
      </c>
      <c r="AH7" t="str">
        <v>23.15</v>
      </c>
      <c r="AI7" t="str">
        <v>23.18</v>
      </c>
      <c r="AJ7" t="str">
        <v>22.54</v>
      </c>
      <c r="AK7" t="str">
        <v>19.75</v>
      </c>
      <c r="AL7" t="str">
        <f>(AK7-AJ7)*(AJ7*0+0)+AK7</f>
        <v>19.75</v>
      </c>
      <c r="AM7" t="str">
        <v>90.95</v>
      </c>
      <c r="AN7" t="str">
        <v>156.8</v>
      </c>
      <c r="AO7" t="str">
        <v>158.5</v>
      </c>
      <c r="AP7" t="str">
        <v>-1.1</v>
      </c>
      <c r="AQ7" t="str">
        <v>172</v>
      </c>
      <c r="AR7" t="str">
        <v>3.906</v>
      </c>
      <c r="AS7" t="str">
        <v>14:13:42</v>
      </c>
      <c r="AT7" t="str">
        <v>2025-12-10</v>
      </c>
      <c r="AU7" t="str">
        <v>-0.02</v>
      </c>
      <c r="AV7" t="str">
        <v>1</v>
      </c>
      <c r="AW7" t="str">
        <v>-0.000</v>
      </c>
      <c r="AX7" t="str">
        <v>0.000</v>
      </c>
      <c r="AY7" t="str">
        <v>-9999.000</v>
      </c>
      <c r="AZ7" t="str">
        <v>-0.403</v>
      </c>
      <c r="BA7" t="str">
        <v>-1.026</v>
      </c>
      <c r="BB7" t="str">
        <v>-9999.000</v>
      </c>
      <c r="BC7" t="str">
        <v>1</v>
      </c>
      <c r="BD7" t="str">
        <v>150</v>
      </c>
      <c r="BE7" t="str">
        <v>0.005</v>
      </c>
      <c r="BF7" t="str">
        <v>2.000000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0</v>
      </c>
      <c r="BO7" t="str">
        <v>mpf</v>
      </c>
      <c r="BP7" t="str">
        <v>7000</v>
      </c>
      <c r="BQ7" t="str">
        <v>500</v>
      </c>
      <c r="BR7" t="str">
        <v>5.000000</v>
      </c>
      <c r="BS7" t="str">
        <v>2.000000</v>
      </c>
      <c r="BT7" t="str">
        <v>300</v>
      </c>
      <c r="BU7" t="str">
        <v>300</v>
      </c>
      <c r="BV7" t="str">
        <v>300</v>
      </c>
      <c r="BW7" t="str">
        <v>77.226517</v>
      </c>
      <c r="BX7" t="str">
        <v>25</v>
      </c>
      <c r="BY7" t="str">
        <v>-0.101610</v>
      </c>
      <c r="BZ7" t="str">
        <v>77.067375</v>
      </c>
      <c r="CA7" t="str">
        <v>77.228767</v>
      </c>
      <c r="CB7" t="str">
        <v>-0.161392</v>
      </c>
      <c r="CC7" t="str">
        <v>2.430100</v>
      </c>
      <c r="CD7" t="str">
        <v>2.443975</v>
      </c>
      <c r="CE7" t="str">
        <v>1.656019</v>
      </c>
      <c r="CF7" t="str">
        <v>0.942540</v>
      </c>
      <c r="CG7" t="str">
        <v>0.300913</v>
      </c>
      <c r="CH7" t="str">
        <v>-0.029981</v>
      </c>
      <c r="CI7" t="str">
        <v>0.057177</v>
      </c>
      <c r="CJ7" t="str">
        <v>0.262055</v>
      </c>
      <c r="CK7" t="str">
        <v>73.271156</v>
      </c>
      <c r="CL7" t="str">
        <v>0.000239</v>
      </c>
      <c r="CM7" t="str">
        <v>2.388960</v>
      </c>
      <c r="CN7" t="str">
        <v>-0.000025</v>
      </c>
      <c r="CO7" t="str">
        <v>1.000000</v>
      </c>
      <c r="CP7" t="str">
        <v>2.402765</v>
      </c>
      <c r="CQ7" t="str">
        <v>-0.000034</v>
      </c>
      <c r="CR7" t="str">
        <v>1.000000</v>
      </c>
      <c r="CS7" t="str">
        <v>0.600816</v>
      </c>
      <c r="CT7" t="str">
        <v>0.600971</v>
      </c>
      <c r="CU7" t="str">
        <v>0.107301</v>
      </c>
      <c r="CV7" t="str">
        <v>0.000000</v>
      </c>
      <c r="CW7" t="str">
        <v>PSF-00438_20251210141437_fdd</v>
      </c>
      <c r="CX7" t="str">
        <v>PFA-00474</v>
      </c>
      <c r="CY7" t="str">
        <v>PSA-00486</v>
      </c>
      <c r="CZ7" t="str">
        <v>PSF-00438</v>
      </c>
      <c r="DA7" t="str">
        <v>RHS-00603</v>
      </c>
      <c r="DB7" t="str">
        <v>3.0.0</v>
      </c>
      <c r="DC7" t="str">
        <v>2025-03-10T14:27:16.709Z</v>
      </c>
    </row>
    <row r="8">
      <c r="A8" t="str">
        <v>5</v>
      </c>
      <c r="B8" t="str">
        <v>14:14:59</v>
      </c>
      <c r="C8" t="str">
        <v>2025-12-10</v>
      </c>
      <c r="D8" t="str">
        <v>TT25_psf</v>
      </c>
      <c r="E8" t="str">
        <v>eap</v>
      </c>
      <c r="F8" t="str">
        <v/>
      </c>
      <c r="G8" t="str">
        <v>2416_Tri_green_blue</v>
      </c>
      <c r="H8" t="str">
        <v/>
      </c>
      <c r="I8" t="str">
        <v/>
      </c>
      <c r="J8" t="str">
        <f>1/((1/L8)-(1/K8))</f>
        <v>0.002830</v>
      </c>
      <c r="K8" t="str">
        <f>BH8+(BI8*AN8)+(BJ8*AN8*POWER(V8,2))+(BK8*AN8*V8)+(BL8*POWER(AN8,2))</f>
        <v>2.921279</v>
      </c>
      <c r="L8" t="str">
        <f>((M8/1000)*(1000-((T8+S8)/2)))/(T8-S8)</f>
        <v>0.002827</v>
      </c>
      <c r="M8" t="str">
        <f>(AN8*(S8-R8))/(100*U8*(1000-S8))*1000</f>
        <v>0.058763</v>
      </c>
      <c r="N8" t="str">
        <v>0.624648</v>
      </c>
      <c r="O8" t="str">
        <v>0.623151</v>
      </c>
      <c r="P8" t="str">
        <f>0.61365*EXP((17.502*AL8)/(240.97+AL8))</f>
        <v>2.482839</v>
      </c>
      <c r="Q8" t="str">
        <f>P8-N8</f>
        <v>1.858191</v>
      </c>
      <c r="R8" t="str">
        <v>6.851651</v>
      </c>
      <c r="S8" t="str">
        <v>6.868110</v>
      </c>
      <c r="T8" t="str">
        <f>(P8/AM8)*1000</f>
        <v>27.299244</v>
      </c>
      <c r="U8" t="str">
        <f>V8*BG8</f>
        <v>0.441786</v>
      </c>
      <c r="V8" t="str">
        <v>7.500000</v>
      </c>
      <c r="W8" t="str">
        <v>PSF-00438_20251210141459_51a</v>
      </c>
      <c r="X8" t="str">
        <v>0.000000</v>
      </c>
      <c r="Y8" t="str">
        <v>0.000000</v>
      </c>
      <c r="Z8" t="str">
        <v>0.000000</v>
      </c>
      <c r="AA8" t="str">
        <v>134.040359</v>
      </c>
      <c r="AB8" t="str">
        <v>228.481644</v>
      </c>
      <c r="AC8" t="str">
        <v>0.413343</v>
      </c>
      <c r="AD8" t="str">
        <v>0.5</v>
      </c>
      <c r="AE8" t="str">
        <v>0.80</v>
      </c>
      <c r="AF8" t="str">
        <f>AC8*AD8*AE8*AQ8</f>
        <v>26.245489</v>
      </c>
      <c r="AG8" t="str">
        <v>1.000000</v>
      </c>
      <c r="AH8" t="str">
        <v>22.82</v>
      </c>
      <c r="AI8" t="str">
        <v>22.76</v>
      </c>
      <c r="AJ8" t="str">
        <v>22.51</v>
      </c>
      <c r="AK8" t="str">
        <v>20.91</v>
      </c>
      <c r="AL8" t="str">
        <f>(AK8-AJ8)*(AJ8*0+0)+AK8</f>
        <v>20.91</v>
      </c>
      <c r="AM8" t="str">
        <v>90.95</v>
      </c>
      <c r="AN8" t="str">
        <v>156.6</v>
      </c>
      <c r="AO8" t="str">
        <v>158.8</v>
      </c>
      <c r="AP8" t="str">
        <v>-1.4</v>
      </c>
      <c r="AQ8" t="str">
        <v>159</v>
      </c>
      <c r="AR8" t="str">
        <v>3.939</v>
      </c>
      <c r="AS8" t="str">
        <v>14:13:42</v>
      </c>
      <c r="AT8" t="str">
        <v>2025-12-10</v>
      </c>
      <c r="AU8" t="str">
        <v>-0.02</v>
      </c>
      <c r="AV8" t="str">
        <v>1</v>
      </c>
      <c r="AW8" t="str">
        <v>0.001</v>
      </c>
      <c r="AX8" t="str">
        <v>0.001</v>
      </c>
      <c r="AY8" t="str">
        <v>-9999.000</v>
      </c>
      <c r="AZ8" t="str">
        <v>2.890</v>
      </c>
      <c r="BA8" t="str">
        <v>3.990</v>
      </c>
      <c r="BB8" t="str">
        <v>-9999.000</v>
      </c>
      <c r="BC8" t="str">
        <v>1</v>
      </c>
      <c r="BD8" t="str">
        <v>150</v>
      </c>
      <c r="BE8" t="str">
        <v>0.005</v>
      </c>
      <c r="BF8" t="str">
        <v>2.000000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0</v>
      </c>
      <c r="BO8" t="str">
        <v>mpf</v>
      </c>
      <c r="BP8" t="str">
        <v>7000</v>
      </c>
      <c r="BQ8" t="str">
        <v>500</v>
      </c>
      <c r="BR8" t="str">
        <v>5.000000</v>
      </c>
      <c r="BS8" t="str">
        <v>2.000000</v>
      </c>
      <c r="BT8" t="str">
        <v>300</v>
      </c>
      <c r="BU8" t="str">
        <v>300</v>
      </c>
      <c r="BV8" t="str">
        <v>300</v>
      </c>
      <c r="BW8" t="str">
        <v>228.481644</v>
      </c>
      <c r="BX8" t="str">
        <v>25</v>
      </c>
      <c r="BY8" t="str">
        <v>0.236939</v>
      </c>
      <c r="BZ8" t="str">
        <v>228.759888</v>
      </c>
      <c r="CA8" t="str">
        <v>228.820343</v>
      </c>
      <c r="CB8" t="str">
        <v>-0.060455</v>
      </c>
      <c r="CC8" t="str">
        <v>2.429464</v>
      </c>
      <c r="CD8" t="str">
        <v>2.443461</v>
      </c>
      <c r="CE8" t="str">
        <v>1.655050</v>
      </c>
      <c r="CF8" t="str">
        <v>0.943335</v>
      </c>
      <c r="CG8" t="str">
        <v>0.301241</v>
      </c>
      <c r="CH8" t="str">
        <v>-0.017055</v>
      </c>
      <c r="CI8" t="str">
        <v>0.060538</v>
      </c>
      <c r="CJ8" t="str">
        <v>0.250098</v>
      </c>
      <c r="CK8" t="str">
        <v>134.040359</v>
      </c>
      <c r="CL8" t="str">
        <v>0.000236</v>
      </c>
      <c r="CM8" t="str">
        <v>2.388960</v>
      </c>
      <c r="CN8" t="str">
        <v>-0.000025</v>
      </c>
      <c r="CO8" t="str">
        <v>1.000000</v>
      </c>
      <c r="CP8" t="str">
        <v>2.402765</v>
      </c>
      <c r="CQ8" t="str">
        <v>-0.000034</v>
      </c>
      <c r="CR8" t="str">
        <v>1.000000</v>
      </c>
      <c r="CS8" t="str">
        <v>0.600816</v>
      </c>
      <c r="CT8" t="str">
        <v>0.600971</v>
      </c>
      <c r="CU8" t="str">
        <v>0.107301</v>
      </c>
      <c r="CV8" t="str">
        <v>0.000000</v>
      </c>
      <c r="CW8" t="str">
        <v>PSF-00438_20251210141459_51a</v>
      </c>
      <c r="CX8" t="str">
        <v>PFA-00474</v>
      </c>
      <c r="CY8" t="str">
        <v>PSA-00486</v>
      </c>
      <c r="CZ8" t="str">
        <v>PSF-00438</v>
      </c>
      <c r="DA8" t="str">
        <v>RHS-00603</v>
      </c>
      <c r="DB8" t="str">
        <v>3.0.0</v>
      </c>
      <c r="DC8" t="str">
        <v>2025-03-10T14:27:16.709Z</v>
      </c>
    </row>
    <row r="9">
      <c r="A9" t="str">
        <v>6</v>
      </c>
      <c r="B9" t="str">
        <v>14:15:25</v>
      </c>
      <c r="C9" t="str">
        <v>2025-12-10</v>
      </c>
      <c r="D9" t="str">
        <v>TT25_psf</v>
      </c>
      <c r="E9" t="str">
        <v>eap</v>
      </c>
      <c r="F9" t="str">
        <v/>
      </c>
      <c r="G9" t="str">
        <v>4444 (2988)_Tri_red_blue</v>
      </c>
      <c r="H9" t="str">
        <v/>
      </c>
      <c r="I9" t="str">
        <v/>
      </c>
      <c r="J9" t="str">
        <f>1/((1/L9)-(1/K9))</f>
        <v>0.000107</v>
      </c>
      <c r="K9" t="str">
        <f>BH9+(BI9*AN9)+(BJ9*AN9*POWER(V9,2))+(BK9*AN9*V9)+(BL9*POWER(AN9,2))</f>
        <v>2.921327</v>
      </c>
      <c r="L9" t="str">
        <f>((M9/1000)*(1000-((T9+S9)/2)))/(T9-S9)</f>
        <v>0.000107</v>
      </c>
      <c r="M9" t="str">
        <f>(AN9*(S9-R9))/(100*U9*(1000-S9))*1000</f>
        <v>0.002140</v>
      </c>
      <c r="N9" t="str">
        <v>0.612652</v>
      </c>
      <c r="O9" t="str">
        <v>0.612598</v>
      </c>
      <c r="P9" t="str">
        <f>0.61365*EXP((17.502*AL9)/(240.97+AL9))</f>
        <v>2.405703</v>
      </c>
      <c r="Q9" t="str">
        <f>P9-N9</f>
        <v>1.793050</v>
      </c>
      <c r="R9" t="str">
        <v>6.735583</v>
      </c>
      <c r="S9" t="str">
        <v>6.736182</v>
      </c>
      <c r="T9" t="str">
        <f>(P9/AM9)*1000</f>
        <v>26.450972</v>
      </c>
      <c r="U9" t="str">
        <f>V9*BG9</f>
        <v>0.441786</v>
      </c>
      <c r="V9" t="str">
        <v>7.500000</v>
      </c>
      <c r="W9" t="str">
        <v>PSF-00438_20251210141525_579</v>
      </c>
      <c r="X9" t="str">
        <v>0.000000</v>
      </c>
      <c r="Y9" t="str">
        <v>0.000000</v>
      </c>
      <c r="Z9" t="str">
        <v>0.000000</v>
      </c>
      <c r="AA9" t="str">
        <v>86.017372</v>
      </c>
      <c r="AB9" t="str">
        <v>91.472641</v>
      </c>
      <c r="AC9" t="str">
        <v>0.059638</v>
      </c>
      <c r="AD9" t="str">
        <v>0.5</v>
      </c>
      <c r="AE9" t="str">
        <v>0.80</v>
      </c>
      <c r="AF9" t="str">
        <f>AC9*AD9*AE9*AQ9</f>
        <v>5.957517</v>
      </c>
      <c r="AG9" t="str">
        <v>1.000000</v>
      </c>
      <c r="AH9" t="str">
        <v>22.43</v>
      </c>
      <c r="AI9" t="str">
        <v>22.42</v>
      </c>
      <c r="AJ9" t="str">
        <v>22.48</v>
      </c>
      <c r="AK9" t="str">
        <v>20.40</v>
      </c>
      <c r="AL9" t="str">
        <f>(AK9-AJ9)*(AJ9*0+0)+AK9</f>
        <v>20.40</v>
      </c>
      <c r="AM9" t="str">
        <v>90.95</v>
      </c>
      <c r="AN9" t="str">
        <v>156.7</v>
      </c>
      <c r="AO9" t="str">
        <v>158.8</v>
      </c>
      <c r="AP9" t="str">
        <v>-1.4</v>
      </c>
      <c r="AQ9" t="str">
        <v>250</v>
      </c>
      <c r="AR9" t="str">
        <v>3.938</v>
      </c>
      <c r="AS9" t="str">
        <v>14:13:42</v>
      </c>
      <c r="AT9" t="str">
        <v>2025-12-10</v>
      </c>
      <c r="AU9" t="str">
        <v>-0.02</v>
      </c>
      <c r="AV9" t="str">
        <v>1</v>
      </c>
      <c r="AW9" t="str">
        <v>0.001</v>
      </c>
      <c r="AX9" t="str">
        <v>0.002</v>
      </c>
      <c r="AY9" t="str">
        <v>-9999.000</v>
      </c>
      <c r="AZ9" t="str">
        <v>0.609</v>
      </c>
      <c r="BA9" t="str">
        <v>-0.714</v>
      </c>
      <c r="BB9" t="str">
        <v>-9999.000</v>
      </c>
      <c r="BC9" t="str">
        <v>1</v>
      </c>
      <c r="BD9" t="str">
        <v>150</v>
      </c>
      <c r="BE9" t="str">
        <v>0.005</v>
      </c>
      <c r="BF9" t="str">
        <v>2.000000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0</v>
      </c>
      <c r="BO9" t="str">
        <v>mpf</v>
      </c>
      <c r="BP9" t="str">
        <v>7000</v>
      </c>
      <c r="BQ9" t="str">
        <v>500</v>
      </c>
      <c r="BR9" t="str">
        <v>5.000000</v>
      </c>
      <c r="BS9" t="str">
        <v>2.000000</v>
      </c>
      <c r="BT9" t="str">
        <v>300</v>
      </c>
      <c r="BU9" t="str">
        <v>300</v>
      </c>
      <c r="BV9" t="str">
        <v>300</v>
      </c>
      <c r="BW9" t="str">
        <v>91.455460</v>
      </c>
      <c r="BX9" t="str">
        <v>25</v>
      </c>
      <c r="BY9" t="str">
        <v>-0.012758</v>
      </c>
      <c r="BZ9" t="str">
        <v>91.298820</v>
      </c>
      <c r="CA9" t="str">
        <v>91.454407</v>
      </c>
      <c r="CB9" t="str">
        <v>-0.155586</v>
      </c>
      <c r="CC9" t="str">
        <v>2.428941</v>
      </c>
      <c r="CD9" t="str">
        <v>2.442852</v>
      </c>
      <c r="CE9" t="str">
        <v>1.655100</v>
      </c>
      <c r="CF9" t="str">
        <v>0.943405</v>
      </c>
      <c r="CG9" t="str">
        <v>0.301647</v>
      </c>
      <c r="CH9" t="str">
        <v>-0.022264</v>
      </c>
      <c r="CI9" t="str">
        <v>0.064557</v>
      </c>
      <c r="CJ9" t="str">
        <v>0.331955</v>
      </c>
      <c r="CK9" t="str">
        <v>86.017372</v>
      </c>
      <c r="CL9" t="str">
        <v>0.000235</v>
      </c>
      <c r="CM9" t="str">
        <v>2.388960</v>
      </c>
      <c r="CN9" t="str">
        <v>-0.000025</v>
      </c>
      <c r="CO9" t="str">
        <v>1.000000</v>
      </c>
      <c r="CP9" t="str">
        <v>2.402765</v>
      </c>
      <c r="CQ9" t="str">
        <v>-0.000034</v>
      </c>
      <c r="CR9" t="str">
        <v>1.000000</v>
      </c>
      <c r="CS9" t="str">
        <v>0.600816</v>
      </c>
      <c r="CT9" t="str">
        <v>0.600971</v>
      </c>
      <c r="CU9" t="str">
        <v>0.107301</v>
      </c>
      <c r="CV9" t="str">
        <v>0.000000</v>
      </c>
      <c r="CW9" t="str">
        <v>PSF-00438_20251210141525_579</v>
      </c>
      <c r="CX9" t="str">
        <v>PFA-00474</v>
      </c>
      <c r="CY9" t="str">
        <v>PSA-00486</v>
      </c>
      <c r="CZ9" t="str">
        <v>PSF-00438</v>
      </c>
      <c r="DA9" t="str">
        <v>RHS-00603</v>
      </c>
      <c r="DB9" t="str">
        <v>3.0.0</v>
      </c>
      <c r="DC9" t="str">
        <v>2025-03-10T14:27:16.709Z</v>
      </c>
    </row>
    <row r="10">
      <c r="A10" t="str">
        <v>7</v>
      </c>
      <c r="B10" t="str">
        <v>14:15:41</v>
      </c>
      <c r="C10" t="str">
        <v>2025-12-10</v>
      </c>
      <c r="D10" t="str">
        <v>TT25_psf</v>
      </c>
      <c r="E10" t="str">
        <v>eap</v>
      </c>
      <c r="F10" t="str">
        <v/>
      </c>
      <c r="G10" t="str">
        <v>2276_Tri_purple_blue</v>
      </c>
      <c r="H10" t="str">
        <v/>
      </c>
      <c r="I10" t="str">
        <v/>
      </c>
      <c r="J10" t="str">
        <f>1/((1/L10)-(1/K10))</f>
        <v>0.001752</v>
      </c>
      <c r="K10" t="str">
        <f>BH10+(BI10*AN10)+(BJ10*AN10*POWER(V10,2))+(BK10*AN10*V10)+(BL10*POWER(AN10,2))</f>
        <v>2.922110</v>
      </c>
      <c r="L10" t="str">
        <f>((M10/1000)*(1000-((T10+S10)/2)))/(T10-S10)</f>
        <v>0.001751</v>
      </c>
      <c r="M10" t="str">
        <f>(AN10*(S10-R10))/(100*U10*(1000-S10))*1000</f>
        <v>0.033894</v>
      </c>
      <c r="N10" t="str">
        <v>0.610914</v>
      </c>
      <c r="O10" t="str">
        <v>0.610051</v>
      </c>
      <c r="P10" t="str">
        <f>0.61365*EXP((17.502*AL10)/(240.97+AL10))</f>
        <v>2.343144</v>
      </c>
      <c r="Q10" t="str">
        <f>P10-N10</f>
        <v>1.732230</v>
      </c>
      <c r="R10" t="str">
        <v>6.707431</v>
      </c>
      <c r="S10" t="str">
        <v>6.716919</v>
      </c>
      <c r="T10" t="str">
        <f>(P10/AM10)*1000</f>
        <v>25.762571</v>
      </c>
      <c r="U10" t="str">
        <f>V10*BG10</f>
        <v>0.441786</v>
      </c>
      <c r="V10" t="str">
        <v>7.500000</v>
      </c>
      <c r="W10" t="str">
        <v>PSF-00438_20251210141541_073</v>
      </c>
      <c r="X10" t="str">
        <v>0.000000</v>
      </c>
      <c r="Y10" t="str">
        <v>0.000000</v>
      </c>
      <c r="Z10" t="str">
        <v>0.000000</v>
      </c>
      <c r="AA10" t="str">
        <v>83.936691</v>
      </c>
      <c r="AB10" t="str">
        <v>87.488960</v>
      </c>
      <c r="AC10" t="str">
        <v>0.040602</v>
      </c>
      <c r="AD10" t="str">
        <v>0.5</v>
      </c>
      <c r="AE10" t="str">
        <v>0.80</v>
      </c>
      <c r="AF10" t="str">
        <f>AC10*AD10*AE10*AQ10</f>
        <v>3.712289</v>
      </c>
      <c r="AG10" t="str">
        <v>1.000000</v>
      </c>
      <c r="AH10" t="str">
        <v>22.40</v>
      </c>
      <c r="AI10" t="str">
        <v>22.37</v>
      </c>
      <c r="AJ10" t="str">
        <v>22.45</v>
      </c>
      <c r="AK10" t="str">
        <v>19.98</v>
      </c>
      <c r="AL10" t="str">
        <f>(AK10-AJ10)*(AJ10*0+0)+AK10</f>
        <v>19.98</v>
      </c>
      <c r="AM10" t="str">
        <v>90.95</v>
      </c>
      <c r="AN10" t="str">
        <v>156.8</v>
      </c>
      <c r="AO10" t="str">
        <v>145.2</v>
      </c>
      <c r="AP10" t="str">
        <v>7.4</v>
      </c>
      <c r="AQ10" t="str">
        <v>229</v>
      </c>
      <c r="AR10" t="str">
        <v>3.937</v>
      </c>
      <c r="AS10" t="str">
        <v>14:13:42</v>
      </c>
      <c r="AT10" t="str">
        <v>2025-12-10</v>
      </c>
      <c r="AU10" t="str">
        <v>-0.02</v>
      </c>
      <c r="AV10" t="str">
        <v>1</v>
      </c>
      <c r="AW10" t="str">
        <v>0.001</v>
      </c>
      <c r="AX10" t="str">
        <v>0.003</v>
      </c>
      <c r="AY10" t="str">
        <v>-9999.000</v>
      </c>
      <c r="AZ10" t="str">
        <v>0.078</v>
      </c>
      <c r="BA10" t="str">
        <v>0.347</v>
      </c>
      <c r="BB10" t="str">
        <v>-9999.000</v>
      </c>
      <c r="BC10" t="str">
        <v>1</v>
      </c>
      <c r="BD10" t="str">
        <v>150</v>
      </c>
      <c r="BE10" t="str">
        <v>0.005</v>
      </c>
      <c r="BF10" t="str">
        <v>2.000000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0</v>
      </c>
      <c r="BO10" t="str">
        <v>mpf</v>
      </c>
      <c r="BP10" t="str">
        <v>7000</v>
      </c>
      <c r="BQ10" t="str">
        <v>500</v>
      </c>
      <c r="BR10" t="str">
        <v>5.000000</v>
      </c>
      <c r="BS10" t="str">
        <v>2.000000</v>
      </c>
      <c r="BT10" t="str">
        <v>300</v>
      </c>
      <c r="BU10" t="str">
        <v>300</v>
      </c>
      <c r="BV10" t="str">
        <v>300</v>
      </c>
      <c r="BW10" t="str">
        <v>87.337021</v>
      </c>
      <c r="BX10" t="str">
        <v>25</v>
      </c>
      <c r="BY10" t="str">
        <v>-0.117103</v>
      </c>
      <c r="BZ10" t="str">
        <v>87.139961</v>
      </c>
      <c r="CA10" t="str">
        <v>87.321564</v>
      </c>
      <c r="CB10" t="str">
        <v>-0.181602</v>
      </c>
      <c r="CC10" t="str">
        <v>2.428866</v>
      </c>
      <c r="CD10" t="str">
        <v>2.442823</v>
      </c>
      <c r="CE10" t="str">
        <v>1.655920</v>
      </c>
      <c r="CF10" t="str">
        <v>0.908948</v>
      </c>
      <c r="CG10" t="str">
        <v>0.302023</v>
      </c>
      <c r="CH10" t="str">
        <v>-0.026540</v>
      </c>
      <c r="CI10" t="str">
        <v>0.066788</v>
      </c>
      <c r="CJ10" t="str">
        <v>0.312920</v>
      </c>
      <c r="CK10" t="str">
        <v>83.936691</v>
      </c>
      <c r="CL10" t="str">
        <v>0.000238</v>
      </c>
      <c r="CM10" t="str">
        <v>2.388960</v>
      </c>
      <c r="CN10" t="str">
        <v>-0.000025</v>
      </c>
      <c r="CO10" t="str">
        <v>1.000000</v>
      </c>
      <c r="CP10" t="str">
        <v>2.402765</v>
      </c>
      <c r="CQ10" t="str">
        <v>-0.000034</v>
      </c>
      <c r="CR10" t="str">
        <v>1.000000</v>
      </c>
      <c r="CS10" t="str">
        <v>0.600816</v>
      </c>
      <c r="CT10" t="str">
        <v>0.600971</v>
      </c>
      <c r="CU10" t="str">
        <v>0.107301</v>
      </c>
      <c r="CV10" t="str">
        <v>0.000000</v>
      </c>
      <c r="CW10" t="str">
        <v>PSF-00438_20251210141541_073</v>
      </c>
      <c r="CX10" t="str">
        <v>PFA-00474</v>
      </c>
      <c r="CY10" t="str">
        <v>PSA-00486</v>
      </c>
      <c r="CZ10" t="str">
        <v>PSF-00438</v>
      </c>
      <c r="DA10" t="str">
        <v>RHS-00603</v>
      </c>
      <c r="DB10" t="str">
        <v>3.0.0</v>
      </c>
      <c r="DC10" t="str">
        <v>2025-03-10T14:27:16.709Z</v>
      </c>
    </row>
    <row r="11">
      <c r="A11" t="str">
        <v>8</v>
      </c>
      <c r="B11" t="str">
        <v>14:16:13</v>
      </c>
      <c r="C11" t="str">
        <v>2025-12-10</v>
      </c>
      <c r="D11" t="str">
        <v>TT25_psf</v>
      </c>
      <c r="E11" t="str">
        <v>eap</v>
      </c>
      <c r="F11" t="str">
        <v/>
      </c>
      <c r="G11" t="str">
        <v>2912_Tri_white_blue</v>
      </c>
      <c r="H11" t="str">
        <v/>
      </c>
      <c r="I11" t="str">
        <v/>
      </c>
      <c r="J11" t="str">
        <f>1/((1/L11)-(1/K11))</f>
        <v>0.008202</v>
      </c>
      <c r="K11" t="str">
        <f>BH11+(BI11*AN11)+(BJ11*AN11*POWER(V11,2))+(BK11*AN11*V11)+(BL11*POWER(AN11,2))</f>
        <v>2.920900</v>
      </c>
      <c r="L11" t="str">
        <f>((M11/1000)*(1000-((T11+S11)/2)))/(T11-S11)</f>
        <v>0.008179</v>
      </c>
      <c r="M11" t="str">
        <f>(AN11*(S11-R11))/(100*U11*(1000-S11))*1000</f>
        <v>0.163470</v>
      </c>
      <c r="N11" t="str">
        <v>0.607231</v>
      </c>
      <c r="O11" t="str">
        <v>0.603065</v>
      </c>
      <c r="P11" t="str">
        <f>0.61365*EXP((17.502*AL11)/(240.97+AL11))</f>
        <v>2.395015</v>
      </c>
      <c r="Q11" t="str">
        <f>P11-N11</f>
        <v>1.787784</v>
      </c>
      <c r="R11" t="str">
        <v>6.630968</v>
      </c>
      <c r="S11" t="str">
        <v>6.676776</v>
      </c>
      <c r="T11" t="str">
        <f>(P11/AM11)*1000</f>
        <v>26.334259</v>
      </c>
      <c r="U11" t="str">
        <f>V11*BG11</f>
        <v>0.441786</v>
      </c>
      <c r="V11" t="str">
        <v>7.500000</v>
      </c>
      <c r="W11" t="str">
        <v>PSF-00438_20251210141613_249</v>
      </c>
      <c r="X11" t="str">
        <v>0.000000</v>
      </c>
      <c r="Y11" t="str">
        <v>0.000000</v>
      </c>
      <c r="Z11" t="str">
        <v>0.000000</v>
      </c>
      <c r="AA11" t="str">
        <v>162.385590</v>
      </c>
      <c r="AB11" t="str">
        <v>287.794556</v>
      </c>
      <c r="AC11" t="str">
        <v>0.435759</v>
      </c>
      <c r="AD11" t="str">
        <v>0.5</v>
      </c>
      <c r="AE11" t="str">
        <v>0.80</v>
      </c>
      <c r="AF11" t="str">
        <f>AC11*AD11*AE11*AQ11</f>
        <v>37.338383</v>
      </c>
      <c r="AG11" t="str">
        <v>1.000000</v>
      </c>
      <c r="AH11" t="str">
        <v>22.38</v>
      </c>
      <c r="AI11" t="str">
        <v>22.22</v>
      </c>
      <c r="AJ11" t="str">
        <v>22.37</v>
      </c>
      <c r="AK11" t="str">
        <v>20.33</v>
      </c>
      <c r="AL11" t="str">
        <f>(AK11-AJ11)*(AJ11*0+0)+AK11</f>
        <v>20.33</v>
      </c>
      <c r="AM11" t="str">
        <v>90.95</v>
      </c>
      <c r="AN11" t="str">
        <v>156.6</v>
      </c>
      <c r="AO11" t="str">
        <v>158.7</v>
      </c>
      <c r="AP11" t="str">
        <v>-1.3</v>
      </c>
      <c r="AQ11" t="str">
        <v>214</v>
      </c>
      <c r="AR11" t="str">
        <v>3.905</v>
      </c>
      <c r="AS11" t="str">
        <v>14:13:42</v>
      </c>
      <c r="AT11" t="str">
        <v>2025-12-10</v>
      </c>
      <c r="AU11" t="str">
        <v>-0.02</v>
      </c>
      <c r="AV11" t="str">
        <v>1</v>
      </c>
      <c r="AW11" t="str">
        <v>-0.000</v>
      </c>
      <c r="AX11" t="str">
        <v>0.000</v>
      </c>
      <c r="AY11" t="str">
        <v>-9999.000</v>
      </c>
      <c r="AZ11" t="str">
        <v>-0.031</v>
      </c>
      <c r="BA11" t="str">
        <v>1.501</v>
      </c>
      <c r="BB11" t="str">
        <v>-9999.000</v>
      </c>
      <c r="BC11" t="str">
        <v>1</v>
      </c>
      <c r="BD11" t="str">
        <v>150</v>
      </c>
      <c r="BE11" t="str">
        <v>0.005</v>
      </c>
      <c r="BF11" t="str">
        <v>2.000000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0</v>
      </c>
      <c r="BO11" t="str">
        <v>mpf</v>
      </c>
      <c r="BP11" t="str">
        <v>7000</v>
      </c>
      <c r="BQ11" t="str">
        <v>500</v>
      </c>
      <c r="BR11" t="str">
        <v>5.000000</v>
      </c>
      <c r="BS11" t="str">
        <v>2.000000</v>
      </c>
      <c r="BT11" t="str">
        <v>300</v>
      </c>
      <c r="BU11" t="str">
        <v>300</v>
      </c>
      <c r="BV11" t="str">
        <v>300</v>
      </c>
      <c r="BW11" t="str">
        <v>282.331818</v>
      </c>
      <c r="BX11" t="str">
        <v>25</v>
      </c>
      <c r="BY11" t="str">
        <v>-3.754574</v>
      </c>
      <c r="BZ11" t="str">
        <v>281.787170</v>
      </c>
      <c r="CA11" t="str">
        <v>282.427429</v>
      </c>
      <c r="CB11" t="str">
        <v>-0.640259</v>
      </c>
      <c r="CC11" t="str">
        <v>2.428647</v>
      </c>
      <c r="CD11" t="str">
        <v>2.442793</v>
      </c>
      <c r="CE11" t="str">
        <v>1.654654</v>
      </c>
      <c r="CF11" t="str">
        <v>0.943106</v>
      </c>
      <c r="CG11" t="str">
        <v>0.302999</v>
      </c>
      <c r="CH11" t="str">
        <v>-0.021805</v>
      </c>
      <c r="CI11" t="str">
        <v>0.071510</v>
      </c>
      <c r="CJ11" t="str">
        <v>0.300002</v>
      </c>
      <c r="CK11" t="str">
        <v>162.385590</v>
      </c>
      <c r="CL11" t="str">
        <v>0.000238</v>
      </c>
      <c r="CM11" t="str">
        <v>2.388960</v>
      </c>
      <c r="CN11" t="str">
        <v>-0.000025</v>
      </c>
      <c r="CO11" t="str">
        <v>1.000000</v>
      </c>
      <c r="CP11" t="str">
        <v>2.402765</v>
      </c>
      <c r="CQ11" t="str">
        <v>-0.000034</v>
      </c>
      <c r="CR11" t="str">
        <v>1.000000</v>
      </c>
      <c r="CS11" t="str">
        <v>0.600816</v>
      </c>
      <c r="CT11" t="str">
        <v>0.600971</v>
      </c>
      <c r="CU11" t="str">
        <v>0.107301</v>
      </c>
      <c r="CV11" t="str">
        <v>0.000000</v>
      </c>
      <c r="CW11" t="str">
        <v>PSF-00438_20251210141613_249</v>
      </c>
      <c r="CX11" t="str">
        <v>PFA-00474</v>
      </c>
      <c r="CY11" t="str">
        <v>PSA-00486</v>
      </c>
      <c r="CZ11" t="str">
        <v>PSF-00438</v>
      </c>
      <c r="DA11" t="str">
        <v>RHS-00603</v>
      </c>
      <c r="DB11" t="str">
        <v>3.0.0</v>
      </c>
      <c r="DC11" t="str">
        <v>2025-03-10T14:27:16.709Z</v>
      </c>
    </row>
    <row r="12">
      <c r="A12" t="str">
        <v>9</v>
      </c>
      <c r="B12" t="str">
        <v>14:16:40</v>
      </c>
      <c r="C12" t="str">
        <v>2025-12-10</v>
      </c>
      <c r="D12" t="str">
        <v>TT25_psf</v>
      </c>
      <c r="E12" t="str">
        <v>eap</v>
      </c>
      <c r="F12" t="str">
        <v/>
      </c>
      <c r="G12" t="str">
        <v>7120_Tri_blue_blue</v>
      </c>
      <c r="H12" t="str">
        <v/>
      </c>
      <c r="I12" t="str">
        <v/>
      </c>
      <c r="J12" t="str">
        <f>1/((1/L12)-(1/K12))</f>
        <v>0.002327</v>
      </c>
      <c r="K12" t="str">
        <f>BH12+(BI12*AN12)+(BJ12*AN12*POWER(V12,2))+(BK12*AN12*V12)+(BL12*POWER(AN12,2))</f>
        <v>2.921353</v>
      </c>
      <c r="L12" t="str">
        <f>((M12/1000)*(1000-((T12+S12)/2)))/(T12-S12)</f>
        <v>0.002325</v>
      </c>
      <c r="M12" t="str">
        <f>(AN12*(S12-R12))/(100*U12*(1000-S12))*1000</f>
        <v>0.046333</v>
      </c>
      <c r="N12" t="str">
        <v>0.587341</v>
      </c>
      <c r="O12" t="str">
        <v>0.586160</v>
      </c>
      <c r="P12" t="str">
        <f>0.61365*EXP((17.502*AL12)/(240.97+AL12))</f>
        <v>2.370188</v>
      </c>
      <c r="Q12" t="str">
        <f>P12-N12</f>
        <v>1.782847</v>
      </c>
      <c r="R12" t="str">
        <v>6.444986</v>
      </c>
      <c r="S12" t="str">
        <v>6.457968</v>
      </c>
      <c r="T12" t="str">
        <f>(P12/AM12)*1000</f>
        <v>26.060841</v>
      </c>
      <c r="U12" t="str">
        <f>V12*BG12</f>
        <v>0.441786</v>
      </c>
      <c r="V12" t="str">
        <v>7.500000</v>
      </c>
      <c r="W12" t="str">
        <v>PSF-00438_20251210141640_11a</v>
      </c>
      <c r="X12" t="str">
        <v>0.000000</v>
      </c>
      <c r="Y12" t="str">
        <v>0.000000</v>
      </c>
      <c r="Z12" t="str">
        <v>0.000000</v>
      </c>
      <c r="AA12" t="str">
        <v>143.405563</v>
      </c>
      <c r="AB12" t="str">
        <v>349.320160</v>
      </c>
      <c r="AC12" t="str">
        <v>0.589472</v>
      </c>
      <c r="AD12" t="str">
        <v>0.5</v>
      </c>
      <c r="AE12" t="str">
        <v>0.80</v>
      </c>
      <c r="AF12" t="str">
        <f>AC12*AD12*AE12*AQ12</f>
        <v>20.074097</v>
      </c>
      <c r="AG12" t="str">
        <v>1.000000</v>
      </c>
      <c r="AH12" t="str">
        <v>21.74</v>
      </c>
      <c r="AI12" t="str">
        <v>21.69</v>
      </c>
      <c r="AJ12" t="str">
        <v>22.30</v>
      </c>
      <c r="AK12" t="str">
        <v>20.16</v>
      </c>
      <c r="AL12" t="str">
        <f>(AK12-AJ12)*(AJ12*0+0)+AK12</f>
        <v>20.16</v>
      </c>
      <c r="AM12" t="str">
        <v>90.95</v>
      </c>
      <c r="AN12" t="str">
        <v>156.7</v>
      </c>
      <c r="AO12" t="str">
        <v>158.6</v>
      </c>
      <c r="AP12" t="str">
        <v>-1.3</v>
      </c>
      <c r="AQ12" t="str">
        <v>85</v>
      </c>
      <c r="AR12" t="str">
        <v>3.935</v>
      </c>
      <c r="AS12" t="str">
        <v>14:13:42</v>
      </c>
      <c r="AT12" t="str">
        <v>2025-12-10</v>
      </c>
      <c r="AU12" t="str">
        <v>-0.02</v>
      </c>
      <c r="AV12" t="str">
        <v>1</v>
      </c>
      <c r="AW12" t="str">
        <v>0.001</v>
      </c>
      <c r="AX12" t="str">
        <v>0.001</v>
      </c>
      <c r="AY12" t="str">
        <v>-9999.000</v>
      </c>
      <c r="AZ12" t="str">
        <v>0.741</v>
      </c>
      <c r="BA12" t="str">
        <v>1.973</v>
      </c>
      <c r="BB12" t="str">
        <v>-9999.000</v>
      </c>
      <c r="BC12" t="str">
        <v>1</v>
      </c>
      <c r="BD12" t="str">
        <v>150</v>
      </c>
      <c r="BE12" t="str">
        <v>0.005</v>
      </c>
      <c r="BF12" t="str">
        <v>2.000000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0</v>
      </c>
      <c r="BO12" t="str">
        <v>mpf</v>
      </c>
      <c r="BP12" t="str">
        <v>7000</v>
      </c>
      <c r="BQ12" t="str">
        <v>500</v>
      </c>
      <c r="BR12" t="str">
        <v>5.000000</v>
      </c>
      <c r="BS12" t="str">
        <v>2.000000</v>
      </c>
      <c r="BT12" t="str">
        <v>300</v>
      </c>
      <c r="BU12" t="str">
        <v>300</v>
      </c>
      <c r="BV12" t="str">
        <v>300</v>
      </c>
      <c r="BW12" t="str">
        <v>349.320160</v>
      </c>
      <c r="BX12" t="str">
        <v>25</v>
      </c>
      <c r="BY12" t="str">
        <v>-0.623332</v>
      </c>
      <c r="BZ12" t="str">
        <v>351.445923</v>
      </c>
      <c r="CA12" t="str">
        <v>348.429108</v>
      </c>
      <c r="CB12" t="str">
        <v>3.016815</v>
      </c>
      <c r="CC12" t="str">
        <v>2.427828</v>
      </c>
      <c r="CD12" t="str">
        <v>2.441797</v>
      </c>
      <c r="CE12" t="str">
        <v>1.655128</v>
      </c>
      <c r="CF12" t="str">
        <v>0.943005</v>
      </c>
      <c r="CG12" t="str">
        <v>0.303861</v>
      </c>
      <c r="CH12" t="str">
        <v>-0.022846</v>
      </c>
      <c r="CI12" t="str">
        <v>0.075396</v>
      </c>
      <c r="CJ12" t="str">
        <v>0.183887</v>
      </c>
      <c r="CK12" t="str">
        <v>143.405563</v>
      </c>
      <c r="CL12" t="str">
        <v>0.000237</v>
      </c>
      <c r="CM12" t="str">
        <v>2.388960</v>
      </c>
      <c r="CN12" t="str">
        <v>-0.000025</v>
      </c>
      <c r="CO12" t="str">
        <v>1.000000</v>
      </c>
      <c r="CP12" t="str">
        <v>2.402765</v>
      </c>
      <c r="CQ12" t="str">
        <v>-0.000034</v>
      </c>
      <c r="CR12" t="str">
        <v>1.000000</v>
      </c>
      <c r="CS12" t="str">
        <v>0.600816</v>
      </c>
      <c r="CT12" t="str">
        <v>0.600971</v>
      </c>
      <c r="CU12" t="str">
        <v>0.107301</v>
      </c>
      <c r="CV12" t="str">
        <v>0.000000</v>
      </c>
      <c r="CW12" t="str">
        <v>PSF-00438_20251210141640_11a</v>
      </c>
      <c r="CX12" t="str">
        <v>PFA-00474</v>
      </c>
      <c r="CY12" t="str">
        <v>PSA-00486</v>
      </c>
      <c r="CZ12" t="str">
        <v>PSF-00438</v>
      </c>
      <c r="DA12" t="str">
        <v>RHS-00603</v>
      </c>
      <c r="DB12" t="str">
        <v>3.0.0</v>
      </c>
      <c r="DC12" t="str">
        <v>2025-03-10T14:27:16.709Z</v>
      </c>
    </row>
    <row r="13">
      <c r="A13" t="str">
        <v>10</v>
      </c>
      <c r="B13" t="str">
        <v>14:17:05</v>
      </c>
      <c r="C13" t="str">
        <v>2025-12-10</v>
      </c>
      <c r="D13" t="str">
        <v>TT25_psf</v>
      </c>
      <c r="E13" t="str">
        <v>eap</v>
      </c>
      <c r="F13" t="str">
        <v/>
      </c>
      <c r="G13" t="str">
        <v>3379_Tri_bl2D_blue</v>
      </c>
      <c r="H13" t="str">
        <v/>
      </c>
      <c r="I13" t="str">
        <v/>
      </c>
      <c r="J13" t="str">
        <f>1/((1/L13)-(1/K13))</f>
        <v>0.017800</v>
      </c>
      <c r="K13" t="str">
        <f>BH13+(BI13*AN13)+(BJ13*AN13*POWER(V13,2))+(BK13*AN13*V13)+(BL13*POWER(AN13,2))</f>
        <v>2.921421</v>
      </c>
      <c r="L13" t="str">
        <f>((M13/1000)*(1000-((T13+S13)/2)))/(T13-S13)</f>
        <v>0.017692</v>
      </c>
      <c r="M13" t="str">
        <f>(AN13*(S13-R13))/(100*U13*(1000-S13))*1000</f>
        <v>0.339703</v>
      </c>
      <c r="N13" t="str">
        <v>0.588475</v>
      </c>
      <c r="O13" t="str">
        <v>0.579820</v>
      </c>
      <c r="P13" t="str">
        <f>0.61365*EXP((17.502*AL13)/(240.97+AL13))</f>
        <v>2.306825</v>
      </c>
      <c r="Q13" t="str">
        <f>P13-N13</f>
        <v>1.718350</v>
      </c>
      <c r="R13" t="str">
        <v>6.375620</v>
      </c>
      <c r="S13" t="str">
        <v>6.470793</v>
      </c>
      <c r="T13" t="str">
        <f>(P13/AM13)*1000</f>
        <v>25.365549</v>
      </c>
      <c r="U13" t="str">
        <f>V13*BG13</f>
        <v>0.441786</v>
      </c>
      <c r="V13" t="str">
        <v>7.500000</v>
      </c>
      <c r="W13" t="str">
        <v>PSF-00438_20251210141705_e85</v>
      </c>
      <c r="X13" t="str">
        <v>0.000000</v>
      </c>
      <c r="Y13" t="str">
        <v>0.000000</v>
      </c>
      <c r="Z13" t="str">
        <v>0.000000</v>
      </c>
      <c r="AA13" t="str">
        <v>125.486969</v>
      </c>
      <c r="AB13" t="str">
        <v>382.796570</v>
      </c>
      <c r="AC13" t="str">
        <v>0.672184</v>
      </c>
      <c r="AD13" t="str">
        <v>0.5</v>
      </c>
      <c r="AE13" t="str">
        <v>0.80</v>
      </c>
      <c r="AF13" t="str">
        <f>AC13*AD13*AE13*AQ13</f>
        <v>21.933878</v>
      </c>
      <c r="AG13" t="str">
        <v>1.000000</v>
      </c>
      <c r="AH13" t="str">
        <v>21.88</v>
      </c>
      <c r="AI13" t="str">
        <v>21.56</v>
      </c>
      <c r="AJ13" t="str">
        <v>22.22</v>
      </c>
      <c r="AK13" t="str">
        <v>19.72</v>
      </c>
      <c r="AL13" t="str">
        <f>(AK13-AJ13)*(AJ13*0+0)+AK13</f>
        <v>19.72</v>
      </c>
      <c r="AM13" t="str">
        <v>90.94</v>
      </c>
      <c r="AN13" t="str">
        <v>156.7</v>
      </c>
      <c r="AO13" t="str">
        <v>158.7</v>
      </c>
      <c r="AP13" t="str">
        <v>-1.3</v>
      </c>
      <c r="AQ13" t="str">
        <v>82</v>
      </c>
      <c r="AR13" t="str">
        <v>3.934</v>
      </c>
      <c r="AS13" t="str">
        <v>14:13:42</v>
      </c>
      <c r="AT13" t="str">
        <v>2025-12-10</v>
      </c>
      <c r="AU13" t="str">
        <v>-0.02</v>
      </c>
      <c r="AV13" t="str">
        <v>1</v>
      </c>
      <c r="AW13" t="str">
        <v>0.001</v>
      </c>
      <c r="AX13" t="str">
        <v>-0.000</v>
      </c>
      <c r="AY13" t="str">
        <v>-9999.000</v>
      </c>
      <c r="AZ13" t="str">
        <v>0.379</v>
      </c>
      <c r="BA13" t="str">
        <v>0.132</v>
      </c>
      <c r="BB13" t="str">
        <v>-9999.000</v>
      </c>
      <c r="BC13" t="str">
        <v>1</v>
      </c>
      <c r="BD13" t="str">
        <v>150</v>
      </c>
      <c r="BE13" t="str">
        <v>0.005</v>
      </c>
      <c r="BF13" t="str">
        <v>2.000000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0</v>
      </c>
      <c r="BO13" t="str">
        <v>mpf</v>
      </c>
      <c r="BP13" t="str">
        <v>7000</v>
      </c>
      <c r="BQ13" t="str">
        <v>500</v>
      </c>
      <c r="BR13" t="str">
        <v>5.000000</v>
      </c>
      <c r="BS13" t="str">
        <v>2.000000</v>
      </c>
      <c r="BT13" t="str">
        <v>300</v>
      </c>
      <c r="BU13" t="str">
        <v>300</v>
      </c>
      <c r="BV13" t="str">
        <v>300</v>
      </c>
      <c r="BW13" t="str">
        <v>379.068024</v>
      </c>
      <c r="BX13" t="str">
        <v>25</v>
      </c>
      <c r="BY13" t="str">
        <v>-2.489684</v>
      </c>
      <c r="BZ13" t="str">
        <v>379.563690</v>
      </c>
      <c r="CA13" t="str">
        <v>379.237579</v>
      </c>
      <c r="CB13" t="str">
        <v>0.326111</v>
      </c>
      <c r="CC13" t="str">
        <v>2.427626</v>
      </c>
      <c r="CD13" t="str">
        <v>2.442033</v>
      </c>
      <c r="CE13" t="str">
        <v>1.655198</v>
      </c>
      <c r="CF13" t="str">
        <v>0.943262</v>
      </c>
      <c r="CG13" t="str">
        <v>0.304789</v>
      </c>
      <c r="CH13" t="str">
        <v>-0.026734</v>
      </c>
      <c r="CI13" t="str">
        <v>0.078971</v>
      </c>
      <c r="CJ13" t="str">
        <v>0.180685</v>
      </c>
      <c r="CK13" t="str">
        <v>125.486969</v>
      </c>
      <c r="CL13" t="str">
        <v>0.000237</v>
      </c>
      <c r="CM13" t="str">
        <v>2.388960</v>
      </c>
      <c r="CN13" t="str">
        <v>-0.000025</v>
      </c>
      <c r="CO13" t="str">
        <v>1.000000</v>
      </c>
      <c r="CP13" t="str">
        <v>2.402765</v>
      </c>
      <c r="CQ13" t="str">
        <v>-0.000034</v>
      </c>
      <c r="CR13" t="str">
        <v>1.000000</v>
      </c>
      <c r="CS13" t="str">
        <v>0.600816</v>
      </c>
      <c r="CT13" t="str">
        <v>0.600971</v>
      </c>
      <c r="CU13" t="str">
        <v>0.107301</v>
      </c>
      <c r="CV13" t="str">
        <v>0.000000</v>
      </c>
      <c r="CW13" t="str">
        <v>PSF-00438_20251210141705_e85</v>
      </c>
      <c r="CX13" t="str">
        <v>PFA-00474</v>
      </c>
      <c r="CY13" t="str">
        <v>PSA-00486</v>
      </c>
      <c r="CZ13" t="str">
        <v>PSF-00438</v>
      </c>
      <c r="DA13" t="str">
        <v>RHS-00603</v>
      </c>
      <c r="DB13" t="str">
        <v>3.0.0</v>
      </c>
      <c r="DC13" t="str">
        <v>2025-03-10T14:27:16.709Z</v>
      </c>
    </row>
    <row r="14">
      <c r="A14" t="str">
        <v>11</v>
      </c>
      <c r="B14" t="str">
        <v>14:17:26</v>
      </c>
      <c r="C14" t="str">
        <v>2025-12-10</v>
      </c>
      <c r="D14" t="str">
        <v>TT25_psf</v>
      </c>
      <c r="E14" t="str">
        <v>eap</v>
      </c>
      <c r="F14" t="str">
        <v/>
      </c>
      <c r="G14" t="str">
        <v>5714_Tri_orange_blue</v>
      </c>
      <c r="H14" t="str">
        <v/>
      </c>
      <c r="I14" t="str">
        <v/>
      </c>
      <c r="J14" t="str">
        <f>1/((1/L14)-(1/K14))</f>
        <v>-0.001691</v>
      </c>
      <c r="K14" t="str">
        <f>BH14+(BI14*AN14)+(BJ14*AN14*POWER(V14,2))+(BK14*AN14*V14)+(BL14*POWER(AN14,2))</f>
        <v>2.921398</v>
      </c>
      <c r="L14" t="str">
        <f>((M14/1000)*(1000-((T14+S14)/2)))/(T14-S14)</f>
        <v>-0.001692</v>
      </c>
      <c r="M14" t="str">
        <f>(AN14*(S14-R14))/(100*U14*(1000-S14))*1000</f>
        <v>-0.031052</v>
      </c>
      <c r="N14" t="str">
        <v>0.572560</v>
      </c>
      <c r="O14" t="str">
        <v>0.573351</v>
      </c>
      <c r="P14" t="str">
        <f>0.61365*EXP((17.502*AL14)/(240.97+AL14))</f>
        <v>2.215871</v>
      </c>
      <c r="Q14" t="str">
        <f>P14-N14</f>
        <v>1.643311</v>
      </c>
      <c r="R14" t="str">
        <v>6.304804</v>
      </c>
      <c r="S14" t="str">
        <v>6.296103</v>
      </c>
      <c r="T14" t="str">
        <f>(P14/AM14)*1000</f>
        <v>24.366632</v>
      </c>
      <c r="U14" t="str">
        <f>V14*BG14</f>
        <v>0.441786</v>
      </c>
      <c r="V14" t="str">
        <v>7.500000</v>
      </c>
      <c r="W14" t="str">
        <v>PSF-00438_20251210141726_b77</v>
      </c>
      <c r="X14" t="str">
        <v>0.000000</v>
      </c>
      <c r="Y14" t="str">
        <v>0.000000</v>
      </c>
      <c r="Z14" t="str">
        <v>0.000000</v>
      </c>
      <c r="AA14" t="str">
        <v>100.313187</v>
      </c>
      <c r="AB14" t="str">
        <v>131.731476</v>
      </c>
      <c r="AC14" t="str">
        <v>0.238503</v>
      </c>
      <c r="AD14" t="str">
        <v>0.5</v>
      </c>
      <c r="AE14" t="str">
        <v>0.80</v>
      </c>
      <c r="AF14" t="str">
        <f>AC14*AD14*AE14*AQ14</f>
        <v>11.720232</v>
      </c>
      <c r="AG14" t="str">
        <v>1.000000</v>
      </c>
      <c r="AH14" t="str">
        <v>21.38</v>
      </c>
      <c r="AI14" t="str">
        <v>21.41</v>
      </c>
      <c r="AJ14" t="str">
        <v>22.15</v>
      </c>
      <c r="AK14" t="str">
        <v>19.08</v>
      </c>
      <c r="AL14" t="str">
        <f>(AK14-AJ14)*(AJ14*0+0)+AK14</f>
        <v>19.08</v>
      </c>
      <c r="AM14" t="str">
        <v>90.94</v>
      </c>
      <c r="AN14" t="str">
        <v>156.7</v>
      </c>
      <c r="AO14" t="str">
        <v>158.7</v>
      </c>
      <c r="AP14" t="str">
        <v>-1.3</v>
      </c>
      <c r="AQ14" t="str">
        <v>123</v>
      </c>
      <c r="AR14" t="str">
        <v>3.934</v>
      </c>
      <c r="AS14" t="str">
        <v>14:13:42</v>
      </c>
      <c r="AT14" t="str">
        <v>2025-12-10</v>
      </c>
      <c r="AU14" t="str">
        <v>-0.02</v>
      </c>
      <c r="AV14" t="str">
        <v>1</v>
      </c>
      <c r="AW14" t="str">
        <v>-0.001</v>
      </c>
      <c r="AX14" t="str">
        <v>-0.001</v>
      </c>
      <c r="AY14" t="str">
        <v>-9999.000</v>
      </c>
      <c r="AZ14" t="str">
        <v>-0.074</v>
      </c>
      <c r="BA14" t="str">
        <v>-0.035</v>
      </c>
      <c r="BB14" t="str">
        <v>-9999.000</v>
      </c>
      <c r="BC14" t="str">
        <v>1</v>
      </c>
      <c r="BD14" t="str">
        <v>150</v>
      </c>
      <c r="BE14" t="str">
        <v>0.005</v>
      </c>
      <c r="BF14" t="str">
        <v>2.000000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0</v>
      </c>
      <c r="BO14" t="str">
        <v>mpf</v>
      </c>
      <c r="BP14" t="str">
        <v>7000</v>
      </c>
      <c r="BQ14" t="str">
        <v>500</v>
      </c>
      <c r="BR14" t="str">
        <v>5.000000</v>
      </c>
      <c r="BS14" t="str">
        <v>2.000000</v>
      </c>
      <c r="BT14" t="str">
        <v>300</v>
      </c>
      <c r="BU14" t="str">
        <v>300</v>
      </c>
      <c r="BV14" t="str">
        <v>300</v>
      </c>
      <c r="BW14" t="str">
        <v>131.367798</v>
      </c>
      <c r="BX14" t="str">
        <v>25</v>
      </c>
      <c r="BY14" t="str">
        <v>-0.199576</v>
      </c>
      <c r="BZ14" t="str">
        <v>131.523010</v>
      </c>
      <c r="CA14" t="str">
        <v>131.446182</v>
      </c>
      <c r="CB14" t="str">
        <v>0.076828</v>
      </c>
      <c r="CC14" t="str">
        <v>2.427406</v>
      </c>
      <c r="CD14" t="str">
        <v>2.441256</v>
      </c>
      <c r="CE14" t="str">
        <v>1.655174</v>
      </c>
      <c r="CF14" t="str">
        <v>0.943143</v>
      </c>
      <c r="CG14" t="str">
        <v>0.305675</v>
      </c>
      <c r="CH14" t="str">
        <v>-0.032889</v>
      </c>
      <c r="CI14" t="str">
        <v>0.081757</v>
      </c>
      <c r="CJ14" t="str">
        <v>0.217815</v>
      </c>
      <c r="CK14" t="str">
        <v>100.313187</v>
      </c>
      <c r="CL14" t="str">
        <v>0.000238</v>
      </c>
      <c r="CM14" t="str">
        <v>2.388960</v>
      </c>
      <c r="CN14" t="str">
        <v>-0.000025</v>
      </c>
      <c r="CO14" t="str">
        <v>1.000000</v>
      </c>
      <c r="CP14" t="str">
        <v>2.402765</v>
      </c>
      <c r="CQ14" t="str">
        <v>-0.000034</v>
      </c>
      <c r="CR14" t="str">
        <v>1.000000</v>
      </c>
      <c r="CS14" t="str">
        <v>0.600816</v>
      </c>
      <c r="CT14" t="str">
        <v>0.600971</v>
      </c>
      <c r="CU14" t="str">
        <v>0.107301</v>
      </c>
      <c r="CV14" t="str">
        <v>0.000000</v>
      </c>
      <c r="CW14" t="str">
        <v>PSF-00438_20251210141726_b77</v>
      </c>
      <c r="CX14" t="str">
        <v>PFA-00474</v>
      </c>
      <c r="CY14" t="str">
        <v>PSA-00486</v>
      </c>
      <c r="CZ14" t="str">
        <v>PSF-00438</v>
      </c>
      <c r="DA14" t="str">
        <v>RHS-00603</v>
      </c>
      <c r="DB14" t="str">
        <v>3.0.0</v>
      </c>
      <c r="DC14" t="str">
        <v>2025-03-10T14:27:16.709Z</v>
      </c>
    </row>
    <row r="15">
      <c r="A15" t="str">
        <v>12</v>
      </c>
      <c r="B15" t="str">
        <v>14:17:46</v>
      </c>
      <c r="C15" t="str">
        <v>2025-12-10</v>
      </c>
      <c r="D15" t="str">
        <v>TT25_psf</v>
      </c>
      <c r="E15" t="str">
        <v>eap</v>
      </c>
      <c r="F15" t="str">
        <v/>
      </c>
      <c r="G15" t="str">
        <v>4760_Tri_pink_blue</v>
      </c>
      <c r="H15" t="str">
        <v/>
      </c>
      <c r="I15" t="str">
        <v/>
      </c>
      <c r="J15" t="str">
        <f>1/((1/L15)-(1/K15))</f>
        <v>0.000375</v>
      </c>
      <c r="K15" t="str">
        <f>BH15+(BI15*AN15)+(BJ15*AN15*POWER(V15,2))+(BK15*AN15*V15)+(BL15*POWER(AN15,2))</f>
        <v>2.922540</v>
      </c>
      <c r="L15" t="str">
        <f>((M15/1000)*(1000-((T15+S15)/2)))/(T15-S15)</f>
        <v>0.000375</v>
      </c>
      <c r="M15" t="str">
        <f>(AN15*(S15-R15))/(100*U15*(1000-S15))*1000</f>
        <v>0.006869</v>
      </c>
      <c r="N15" t="str">
        <v>0.565837</v>
      </c>
      <c r="O15" t="str">
        <v>0.565662</v>
      </c>
      <c r="P15" t="str">
        <f>0.61365*EXP((17.502*AL15)/(240.97+AL15))</f>
        <v>2.207467</v>
      </c>
      <c r="Q15" t="str">
        <f>P15-N15</f>
        <v>1.641630</v>
      </c>
      <c r="R15" t="str">
        <v>6.220134</v>
      </c>
      <c r="S15" t="str">
        <v>6.222058</v>
      </c>
      <c r="T15" t="str">
        <f>(P15/AM15)*1000</f>
        <v>24.273750</v>
      </c>
      <c r="U15" t="str">
        <f>V15*BG15</f>
        <v>0.441786</v>
      </c>
      <c r="V15" t="str">
        <v>7.500000</v>
      </c>
      <c r="W15" t="str">
        <v>PSF-00438_20251210141746_ddb</v>
      </c>
      <c r="X15" t="str">
        <v>0.000000</v>
      </c>
      <c r="Y15" t="str">
        <v>0.000000</v>
      </c>
      <c r="Z15" t="str">
        <v>0.000000</v>
      </c>
      <c r="AA15" t="str">
        <v>82.636711</v>
      </c>
      <c r="AB15" t="str">
        <v>86.592247</v>
      </c>
      <c r="AC15" t="str">
        <v>0.045680</v>
      </c>
      <c r="AD15" t="str">
        <v>0.5</v>
      </c>
      <c r="AE15" t="str">
        <v>0.80</v>
      </c>
      <c r="AF15" t="str">
        <f>AC15*AD15*AE15*AQ15</f>
        <v>3.270112</v>
      </c>
      <c r="AG15" t="str">
        <v>1.000000</v>
      </c>
      <c r="AH15" t="str">
        <v>21.23</v>
      </c>
      <c r="AI15" t="str">
        <v>21.22</v>
      </c>
      <c r="AJ15" t="str">
        <v>22.07</v>
      </c>
      <c r="AK15" t="str">
        <v>19.02</v>
      </c>
      <c r="AL15" t="str">
        <f>(AK15-AJ15)*(AJ15*0+0)+AK15</f>
        <v>19.02</v>
      </c>
      <c r="AM15" t="str">
        <v>90.94</v>
      </c>
      <c r="AN15" t="str">
        <v>156.8</v>
      </c>
      <c r="AO15" t="str">
        <v>158.7</v>
      </c>
      <c r="AP15" t="str">
        <v>-1.2</v>
      </c>
      <c r="AQ15" t="str">
        <v>179</v>
      </c>
      <c r="AR15" t="str">
        <v>3.933</v>
      </c>
      <c r="AS15" t="str">
        <v>14:13:42</v>
      </c>
      <c r="AT15" t="str">
        <v>2025-12-10</v>
      </c>
      <c r="AU15" t="str">
        <v>-0.02</v>
      </c>
      <c r="AV15" t="str">
        <v>1</v>
      </c>
      <c r="AW15" t="str">
        <v>0.001</v>
      </c>
      <c r="AX15" t="str">
        <v>0.000</v>
      </c>
      <c r="AY15" t="str">
        <v>-9999.000</v>
      </c>
      <c r="AZ15" t="str">
        <v>-0.390</v>
      </c>
      <c r="BA15" t="str">
        <v>-0.303</v>
      </c>
      <c r="BB15" t="str">
        <v>-9999.000</v>
      </c>
      <c r="BC15" t="str">
        <v>1</v>
      </c>
      <c r="BD15" t="str">
        <v>150</v>
      </c>
      <c r="BE15" t="str">
        <v>0.005</v>
      </c>
      <c r="BF15" t="str">
        <v>2.000000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0</v>
      </c>
      <c r="BO15" t="str">
        <v>mpf</v>
      </c>
      <c r="BP15" t="str">
        <v>7000</v>
      </c>
      <c r="BQ15" t="str">
        <v>500</v>
      </c>
      <c r="BR15" t="str">
        <v>5.000000</v>
      </c>
      <c r="BS15" t="str">
        <v>2.000000</v>
      </c>
      <c r="BT15" t="str">
        <v>300</v>
      </c>
      <c r="BU15" t="str">
        <v>300</v>
      </c>
      <c r="BV15" t="str">
        <v>300</v>
      </c>
      <c r="BW15" t="str">
        <v>86.410049</v>
      </c>
      <c r="BX15" t="str">
        <v>25</v>
      </c>
      <c r="BY15" t="str">
        <v>-0.162668</v>
      </c>
      <c r="BZ15" t="str">
        <v>86.123230</v>
      </c>
      <c r="CA15" t="str">
        <v>86.359718</v>
      </c>
      <c r="CB15" t="str">
        <v>-0.236488</v>
      </c>
      <c r="CC15" t="str">
        <v>2.427112</v>
      </c>
      <c r="CD15" t="str">
        <v>2.441017</v>
      </c>
      <c r="CE15" t="str">
        <v>1.656370</v>
      </c>
      <c r="CF15" t="str">
        <v>0.943102</v>
      </c>
      <c r="CG15" t="str">
        <v>0.306574</v>
      </c>
      <c r="CH15" t="str">
        <v>-0.032729</v>
      </c>
      <c r="CI15" t="str">
        <v>0.084477</v>
      </c>
      <c r="CJ15" t="str">
        <v>0.268295</v>
      </c>
      <c r="CK15" t="str">
        <v>82.636711</v>
      </c>
      <c r="CL15" t="str">
        <v>0.000234</v>
      </c>
      <c r="CM15" t="str">
        <v>2.388960</v>
      </c>
      <c r="CN15" t="str">
        <v>-0.000025</v>
      </c>
      <c r="CO15" t="str">
        <v>1.000000</v>
      </c>
      <c r="CP15" t="str">
        <v>2.402765</v>
      </c>
      <c r="CQ15" t="str">
        <v>-0.000034</v>
      </c>
      <c r="CR15" t="str">
        <v>1.000000</v>
      </c>
      <c r="CS15" t="str">
        <v>0.600816</v>
      </c>
      <c r="CT15" t="str">
        <v>0.600971</v>
      </c>
      <c r="CU15" t="str">
        <v>0.107301</v>
      </c>
      <c r="CV15" t="str">
        <v>0.000000</v>
      </c>
      <c r="CW15" t="str">
        <v>PSF-00438_20251210141746_ddb</v>
      </c>
      <c r="CX15" t="str">
        <v>PFA-00474</v>
      </c>
      <c r="CY15" t="str">
        <v>PSA-00486</v>
      </c>
      <c r="CZ15" t="str">
        <v>PSF-00438</v>
      </c>
      <c r="DA15" t="str">
        <v>RHS-00603</v>
      </c>
      <c r="DB15" t="str">
        <v>3.0.0</v>
      </c>
      <c r="DC15" t="str">
        <v>2025-03-10T14:27:16.709Z</v>
      </c>
    </row>
    <row r="16">
      <c r="A16" t="str">
        <v>13</v>
      </c>
      <c r="B16" t="str">
        <v>14:18:04</v>
      </c>
      <c r="C16" t="str">
        <v>2025-12-10</v>
      </c>
      <c r="D16" t="str">
        <v>TT25_psf</v>
      </c>
      <c r="E16" t="str">
        <v>eap</v>
      </c>
      <c r="F16" t="str">
        <v/>
      </c>
      <c r="G16" t="str">
        <v>5381_Tri_white_blue</v>
      </c>
      <c r="H16" t="str">
        <v/>
      </c>
      <c r="I16" t="str">
        <v/>
      </c>
      <c r="J16" t="str">
        <f>1/((1/L16)-(1/K16))</f>
        <v>0.024104</v>
      </c>
      <c r="K16" t="str">
        <f>BH16+(BI16*AN16)+(BJ16*AN16*POWER(V16,2))+(BK16*AN16*V16)+(BL16*POWER(AN16,2))</f>
        <v>2.921492</v>
      </c>
      <c r="L16" t="str">
        <f>((M16/1000)*(1000-((T16+S16)/2)))/(T16-S16)</f>
        <v>0.023907</v>
      </c>
      <c r="M16" t="str">
        <f>(AN16*(S16-R16))/(100*U16*(1000-S16))*1000</f>
        <v>0.427469</v>
      </c>
      <c r="N16" t="str">
        <v>0.593151</v>
      </c>
      <c r="O16" t="str">
        <v>0.582262</v>
      </c>
      <c r="P16" t="str">
        <f>0.61365*EXP((17.502*AL16)/(240.97+AL16))</f>
        <v>2.194132</v>
      </c>
      <c r="Q16" t="str">
        <f>P16-N16</f>
        <v>1.600981</v>
      </c>
      <c r="R16" t="str">
        <v>6.403304</v>
      </c>
      <c r="S16" t="str">
        <v>6.523053</v>
      </c>
      <c r="T16" t="str">
        <f>(P16/AM16)*1000</f>
        <v>24.129505</v>
      </c>
      <c r="U16" t="str">
        <f>V16*BG16</f>
        <v>0.441786</v>
      </c>
      <c r="V16" t="str">
        <v>7.500000</v>
      </c>
      <c r="W16" t="str">
        <v>PSF-00438_20251210141804_b10</v>
      </c>
      <c r="X16" t="str">
        <v>0.000000</v>
      </c>
      <c r="Y16" t="str">
        <v>0.000000</v>
      </c>
      <c r="Z16" t="str">
        <v>0.000000</v>
      </c>
      <c r="AA16" t="str">
        <v>127.116325</v>
      </c>
      <c r="AB16" t="str">
        <v>276.237946</v>
      </c>
      <c r="AC16" t="str">
        <v>0.539830</v>
      </c>
      <c r="AD16" t="str">
        <v>0.5</v>
      </c>
      <c r="AE16" t="str">
        <v>0.80</v>
      </c>
      <c r="AF16" t="str">
        <f>AC16*AD16*AE16*AQ16</f>
        <v>51.310749</v>
      </c>
      <c r="AG16" t="str">
        <v>1.000000</v>
      </c>
      <c r="AH16" t="str">
        <v>22.35</v>
      </c>
      <c r="AI16" t="str">
        <v>21.94</v>
      </c>
      <c r="AJ16" t="str">
        <v>22.01</v>
      </c>
      <c r="AK16" t="str">
        <v>18.92</v>
      </c>
      <c r="AL16" t="str">
        <f>(AK16-AJ16)*(AJ16*0+0)+AK16</f>
        <v>18.92</v>
      </c>
      <c r="AM16" t="str">
        <v>90.93</v>
      </c>
      <c r="AN16" t="str">
        <v>156.7</v>
      </c>
      <c r="AO16" t="str">
        <v>158.7</v>
      </c>
      <c r="AP16" t="str">
        <v>-1.3</v>
      </c>
      <c r="AQ16" t="str">
        <v>238</v>
      </c>
      <c r="AR16" t="str">
        <v>3.902</v>
      </c>
      <c r="AS16" t="str">
        <v>14:13:42</v>
      </c>
      <c r="AT16" t="str">
        <v>2025-12-10</v>
      </c>
      <c r="AU16" t="str">
        <v>-0.02</v>
      </c>
      <c r="AV16" t="str">
        <v>1</v>
      </c>
      <c r="AW16" t="str">
        <v>-0.000</v>
      </c>
      <c r="AX16" t="str">
        <v>0.001</v>
      </c>
      <c r="AY16" t="str">
        <v>-9999.000</v>
      </c>
      <c r="AZ16" t="str">
        <v>-0.312</v>
      </c>
      <c r="BA16" t="str">
        <v>-0.233</v>
      </c>
      <c r="BB16" t="str">
        <v>-9999.000</v>
      </c>
      <c r="BC16" t="str">
        <v>1</v>
      </c>
      <c r="BD16" t="str">
        <v>150</v>
      </c>
      <c r="BE16" t="str">
        <v>0.005</v>
      </c>
      <c r="BF16" t="str">
        <v>2.000000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0</v>
      </c>
      <c r="BO16" t="str">
        <v>mpf</v>
      </c>
      <c r="BP16" t="str">
        <v>7000</v>
      </c>
      <c r="BQ16" t="str">
        <v>500</v>
      </c>
      <c r="BR16" t="str">
        <v>5.000000</v>
      </c>
      <c r="BS16" t="str">
        <v>2.000000</v>
      </c>
      <c r="BT16" t="str">
        <v>300</v>
      </c>
      <c r="BU16" t="str">
        <v>300</v>
      </c>
      <c r="BV16" t="str">
        <v>300</v>
      </c>
      <c r="BW16" t="str">
        <v>271.445282</v>
      </c>
      <c r="BX16" t="str">
        <v>25</v>
      </c>
      <c r="BY16" t="str">
        <v>-3.672557</v>
      </c>
      <c r="BZ16" t="str">
        <v>270.198578</v>
      </c>
      <c r="CA16" t="str">
        <v>270.988068</v>
      </c>
      <c r="CB16" t="str">
        <v>-0.789490</v>
      </c>
      <c r="CC16" t="str">
        <v>2.428241</v>
      </c>
      <c r="CD16" t="str">
        <v>2.442791</v>
      </c>
      <c r="CE16" t="str">
        <v>1.655273</v>
      </c>
      <c r="CF16" t="str">
        <v>0.943047</v>
      </c>
      <c r="CG16" t="str">
        <v>0.307418</v>
      </c>
      <c r="CH16" t="str">
        <v>-0.033009</v>
      </c>
      <c r="CI16" t="str">
        <v>0.086966</v>
      </c>
      <c r="CJ16" t="str">
        <v>0.321060</v>
      </c>
      <c r="CK16" t="str">
        <v>127.116325</v>
      </c>
      <c r="CL16" t="str">
        <v>0.000236</v>
      </c>
      <c r="CM16" t="str">
        <v>2.388960</v>
      </c>
      <c r="CN16" t="str">
        <v>-0.000025</v>
      </c>
      <c r="CO16" t="str">
        <v>1.000000</v>
      </c>
      <c r="CP16" t="str">
        <v>2.402765</v>
      </c>
      <c r="CQ16" t="str">
        <v>-0.000034</v>
      </c>
      <c r="CR16" t="str">
        <v>1.000000</v>
      </c>
      <c r="CS16" t="str">
        <v>0.600816</v>
      </c>
      <c r="CT16" t="str">
        <v>0.600971</v>
      </c>
      <c r="CU16" t="str">
        <v>0.107301</v>
      </c>
      <c r="CV16" t="str">
        <v>0.000000</v>
      </c>
      <c r="CW16" t="str">
        <v>PSF-00438_20251210141804_b10</v>
      </c>
      <c r="CX16" t="str">
        <v>PFA-00474</v>
      </c>
      <c r="CY16" t="str">
        <v>PSA-00486</v>
      </c>
      <c r="CZ16" t="str">
        <v>PSF-00438</v>
      </c>
      <c r="DA16" t="str">
        <v>RHS-00603</v>
      </c>
      <c r="DB16" t="str">
        <v>3.0.0</v>
      </c>
      <c r="DC16" t="str">
        <v>2025-03-10T14:27:16.709Z</v>
      </c>
    </row>
    <row r="17">
      <c r="A17" t="str">
        <v>14</v>
      </c>
      <c r="B17" t="str">
        <v>14:18:25</v>
      </c>
      <c r="C17" t="str">
        <v>2025-12-10</v>
      </c>
      <c r="D17" t="str">
        <v>TT25_psf</v>
      </c>
      <c r="E17" t="str">
        <v>eap</v>
      </c>
      <c r="F17" t="str">
        <v/>
      </c>
      <c r="G17" t="str">
        <v>43_Tri_pink_blue</v>
      </c>
      <c r="H17" t="str">
        <v/>
      </c>
      <c r="I17" t="str">
        <v/>
      </c>
      <c r="J17" t="str">
        <f>1/((1/L17)-(1/K17))</f>
        <v>0.027736</v>
      </c>
      <c r="K17" t="str">
        <f>BH17+(BI17*AN17)+(BJ17*AN17*POWER(V17,2))+(BK17*AN17*V17)+(BL17*POWER(AN17,2))</f>
        <v>2.921000</v>
      </c>
      <c r="L17" t="str">
        <f>((M17/1000)*(1000-((T17+S17)/2)))/(T17-S17)</f>
        <v>0.027475</v>
      </c>
      <c r="M17" t="str">
        <f>(AN17*(S17-R17))/(100*U17*(1000-S17))*1000</f>
        <v>0.496280</v>
      </c>
      <c r="N17" t="str">
        <v>0.582288</v>
      </c>
      <c r="O17" t="str">
        <v>0.569640</v>
      </c>
      <c r="P17" t="str">
        <f>0.61365*EXP((17.502*AL17)/(240.97+AL17))</f>
        <v>2.199611</v>
      </c>
      <c r="Q17" t="str">
        <f>P17-N17</f>
        <v>1.617322</v>
      </c>
      <c r="R17" t="str">
        <v>6.264707</v>
      </c>
      <c r="S17" t="str">
        <v>6.403803</v>
      </c>
      <c r="T17" t="str">
        <f>(P17/AM17)*1000</f>
        <v>24.190554</v>
      </c>
      <c r="U17" t="str">
        <f>V17*BG17</f>
        <v>0.441786</v>
      </c>
      <c r="V17" t="str">
        <v>7.500000</v>
      </c>
      <c r="W17" t="str">
        <v>PSF-00438_20251210141825_31b</v>
      </c>
      <c r="X17" t="str">
        <v>0.000000</v>
      </c>
      <c r="Y17" t="str">
        <v>0.000000</v>
      </c>
      <c r="Z17" t="str">
        <v>0.000000</v>
      </c>
      <c r="AA17" t="str">
        <v>101.253387</v>
      </c>
      <c r="AB17" t="str">
        <v>131.860336</v>
      </c>
      <c r="AC17" t="str">
        <v>0.232116</v>
      </c>
      <c r="AD17" t="str">
        <v>0.5</v>
      </c>
      <c r="AE17" t="str">
        <v>0.80</v>
      </c>
      <c r="AF17" t="str">
        <f>AC17*AD17*AE17*AQ17</f>
        <v>22.530577</v>
      </c>
      <c r="AG17" t="str">
        <v>1.000000</v>
      </c>
      <c r="AH17" t="str">
        <v>22.04</v>
      </c>
      <c r="AI17" t="str">
        <v>21.56</v>
      </c>
      <c r="AJ17" t="str">
        <v>21.93</v>
      </c>
      <c r="AK17" t="str">
        <v>18.96</v>
      </c>
      <c r="AL17" t="str">
        <f>(AK17-AJ17)*(AJ17*0+0)+AK17</f>
        <v>18.96</v>
      </c>
      <c r="AM17" t="str">
        <v>90.93</v>
      </c>
      <c r="AN17" t="str">
        <v>156.6</v>
      </c>
      <c r="AO17" t="str">
        <v>141.6</v>
      </c>
      <c r="AP17" t="str">
        <v>9.6</v>
      </c>
      <c r="AQ17" t="str">
        <v>243</v>
      </c>
      <c r="AR17" t="str">
        <v>3.932</v>
      </c>
      <c r="AS17" t="str">
        <v>14:13:42</v>
      </c>
      <c r="AT17" t="str">
        <v>2025-12-10</v>
      </c>
      <c r="AU17" t="str">
        <v>-0.02</v>
      </c>
      <c r="AV17" t="str">
        <v>1</v>
      </c>
      <c r="AW17" t="str">
        <v>0.001</v>
      </c>
      <c r="AX17" t="str">
        <v>0.001</v>
      </c>
      <c r="AY17" t="str">
        <v>-9999.000</v>
      </c>
      <c r="AZ17" t="str">
        <v>-2.375</v>
      </c>
      <c r="BA17" t="str">
        <v>0.476</v>
      </c>
      <c r="BB17" t="str">
        <v>-9999.000</v>
      </c>
      <c r="BC17" t="str">
        <v>1</v>
      </c>
      <c r="BD17" t="str">
        <v>150</v>
      </c>
      <c r="BE17" t="str">
        <v>0.005</v>
      </c>
      <c r="BF17" t="str">
        <v>2.000000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0</v>
      </c>
      <c r="BO17" t="str">
        <v>mpf</v>
      </c>
      <c r="BP17" t="str">
        <v>7000</v>
      </c>
      <c r="BQ17" t="str">
        <v>500</v>
      </c>
      <c r="BR17" t="str">
        <v>5.000000</v>
      </c>
      <c r="BS17" t="str">
        <v>2.000000</v>
      </c>
      <c r="BT17" t="str">
        <v>300</v>
      </c>
      <c r="BU17" t="str">
        <v>300</v>
      </c>
      <c r="BV17" t="str">
        <v>300</v>
      </c>
      <c r="BW17" t="str">
        <v>131.703979</v>
      </c>
      <c r="BX17" t="str">
        <v>25</v>
      </c>
      <c r="BY17" t="str">
        <v>-0.070170</v>
      </c>
      <c r="BZ17" t="str">
        <v>131.818771</v>
      </c>
      <c r="CA17" t="str">
        <v>131.760025</v>
      </c>
      <c r="CB17" t="str">
        <v>0.058746</v>
      </c>
      <c r="CC17" t="str">
        <v>2.427665</v>
      </c>
      <c r="CD17" t="str">
        <v>2.442321</v>
      </c>
      <c r="CE17" t="str">
        <v>1.654758</v>
      </c>
      <c r="CF17" t="str">
        <v>0.900052</v>
      </c>
      <c r="CG17" t="str">
        <v>0.308373</v>
      </c>
      <c r="CH17" t="str">
        <v>-0.031724</v>
      </c>
      <c r="CI17" t="str">
        <v>0.089810</v>
      </c>
      <c r="CJ17" t="str">
        <v>0.325594</v>
      </c>
      <c r="CK17" t="str">
        <v>101.253387</v>
      </c>
      <c r="CL17" t="str">
        <v>0.000236</v>
      </c>
      <c r="CM17" t="str">
        <v>2.388960</v>
      </c>
      <c r="CN17" t="str">
        <v>-0.000025</v>
      </c>
      <c r="CO17" t="str">
        <v>1.000000</v>
      </c>
      <c r="CP17" t="str">
        <v>2.402765</v>
      </c>
      <c r="CQ17" t="str">
        <v>-0.000034</v>
      </c>
      <c r="CR17" t="str">
        <v>1.000000</v>
      </c>
      <c r="CS17" t="str">
        <v>0.600816</v>
      </c>
      <c r="CT17" t="str">
        <v>0.600971</v>
      </c>
      <c r="CU17" t="str">
        <v>0.107301</v>
      </c>
      <c r="CV17" t="str">
        <v>0.000000</v>
      </c>
      <c r="CW17" t="str">
        <v>PSF-00438_20251210141825_31b</v>
      </c>
      <c r="CX17" t="str">
        <v>PFA-00474</v>
      </c>
      <c r="CY17" t="str">
        <v>PSA-00486</v>
      </c>
      <c r="CZ17" t="str">
        <v>PSF-00438</v>
      </c>
      <c r="DA17" t="str">
        <v>RHS-00603</v>
      </c>
      <c r="DB17" t="str">
        <v>3.0.0</v>
      </c>
      <c r="DC17" t="str">
        <v>2025-03-10T14:27:16.709Z</v>
      </c>
    </row>
    <row r="18">
      <c r="A18" t="str">
        <v>15</v>
      </c>
      <c r="B18" t="str">
        <v>14:23:17</v>
      </c>
      <c r="C18" t="str">
        <v>2025-12-10</v>
      </c>
      <c r="D18" t="str">
        <v>TT25_psf</v>
      </c>
      <c r="E18" t="str">
        <v>eap</v>
      </c>
      <c r="F18" t="str">
        <v/>
      </c>
      <c r="G18" t="str">
        <v>989_Tri_orange</v>
      </c>
      <c r="H18" t="str">
        <v/>
      </c>
      <c r="I18" t="str">
        <v/>
      </c>
      <c r="J18" t="str">
        <f>1/((1/L18)-(1/K18))</f>
        <v>-0.004088</v>
      </c>
      <c r="K18" t="str">
        <f>BH18+(BI18*AN18)+(BJ18*AN18*POWER(V18,2))+(BK18*AN18*V18)+(BL18*POWER(AN18,2))</f>
        <v>2.922344</v>
      </c>
      <c r="L18" t="str">
        <f>((M18/1000)*(1000-((T18+S18)/2)))/(T18-S18)</f>
        <v>-0.004093</v>
      </c>
      <c r="M18" t="str">
        <f>(AN18*(S18-R18))/(100*U18*(1000-S18))*1000</f>
        <v>-0.091129</v>
      </c>
      <c r="N18" t="str">
        <v>0.596531</v>
      </c>
      <c r="O18" t="str">
        <v>0.598850</v>
      </c>
      <c r="P18" t="str">
        <f>0.61365*EXP((17.502*AL18)/(240.97+AL18))</f>
        <v>2.585632</v>
      </c>
      <c r="Q18" t="str">
        <f>P18-N18</f>
        <v>1.989101</v>
      </c>
      <c r="R18" t="str">
        <v>6.585406</v>
      </c>
      <c r="S18" t="str">
        <v>6.559896</v>
      </c>
      <c r="T18" t="str">
        <f>(P18/AM18)*1000</f>
        <v>28.433537</v>
      </c>
      <c r="U18" t="str">
        <f>V18*BG18</f>
        <v>0.441786</v>
      </c>
      <c r="V18" t="str">
        <v>7.500000</v>
      </c>
      <c r="W18" t="str">
        <v>PSF-00438_20251210142317_c75</v>
      </c>
      <c r="X18" t="str">
        <v>0.000000</v>
      </c>
      <c r="Y18" t="str">
        <v>0.000000</v>
      </c>
      <c r="Z18" t="str">
        <v>0.000000</v>
      </c>
      <c r="AA18" t="str">
        <v>99.131584</v>
      </c>
      <c r="AB18" t="str">
        <v>103.827957</v>
      </c>
      <c r="AC18" t="str">
        <v>0.045232</v>
      </c>
      <c r="AD18" t="str">
        <v>0.5</v>
      </c>
      <c r="AE18" t="str">
        <v>0.80</v>
      </c>
      <c r="AF18" t="str">
        <f>AC18*AD18*AE18*AQ18</f>
        <v>2.658380</v>
      </c>
      <c r="AG18" t="str">
        <v>1.000000</v>
      </c>
      <c r="AH18" t="str">
        <v>22.39</v>
      </c>
      <c r="AI18" t="str">
        <v>22.48</v>
      </c>
      <c r="AJ18" t="str">
        <v>22.06</v>
      </c>
      <c r="AK18" t="str">
        <v>21.58</v>
      </c>
      <c r="AL18" t="str">
        <f>(AK18-AJ18)*(AJ18*0+0)+AK18</f>
        <v>21.58</v>
      </c>
      <c r="AM18" t="str">
        <v>90.94</v>
      </c>
      <c r="AN18" t="str">
        <v>156.8</v>
      </c>
      <c r="AO18" t="str">
        <v>157.9</v>
      </c>
      <c r="AP18" t="str">
        <v>-0.7</v>
      </c>
      <c r="AQ18" t="str">
        <v>147</v>
      </c>
      <c r="AR18" t="str">
        <v>3.896</v>
      </c>
      <c r="AS18" t="str">
        <v>14:13:42</v>
      </c>
      <c r="AT18" t="str">
        <v>2025-12-10</v>
      </c>
      <c r="AU18" t="str">
        <v>-0.02</v>
      </c>
      <c r="AV18" t="str">
        <v>1</v>
      </c>
      <c r="AW18" t="str">
        <v>-0.000</v>
      </c>
      <c r="AX18" t="str">
        <v>-0.001</v>
      </c>
      <c r="AY18" t="str">
        <v>-9999.000</v>
      </c>
      <c r="AZ18" t="str">
        <v>-1.413</v>
      </c>
      <c r="BA18" t="str">
        <v>-0.424</v>
      </c>
      <c r="BB18" t="str">
        <v>-9999.000</v>
      </c>
      <c r="BC18" t="str">
        <v>1</v>
      </c>
      <c r="BD18" t="str">
        <v>150</v>
      </c>
      <c r="BE18" t="str">
        <v>0.005</v>
      </c>
      <c r="BF18" t="str">
        <v>2.000000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0</v>
      </c>
      <c r="BO18" t="str">
        <v>mpf</v>
      </c>
      <c r="BP18" t="str">
        <v>7000</v>
      </c>
      <c r="BQ18" t="str">
        <v>500</v>
      </c>
      <c r="BR18" t="str">
        <v>5.000000</v>
      </c>
      <c r="BS18" t="str">
        <v>2.000000</v>
      </c>
      <c r="BT18" t="str">
        <v>300</v>
      </c>
      <c r="BU18" t="str">
        <v>300</v>
      </c>
      <c r="BV18" t="str">
        <v>300</v>
      </c>
      <c r="BW18" t="str">
        <v>103.827957</v>
      </c>
      <c r="BX18" t="str">
        <v>25</v>
      </c>
      <c r="BY18" t="str">
        <v>0.047388</v>
      </c>
      <c r="BZ18" t="str">
        <v>103.654861</v>
      </c>
      <c r="CA18" t="str">
        <v>103.895699</v>
      </c>
      <c r="CB18" t="str">
        <v>-0.240837</v>
      </c>
      <c r="CC18" t="str">
        <v>2.429084</v>
      </c>
      <c r="CD18" t="str">
        <v>2.442859</v>
      </c>
      <c r="CE18" t="str">
        <v>1.656165</v>
      </c>
      <c r="CF18" t="str">
        <v>0.940993</v>
      </c>
      <c r="CG18" t="str">
        <v>0.306703</v>
      </c>
      <c r="CH18" t="str">
        <v>-0.004788</v>
      </c>
      <c r="CI18" t="str">
        <v>0.129957</v>
      </c>
      <c r="CJ18" t="str">
        <v>0.239474</v>
      </c>
      <c r="CK18" t="str">
        <v>99.131584</v>
      </c>
      <c r="CL18" t="str">
        <v>0.000238</v>
      </c>
      <c r="CM18" t="str">
        <v>2.388960</v>
      </c>
      <c r="CN18" t="str">
        <v>-0.000025</v>
      </c>
      <c r="CO18" t="str">
        <v>1.000000</v>
      </c>
      <c r="CP18" t="str">
        <v>2.402765</v>
      </c>
      <c r="CQ18" t="str">
        <v>-0.000034</v>
      </c>
      <c r="CR18" t="str">
        <v>1.000000</v>
      </c>
      <c r="CS18" t="str">
        <v>0.600816</v>
      </c>
      <c r="CT18" t="str">
        <v>0.600971</v>
      </c>
      <c r="CU18" t="str">
        <v>0.107301</v>
      </c>
      <c r="CV18" t="str">
        <v>0.000000</v>
      </c>
      <c r="CW18" t="str">
        <v>PSF-00438_20251210142317_c75</v>
      </c>
      <c r="CX18" t="str">
        <v>PFA-00474</v>
      </c>
      <c r="CY18" t="str">
        <v>PSA-00486</v>
      </c>
      <c r="CZ18" t="str">
        <v>PSF-00438</v>
      </c>
      <c r="DA18" t="str">
        <v>RHS-00603</v>
      </c>
      <c r="DB18" t="str">
        <v>3.0.0</v>
      </c>
      <c r="DC18" t="str">
        <v>2025-03-10T14:27:16.709Z</v>
      </c>
    </row>
    <row r="19">
      <c r="A19" t="str">
        <v>16</v>
      </c>
      <c r="B19" t="str">
        <v>14:23:34</v>
      </c>
      <c r="C19" t="str">
        <v>2025-12-10</v>
      </c>
      <c r="D19" t="str">
        <v>TT25_psf</v>
      </c>
      <c r="E19" t="str">
        <v>eap</v>
      </c>
      <c r="F19" t="str">
        <v/>
      </c>
      <c r="G19" t="str">
        <v>flag1_tri_Tri_orange</v>
      </c>
      <c r="H19" t="str">
        <v/>
      </c>
      <c r="I19" t="str">
        <v/>
      </c>
      <c r="J19" t="str">
        <f>1/((1/L19)-(1/K19))</f>
        <v>0.013451</v>
      </c>
      <c r="K19" t="str">
        <f>BH19+(BI19*AN19)+(BJ19*AN19*POWER(V19,2))+(BK19*AN19*V19)+(BL19*POWER(AN19,2))</f>
        <v>2.922366</v>
      </c>
      <c r="L19" t="str">
        <f>((M19/1000)*(1000-((T19+S19)/2)))/(T19-S19)</f>
        <v>0.013390</v>
      </c>
      <c r="M19" t="str">
        <f>(AN19*(S19-R19))/(100*U19*(1000-S19))*1000</f>
        <v>0.287302</v>
      </c>
      <c r="N19" t="str">
        <v>0.648367</v>
      </c>
      <c r="O19" t="str">
        <v>0.641058</v>
      </c>
      <c r="P19" t="str">
        <f>0.61365*EXP((17.502*AL19)/(240.97+AL19))</f>
        <v>2.565204</v>
      </c>
      <c r="Q19" t="str">
        <f>P19-N19</f>
        <v>1.916837</v>
      </c>
      <c r="R19" t="str">
        <v>7.049141</v>
      </c>
      <c r="S19" t="str">
        <v>7.129520</v>
      </c>
      <c r="T19" t="str">
        <f>(P19/AM19)*1000</f>
        <v>28.207266</v>
      </c>
      <c r="U19" t="str">
        <f>V19*BG19</f>
        <v>0.441786</v>
      </c>
      <c r="V19" t="str">
        <v>7.500000</v>
      </c>
      <c r="W19" t="str">
        <v>PSF-00438_20251210142334_f8a</v>
      </c>
      <c r="X19" t="str">
        <v>0.000000</v>
      </c>
      <c r="Y19" t="str">
        <v>0.000000</v>
      </c>
      <c r="Z19" t="str">
        <v>0.000000</v>
      </c>
      <c r="AA19" t="str">
        <v>115.889671</v>
      </c>
      <c r="AB19" t="str">
        <v>127.730118</v>
      </c>
      <c r="AC19" t="str">
        <v>0.092699</v>
      </c>
      <c r="AD19" t="str">
        <v>0.5</v>
      </c>
      <c r="AE19" t="str">
        <v>0.80</v>
      </c>
      <c r="AF19" t="str">
        <f>AC19*AD19*AE19*AQ19</f>
        <v>7.504002</v>
      </c>
      <c r="AG19" t="str">
        <v>1.000000</v>
      </c>
      <c r="AH19" t="str">
        <v>24.29</v>
      </c>
      <c r="AI19" t="str">
        <v>24.01</v>
      </c>
      <c r="AJ19" t="str">
        <v>22.10</v>
      </c>
      <c r="AK19" t="str">
        <v>21.45</v>
      </c>
      <c r="AL19" t="str">
        <f>(AK19-AJ19)*(AJ19*0+0)+AK19</f>
        <v>21.45</v>
      </c>
      <c r="AM19" t="str">
        <v>90.94</v>
      </c>
      <c r="AN19" t="str">
        <v>156.8</v>
      </c>
      <c r="AO19" t="str">
        <v>158.3</v>
      </c>
      <c r="AP19" t="str">
        <v>-1.0</v>
      </c>
      <c r="AQ19" t="str">
        <v>202</v>
      </c>
      <c r="AR19" t="str">
        <v>3.894</v>
      </c>
      <c r="AS19" t="str">
        <v>14:13:42</v>
      </c>
      <c r="AT19" t="str">
        <v>2025-12-10</v>
      </c>
      <c r="AU19" t="str">
        <v>-0.02</v>
      </c>
      <c r="AV19" t="str">
        <v>1</v>
      </c>
      <c r="AW19" t="str">
        <v>0.001</v>
      </c>
      <c r="AX19" t="str">
        <v>0.001</v>
      </c>
      <c r="AY19" t="str">
        <v>-9999.000</v>
      </c>
      <c r="AZ19" t="str">
        <v>0.751</v>
      </c>
      <c r="BA19" t="str">
        <v>-0.657</v>
      </c>
      <c r="BB19" t="str">
        <v>-9999.000</v>
      </c>
      <c r="BC19" t="str">
        <v>1</v>
      </c>
      <c r="BD19" t="str">
        <v>150</v>
      </c>
      <c r="BE19" t="str">
        <v>0.005</v>
      </c>
      <c r="BF19" t="str">
        <v>2.000000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0</v>
      </c>
      <c r="BO19" t="str">
        <v>mpf</v>
      </c>
      <c r="BP19" t="str">
        <v>7000</v>
      </c>
      <c r="BQ19" t="str">
        <v>500</v>
      </c>
      <c r="BR19" t="str">
        <v>5.000000</v>
      </c>
      <c r="BS19" t="str">
        <v>2.000000</v>
      </c>
      <c r="BT19" t="str">
        <v>300</v>
      </c>
      <c r="BU19" t="str">
        <v>300</v>
      </c>
      <c r="BV19" t="str">
        <v>300</v>
      </c>
      <c r="BW19" t="str">
        <v>127.495049</v>
      </c>
      <c r="BX19" t="str">
        <v>25</v>
      </c>
      <c r="BY19" t="str">
        <v>-0.160390</v>
      </c>
      <c r="BZ19" t="str">
        <v>127.241852</v>
      </c>
      <c r="CA19" t="str">
        <v>127.500839</v>
      </c>
      <c r="CB19" t="str">
        <v>-0.258987</v>
      </c>
      <c r="CC19" t="str">
        <v>2.431447</v>
      </c>
      <c r="CD19" t="str">
        <v>2.445801</v>
      </c>
      <c r="CE19" t="str">
        <v>1.656188</v>
      </c>
      <c r="CF19" t="str">
        <v>0.942210</v>
      </c>
      <c r="CG19" t="str">
        <v>0.306267</v>
      </c>
      <c r="CH19" t="str">
        <v>-0.006612</v>
      </c>
      <c r="CI19" t="str">
        <v>0.132004</v>
      </c>
      <c r="CJ19" t="str">
        <v>0.289352</v>
      </c>
      <c r="CK19" t="str">
        <v>115.889671</v>
      </c>
      <c r="CL19" t="str">
        <v>0.000237</v>
      </c>
      <c r="CM19" t="str">
        <v>2.388960</v>
      </c>
      <c r="CN19" t="str">
        <v>-0.000025</v>
      </c>
      <c r="CO19" t="str">
        <v>1.000000</v>
      </c>
      <c r="CP19" t="str">
        <v>2.402765</v>
      </c>
      <c r="CQ19" t="str">
        <v>-0.000034</v>
      </c>
      <c r="CR19" t="str">
        <v>1.000000</v>
      </c>
      <c r="CS19" t="str">
        <v>0.600816</v>
      </c>
      <c r="CT19" t="str">
        <v>0.600971</v>
      </c>
      <c r="CU19" t="str">
        <v>0.107301</v>
      </c>
      <c r="CV19" t="str">
        <v>0.000000</v>
      </c>
      <c r="CW19" t="str">
        <v>PSF-00438_20251210142334_f8a</v>
      </c>
      <c r="CX19" t="str">
        <v>PFA-00474</v>
      </c>
      <c r="CY19" t="str">
        <v>PSA-00486</v>
      </c>
      <c r="CZ19" t="str">
        <v>PSF-00438</v>
      </c>
      <c r="DA19" t="str">
        <v>RHS-00603</v>
      </c>
      <c r="DB19" t="str">
        <v>3.0.0</v>
      </c>
      <c r="DC19" t="str">
        <v>2025-03-10T14:27:16.709Z</v>
      </c>
    </row>
    <row r="20">
      <c r="A20" t="str">
        <v>17</v>
      </c>
      <c r="B20" t="str">
        <v>14:24:09</v>
      </c>
      <c r="C20" t="str">
        <v>2025-12-10</v>
      </c>
      <c r="D20" t="str">
        <v>TT25_psf</v>
      </c>
      <c r="E20" t="str">
        <v>eap</v>
      </c>
      <c r="F20" t="str">
        <v/>
      </c>
      <c r="G20" t="str">
        <v>4177_Tri_orange</v>
      </c>
      <c r="H20" t="str">
        <v/>
      </c>
      <c r="I20" t="str">
        <v/>
      </c>
      <c r="J20" t="str">
        <f>1/((1/L20)-(1/K20))</f>
        <v>-0.004081</v>
      </c>
      <c r="K20" t="str">
        <f>BH20+(BI20*AN20)+(BJ20*AN20*POWER(V20,2))+(BK20*AN20*V20)+(BL20*POWER(AN20,2))</f>
        <v>2.921801</v>
      </c>
      <c r="L20" t="str">
        <f>((M20/1000)*(1000-((T20+S20)/2)))/(T20-S20)</f>
        <v>-0.004086</v>
      </c>
      <c r="M20" t="str">
        <f>(AN20*(S20-R20))/(100*U20*(1000-S20))*1000</f>
        <v>-0.090437</v>
      </c>
      <c r="N20" t="str">
        <v>0.604297</v>
      </c>
      <c r="O20" t="str">
        <v>0.606600</v>
      </c>
      <c r="P20" t="str">
        <f>0.61365*EXP((17.502*AL20)/(240.97+AL20))</f>
        <v>2.581477</v>
      </c>
      <c r="Q20" t="str">
        <f>P20-N20</f>
        <v>1.977180</v>
      </c>
      <c r="R20" t="str">
        <v>6.670935</v>
      </c>
      <c r="S20" t="str">
        <v>6.645609</v>
      </c>
      <c r="T20" t="str">
        <f>(P20/AM20)*1000</f>
        <v>28.389170</v>
      </c>
      <c r="U20" t="str">
        <f>V20*BG20</f>
        <v>0.441786</v>
      </c>
      <c r="V20" t="str">
        <v>7.500000</v>
      </c>
      <c r="W20" t="str">
        <v>PSF-00438_20251210142409_c7e</v>
      </c>
      <c r="X20" t="str">
        <v>0.000000</v>
      </c>
      <c r="Y20" t="str">
        <v>0.000000</v>
      </c>
      <c r="Z20" t="str">
        <v>0.000000</v>
      </c>
      <c r="AA20" t="str">
        <v>103.940964</v>
      </c>
      <c r="AB20" t="str">
        <v>130.394333</v>
      </c>
      <c r="AC20" t="str">
        <v>0.202872</v>
      </c>
      <c r="AD20" t="str">
        <v>0.5</v>
      </c>
      <c r="AE20" t="str">
        <v>0.80</v>
      </c>
      <c r="AF20" t="str">
        <f>AC20*AD20*AE20*AQ20</f>
        <v>18.536455</v>
      </c>
      <c r="AG20" t="str">
        <v>1.000000</v>
      </c>
      <c r="AH20" t="str">
        <v>22.51</v>
      </c>
      <c r="AI20" t="str">
        <v>22.59</v>
      </c>
      <c r="AJ20" t="str">
        <v>22.19</v>
      </c>
      <c r="AK20" t="str">
        <v>21.55</v>
      </c>
      <c r="AL20" t="str">
        <f>(AK20-AJ20)*(AJ20*0+0)+AK20</f>
        <v>21.55</v>
      </c>
      <c r="AM20" t="str">
        <v>90.93</v>
      </c>
      <c r="AN20" t="str">
        <v>156.7</v>
      </c>
      <c r="AO20" t="str">
        <v>158.7</v>
      </c>
      <c r="AP20" t="str">
        <v>-1.2</v>
      </c>
      <c r="AQ20" t="str">
        <v>228</v>
      </c>
      <c r="AR20" t="str">
        <v>3.923</v>
      </c>
      <c r="AS20" t="str">
        <v>14:23:54</v>
      </c>
      <c r="AT20" t="str">
        <v>2025-12-10</v>
      </c>
      <c r="AU20" t="str">
        <v>-0.06</v>
      </c>
      <c r="AV20" t="str">
        <v>1</v>
      </c>
      <c r="AW20" t="str">
        <v>0.001</v>
      </c>
      <c r="AX20" t="str">
        <v>0.002</v>
      </c>
      <c r="AY20" t="str">
        <v>-9999.000</v>
      </c>
      <c r="AZ20" t="str">
        <v>-3.172</v>
      </c>
      <c r="BA20" t="str">
        <v>1.960</v>
      </c>
      <c r="BB20" t="str">
        <v>-9999.000</v>
      </c>
      <c r="BC20" t="str">
        <v>1</v>
      </c>
      <c r="BD20" t="str">
        <v>150</v>
      </c>
      <c r="BE20" t="str">
        <v>0.005</v>
      </c>
      <c r="BF20" t="str">
        <v>2.000000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0</v>
      </c>
      <c r="BO20" t="str">
        <v>mpf</v>
      </c>
      <c r="BP20" t="str">
        <v>7000</v>
      </c>
      <c r="BQ20" t="str">
        <v>500</v>
      </c>
      <c r="BR20" t="str">
        <v>5.000000</v>
      </c>
      <c r="BS20" t="str">
        <v>2.000000</v>
      </c>
      <c r="BT20" t="str">
        <v>300</v>
      </c>
      <c r="BU20" t="str">
        <v>300</v>
      </c>
      <c r="BV20" t="str">
        <v>300</v>
      </c>
      <c r="BW20" t="str">
        <v>130.394333</v>
      </c>
      <c r="BX20" t="str">
        <v>25</v>
      </c>
      <c r="BY20" t="str">
        <v>0.212334</v>
      </c>
      <c r="BZ20" t="str">
        <v>130.681519</v>
      </c>
      <c r="CA20" t="str">
        <v>130.697861</v>
      </c>
      <c r="CB20" t="str">
        <v>-0.016342</v>
      </c>
      <c r="CC20" t="str">
        <v>2.429240</v>
      </c>
      <c r="CD20" t="str">
        <v>2.443080</v>
      </c>
      <c r="CE20" t="str">
        <v>1.655596</v>
      </c>
      <c r="CF20" t="str">
        <v>0.943065</v>
      </c>
      <c r="CG20" t="str">
        <v>0.305107</v>
      </c>
      <c r="CH20" t="str">
        <v>-0.006530</v>
      </c>
      <c r="CI20" t="str">
        <v>0.136364</v>
      </c>
      <c r="CJ20" t="str">
        <v>0.312785</v>
      </c>
      <c r="CK20" t="str">
        <v>103.940964</v>
      </c>
      <c r="CL20" t="str">
        <v>0.000236</v>
      </c>
      <c r="CM20" t="str">
        <v>2.388960</v>
      </c>
      <c r="CN20" t="str">
        <v>-0.000025</v>
      </c>
      <c r="CO20" t="str">
        <v>1.000000</v>
      </c>
      <c r="CP20" t="str">
        <v>2.402765</v>
      </c>
      <c r="CQ20" t="str">
        <v>-0.000034</v>
      </c>
      <c r="CR20" t="str">
        <v>1.000000</v>
      </c>
      <c r="CS20" t="str">
        <v>0.600816</v>
      </c>
      <c r="CT20" t="str">
        <v>0.600971</v>
      </c>
      <c r="CU20" t="str">
        <v>0.107301</v>
      </c>
      <c r="CV20" t="str">
        <v>0.000000</v>
      </c>
      <c r="CW20" t="str">
        <v>PSF-00438_20251210142409_c7e</v>
      </c>
      <c r="CX20" t="str">
        <v>PFA-00474</v>
      </c>
      <c r="CY20" t="str">
        <v>PSA-00486</v>
      </c>
      <c r="CZ20" t="str">
        <v>PSF-00438</v>
      </c>
      <c r="DA20" t="str">
        <v>RHS-00603</v>
      </c>
      <c r="DB20" t="str">
        <v>3.0.0</v>
      </c>
      <c r="DC20" t="str">
        <v>2025-03-10T14:27:16.709Z</v>
      </c>
    </row>
    <row r="21">
      <c r="A21" t="str">
        <v>18</v>
      </c>
      <c r="B21" t="str">
        <v>14:24:33</v>
      </c>
      <c r="C21" t="str">
        <v>2025-12-10</v>
      </c>
      <c r="D21" t="str">
        <v>TT25_psf</v>
      </c>
      <c r="E21" t="str">
        <v>eap</v>
      </c>
      <c r="F21" t="str">
        <v/>
      </c>
      <c r="G21" t="str">
        <v>5865_Tri_orange</v>
      </c>
      <c r="H21" t="str">
        <v/>
      </c>
      <c r="I21" t="str">
        <v/>
      </c>
      <c r="J21" t="str">
        <f>1/((1/L21)-(1/K21))</f>
        <v>-0.000991</v>
      </c>
      <c r="K21" t="str">
        <f>BH21+(BI21*AN21)+(BJ21*AN21*POWER(V21,2))+(BK21*AN21*V21)+(BL21*POWER(AN21,2))</f>
        <v>2.921383</v>
      </c>
      <c r="L21" t="str">
        <f>((M21/1000)*(1000-((T21+S21)/2)))/(T21-S21)</f>
        <v>-0.000991</v>
      </c>
      <c r="M21" t="str">
        <f>(AN21*(S21-R21))/(100*U21*(1000-S21))*1000</f>
        <v>-0.021526</v>
      </c>
      <c r="N21" t="str">
        <v>0.599995</v>
      </c>
      <c r="O21" t="str">
        <v>0.600543</v>
      </c>
      <c r="P21" t="str">
        <f>0.61365*EXP((17.502*AL21)/(240.97+AL21))</f>
        <v>2.540805</v>
      </c>
      <c r="Q21" t="str">
        <f>P21-N21</f>
        <v>1.940810</v>
      </c>
      <c r="R21" t="str">
        <v>6.604599</v>
      </c>
      <c r="S21" t="str">
        <v>6.598568</v>
      </c>
      <c r="T21" t="str">
        <f>(P21/AM21)*1000</f>
        <v>27.943043</v>
      </c>
      <c r="U21" t="str">
        <f>V21*BG21</f>
        <v>0.441786</v>
      </c>
      <c r="V21" t="str">
        <v>7.500000</v>
      </c>
      <c r="W21" t="str">
        <v>PSF-00438_20251210142433_308</v>
      </c>
      <c r="X21" t="str">
        <v>0.000000</v>
      </c>
      <c r="Y21" t="str">
        <v>0.000000</v>
      </c>
      <c r="Z21" t="str">
        <v>0.000000</v>
      </c>
      <c r="AA21" t="str">
        <v>175.349945</v>
      </c>
      <c r="AB21" t="str">
        <v>174.321411</v>
      </c>
      <c r="AC21" t="str">
        <v>-0.005900</v>
      </c>
      <c r="AD21" t="str">
        <v>0.5</v>
      </c>
      <c r="AE21" t="str">
        <v>0.80</v>
      </c>
      <c r="AF21" t="str">
        <f>AC21*AD21*AE21*AQ21</f>
        <v>-0.496968</v>
      </c>
      <c r="AG21" t="str">
        <v>1.000000</v>
      </c>
      <c r="AH21" t="str">
        <v>22.27</v>
      </c>
      <c r="AI21" t="str">
        <v>22.29</v>
      </c>
      <c r="AJ21" t="str">
        <v>22.25</v>
      </c>
      <c r="AK21" t="str">
        <v>21.29</v>
      </c>
      <c r="AL21" t="str">
        <f>(AK21-AJ21)*(AJ21*0+0)+AK21</f>
        <v>21.29</v>
      </c>
      <c r="AM21" t="str">
        <v>90.93</v>
      </c>
      <c r="AN21" t="str">
        <v>156.7</v>
      </c>
      <c r="AO21" t="str">
        <v>158.6</v>
      </c>
      <c r="AP21" t="str">
        <v>-1.2</v>
      </c>
      <c r="AQ21" t="str">
        <v>211</v>
      </c>
      <c r="AR21" t="str">
        <v>3.922</v>
      </c>
      <c r="AS21" t="str">
        <v>14:23:54</v>
      </c>
      <c r="AT21" t="str">
        <v>2025-12-10</v>
      </c>
      <c r="AU21" t="str">
        <v>-0.06</v>
      </c>
      <c r="AV21" t="str">
        <v>1</v>
      </c>
      <c r="AW21" t="str">
        <v>0.001</v>
      </c>
      <c r="AX21" t="str">
        <v>-0.000</v>
      </c>
      <c r="AY21" t="str">
        <v>-9999.000</v>
      </c>
      <c r="AZ21" t="str">
        <v>-0.441</v>
      </c>
      <c r="BA21" t="str">
        <v>0.030</v>
      </c>
      <c r="BB21" t="str">
        <v>-9999.000</v>
      </c>
      <c r="BC21" t="str">
        <v>1</v>
      </c>
      <c r="BD21" t="str">
        <v>150</v>
      </c>
      <c r="BE21" t="str">
        <v>0.005</v>
      </c>
      <c r="BF21" t="str">
        <v>2.000000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0</v>
      </c>
      <c r="BO21" t="str">
        <v>mpf</v>
      </c>
      <c r="BP21" t="str">
        <v>7000</v>
      </c>
      <c r="BQ21" t="str">
        <v>500</v>
      </c>
      <c r="BR21" t="str">
        <v>5.000000</v>
      </c>
      <c r="BS21" t="str">
        <v>2.000000</v>
      </c>
      <c r="BT21" t="str">
        <v>300</v>
      </c>
      <c r="BU21" t="str">
        <v>300</v>
      </c>
      <c r="BV21" t="str">
        <v>300</v>
      </c>
      <c r="BW21" t="str">
        <v>174.321411</v>
      </c>
      <c r="BX21" t="str">
        <v>25</v>
      </c>
      <c r="BY21" t="str">
        <v>-0.061057</v>
      </c>
      <c r="BZ21" t="str">
        <v>173.195602</v>
      </c>
      <c r="CA21" t="str">
        <v>174.234131</v>
      </c>
      <c r="CB21" t="str">
        <v>-1.038528</v>
      </c>
      <c r="CC21" t="str">
        <v>2.428763</v>
      </c>
      <c r="CD21" t="str">
        <v>2.442702</v>
      </c>
      <c r="CE21" t="str">
        <v>1.655159</v>
      </c>
      <c r="CF21" t="str">
        <v>0.942958</v>
      </c>
      <c r="CG21" t="str">
        <v>0.304424</v>
      </c>
      <c r="CH21" t="str">
        <v>-0.010008</v>
      </c>
      <c r="CI21" t="str">
        <v>0.139213</v>
      </c>
      <c r="CJ21" t="str">
        <v>0.296725</v>
      </c>
      <c r="CK21" t="str">
        <v>175.349945</v>
      </c>
      <c r="CL21" t="str">
        <v>0.000238</v>
      </c>
      <c r="CM21" t="str">
        <v>2.388960</v>
      </c>
      <c r="CN21" t="str">
        <v>-0.000025</v>
      </c>
      <c r="CO21" t="str">
        <v>1.000000</v>
      </c>
      <c r="CP21" t="str">
        <v>2.402765</v>
      </c>
      <c r="CQ21" t="str">
        <v>-0.000034</v>
      </c>
      <c r="CR21" t="str">
        <v>1.000000</v>
      </c>
      <c r="CS21" t="str">
        <v>0.600816</v>
      </c>
      <c r="CT21" t="str">
        <v>0.600971</v>
      </c>
      <c r="CU21" t="str">
        <v>0.107301</v>
      </c>
      <c r="CV21" t="str">
        <v>0.000000</v>
      </c>
      <c r="CW21" t="str">
        <v>PSF-00438_20251210142433_308</v>
      </c>
      <c r="CX21" t="str">
        <v>PFA-00474</v>
      </c>
      <c r="CY21" t="str">
        <v>PSA-00486</v>
      </c>
      <c r="CZ21" t="str">
        <v>PSF-00438</v>
      </c>
      <c r="DA21" t="str">
        <v>RHS-00603</v>
      </c>
      <c r="DB21" t="str">
        <v>3.0.0</v>
      </c>
      <c r="DC21" t="str">
        <v>2025-03-10T14:27:16.709Z</v>
      </c>
    </row>
    <row r="22">
      <c r="A22" t="str">
        <v>19</v>
      </c>
      <c r="B22" t="str">
        <v>14:24:51</v>
      </c>
      <c r="C22" t="str">
        <v>2025-12-10</v>
      </c>
      <c r="D22" t="str">
        <v>TT25_psf</v>
      </c>
      <c r="E22" t="str">
        <v>eap</v>
      </c>
      <c r="F22" t="str">
        <v/>
      </c>
      <c r="G22" t="str">
        <v>5877_Tri_orange</v>
      </c>
      <c r="H22" t="str">
        <v/>
      </c>
      <c r="I22" t="str">
        <v/>
      </c>
      <c r="J22" t="str">
        <f>1/((1/L22)-(1/K22))</f>
        <v>0.011064</v>
      </c>
      <c r="K22" t="str">
        <f>BH22+(BI22*AN22)+(BJ22*AN22*POWER(V22,2))+(BK22*AN22*V22)+(BL22*POWER(AN22,2))</f>
        <v>2.922156</v>
      </c>
      <c r="L22" t="str">
        <f>((M22/1000)*(1000-((T22+S22)/2)))/(T22-S22)</f>
        <v>0.011022</v>
      </c>
      <c r="M22" t="str">
        <f>(AN22*(S22-R22))/(100*U22*(1000-S22))*1000</f>
        <v>0.231192</v>
      </c>
      <c r="N22" t="str">
        <v>0.631362</v>
      </c>
      <c r="O22" t="str">
        <v>0.625479</v>
      </c>
      <c r="P22" t="str">
        <f>0.61365*EXP((17.502*AL22)/(240.97+AL22))</f>
        <v>2.505820</v>
      </c>
      <c r="Q22" t="str">
        <f>P22-N22</f>
        <v>1.874458</v>
      </c>
      <c r="R22" t="str">
        <v>6.878512</v>
      </c>
      <c r="S22" t="str">
        <v>6.943216</v>
      </c>
      <c r="T22" t="str">
        <f>(P22/AM22)*1000</f>
        <v>27.557003</v>
      </c>
      <c r="U22" t="str">
        <f>V22*BG22</f>
        <v>0.441786</v>
      </c>
      <c r="V22" t="str">
        <v>7.500000</v>
      </c>
      <c r="W22" t="str">
        <v>PSF-00438_20251210142451_910</v>
      </c>
      <c r="X22" t="str">
        <v>0.000000</v>
      </c>
      <c r="Y22" t="str">
        <v>0.000000</v>
      </c>
      <c r="Z22" t="str">
        <v>0.000000</v>
      </c>
      <c r="AA22" t="str">
        <v>99.380493</v>
      </c>
      <c r="AB22" t="str">
        <v>132.130814</v>
      </c>
      <c r="AC22" t="str">
        <v>0.247863</v>
      </c>
      <c r="AD22" t="str">
        <v>0.5</v>
      </c>
      <c r="AE22" t="str">
        <v>0.80</v>
      </c>
      <c r="AF22" t="str">
        <f>AC22*AD22*AE22*AQ22</f>
        <v>13.314038</v>
      </c>
      <c r="AG22" t="str">
        <v>1.000000</v>
      </c>
      <c r="AH22" t="str">
        <v>23.39</v>
      </c>
      <c r="AI22" t="str">
        <v>23.17</v>
      </c>
      <c r="AJ22" t="str">
        <v>22.28</v>
      </c>
      <c r="AK22" t="str">
        <v>21.06</v>
      </c>
      <c r="AL22" t="str">
        <f>(AK22-AJ22)*(AJ22*0+0)+AK22</f>
        <v>21.06</v>
      </c>
      <c r="AM22" t="str">
        <v>90.93</v>
      </c>
      <c r="AN22" t="str">
        <v>156.8</v>
      </c>
      <c r="AO22" t="str">
        <v>134.0</v>
      </c>
      <c r="AP22" t="str">
        <v>14.5</v>
      </c>
      <c r="AQ22" t="str">
        <v>134</v>
      </c>
      <c r="AR22" t="str">
        <v>3.922</v>
      </c>
      <c r="AS22" t="str">
        <v>14:23:54</v>
      </c>
      <c r="AT22" t="str">
        <v>2025-12-10</v>
      </c>
      <c r="AU22" t="str">
        <v>-0.06</v>
      </c>
      <c r="AV22" t="str">
        <v>1</v>
      </c>
      <c r="AW22" t="str">
        <v>0.002</v>
      </c>
      <c r="AX22" t="str">
        <v>0.002</v>
      </c>
      <c r="AY22" t="str">
        <v>-9999.000</v>
      </c>
      <c r="AZ22" t="str">
        <v>-0.583</v>
      </c>
      <c r="BA22" t="str">
        <v>0.625</v>
      </c>
      <c r="BB22" t="str">
        <v>-9999.000</v>
      </c>
      <c r="BC22" t="str">
        <v>1</v>
      </c>
      <c r="BD22" t="str">
        <v>150</v>
      </c>
      <c r="BE22" t="str">
        <v>0.005</v>
      </c>
      <c r="BF22" t="str">
        <v>2.000000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0</v>
      </c>
      <c r="BO22" t="str">
        <v>mpf</v>
      </c>
      <c r="BP22" t="str">
        <v>7000</v>
      </c>
      <c r="BQ22" t="str">
        <v>500</v>
      </c>
      <c r="BR22" t="str">
        <v>5.000000</v>
      </c>
      <c r="BS22" t="str">
        <v>2.000000</v>
      </c>
      <c r="BT22" t="str">
        <v>300</v>
      </c>
      <c r="BU22" t="str">
        <v>300</v>
      </c>
      <c r="BV22" t="str">
        <v>300</v>
      </c>
      <c r="BW22" t="str">
        <v>130.999084</v>
      </c>
      <c r="BX22" t="str">
        <v>25</v>
      </c>
      <c r="BY22" t="str">
        <v>-0.774609</v>
      </c>
      <c r="BZ22" t="str">
        <v>130.685089</v>
      </c>
      <c r="CA22" t="str">
        <v>131.023514</v>
      </c>
      <c r="CB22" t="str">
        <v>-0.338425</v>
      </c>
      <c r="CC22" t="str">
        <v>2.430126</v>
      </c>
      <c r="CD22" t="str">
        <v>2.444448</v>
      </c>
      <c r="CE22" t="str">
        <v>1.655968</v>
      </c>
      <c r="CF22" t="str">
        <v>0.881499</v>
      </c>
      <c r="CG22" t="str">
        <v>0.304044</v>
      </c>
      <c r="CH22" t="str">
        <v>-0.012835</v>
      </c>
      <c r="CI22" t="str">
        <v>0.141337</v>
      </c>
      <c r="CJ22" t="str">
        <v>0.228103</v>
      </c>
      <c r="CK22" t="str">
        <v>99.380493</v>
      </c>
      <c r="CL22" t="str">
        <v>0.000239</v>
      </c>
      <c r="CM22" t="str">
        <v>2.388960</v>
      </c>
      <c r="CN22" t="str">
        <v>-0.000025</v>
      </c>
      <c r="CO22" t="str">
        <v>1.000000</v>
      </c>
      <c r="CP22" t="str">
        <v>2.402765</v>
      </c>
      <c r="CQ22" t="str">
        <v>-0.000034</v>
      </c>
      <c r="CR22" t="str">
        <v>1.000000</v>
      </c>
      <c r="CS22" t="str">
        <v>0.600816</v>
      </c>
      <c r="CT22" t="str">
        <v>0.600971</v>
      </c>
      <c r="CU22" t="str">
        <v>0.107301</v>
      </c>
      <c r="CV22" t="str">
        <v>0.000000</v>
      </c>
      <c r="CW22" t="str">
        <v>PSF-00438_20251210142451_910</v>
      </c>
      <c r="CX22" t="str">
        <v>PFA-00474</v>
      </c>
      <c r="CY22" t="str">
        <v>PSA-00486</v>
      </c>
      <c r="CZ22" t="str">
        <v>PSF-00438</v>
      </c>
      <c r="DA22" t="str">
        <v>RHS-00603</v>
      </c>
      <c r="DB22" t="str">
        <v>3.0.0</v>
      </c>
      <c r="DC22" t="str">
        <v>2025-03-10T14:27:16.709Z</v>
      </c>
    </row>
    <row r="23">
      <c r="A23" t="str">
        <v>20</v>
      </c>
      <c r="B23" t="str">
        <v>14:25:06</v>
      </c>
      <c r="C23" t="str">
        <v>2025-12-10</v>
      </c>
      <c r="D23" t="str">
        <v>TT25_psf</v>
      </c>
      <c r="E23" t="str">
        <v>eap</v>
      </c>
      <c r="F23" t="str">
        <v/>
      </c>
      <c r="G23" t="str">
        <v>1851_Tri_orange</v>
      </c>
      <c r="H23" t="str">
        <v/>
      </c>
      <c r="I23" t="str">
        <v/>
      </c>
      <c r="J23" t="str">
        <f>1/((1/L23)-(1/K23))</f>
        <v>-0.006779</v>
      </c>
      <c r="K23" t="str">
        <f>BH23+(BI23*AN23)+(BJ23*AN23*POWER(V23,2))+(BK23*AN23*V23)+(BL23*POWER(AN23,2))</f>
        <v>2.920749</v>
      </c>
      <c r="L23" t="str">
        <f>((M23/1000)*(1000-((T23+S23)/2)))/(T23-S23)</f>
        <v>-0.006794</v>
      </c>
      <c r="M23" t="str">
        <f>(AN23*(S23-R23))/(100*U23*(1000-S23))*1000</f>
        <v>-0.135211</v>
      </c>
      <c r="N23" t="str">
        <v>0.638762</v>
      </c>
      <c r="O23" t="str">
        <v>0.642207</v>
      </c>
      <c r="P23" t="str">
        <f>0.61365*EXP((17.502*AL23)/(240.97+AL23))</f>
        <v>2.418083</v>
      </c>
      <c r="Q23" t="str">
        <f>P23-N23</f>
        <v>1.779321</v>
      </c>
      <c r="R23" t="str">
        <v>7.061968</v>
      </c>
      <c r="S23" t="str">
        <v>7.024087</v>
      </c>
      <c r="T23" t="str">
        <f>(P23/AM23)*1000</f>
        <v>26.590239</v>
      </c>
      <c r="U23" t="str">
        <f>V23*BG23</f>
        <v>0.441786</v>
      </c>
      <c r="V23" t="str">
        <v>7.500000</v>
      </c>
      <c r="W23" t="str">
        <v>PSF-00438_20251210142506_82f</v>
      </c>
      <c r="X23" t="str">
        <v>0.000000</v>
      </c>
      <c r="Y23" t="str">
        <v>0.000000</v>
      </c>
      <c r="Z23" t="str">
        <v>0.000000</v>
      </c>
      <c r="AA23" t="str">
        <v>86.656807</v>
      </c>
      <c r="AB23" t="str">
        <v>97.222420</v>
      </c>
      <c r="AC23" t="str">
        <v>0.108675</v>
      </c>
      <c r="AD23" t="str">
        <v>0.5</v>
      </c>
      <c r="AE23" t="str">
        <v>0.80</v>
      </c>
      <c r="AF23" t="str">
        <f>AC23*AD23*AE23*AQ23</f>
        <v>6.806445</v>
      </c>
      <c r="AG23" t="str">
        <v>1.000000</v>
      </c>
      <c r="AH23" t="str">
        <v>23.64</v>
      </c>
      <c r="AI23" t="str">
        <v>23.77</v>
      </c>
      <c r="AJ23" t="str">
        <v>22.30</v>
      </c>
      <c r="AK23" t="str">
        <v>20.49</v>
      </c>
      <c r="AL23" t="str">
        <f>(AK23-AJ23)*(AJ23*0+0)+AK23</f>
        <v>20.49</v>
      </c>
      <c r="AM23" t="str">
        <v>90.94</v>
      </c>
      <c r="AN23" t="str">
        <v>156.6</v>
      </c>
      <c r="AO23" t="str">
        <v>158.6</v>
      </c>
      <c r="AP23" t="str">
        <v>-1.3</v>
      </c>
      <c r="AQ23" t="str">
        <v>157</v>
      </c>
      <c r="AR23" t="str">
        <v>3.920</v>
      </c>
      <c r="AS23" t="str">
        <v>14:23:54</v>
      </c>
      <c r="AT23" t="str">
        <v>2025-12-10</v>
      </c>
      <c r="AU23" t="str">
        <v>-0.06</v>
      </c>
      <c r="AV23" t="str">
        <v>1</v>
      </c>
      <c r="AW23" t="str">
        <v>0.000</v>
      </c>
      <c r="AX23" t="str">
        <v>-0.002</v>
      </c>
      <c r="AY23" t="str">
        <v>-9999.000</v>
      </c>
      <c r="AZ23" t="str">
        <v>0.029</v>
      </c>
      <c r="BA23" t="str">
        <v>0.046</v>
      </c>
      <c r="BB23" t="str">
        <v>-9999.000</v>
      </c>
      <c r="BC23" t="str">
        <v>1</v>
      </c>
      <c r="BD23" t="str">
        <v>150</v>
      </c>
      <c r="BE23" t="str">
        <v>0.005</v>
      </c>
      <c r="BF23" t="str">
        <v>2.000000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0</v>
      </c>
      <c r="BO23" t="str">
        <v>mpf</v>
      </c>
      <c r="BP23" t="str">
        <v>7000</v>
      </c>
      <c r="BQ23" t="str">
        <v>500</v>
      </c>
      <c r="BR23" t="str">
        <v>5.000000</v>
      </c>
      <c r="BS23" t="str">
        <v>2.000000</v>
      </c>
      <c r="BT23" t="str">
        <v>300</v>
      </c>
      <c r="BU23" t="str">
        <v>300</v>
      </c>
      <c r="BV23" t="str">
        <v>300</v>
      </c>
      <c r="BW23" t="str">
        <v>97.003342</v>
      </c>
      <c r="BX23" t="str">
        <v>25</v>
      </c>
      <c r="BY23" t="str">
        <v>-0.133050</v>
      </c>
      <c r="BZ23" t="str">
        <v>96.894981</v>
      </c>
      <c r="CA23" t="str">
        <v>97.032227</v>
      </c>
      <c r="CB23" t="str">
        <v>-0.137245</v>
      </c>
      <c r="CC23" t="str">
        <v>2.431040</v>
      </c>
      <c r="CD23" t="str">
        <v>2.444832</v>
      </c>
      <c r="CE23" t="str">
        <v>1.654496</v>
      </c>
      <c r="CF23" t="str">
        <v>0.943019</v>
      </c>
      <c r="CG23" t="str">
        <v>0.303833</v>
      </c>
      <c r="CH23" t="str">
        <v>-0.019352</v>
      </c>
      <c r="CI23" t="str">
        <v>0.143072</v>
      </c>
      <c r="CJ23" t="str">
        <v>0.248154</v>
      </c>
      <c r="CK23" t="str">
        <v>86.656807</v>
      </c>
      <c r="CL23" t="str">
        <v>0.000240</v>
      </c>
      <c r="CM23" t="str">
        <v>2.388960</v>
      </c>
      <c r="CN23" t="str">
        <v>-0.000025</v>
      </c>
      <c r="CO23" t="str">
        <v>1.000000</v>
      </c>
      <c r="CP23" t="str">
        <v>2.402765</v>
      </c>
      <c r="CQ23" t="str">
        <v>-0.000034</v>
      </c>
      <c r="CR23" t="str">
        <v>1.000000</v>
      </c>
      <c r="CS23" t="str">
        <v>0.600816</v>
      </c>
      <c r="CT23" t="str">
        <v>0.600971</v>
      </c>
      <c r="CU23" t="str">
        <v>0.107301</v>
      </c>
      <c r="CV23" t="str">
        <v>0.000000</v>
      </c>
      <c r="CW23" t="str">
        <v>PSF-00438_20251210142506_82f</v>
      </c>
      <c r="CX23" t="str">
        <v>PFA-00474</v>
      </c>
      <c r="CY23" t="str">
        <v>PSA-00486</v>
      </c>
      <c r="CZ23" t="str">
        <v>PSF-00438</v>
      </c>
      <c r="DA23" t="str">
        <v>RHS-00603</v>
      </c>
      <c r="DB23" t="str">
        <v>3.0.0</v>
      </c>
      <c r="DC23" t="str">
        <v>2025-03-10T14:27:16.709Z</v>
      </c>
    </row>
    <row r="24">
      <c r="A24" t="str">
        <v>21</v>
      </c>
      <c r="B24" t="str">
        <v>14:25:24</v>
      </c>
      <c r="C24" t="str">
        <v>2025-12-10</v>
      </c>
      <c r="D24" t="str">
        <v>TT25_psf</v>
      </c>
      <c r="E24" t="str">
        <v>eap</v>
      </c>
      <c r="F24" t="str">
        <v/>
      </c>
      <c r="G24" t="str">
        <v>5040_Tri_orange</v>
      </c>
      <c r="H24" t="str">
        <v/>
      </c>
      <c r="I24" t="str">
        <v/>
      </c>
      <c r="J24" t="str">
        <f>1/((1/L24)-(1/K24))</f>
        <v>0.023308</v>
      </c>
      <c r="K24" t="str">
        <f>BH24+(BI24*AN24)+(BJ24*AN24*POWER(V24,2))+(BK24*AN24*V24)+(BL24*POWER(AN24,2))</f>
        <v>2.922898</v>
      </c>
      <c r="L24" t="str">
        <f>((M24/1000)*(1000-((T24+S24)/2)))/(T24-S24)</f>
        <v>0.023123</v>
      </c>
      <c r="M24" t="str">
        <f>(AN24*(S24-R24))/(100*U24*(1000-S24))*1000</f>
        <v>0.472907</v>
      </c>
      <c r="N24" t="str">
        <v>0.631904</v>
      </c>
      <c r="O24" t="str">
        <v>0.619876</v>
      </c>
      <c r="P24" t="str">
        <f>0.61365*EXP((17.502*AL24)/(240.97+AL24))</f>
        <v>2.460011</v>
      </c>
      <c r="Q24" t="str">
        <f>P24-N24</f>
        <v>1.828107</v>
      </c>
      <c r="R24" t="str">
        <v>6.816866</v>
      </c>
      <c r="S24" t="str">
        <v>6.949140</v>
      </c>
      <c r="T24" t="str">
        <f>(P24/AM24)*1000</f>
        <v>27.053080</v>
      </c>
      <c r="U24" t="str">
        <f>V24*BG24</f>
        <v>0.441786</v>
      </c>
      <c r="V24" t="str">
        <v>7.500000</v>
      </c>
      <c r="W24" t="str">
        <v>PSF-00438_20251210142524_848</v>
      </c>
      <c r="X24" t="str">
        <v>0.000000</v>
      </c>
      <c r="Y24" t="str">
        <v>0.000000</v>
      </c>
      <c r="Z24" t="str">
        <v>0.000000</v>
      </c>
      <c r="AA24" t="str">
        <v>88.787552</v>
      </c>
      <c r="AB24" t="str">
        <v>130.607773</v>
      </c>
      <c r="AC24" t="str">
        <v>0.320197</v>
      </c>
      <c r="AD24" t="str">
        <v>0.5</v>
      </c>
      <c r="AE24" t="str">
        <v>0.80</v>
      </c>
      <c r="AF24" t="str">
        <f>AC24*AD24*AE24*AQ24</f>
        <v>24.030090</v>
      </c>
      <c r="AG24" t="str">
        <v>1.000000</v>
      </c>
      <c r="AH24" t="str">
        <v>23.36</v>
      </c>
      <c r="AI24" t="str">
        <v>22.92</v>
      </c>
      <c r="AJ24" t="str">
        <v>22.31</v>
      </c>
      <c r="AK24" t="str">
        <v>20.76</v>
      </c>
      <c r="AL24" t="str">
        <f>(AK24-AJ24)*(AJ24*0+0)+AK24</f>
        <v>20.76</v>
      </c>
      <c r="AM24" t="str">
        <v>90.93</v>
      </c>
      <c r="AN24" t="str">
        <v>156.9</v>
      </c>
      <c r="AO24" t="str">
        <v>136.0</v>
      </c>
      <c r="AP24" t="str">
        <v>13.3</v>
      </c>
      <c r="AQ24" t="str">
        <v>188</v>
      </c>
      <c r="AR24" t="str">
        <v>3.891</v>
      </c>
      <c r="AS24" t="str">
        <v>14:23:54</v>
      </c>
      <c r="AT24" t="str">
        <v>2025-12-10</v>
      </c>
      <c r="AU24" t="str">
        <v>-0.06</v>
      </c>
      <c r="AV24" t="str">
        <v>1</v>
      </c>
      <c r="AW24" t="str">
        <v>0.001</v>
      </c>
      <c r="AX24" t="str">
        <v>0.001</v>
      </c>
      <c r="AY24" t="str">
        <v>-9999.000</v>
      </c>
      <c r="AZ24" t="str">
        <v>-0.592</v>
      </c>
      <c r="BA24" t="str">
        <v>0.167</v>
      </c>
      <c r="BB24" t="str">
        <v>-9999.000</v>
      </c>
      <c r="BC24" t="str">
        <v>1</v>
      </c>
      <c r="BD24" t="str">
        <v>150</v>
      </c>
      <c r="BE24" t="str">
        <v>0.005</v>
      </c>
      <c r="BF24" t="str">
        <v>2.000000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0</v>
      </c>
      <c r="BO24" t="str">
        <v>mpf</v>
      </c>
      <c r="BP24" t="str">
        <v>7000</v>
      </c>
      <c r="BQ24" t="str">
        <v>500</v>
      </c>
      <c r="BR24" t="str">
        <v>5.000000</v>
      </c>
      <c r="BS24" t="str">
        <v>2.000000</v>
      </c>
      <c r="BT24" t="str">
        <v>300</v>
      </c>
      <c r="BU24" t="str">
        <v>300</v>
      </c>
      <c r="BV24" t="str">
        <v>300</v>
      </c>
      <c r="BW24" t="str">
        <v>130.330688</v>
      </c>
      <c r="BX24" t="str">
        <v>25</v>
      </c>
      <c r="BY24" t="str">
        <v>-0.159478</v>
      </c>
      <c r="BZ24" t="str">
        <v>130.451553</v>
      </c>
      <c r="CA24" t="str">
        <v>130.379807</v>
      </c>
      <c r="CB24" t="str">
        <v>0.071747</v>
      </c>
      <c r="CC24" t="str">
        <v>2.429732</v>
      </c>
      <c r="CD24" t="str">
        <v>2.444403</v>
      </c>
      <c r="CE24" t="str">
        <v>1.656747</v>
      </c>
      <c r="CF24" t="str">
        <v>0.886354</v>
      </c>
      <c r="CG24" t="str">
        <v>0.303653</v>
      </c>
      <c r="CH24" t="str">
        <v>-0.016476</v>
      </c>
      <c r="CI24" t="str">
        <v>0.145181</v>
      </c>
      <c r="CJ24" t="str">
        <v>0.276078</v>
      </c>
      <c r="CK24" t="str">
        <v>88.787552</v>
      </c>
      <c r="CL24" t="str">
        <v>0.000239</v>
      </c>
      <c r="CM24" t="str">
        <v>2.388960</v>
      </c>
      <c r="CN24" t="str">
        <v>-0.000025</v>
      </c>
      <c r="CO24" t="str">
        <v>1.000000</v>
      </c>
      <c r="CP24" t="str">
        <v>2.402765</v>
      </c>
      <c r="CQ24" t="str">
        <v>-0.000034</v>
      </c>
      <c r="CR24" t="str">
        <v>1.000000</v>
      </c>
      <c r="CS24" t="str">
        <v>0.600816</v>
      </c>
      <c r="CT24" t="str">
        <v>0.600971</v>
      </c>
      <c r="CU24" t="str">
        <v>0.107301</v>
      </c>
      <c r="CV24" t="str">
        <v>0.000000</v>
      </c>
      <c r="CW24" t="str">
        <v>PSF-00438_20251210142524_848</v>
      </c>
      <c r="CX24" t="str">
        <v>PFA-00474</v>
      </c>
      <c r="CY24" t="str">
        <v>PSA-00486</v>
      </c>
      <c r="CZ24" t="str">
        <v>PSF-00438</v>
      </c>
      <c r="DA24" t="str">
        <v>RHS-00603</v>
      </c>
      <c r="DB24" t="str">
        <v>3.0.0</v>
      </c>
      <c r="DC24" t="str">
        <v>2025-03-10T14:27:16.709Z</v>
      </c>
    </row>
    <row r="25">
      <c r="A25" t="str">
        <v>22</v>
      </c>
      <c r="B25" t="str">
        <v>14:25:42</v>
      </c>
      <c r="C25" t="str">
        <v>2025-12-10</v>
      </c>
      <c r="D25" t="str">
        <v>TT25_psf</v>
      </c>
      <c r="E25" t="str">
        <v>eap</v>
      </c>
      <c r="F25" t="str">
        <v/>
      </c>
      <c r="G25" t="str">
        <v>902_Tri_orange</v>
      </c>
      <c r="H25" t="str">
        <v/>
      </c>
      <c r="I25" t="str">
        <v/>
      </c>
      <c r="J25" t="str">
        <f>1/((1/L25)-(1/K25))</f>
        <v>0.011876</v>
      </c>
      <c r="K25" t="str">
        <f>BH25+(BI25*AN25)+(BJ25*AN25*POWER(V25,2))+(BK25*AN25*V25)+(BL25*POWER(AN25,2))</f>
        <v>2.922047</v>
      </c>
      <c r="L25" t="str">
        <f>((M25/1000)*(1000-((T25+S25)/2)))/(T25-S25)</f>
        <v>0.011828</v>
      </c>
      <c r="M25" t="str">
        <f>(AN25*(S25-R25))/(100*U25*(1000-S25))*1000</f>
        <v>0.242056</v>
      </c>
      <c r="N25" t="str">
        <v>0.604876</v>
      </c>
      <c r="O25" t="str">
        <v>0.598713</v>
      </c>
      <c r="P25" t="str">
        <f>0.61365*EXP((17.502*AL25)/(240.97+AL25))</f>
        <v>2.434789</v>
      </c>
      <c r="Q25" t="str">
        <f>P25-N25</f>
        <v>1.829913</v>
      </c>
      <c r="R25" t="str">
        <v>6.583971</v>
      </c>
      <c r="S25" t="str">
        <v>6.651741</v>
      </c>
      <c r="T25" t="str">
        <f>(P25/AM25)*1000</f>
        <v>26.775045</v>
      </c>
      <c r="U25" t="str">
        <f>V25*BG25</f>
        <v>0.441786</v>
      </c>
      <c r="V25" t="str">
        <v>7.500000</v>
      </c>
      <c r="W25" t="str">
        <v>PSF-00438_20251210142542_09c</v>
      </c>
      <c r="X25" t="str">
        <v>0.000000</v>
      </c>
      <c r="Y25" t="str">
        <v>0.000000</v>
      </c>
      <c r="Z25" t="str">
        <v>0.000000</v>
      </c>
      <c r="AA25" t="str">
        <v>109.716652</v>
      </c>
      <c r="AB25" t="str">
        <v>222.944153</v>
      </c>
      <c r="AC25" t="str">
        <v>0.507874</v>
      </c>
      <c r="AD25" t="str">
        <v>0.5</v>
      </c>
      <c r="AE25" t="str">
        <v>0.80</v>
      </c>
      <c r="AF25" t="str">
        <f>AC25*AD25*AE25*AQ25</f>
        <v>32.716866</v>
      </c>
      <c r="AG25" t="str">
        <v>1.000000</v>
      </c>
      <c r="AH25" t="str">
        <v>22.35</v>
      </c>
      <c r="AI25" t="str">
        <v>22.12</v>
      </c>
      <c r="AJ25" t="str">
        <v>22.33</v>
      </c>
      <c r="AK25" t="str">
        <v>20.60</v>
      </c>
      <c r="AL25" t="str">
        <f>(AK25-AJ25)*(AJ25*0+0)+AK25</f>
        <v>20.60</v>
      </c>
      <c r="AM25" t="str">
        <v>90.93</v>
      </c>
      <c r="AN25" t="str">
        <v>156.7</v>
      </c>
      <c r="AO25" t="str">
        <v>158.4</v>
      </c>
      <c r="AP25" t="str">
        <v>-1.1</v>
      </c>
      <c r="AQ25" t="str">
        <v>161</v>
      </c>
      <c r="AR25" t="str">
        <v>3.920</v>
      </c>
      <c r="AS25" t="str">
        <v>14:23:54</v>
      </c>
      <c r="AT25" t="str">
        <v>2025-12-10</v>
      </c>
      <c r="AU25" t="str">
        <v>-0.06</v>
      </c>
      <c r="AV25" t="str">
        <v>1</v>
      </c>
      <c r="AW25" t="str">
        <v>0.000</v>
      </c>
      <c r="AX25" t="str">
        <v>0.001</v>
      </c>
      <c r="AY25" t="str">
        <v>-9999.000</v>
      </c>
      <c r="AZ25" t="str">
        <v>0.532</v>
      </c>
      <c r="BA25" t="str">
        <v>0.486</v>
      </c>
      <c r="BB25" t="str">
        <v>-9999.000</v>
      </c>
      <c r="BC25" t="str">
        <v>1</v>
      </c>
      <c r="BD25" t="str">
        <v>150</v>
      </c>
      <c r="BE25" t="str">
        <v>0.005</v>
      </c>
      <c r="BF25" t="str">
        <v>2.000000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0</v>
      </c>
      <c r="BO25" t="str">
        <v>mpf</v>
      </c>
      <c r="BP25" t="str">
        <v>7000</v>
      </c>
      <c r="BQ25" t="str">
        <v>500</v>
      </c>
      <c r="BR25" t="str">
        <v>5.000000</v>
      </c>
      <c r="BS25" t="str">
        <v>2.000000</v>
      </c>
      <c r="BT25" t="str">
        <v>300</v>
      </c>
      <c r="BU25" t="str">
        <v>300</v>
      </c>
      <c r="BV25" t="str">
        <v>300</v>
      </c>
      <c r="BW25" t="str">
        <v>220.088120</v>
      </c>
      <c r="BX25" t="str">
        <v>25</v>
      </c>
      <c r="BY25" t="str">
        <v>-1.902804</v>
      </c>
      <c r="BZ25" t="str">
        <v>220.680359</v>
      </c>
      <c r="CA25" t="str">
        <v>220.224106</v>
      </c>
      <c r="CB25" t="str">
        <v>0.456253</v>
      </c>
      <c r="CC25" t="str">
        <v>2.428487</v>
      </c>
      <c r="CD25" t="str">
        <v>2.442813</v>
      </c>
      <c r="CE25" t="str">
        <v>1.655854</v>
      </c>
      <c r="CF25" t="str">
        <v>0.942386</v>
      </c>
      <c r="CG25" t="str">
        <v>0.303494</v>
      </c>
      <c r="CH25" t="str">
        <v>-0.018446</v>
      </c>
      <c r="CI25" t="str">
        <v>0.147354</v>
      </c>
      <c r="CJ25" t="str">
        <v>0.252175</v>
      </c>
      <c r="CK25" t="str">
        <v>109.716652</v>
      </c>
      <c r="CL25" t="str">
        <v>0.000240</v>
      </c>
      <c r="CM25" t="str">
        <v>2.388960</v>
      </c>
      <c r="CN25" t="str">
        <v>-0.000025</v>
      </c>
      <c r="CO25" t="str">
        <v>1.000000</v>
      </c>
      <c r="CP25" t="str">
        <v>2.402765</v>
      </c>
      <c r="CQ25" t="str">
        <v>-0.000034</v>
      </c>
      <c r="CR25" t="str">
        <v>1.000000</v>
      </c>
      <c r="CS25" t="str">
        <v>0.600816</v>
      </c>
      <c r="CT25" t="str">
        <v>0.600971</v>
      </c>
      <c r="CU25" t="str">
        <v>0.107301</v>
      </c>
      <c r="CV25" t="str">
        <v>0.000000</v>
      </c>
      <c r="CW25" t="str">
        <v>PSF-00438_20251210142542_09c</v>
      </c>
      <c r="CX25" t="str">
        <v>PFA-00474</v>
      </c>
      <c r="CY25" t="str">
        <v>PSA-00486</v>
      </c>
      <c r="CZ25" t="str">
        <v>PSF-00438</v>
      </c>
      <c r="DA25" t="str">
        <v>RHS-00603</v>
      </c>
      <c r="DB25" t="str">
        <v>3.0.0</v>
      </c>
      <c r="DC25" t="str">
        <v>2025-03-10T14:27:16.709Z</v>
      </c>
    </row>
    <row r="26">
      <c r="A26" t="str">
        <v>23</v>
      </c>
      <c r="B26" t="str">
        <v>14:26:07</v>
      </c>
      <c r="C26" t="str">
        <v>2025-12-10</v>
      </c>
      <c r="D26" t="str">
        <v>TT25_psf</v>
      </c>
      <c r="E26" t="str">
        <v>eap</v>
      </c>
      <c r="F26" t="str">
        <v/>
      </c>
      <c r="G26" t="str">
        <v>5852_Tri_orange</v>
      </c>
      <c r="H26" t="str">
        <v/>
      </c>
      <c r="I26" t="str">
        <v/>
      </c>
      <c r="J26" t="str">
        <f>1/((1/L26)-(1/K26))</f>
        <v>-0.005304</v>
      </c>
      <c r="K26" t="str">
        <f>BH26+(BI26*AN26)+(BJ26*AN26*POWER(V26,2))+(BK26*AN26*V26)+(BL26*POWER(AN26,2))</f>
        <v>2.921067</v>
      </c>
      <c r="L26" t="str">
        <f>((M26/1000)*(1000-((T26+S26)/2)))/(T26-S26)</f>
        <v>-0.005313</v>
      </c>
      <c r="M26" t="str">
        <f>(AN26*(S26-R26))/(100*U26*(1000-S26))*1000</f>
        <v>-0.108686</v>
      </c>
      <c r="N26" t="str">
        <v>0.614381</v>
      </c>
      <c r="O26" t="str">
        <v>0.617150</v>
      </c>
      <c r="P26" t="str">
        <f>0.61365*EXP((17.502*AL26)/(240.97+AL26))</f>
        <v>2.443184</v>
      </c>
      <c r="Q26" t="str">
        <f>P26-N26</f>
        <v>1.828804</v>
      </c>
      <c r="R26" t="str">
        <v>6.786880</v>
      </c>
      <c r="S26" t="str">
        <v>6.756431</v>
      </c>
      <c r="T26" t="str">
        <f>(P26/AM26)*1000</f>
        <v>26.868036</v>
      </c>
      <c r="U26" t="str">
        <f>V26*BG26</f>
        <v>0.441786</v>
      </c>
      <c r="V26" t="str">
        <v>7.500000</v>
      </c>
      <c r="W26" t="str">
        <v>PSF-00438_20251210142607_3f4</v>
      </c>
      <c r="X26" t="str">
        <v>0.000000</v>
      </c>
      <c r="Y26" t="str">
        <v>0.000000</v>
      </c>
      <c r="Z26" t="str">
        <v>0.000000</v>
      </c>
      <c r="AA26" t="str">
        <v>80.121521</v>
      </c>
      <c r="AB26" t="str">
        <v>84.012184</v>
      </c>
      <c r="AC26" t="str">
        <v>0.046311</v>
      </c>
      <c r="AD26" t="str">
        <v>0.5</v>
      </c>
      <c r="AE26" t="str">
        <v>0.80</v>
      </c>
      <c r="AF26" t="str">
        <f>AC26*AD26*AE26*AQ26</f>
        <v>4.325562</v>
      </c>
      <c r="AG26" t="str">
        <v>1.000000</v>
      </c>
      <c r="AH26" t="str">
        <v>22.67</v>
      </c>
      <c r="AI26" t="str">
        <v>22.77</v>
      </c>
      <c r="AJ26" t="str">
        <v>22.35</v>
      </c>
      <c r="AK26" t="str">
        <v>20.65</v>
      </c>
      <c r="AL26" t="str">
        <f>(AK26-AJ26)*(AJ26*0+0)+AK26</f>
        <v>20.65</v>
      </c>
      <c r="AM26" t="str">
        <v>90.93</v>
      </c>
      <c r="AN26" t="str">
        <v>156.6</v>
      </c>
      <c r="AO26" t="str">
        <v>158.6</v>
      </c>
      <c r="AP26" t="str">
        <v>-1.3</v>
      </c>
      <c r="AQ26" t="str">
        <v>234</v>
      </c>
      <c r="AR26" t="str">
        <v>3.886</v>
      </c>
      <c r="AS26" t="str">
        <v>14:23:54</v>
      </c>
      <c r="AT26" t="str">
        <v>2025-12-10</v>
      </c>
      <c r="AU26" t="str">
        <v>-0.06</v>
      </c>
      <c r="AV26" t="str">
        <v>1</v>
      </c>
      <c r="AW26" t="str">
        <v>0.000</v>
      </c>
      <c r="AX26" t="str">
        <v>0.001</v>
      </c>
      <c r="AY26" t="str">
        <v>-9999.000</v>
      </c>
      <c r="AZ26" t="str">
        <v>0.913</v>
      </c>
      <c r="BA26" t="str">
        <v>-0.370</v>
      </c>
      <c r="BB26" t="str">
        <v>-9999.000</v>
      </c>
      <c r="BC26" t="str">
        <v>1</v>
      </c>
      <c r="BD26" t="str">
        <v>150</v>
      </c>
      <c r="BE26" t="str">
        <v>0.005</v>
      </c>
      <c r="BF26" t="str">
        <v>2.000000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0</v>
      </c>
      <c r="BO26" t="str">
        <v>mpf</v>
      </c>
      <c r="BP26" t="str">
        <v>7000</v>
      </c>
      <c r="BQ26" t="str">
        <v>500</v>
      </c>
      <c r="BR26" t="str">
        <v>5.000000</v>
      </c>
      <c r="BS26" t="str">
        <v>2.000000</v>
      </c>
      <c r="BT26" t="str">
        <v>300</v>
      </c>
      <c r="BU26" t="str">
        <v>300</v>
      </c>
      <c r="BV26" t="str">
        <v>300</v>
      </c>
      <c r="BW26" t="str">
        <v>83.725334</v>
      </c>
      <c r="BX26" t="str">
        <v>25</v>
      </c>
      <c r="BY26" t="str">
        <v>-0.176793</v>
      </c>
      <c r="BZ26" t="str">
        <v>83.570480</v>
      </c>
      <c r="CA26" t="str">
        <v>83.759460</v>
      </c>
      <c r="CB26" t="str">
        <v>-0.188980</v>
      </c>
      <c r="CC26" t="str">
        <v>2.429502</v>
      </c>
      <c r="CD26" t="str">
        <v>2.443319</v>
      </c>
      <c r="CE26" t="str">
        <v>1.654828</v>
      </c>
      <c r="CF26" t="str">
        <v>0.943020</v>
      </c>
      <c r="CG26" t="str">
        <v>0.303260</v>
      </c>
      <c r="CH26" t="str">
        <v>-0.018051</v>
      </c>
      <c r="CI26" t="str">
        <v>0.150380</v>
      </c>
      <c r="CJ26" t="str">
        <v>0.317357</v>
      </c>
      <c r="CK26" t="str">
        <v>80.121521</v>
      </c>
      <c r="CL26" t="str">
        <v>0.000238</v>
      </c>
      <c r="CM26" t="str">
        <v>2.388960</v>
      </c>
      <c r="CN26" t="str">
        <v>-0.000025</v>
      </c>
      <c r="CO26" t="str">
        <v>1.000000</v>
      </c>
      <c r="CP26" t="str">
        <v>2.402765</v>
      </c>
      <c r="CQ26" t="str">
        <v>-0.000034</v>
      </c>
      <c r="CR26" t="str">
        <v>1.000000</v>
      </c>
      <c r="CS26" t="str">
        <v>0.600816</v>
      </c>
      <c r="CT26" t="str">
        <v>0.600971</v>
      </c>
      <c r="CU26" t="str">
        <v>0.107301</v>
      </c>
      <c r="CV26" t="str">
        <v>0.000000</v>
      </c>
      <c r="CW26" t="str">
        <v>PSF-00438_20251210142607_3f4</v>
      </c>
      <c r="CX26" t="str">
        <v>PFA-00474</v>
      </c>
      <c r="CY26" t="str">
        <v>PSA-00486</v>
      </c>
      <c r="CZ26" t="str">
        <v>PSF-00438</v>
      </c>
      <c r="DA26" t="str">
        <v>RHS-00603</v>
      </c>
      <c r="DB26" t="str">
        <v>3.0.0</v>
      </c>
      <c r="DC26" t="str">
        <v>2025-03-10T14:27:16.709Z</v>
      </c>
    </row>
    <row r="27">
      <c r="A27" t="str">
        <v>24</v>
      </c>
      <c r="B27" t="str">
        <v>14:26:28</v>
      </c>
      <c r="C27" t="str">
        <v>2025-12-10</v>
      </c>
      <c r="D27" t="str">
        <v>TT25_psf</v>
      </c>
      <c r="E27" t="str">
        <v>eap</v>
      </c>
      <c r="F27" t="str">
        <v/>
      </c>
      <c r="G27" t="str">
        <v>9145_Tri_orange</v>
      </c>
      <c r="H27" t="str">
        <v/>
      </c>
      <c r="I27" t="str">
        <v/>
      </c>
      <c r="J27" t="str">
        <f>1/((1/L27)-(1/K27))</f>
        <v>0.002804</v>
      </c>
      <c r="K27" t="str">
        <f>BH27+(BI27*AN27)+(BJ27*AN27*POWER(V27,2))+(BK27*AN27*V27)+(BL27*POWER(AN27,2))</f>
        <v>2.921157</v>
      </c>
      <c r="L27" t="str">
        <f>((M27/1000)*(1000-((T27+S27)/2)))/(T27-S27)</f>
        <v>0.002801</v>
      </c>
      <c r="M27" t="str">
        <f>(AN27*(S27-R27))/(100*U27*(1000-S27))*1000</f>
        <v>0.061789</v>
      </c>
      <c r="N27" t="str">
        <v>0.623629</v>
      </c>
      <c r="O27" t="str">
        <v>0.622055</v>
      </c>
      <c r="P27" t="str">
        <f>0.61365*EXP((17.502*AL27)/(240.97+AL27))</f>
        <v>2.593738</v>
      </c>
      <c r="Q27" t="str">
        <f>P27-N27</f>
        <v>1.970109</v>
      </c>
      <c r="R27" t="str">
        <v>6.841313</v>
      </c>
      <c r="S27" t="str">
        <v>6.858621</v>
      </c>
      <c r="T27" t="str">
        <f>(P27/AM27)*1000</f>
        <v>28.525732</v>
      </c>
      <c r="U27" t="str">
        <f>V27*BG27</f>
        <v>0.441786</v>
      </c>
      <c r="V27" t="str">
        <v>7.500000</v>
      </c>
      <c r="W27" t="str">
        <v>PSF-00438_20251210142628_486</v>
      </c>
      <c r="X27" t="str">
        <v>0.000000</v>
      </c>
      <c r="Y27" t="str">
        <v>0.000000</v>
      </c>
      <c r="Z27" t="str">
        <v>0.000000</v>
      </c>
      <c r="AA27" t="str">
        <v>97.858788</v>
      </c>
      <c r="AB27" t="str">
        <v>143.114502</v>
      </c>
      <c r="AC27" t="str">
        <v>0.316220</v>
      </c>
      <c r="AD27" t="str">
        <v>0.5</v>
      </c>
      <c r="AE27" t="str">
        <v>0.80</v>
      </c>
      <c r="AF27" t="str">
        <f>AC27*AD27*AE27*AQ27</f>
        <v>27.025982</v>
      </c>
      <c r="AG27" t="str">
        <v>1.000000</v>
      </c>
      <c r="AH27" t="str">
        <v>22.99</v>
      </c>
      <c r="AI27" t="str">
        <v>22.93</v>
      </c>
      <c r="AJ27" t="str">
        <v>22.36</v>
      </c>
      <c r="AK27" t="str">
        <v>21.63</v>
      </c>
      <c r="AL27" t="str">
        <f>(AK27-AJ27)*(AJ27*0+0)+AK27</f>
        <v>21.63</v>
      </c>
      <c r="AM27" t="str">
        <v>90.93</v>
      </c>
      <c r="AN27" t="str">
        <v>156.6</v>
      </c>
      <c r="AO27" t="str">
        <v>158.1</v>
      </c>
      <c r="AP27" t="str">
        <v>-0.9</v>
      </c>
      <c r="AQ27" t="str">
        <v>214</v>
      </c>
      <c r="AR27" t="str">
        <v>3.885</v>
      </c>
      <c r="AS27" t="str">
        <v>14:23:54</v>
      </c>
      <c r="AT27" t="str">
        <v>2025-12-10</v>
      </c>
      <c r="AU27" t="str">
        <v>-0.06</v>
      </c>
      <c r="AV27" t="str">
        <v>1</v>
      </c>
      <c r="AW27" t="str">
        <v>0.001</v>
      </c>
      <c r="AX27" t="str">
        <v>0.000</v>
      </c>
      <c r="AY27" t="str">
        <v>-9999.000</v>
      </c>
      <c r="AZ27" t="str">
        <v>1.498</v>
      </c>
      <c r="BA27" t="str">
        <v>0.533</v>
      </c>
      <c r="BB27" t="str">
        <v>-9999.000</v>
      </c>
      <c r="BC27" t="str">
        <v>1</v>
      </c>
      <c r="BD27" t="str">
        <v>150</v>
      </c>
      <c r="BE27" t="str">
        <v>0.005</v>
      </c>
      <c r="BF27" t="str">
        <v>2.000000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0</v>
      </c>
      <c r="BO27" t="str">
        <v>mpf</v>
      </c>
      <c r="BP27" t="str">
        <v>7000</v>
      </c>
      <c r="BQ27" t="str">
        <v>500</v>
      </c>
      <c r="BR27" t="str">
        <v>5.000000</v>
      </c>
      <c r="BS27" t="str">
        <v>2.000000</v>
      </c>
      <c r="BT27" t="str">
        <v>300</v>
      </c>
      <c r="BU27" t="str">
        <v>300</v>
      </c>
      <c r="BV27" t="str">
        <v>300</v>
      </c>
      <c r="BW27" t="str">
        <v>141.173248</v>
      </c>
      <c r="BX27" t="str">
        <v>25</v>
      </c>
      <c r="BY27" t="str">
        <v>-1.389739</v>
      </c>
      <c r="BZ27" t="str">
        <v>141.028412</v>
      </c>
      <c r="CA27" t="str">
        <v>141.127884</v>
      </c>
      <c r="CB27" t="str">
        <v>-0.099472</v>
      </c>
      <c r="CC27" t="str">
        <v>2.429746</v>
      </c>
      <c r="CD27" t="str">
        <v>2.443815</v>
      </c>
      <c r="CE27" t="str">
        <v>1.654923</v>
      </c>
      <c r="CF27" t="str">
        <v>0.941517</v>
      </c>
      <c r="CG27" t="str">
        <v>0.303067</v>
      </c>
      <c r="CH27" t="str">
        <v>-0.007546</v>
      </c>
      <c r="CI27" t="str">
        <v>0.152765</v>
      </c>
      <c r="CJ27" t="str">
        <v>0.299507</v>
      </c>
      <c r="CK27" t="str">
        <v>97.858788</v>
      </c>
      <c r="CL27" t="str">
        <v>0.000237</v>
      </c>
      <c r="CM27" t="str">
        <v>2.388960</v>
      </c>
      <c r="CN27" t="str">
        <v>-0.000025</v>
      </c>
      <c r="CO27" t="str">
        <v>1.000000</v>
      </c>
      <c r="CP27" t="str">
        <v>2.402765</v>
      </c>
      <c r="CQ27" t="str">
        <v>-0.000034</v>
      </c>
      <c r="CR27" t="str">
        <v>1.000000</v>
      </c>
      <c r="CS27" t="str">
        <v>0.600816</v>
      </c>
      <c r="CT27" t="str">
        <v>0.600971</v>
      </c>
      <c r="CU27" t="str">
        <v>0.107301</v>
      </c>
      <c r="CV27" t="str">
        <v>0.000000</v>
      </c>
      <c r="CW27" t="str">
        <v>PSF-00438_20251210142628_486</v>
      </c>
      <c r="CX27" t="str">
        <v>PFA-00474</v>
      </c>
      <c r="CY27" t="str">
        <v>PSA-00486</v>
      </c>
      <c r="CZ27" t="str">
        <v>PSF-00438</v>
      </c>
      <c r="DA27" t="str">
        <v>RHS-00603</v>
      </c>
      <c r="DB27" t="str">
        <v>3.0.0</v>
      </c>
      <c r="DC27" t="str">
        <v>2025-03-10T14:27:16.709Z</v>
      </c>
    </row>
    <row r="28">
      <c r="A28" t="str">
        <v>25</v>
      </c>
      <c r="B28" t="str">
        <v>14:27:04</v>
      </c>
      <c r="C28" t="str">
        <v>2025-12-10</v>
      </c>
      <c r="D28" t="str">
        <v>TT25_psf</v>
      </c>
      <c r="E28" t="str">
        <v>eap</v>
      </c>
      <c r="F28" t="str">
        <v/>
      </c>
      <c r="G28" t="str">
        <v>5436_Tri_orange</v>
      </c>
      <c r="H28" t="str">
        <v/>
      </c>
      <c r="I28" t="str">
        <v/>
      </c>
      <c r="J28" t="str">
        <f>1/((1/L28)-(1/K28))</f>
        <v>0.002289</v>
      </c>
      <c r="K28" t="str">
        <f>BH28+(BI28*AN28)+(BJ28*AN28*POWER(V28,2))+(BK28*AN28*V28)+(BL28*POWER(AN28,2))</f>
        <v>2.922359</v>
      </c>
      <c r="L28" t="str">
        <f>((M28/1000)*(1000-((T28+S28)/2)))/(T28-S28)</f>
        <v>0.002288</v>
      </c>
      <c r="M28" t="str">
        <f>(AN28*(S28-R28))/(100*U28*(1000-S28))*1000</f>
        <v>0.051716</v>
      </c>
      <c r="N28" t="str">
        <v>0.646999</v>
      </c>
      <c r="O28" t="str">
        <v>0.645683</v>
      </c>
      <c r="P28" t="str">
        <f>0.61365*EXP((17.502*AL28)/(240.97+AL28))</f>
        <v>2.665176</v>
      </c>
      <c r="Q28" t="str">
        <f>P28-N28</f>
        <v>2.018177</v>
      </c>
      <c r="R28" t="str">
        <v>7.101194</v>
      </c>
      <c r="S28" t="str">
        <v>7.115664</v>
      </c>
      <c r="T28" t="str">
        <f>(P28/AM28)*1000</f>
        <v>29.311481</v>
      </c>
      <c r="U28" t="str">
        <f>V28*BG28</f>
        <v>0.441786</v>
      </c>
      <c r="V28" t="str">
        <v>7.500000</v>
      </c>
      <c r="W28" t="str">
        <v>PSF-00438_20251210142704_473</v>
      </c>
      <c r="X28" t="str">
        <v>0.000000</v>
      </c>
      <c r="Y28" t="str">
        <v>0.000000</v>
      </c>
      <c r="Z28" t="str">
        <v>0.000000</v>
      </c>
      <c r="AA28" t="str">
        <v>82.840919</v>
      </c>
      <c r="AB28" t="str">
        <v>93.655479</v>
      </c>
      <c r="AC28" t="str">
        <v>0.115472</v>
      </c>
      <c r="AD28" t="str">
        <v>0.5</v>
      </c>
      <c r="AE28" t="str">
        <v>0.80</v>
      </c>
      <c r="AF28" t="str">
        <f>AC28*AD28*AE28*AQ28</f>
        <v>10.335185</v>
      </c>
      <c r="AG28" t="str">
        <v>1.000000</v>
      </c>
      <c r="AH28" t="str">
        <v>23.80</v>
      </c>
      <c r="AI28" t="str">
        <v>23.75</v>
      </c>
      <c r="AJ28" t="str">
        <v>22.40</v>
      </c>
      <c r="AK28" t="str">
        <v>22.07</v>
      </c>
      <c r="AL28" t="str">
        <f>(AK28-AJ28)*(AJ28*0+0)+AK28</f>
        <v>22.07</v>
      </c>
      <c r="AM28" t="str">
        <v>90.93</v>
      </c>
      <c r="AN28" t="str">
        <v>156.8</v>
      </c>
      <c r="AO28" t="str">
        <v>158.2</v>
      </c>
      <c r="AP28" t="str">
        <v>-0.9</v>
      </c>
      <c r="AQ28" t="str">
        <v>224</v>
      </c>
      <c r="AR28" t="str">
        <v>3.914</v>
      </c>
      <c r="AS28" t="str">
        <v>14:23:54</v>
      </c>
      <c r="AT28" t="str">
        <v>2025-12-10</v>
      </c>
      <c r="AU28" t="str">
        <v>-0.06</v>
      </c>
      <c r="AV28" t="str">
        <v>1</v>
      </c>
      <c r="AW28" t="str">
        <v>0.000</v>
      </c>
      <c r="AX28" t="str">
        <v>0.001</v>
      </c>
      <c r="AY28" t="str">
        <v>-9999.000</v>
      </c>
      <c r="AZ28" t="str">
        <v>0.502</v>
      </c>
      <c r="BA28" t="str">
        <v>0.003</v>
      </c>
      <c r="BB28" t="str">
        <v>-9999.000</v>
      </c>
      <c r="BC28" t="str">
        <v>1</v>
      </c>
      <c r="BD28" t="str">
        <v>150</v>
      </c>
      <c r="BE28" t="str">
        <v>0.005</v>
      </c>
      <c r="BF28" t="str">
        <v>2.000000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0</v>
      </c>
      <c r="BO28" t="str">
        <v>mpf</v>
      </c>
      <c r="BP28" t="str">
        <v>7000</v>
      </c>
      <c r="BQ28" t="str">
        <v>500</v>
      </c>
      <c r="BR28" t="str">
        <v>5.000000</v>
      </c>
      <c r="BS28" t="str">
        <v>2.000000</v>
      </c>
      <c r="BT28" t="str">
        <v>300</v>
      </c>
      <c r="BU28" t="str">
        <v>300</v>
      </c>
      <c r="BV28" t="str">
        <v>300</v>
      </c>
      <c r="BW28" t="str">
        <v>93.629837</v>
      </c>
      <c r="BX28" t="str">
        <v>25</v>
      </c>
      <c r="BY28" t="str">
        <v>0.027339</v>
      </c>
      <c r="BZ28" t="str">
        <v>93.621971</v>
      </c>
      <c r="CA28" t="str">
        <v>93.694557</v>
      </c>
      <c r="CB28" t="str">
        <v>-0.072586</v>
      </c>
      <c r="CC28" t="str">
        <v>2.431001</v>
      </c>
      <c r="CD28" t="str">
        <v>2.445065</v>
      </c>
      <c r="CE28" t="str">
        <v>1.656181</v>
      </c>
      <c r="CF28" t="str">
        <v>0.941940</v>
      </c>
      <c r="CG28" t="str">
        <v>0.302616</v>
      </c>
      <c r="CH28" t="str">
        <v>-0.003043</v>
      </c>
      <c r="CI28" t="str">
        <v>0.157045</v>
      </c>
      <c r="CJ28" t="str">
        <v>0.308589</v>
      </c>
      <c r="CK28" t="str">
        <v>82.840919</v>
      </c>
      <c r="CL28" t="str">
        <v>0.000240</v>
      </c>
      <c r="CM28" t="str">
        <v>2.388960</v>
      </c>
      <c r="CN28" t="str">
        <v>-0.000025</v>
      </c>
      <c r="CO28" t="str">
        <v>1.000000</v>
      </c>
      <c r="CP28" t="str">
        <v>2.402765</v>
      </c>
      <c r="CQ28" t="str">
        <v>-0.000034</v>
      </c>
      <c r="CR28" t="str">
        <v>1.000000</v>
      </c>
      <c r="CS28" t="str">
        <v>0.600816</v>
      </c>
      <c r="CT28" t="str">
        <v>0.600971</v>
      </c>
      <c r="CU28" t="str">
        <v>0.107301</v>
      </c>
      <c r="CV28" t="str">
        <v>0.000000</v>
      </c>
      <c r="CW28" t="str">
        <v>PSF-00438_20251210142704_473</v>
      </c>
      <c r="CX28" t="str">
        <v>PFA-00474</v>
      </c>
      <c r="CY28" t="str">
        <v>PSA-00486</v>
      </c>
      <c r="CZ28" t="str">
        <v>PSF-00438</v>
      </c>
      <c r="DA28" t="str">
        <v>RHS-00603</v>
      </c>
      <c r="DB28" t="str">
        <v>3.0.0</v>
      </c>
      <c r="DC28" t="str">
        <v>2025-03-10T14:27:16.709Z</v>
      </c>
    </row>
    <row r="29">
      <c r="A29" t="str">
        <v>26</v>
      </c>
      <c r="B29" t="str">
        <v>14:27:25</v>
      </c>
      <c r="C29" t="str">
        <v>2025-12-10</v>
      </c>
      <c r="D29" t="str">
        <v>TT25_psf</v>
      </c>
      <c r="E29" t="str">
        <v>eap</v>
      </c>
      <c r="F29" t="str">
        <v/>
      </c>
      <c r="G29" t="str">
        <v>2927_Tri_orange</v>
      </c>
      <c r="H29" t="str">
        <v/>
      </c>
      <c r="I29" t="str">
        <v/>
      </c>
      <c r="J29" t="str">
        <f>1/((1/L29)-(1/K29))</f>
        <v>-0.000748</v>
      </c>
      <c r="K29" t="str">
        <f>BH29+(BI29*AN29)+(BJ29*AN29*POWER(V29,2))+(BK29*AN29*V29)+(BL29*POWER(AN29,2))</f>
        <v>2.922978</v>
      </c>
      <c r="L29" t="str">
        <f>((M29/1000)*(1000-((T29+S29)/2)))/(T29-S29)</f>
        <v>-0.000748</v>
      </c>
      <c r="M29" t="str">
        <f>(AN29*(S29-R29))/(100*U29*(1000-S29))*1000</f>
        <v>-0.016593</v>
      </c>
      <c r="N29" t="str">
        <v>0.658725</v>
      </c>
      <c r="O29" t="str">
        <v>0.659147</v>
      </c>
      <c r="P29" t="str">
        <f>0.61365*EXP((17.502*AL29)/(240.97+AL29))</f>
        <v>2.638399</v>
      </c>
      <c r="Q29" t="str">
        <f>P29-N29</f>
        <v>1.979674</v>
      </c>
      <c r="R29" t="str">
        <v>7.249244</v>
      </c>
      <c r="S29" t="str">
        <v>7.244605</v>
      </c>
      <c r="T29" t="str">
        <f>(P29/AM29)*1000</f>
        <v>29.016911</v>
      </c>
      <c r="U29" t="str">
        <f>V29*BG29</f>
        <v>0.441786</v>
      </c>
      <c r="V29" t="str">
        <v>7.500000</v>
      </c>
      <c r="W29" t="str">
        <v>PSF-00438_20251210142725_856</v>
      </c>
      <c r="X29" t="str">
        <v>0.000000</v>
      </c>
      <c r="Y29" t="str">
        <v>0.000000</v>
      </c>
      <c r="Z29" t="str">
        <v>0.000000</v>
      </c>
      <c r="AA29" t="str">
        <v>83.969238</v>
      </c>
      <c r="AB29" t="str">
        <v>89.903435</v>
      </c>
      <c r="AC29" t="str">
        <v>0.066006</v>
      </c>
      <c r="AD29" t="str">
        <v>0.5</v>
      </c>
      <c r="AE29" t="str">
        <v>0.80</v>
      </c>
      <c r="AF29" t="str">
        <f>AC29*AD29*AE29*AQ29</f>
        <v>5.499290</v>
      </c>
      <c r="AG29" t="str">
        <v>1.000000</v>
      </c>
      <c r="AH29" t="str">
        <v>24.20</v>
      </c>
      <c r="AI29" t="str">
        <v>24.21</v>
      </c>
      <c r="AJ29" t="str">
        <v>22.42</v>
      </c>
      <c r="AK29" t="str">
        <v>21.91</v>
      </c>
      <c r="AL29" t="str">
        <f>(AK29-AJ29)*(AJ29*0+0)+AK29</f>
        <v>21.91</v>
      </c>
      <c r="AM29" t="str">
        <v>90.93</v>
      </c>
      <c r="AN29" t="str">
        <v>156.9</v>
      </c>
      <c r="AO29" t="str">
        <v>158.7</v>
      </c>
      <c r="AP29" t="str">
        <v>-1.2</v>
      </c>
      <c r="AQ29" t="str">
        <v>208</v>
      </c>
      <c r="AR29" t="str">
        <v>3.887</v>
      </c>
      <c r="AS29" t="str">
        <v>14:23:54</v>
      </c>
      <c r="AT29" t="str">
        <v>2025-12-10</v>
      </c>
      <c r="AU29" t="str">
        <v>-0.06</v>
      </c>
      <c r="AV29" t="str">
        <v>1</v>
      </c>
      <c r="AW29" t="str">
        <v>-0.001</v>
      </c>
      <c r="AX29" t="str">
        <v>-0.001</v>
      </c>
      <c r="AY29" t="str">
        <v>-9999.000</v>
      </c>
      <c r="AZ29" t="str">
        <v>-0.331</v>
      </c>
      <c r="BA29" t="str">
        <v>-0.028</v>
      </c>
      <c r="BB29" t="str">
        <v>-9999.000</v>
      </c>
      <c r="BC29" t="str">
        <v>1</v>
      </c>
      <c r="BD29" t="str">
        <v>150</v>
      </c>
      <c r="BE29" t="str">
        <v>0.005</v>
      </c>
      <c r="BF29" t="str">
        <v>2.000000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0</v>
      </c>
      <c r="BO29" t="str">
        <v>mpf</v>
      </c>
      <c r="BP29" t="str">
        <v>7000</v>
      </c>
      <c r="BQ29" t="str">
        <v>500</v>
      </c>
      <c r="BR29" t="str">
        <v>5.000000</v>
      </c>
      <c r="BS29" t="str">
        <v>2.000000</v>
      </c>
      <c r="BT29" t="str">
        <v>300</v>
      </c>
      <c r="BU29" t="str">
        <v>300</v>
      </c>
      <c r="BV29" t="str">
        <v>300</v>
      </c>
      <c r="BW29" t="str">
        <v>89.840057</v>
      </c>
      <c r="BX29" t="str">
        <v>25</v>
      </c>
      <c r="BY29" t="str">
        <v>-0.051033</v>
      </c>
      <c r="BZ29" t="str">
        <v>89.717392</v>
      </c>
      <c r="CA29" t="str">
        <v>89.830482</v>
      </c>
      <c r="CB29" t="str">
        <v>-0.113091</v>
      </c>
      <c r="CC29" t="str">
        <v>2.431712</v>
      </c>
      <c r="CD29" t="str">
        <v>2.445682</v>
      </c>
      <c r="CE29" t="str">
        <v>1.656831</v>
      </c>
      <c r="CF29" t="str">
        <v>0.943104</v>
      </c>
      <c r="CG29" t="str">
        <v>0.302369</v>
      </c>
      <c r="CH29" t="str">
        <v>-0.005104</v>
      </c>
      <c r="CI29" t="str">
        <v>0.159444</v>
      </c>
      <c r="CJ29" t="str">
        <v>0.294669</v>
      </c>
      <c r="CK29" t="str">
        <v>83.969238</v>
      </c>
      <c r="CL29" t="str">
        <v>0.000236</v>
      </c>
      <c r="CM29" t="str">
        <v>2.388960</v>
      </c>
      <c r="CN29" t="str">
        <v>-0.000025</v>
      </c>
      <c r="CO29" t="str">
        <v>1.000000</v>
      </c>
      <c r="CP29" t="str">
        <v>2.402765</v>
      </c>
      <c r="CQ29" t="str">
        <v>-0.000034</v>
      </c>
      <c r="CR29" t="str">
        <v>1.000000</v>
      </c>
      <c r="CS29" t="str">
        <v>0.600816</v>
      </c>
      <c r="CT29" t="str">
        <v>0.600971</v>
      </c>
      <c r="CU29" t="str">
        <v>0.107301</v>
      </c>
      <c r="CV29" t="str">
        <v>0.000000</v>
      </c>
      <c r="CW29" t="str">
        <v>PSF-00438_20251210142725_856</v>
      </c>
      <c r="CX29" t="str">
        <v>PFA-00474</v>
      </c>
      <c r="CY29" t="str">
        <v>PSA-00486</v>
      </c>
      <c r="CZ29" t="str">
        <v>PSF-00438</v>
      </c>
      <c r="DA29" t="str">
        <v>RHS-00603</v>
      </c>
      <c r="DB29" t="str">
        <v>3.0.0</v>
      </c>
      <c r="DC29" t="str">
        <v>2025-03-10T14:27:16.709Z</v>
      </c>
    </row>
    <row r="30">
      <c r="A30" t="str">
        <v>27</v>
      </c>
      <c r="B30" t="str">
        <v>14:27:50</v>
      </c>
      <c r="C30" t="str">
        <v>2025-12-10</v>
      </c>
      <c r="D30" t="str">
        <v>TT25_psf</v>
      </c>
      <c r="E30" t="str">
        <v>eap</v>
      </c>
      <c r="F30" t="str">
        <v/>
      </c>
      <c r="G30" t="str">
        <v>552_Tri_orange</v>
      </c>
      <c r="H30" t="str">
        <v/>
      </c>
      <c r="I30" t="str">
        <v/>
      </c>
      <c r="J30" t="str">
        <f>1/((1/L30)-(1/K30))</f>
        <v>0.010466</v>
      </c>
      <c r="K30" t="str">
        <f>BH30+(BI30*AN30)+(BJ30*AN30*POWER(V30,2))+(BK30*AN30*V30)+(BL30*POWER(AN30,2))</f>
        <v>2.921645</v>
      </c>
      <c r="L30" t="str">
        <f>((M30/1000)*(1000-((T30+S30)/2)))/(T30-S30)</f>
        <v>0.010429</v>
      </c>
      <c r="M30" t="str">
        <f>(AN30*(S30-R30))/(100*U30*(1000-S30))*1000</f>
        <v>0.226606</v>
      </c>
      <c r="N30" t="str">
        <v>0.656539</v>
      </c>
      <c r="O30" t="str">
        <v>0.650772</v>
      </c>
      <c r="P30" t="str">
        <f>0.61365*EXP((17.502*AL30)/(240.97+AL30))</f>
        <v>2.597054</v>
      </c>
      <c r="Q30" t="str">
        <f>P30-N30</f>
        <v>1.940514</v>
      </c>
      <c r="R30" t="str">
        <v>7.156786</v>
      </c>
      <c r="S30" t="str">
        <v>7.220214</v>
      </c>
      <c r="T30" t="str">
        <f>(P30/AM30)*1000</f>
        <v>28.560787</v>
      </c>
      <c r="U30" t="str">
        <f>V30*BG30</f>
        <v>0.441786</v>
      </c>
      <c r="V30" t="str">
        <v>7.500000</v>
      </c>
      <c r="W30" t="str">
        <v>PSF-00438_20251210142750_de8</v>
      </c>
      <c r="X30" t="str">
        <v>0.000000</v>
      </c>
      <c r="Y30" t="str">
        <v>0.000000</v>
      </c>
      <c r="Z30" t="str">
        <v>0.000000</v>
      </c>
      <c r="AA30" t="str">
        <v>101.501587</v>
      </c>
      <c r="AB30" t="str">
        <v>120.410088</v>
      </c>
      <c r="AC30" t="str">
        <v>0.157034</v>
      </c>
      <c r="AD30" t="str">
        <v>0.5</v>
      </c>
      <c r="AE30" t="str">
        <v>0.80</v>
      </c>
      <c r="AF30" t="str">
        <f>AC30*AD30*AE30*AQ30</f>
        <v>14.308858</v>
      </c>
      <c r="AG30" t="str">
        <v>1.000000</v>
      </c>
      <c r="AH30" t="str">
        <v>24.08</v>
      </c>
      <c r="AI30" t="str">
        <v>23.87</v>
      </c>
      <c r="AJ30" t="str">
        <v>22.44</v>
      </c>
      <c r="AK30" t="str">
        <v>21.65</v>
      </c>
      <c r="AL30" t="str">
        <f>(AK30-AJ30)*(AJ30*0+0)+AK30</f>
        <v>21.65</v>
      </c>
      <c r="AM30" t="str">
        <v>90.93</v>
      </c>
      <c r="AN30" t="str">
        <v>156.7</v>
      </c>
      <c r="AO30" t="str">
        <v>148.1</v>
      </c>
      <c r="AP30" t="str">
        <v>5.5</v>
      </c>
      <c r="AQ30" t="str">
        <v>228</v>
      </c>
      <c r="AR30" t="str">
        <v>3.886</v>
      </c>
      <c r="AS30" t="str">
        <v>14:23:54</v>
      </c>
      <c r="AT30" t="str">
        <v>2025-12-10</v>
      </c>
      <c r="AU30" t="str">
        <v>-0.06</v>
      </c>
      <c r="AV30" t="str">
        <v>1</v>
      </c>
      <c r="AW30" t="str">
        <v>-0.001</v>
      </c>
      <c r="AX30" t="str">
        <v>-0.001</v>
      </c>
      <c r="AY30" t="str">
        <v>-9999.000</v>
      </c>
      <c r="AZ30" t="str">
        <v>0.997</v>
      </c>
      <c r="BA30" t="str">
        <v>-0.868</v>
      </c>
      <c r="BB30" t="str">
        <v>-9999.000</v>
      </c>
      <c r="BC30" t="str">
        <v>1</v>
      </c>
      <c r="BD30" t="str">
        <v>150</v>
      </c>
      <c r="BE30" t="str">
        <v>0.005</v>
      </c>
      <c r="BF30" t="str">
        <v>2.000000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0</v>
      </c>
      <c r="BO30" t="str">
        <v>mpf</v>
      </c>
      <c r="BP30" t="str">
        <v>7000</v>
      </c>
      <c r="BQ30" t="str">
        <v>500</v>
      </c>
      <c r="BR30" t="str">
        <v>5.000000</v>
      </c>
      <c r="BS30" t="str">
        <v>2.000000</v>
      </c>
      <c r="BT30" t="str">
        <v>300</v>
      </c>
      <c r="BU30" t="str">
        <v>300</v>
      </c>
      <c r="BV30" t="str">
        <v>300</v>
      </c>
      <c r="BW30" t="str">
        <v>120.410088</v>
      </c>
      <c r="BX30" t="str">
        <v>25</v>
      </c>
      <c r="BY30" t="str">
        <v>0.030073</v>
      </c>
      <c r="BZ30" t="str">
        <v>120.298149</v>
      </c>
      <c r="CA30" t="str">
        <v>120.453079</v>
      </c>
      <c r="CB30" t="str">
        <v>-0.154930</v>
      </c>
      <c r="CC30" t="str">
        <v>2.431181</v>
      </c>
      <c r="CD30" t="str">
        <v>2.445497</v>
      </c>
      <c r="CE30" t="str">
        <v>1.655433</v>
      </c>
      <c r="CF30" t="str">
        <v>0.916207</v>
      </c>
      <c r="CG30" t="str">
        <v>0.302063</v>
      </c>
      <c r="CH30" t="str">
        <v>-0.008242</v>
      </c>
      <c r="CI30" t="str">
        <v>0.162332</v>
      </c>
      <c r="CJ30" t="str">
        <v>0.312221</v>
      </c>
      <c r="CK30" t="str">
        <v>101.501587</v>
      </c>
      <c r="CL30" t="str">
        <v>0.000236</v>
      </c>
      <c r="CM30" t="str">
        <v>2.388960</v>
      </c>
      <c r="CN30" t="str">
        <v>-0.000025</v>
      </c>
      <c r="CO30" t="str">
        <v>1.000000</v>
      </c>
      <c r="CP30" t="str">
        <v>2.402765</v>
      </c>
      <c r="CQ30" t="str">
        <v>-0.000034</v>
      </c>
      <c r="CR30" t="str">
        <v>1.000000</v>
      </c>
      <c r="CS30" t="str">
        <v>0.600816</v>
      </c>
      <c r="CT30" t="str">
        <v>0.600971</v>
      </c>
      <c r="CU30" t="str">
        <v>0.107301</v>
      </c>
      <c r="CV30" t="str">
        <v>0.000000</v>
      </c>
      <c r="CW30" t="str">
        <v>PSF-00438_20251210142750_de8</v>
      </c>
      <c r="CX30" t="str">
        <v>PFA-00474</v>
      </c>
      <c r="CY30" t="str">
        <v>PSA-00486</v>
      </c>
      <c r="CZ30" t="str">
        <v>PSF-00438</v>
      </c>
      <c r="DA30" t="str">
        <v>RHS-00603</v>
      </c>
      <c r="DB30" t="str">
        <v>3.0.0</v>
      </c>
      <c r="DC30" t="str">
        <v>2025-03-10T14:27:16.709Z</v>
      </c>
    </row>
    <row r="31">
      <c r="A31" t="str">
        <v>28</v>
      </c>
      <c r="B31" t="str">
        <v>14:28:14</v>
      </c>
      <c r="C31" t="str">
        <v>2025-12-10</v>
      </c>
      <c r="D31" t="str">
        <v>TT25_psf</v>
      </c>
      <c r="E31" t="str">
        <v>eap</v>
      </c>
      <c r="F31" t="str">
        <v/>
      </c>
      <c r="G31" t="str">
        <v>3004_Tri_orange</v>
      </c>
      <c r="H31" t="str">
        <v/>
      </c>
      <c r="I31" t="str">
        <v/>
      </c>
      <c r="J31" t="str">
        <f>1/((1/L31)-(1/K31))</f>
        <v>0.008604</v>
      </c>
      <c r="K31" t="str">
        <f>BH31+(BI31*AN31)+(BJ31*AN31*POWER(V31,2))+(BK31*AN31*V31)+(BL31*POWER(AN31,2))</f>
        <v>2.921318</v>
      </c>
      <c r="L31" t="str">
        <f>((M31/1000)*(1000-((T31+S31)/2)))/(T31-S31)</f>
        <v>0.008579</v>
      </c>
      <c r="M31" t="str">
        <f>(AN31*(S31-R31))/(100*U31*(1000-S31))*1000</f>
        <v>0.179258</v>
      </c>
      <c r="N31" t="str">
        <v>0.686377</v>
      </c>
      <c r="O31" t="str">
        <v>0.681815</v>
      </c>
      <c r="P31" t="str">
        <f>0.61365*EXP((17.502*AL31)/(240.97+AL31))</f>
        <v>2.552505</v>
      </c>
      <c r="Q31" t="str">
        <f>P31-N31</f>
        <v>1.866127</v>
      </c>
      <c r="R31" t="str">
        <v>7.498594</v>
      </c>
      <c r="S31" t="str">
        <v>7.548766</v>
      </c>
      <c r="T31" t="str">
        <f>(P31/AM31)*1000</f>
        <v>28.072405</v>
      </c>
      <c r="U31" t="str">
        <f>V31*BG31</f>
        <v>0.441786</v>
      </c>
      <c r="V31" t="str">
        <v>7.500000</v>
      </c>
      <c r="W31" t="str">
        <v>PSF-00438_20251210142814_d76</v>
      </c>
      <c r="X31" t="str">
        <v>0.000000</v>
      </c>
      <c r="Y31" t="str">
        <v>0.000000</v>
      </c>
      <c r="Z31" t="str">
        <v>0.000000</v>
      </c>
      <c r="AA31" t="str">
        <v>95.521690</v>
      </c>
      <c r="AB31" t="str">
        <v>111.114632</v>
      </c>
      <c r="AC31" t="str">
        <v>0.140332</v>
      </c>
      <c r="AD31" t="str">
        <v>0.5</v>
      </c>
      <c r="AE31" t="str">
        <v>0.80</v>
      </c>
      <c r="AF31" t="str">
        <f>AC31*AD31*AE31*AQ31</f>
        <v>14.320157</v>
      </c>
      <c r="AG31" t="str">
        <v>1.000000</v>
      </c>
      <c r="AH31" t="str">
        <v>25.14</v>
      </c>
      <c r="AI31" t="str">
        <v>24.97</v>
      </c>
      <c r="AJ31" t="str">
        <v>22.47</v>
      </c>
      <c r="AK31" t="str">
        <v>21.37</v>
      </c>
      <c r="AL31" t="str">
        <f>(AK31-AJ31)*(AJ31*0+0)+AK31</f>
        <v>21.37</v>
      </c>
      <c r="AM31" t="str">
        <v>90.93</v>
      </c>
      <c r="AN31" t="str">
        <v>156.7</v>
      </c>
      <c r="AO31" t="str">
        <v>141.5</v>
      </c>
      <c r="AP31" t="str">
        <v>9.6</v>
      </c>
      <c r="AQ31" t="str">
        <v>255</v>
      </c>
      <c r="AR31" t="str">
        <v>3.887</v>
      </c>
      <c r="AS31" t="str">
        <v>14:23:54</v>
      </c>
      <c r="AT31" t="str">
        <v>2025-12-10</v>
      </c>
      <c r="AU31" t="str">
        <v>-0.06</v>
      </c>
      <c r="AV31" t="str">
        <v>1</v>
      </c>
      <c r="AW31" t="str">
        <v>-0.000</v>
      </c>
      <c r="AX31" t="str">
        <v>-0.000</v>
      </c>
      <c r="AY31" t="str">
        <v>-9999.000</v>
      </c>
      <c r="AZ31" t="str">
        <v>0.523</v>
      </c>
      <c r="BA31" t="str">
        <v>0.414</v>
      </c>
      <c r="BB31" t="str">
        <v>-9999.000</v>
      </c>
      <c r="BC31" t="str">
        <v>1</v>
      </c>
      <c r="BD31" t="str">
        <v>150</v>
      </c>
      <c r="BE31" t="str">
        <v>0.005</v>
      </c>
      <c r="BF31" t="str">
        <v>2.000000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0</v>
      </c>
      <c r="BO31" t="str">
        <v>mpf</v>
      </c>
      <c r="BP31" t="str">
        <v>7000</v>
      </c>
      <c r="BQ31" t="str">
        <v>500</v>
      </c>
      <c r="BR31" t="str">
        <v>5.000000</v>
      </c>
      <c r="BS31" t="str">
        <v>2.000000</v>
      </c>
      <c r="BT31" t="str">
        <v>300</v>
      </c>
      <c r="BU31" t="str">
        <v>300</v>
      </c>
      <c r="BV31" t="str">
        <v>300</v>
      </c>
      <c r="BW31" t="str">
        <v>110.625748</v>
      </c>
      <c r="BX31" t="str">
        <v>25</v>
      </c>
      <c r="BY31" t="str">
        <v>-0.306198</v>
      </c>
      <c r="BZ31" t="str">
        <v>110.602501</v>
      </c>
      <c r="CA31" t="str">
        <v>110.676926</v>
      </c>
      <c r="CB31" t="str">
        <v>-0.074425</v>
      </c>
      <c r="CC31" t="str">
        <v>2.432856</v>
      </c>
      <c r="CD31" t="str">
        <v>2.447115</v>
      </c>
      <c r="CE31" t="str">
        <v>1.655091</v>
      </c>
      <c r="CF31" t="str">
        <v>0.899919</v>
      </c>
      <c r="CG31" t="str">
        <v>0.301747</v>
      </c>
      <c r="CH31" t="str">
        <v>-0.011645</v>
      </c>
      <c r="CI31" t="str">
        <v>0.165076</v>
      </c>
      <c r="CJ31" t="str">
        <v>0.336792</v>
      </c>
      <c r="CK31" t="str">
        <v>95.521690</v>
      </c>
      <c r="CL31" t="str">
        <v>0.000239</v>
      </c>
      <c r="CM31" t="str">
        <v>2.388960</v>
      </c>
      <c r="CN31" t="str">
        <v>-0.000025</v>
      </c>
      <c r="CO31" t="str">
        <v>1.000000</v>
      </c>
      <c r="CP31" t="str">
        <v>2.402765</v>
      </c>
      <c r="CQ31" t="str">
        <v>-0.000034</v>
      </c>
      <c r="CR31" t="str">
        <v>1.000000</v>
      </c>
      <c r="CS31" t="str">
        <v>0.600816</v>
      </c>
      <c r="CT31" t="str">
        <v>0.600971</v>
      </c>
      <c r="CU31" t="str">
        <v>0.107301</v>
      </c>
      <c r="CV31" t="str">
        <v>0.000000</v>
      </c>
      <c r="CW31" t="str">
        <v>PSF-00438_20251210142814_d76</v>
      </c>
      <c r="CX31" t="str">
        <v>PFA-00474</v>
      </c>
      <c r="CY31" t="str">
        <v>PSA-00486</v>
      </c>
      <c r="CZ31" t="str">
        <v>PSF-00438</v>
      </c>
      <c r="DA31" t="str">
        <v>RHS-00603</v>
      </c>
      <c r="DB31" t="str">
        <v>3.0.0</v>
      </c>
      <c r="DC31" t="str">
        <v>2025-03-10T14:27:16.709Z</v>
      </c>
    </row>
    <row r="32">
      <c r="A32" t="str">
        <v>29</v>
      </c>
      <c r="B32" t="str">
        <v>14:28:39</v>
      </c>
      <c r="C32" t="str">
        <v>2025-12-10</v>
      </c>
      <c r="D32" t="str">
        <v>TT25_psf</v>
      </c>
      <c r="E32" t="str">
        <v>eap</v>
      </c>
      <c r="F32" t="str">
        <v/>
      </c>
      <c r="G32" t="str">
        <v>6875_Tri_white</v>
      </c>
      <c r="H32" t="str">
        <v/>
      </c>
      <c r="I32" t="str">
        <v/>
      </c>
      <c r="J32" t="str">
        <f>1/((1/L32)-(1/K32))</f>
        <v>0.007678</v>
      </c>
      <c r="K32" t="str">
        <f>BH32+(BI32*AN32)+(BJ32*AN32*POWER(V32,2))+(BK32*AN32*V32)+(BL32*POWER(AN32,2))</f>
        <v>2.921521</v>
      </c>
      <c r="L32" t="str">
        <f>((M32/1000)*(1000-((T32+S32)/2)))/(T32-S32)</f>
        <v>0.007658</v>
      </c>
      <c r="M32" t="str">
        <f>(AN32*(S32-R32))/(100*U32*(1000-S32))*1000</f>
        <v>0.155740</v>
      </c>
      <c r="N32" t="str">
        <v>0.677010</v>
      </c>
      <c r="O32" t="str">
        <v>0.673046</v>
      </c>
      <c r="P32" t="str">
        <f>0.61365*EXP((17.502*AL32)/(240.97+AL32))</f>
        <v>2.493987</v>
      </c>
      <c r="Q32" t="str">
        <f>P32-N32</f>
        <v>1.816977</v>
      </c>
      <c r="R32" t="str">
        <v>7.401644</v>
      </c>
      <c r="S32" t="str">
        <v>7.445231</v>
      </c>
      <c r="T32" t="str">
        <f>(P32/AM32)*1000</f>
        <v>27.426943</v>
      </c>
      <c r="U32" t="str">
        <f>V32*BG32</f>
        <v>0.441786</v>
      </c>
      <c r="V32" t="str">
        <v>7.500000</v>
      </c>
      <c r="W32" t="str">
        <v>PSF-00438_20251210142839_cab</v>
      </c>
      <c r="X32" t="str">
        <v>0.000000</v>
      </c>
      <c r="Y32" t="str">
        <v>0.000000</v>
      </c>
      <c r="Z32" t="str">
        <v>0.000000</v>
      </c>
      <c r="AA32" t="str">
        <v>113.434914</v>
      </c>
      <c r="AB32" t="str">
        <v>160.118607</v>
      </c>
      <c r="AC32" t="str">
        <v>0.291557</v>
      </c>
      <c r="AD32" t="str">
        <v>0.5</v>
      </c>
      <c r="AE32" t="str">
        <v>0.80</v>
      </c>
      <c r="AF32" t="str">
        <f>AC32*AD32*AE32*AQ32</f>
        <v>13.077032</v>
      </c>
      <c r="AG32" t="str">
        <v>1.000000</v>
      </c>
      <c r="AH32" t="str">
        <v>24.77</v>
      </c>
      <c r="AI32" t="str">
        <v>24.63</v>
      </c>
      <c r="AJ32" t="str">
        <v>22.48</v>
      </c>
      <c r="AK32" t="str">
        <v>20.99</v>
      </c>
      <c r="AL32" t="str">
        <f>(AK32-AJ32)*(AJ32*0+0)+AK32</f>
        <v>20.99</v>
      </c>
      <c r="AM32" t="str">
        <v>90.93</v>
      </c>
      <c r="AN32" t="str">
        <v>156.7</v>
      </c>
      <c r="AO32" t="str">
        <v>157.2</v>
      </c>
      <c r="AP32" t="str">
        <v>-0.3</v>
      </c>
      <c r="AQ32" t="str">
        <v>112</v>
      </c>
      <c r="AR32" t="str">
        <v>3.916</v>
      </c>
      <c r="AS32" t="str">
        <v>14:23:54</v>
      </c>
      <c r="AT32" t="str">
        <v>2025-12-10</v>
      </c>
      <c r="AU32" t="str">
        <v>-0.06</v>
      </c>
      <c r="AV32" t="str">
        <v>1</v>
      </c>
      <c r="AW32" t="str">
        <v>0.000</v>
      </c>
      <c r="AX32" t="str">
        <v>0.001</v>
      </c>
      <c r="AY32" t="str">
        <v>0.002</v>
      </c>
      <c r="AZ32" t="str">
        <v>-2.952</v>
      </c>
      <c r="BA32" t="str">
        <v>-3.599</v>
      </c>
      <c r="BB32" t="str">
        <v>-9.971</v>
      </c>
      <c r="BC32" t="str">
        <v>1</v>
      </c>
      <c r="BD32" t="str">
        <v>150</v>
      </c>
      <c r="BE32" t="str">
        <v>0.005</v>
      </c>
      <c r="BF32" t="str">
        <v>2.000000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0</v>
      </c>
      <c r="BO32" t="str">
        <v>mpf</v>
      </c>
      <c r="BP32" t="str">
        <v>7000</v>
      </c>
      <c r="BQ32" t="str">
        <v>500</v>
      </c>
      <c r="BR32" t="str">
        <v>5.000000</v>
      </c>
      <c r="BS32" t="str">
        <v>2.000000</v>
      </c>
      <c r="BT32" t="str">
        <v>300</v>
      </c>
      <c r="BU32" t="str">
        <v>300</v>
      </c>
      <c r="BV32" t="str">
        <v>300</v>
      </c>
      <c r="BW32" t="str">
        <v>157.391312</v>
      </c>
      <c r="BX32" t="str">
        <v>25</v>
      </c>
      <c r="BY32" t="str">
        <v>-2.052258</v>
      </c>
      <c r="BZ32" t="str">
        <v>156.216141</v>
      </c>
      <c r="CA32" t="str">
        <v>157.184921</v>
      </c>
      <c r="CB32" t="str">
        <v>-0.968781</v>
      </c>
      <c r="CC32" t="str">
        <v>2.432332</v>
      </c>
      <c r="CD32" t="str">
        <v>2.446554</v>
      </c>
      <c r="CE32" t="str">
        <v>1.655303</v>
      </c>
      <c r="CF32" t="str">
        <v>0.939360</v>
      </c>
      <c r="CG32" t="str">
        <v>0.301574</v>
      </c>
      <c r="CH32" t="str">
        <v>-0.015950</v>
      </c>
      <c r="CI32" t="str">
        <v>0.167887</v>
      </c>
      <c r="CJ32" t="str">
        <v>0.208171</v>
      </c>
      <c r="CK32" t="str">
        <v>113.434914</v>
      </c>
      <c r="CL32" t="str">
        <v>0.000239</v>
      </c>
      <c r="CM32" t="str">
        <v>2.388960</v>
      </c>
      <c r="CN32" t="str">
        <v>-0.000025</v>
      </c>
      <c r="CO32" t="str">
        <v>1.000000</v>
      </c>
      <c r="CP32" t="str">
        <v>2.402765</v>
      </c>
      <c r="CQ32" t="str">
        <v>-0.000034</v>
      </c>
      <c r="CR32" t="str">
        <v>1.000000</v>
      </c>
      <c r="CS32" t="str">
        <v>0.600816</v>
      </c>
      <c r="CT32" t="str">
        <v>0.600971</v>
      </c>
      <c r="CU32" t="str">
        <v>0.107301</v>
      </c>
      <c r="CV32" t="str">
        <v>0.000000</v>
      </c>
      <c r="CW32" t="str">
        <v>PSF-00438_20251210142839_cab</v>
      </c>
      <c r="CX32" t="str">
        <v>PFA-00474</v>
      </c>
      <c r="CY32" t="str">
        <v>PSA-00486</v>
      </c>
      <c r="CZ32" t="str">
        <v>PSF-00438</v>
      </c>
      <c r="DA32" t="str">
        <v>RHS-00603</v>
      </c>
      <c r="DB32" t="str">
        <v>3.0.0</v>
      </c>
      <c r="DC32" t="str">
        <v>2025-03-10T14:27:16.709Z</v>
      </c>
    </row>
    <row r="33">
      <c r="A33" t="str">
        <v>30</v>
      </c>
      <c r="B33" t="str">
        <v>14:28:56</v>
      </c>
      <c r="C33" t="str">
        <v>2025-12-10</v>
      </c>
      <c r="D33" t="str">
        <v>TT25_psf</v>
      </c>
      <c r="E33" t="str">
        <v>eap</v>
      </c>
      <c r="F33" t="str">
        <v/>
      </c>
      <c r="G33" t="str">
        <v>3031_Tri_white</v>
      </c>
      <c r="H33" t="str">
        <v/>
      </c>
      <c r="I33" t="str">
        <v/>
      </c>
      <c r="J33" t="str">
        <f>1/((1/L33)-(1/K33))</f>
        <v>-0.006757</v>
      </c>
      <c r="K33" t="str">
        <f>BH33+(BI33*AN33)+(BJ33*AN33*POWER(V33,2))+(BK33*AN33*V33)+(BL33*POWER(AN33,2))</f>
        <v>2.920919</v>
      </c>
      <c r="L33" t="str">
        <f>((M33/1000)*(1000-((T33+S33)/2)))/(T33-S33)</f>
        <v>-0.006773</v>
      </c>
      <c r="M33" t="str">
        <f>(AN33*(S33-R33))/(100*U33*(1000-S33))*1000</f>
        <v>-0.140795</v>
      </c>
      <c r="N33" t="str">
        <v>0.616371</v>
      </c>
      <c r="O33" t="str">
        <v>0.619959</v>
      </c>
      <c r="P33" t="str">
        <f>0.61365*EXP((17.502*AL33)/(240.97+AL33))</f>
        <v>2.474638</v>
      </c>
      <c r="Q33" t="str">
        <f>P33-N33</f>
        <v>1.858266</v>
      </c>
      <c r="R33" t="str">
        <v>6.817602</v>
      </c>
      <c r="S33" t="str">
        <v>6.778152</v>
      </c>
      <c r="T33" t="str">
        <f>(P33/AM33)*1000</f>
        <v>27.213261</v>
      </c>
      <c r="U33" t="str">
        <f>V33*BG33</f>
        <v>0.441786</v>
      </c>
      <c r="V33" t="str">
        <v>7.500000</v>
      </c>
      <c r="W33" t="str">
        <v>PSF-00438_20251210142856_bfc</v>
      </c>
      <c r="X33" t="str">
        <v>0.000000</v>
      </c>
      <c r="Y33" t="str">
        <v>0.000000</v>
      </c>
      <c r="Z33" t="str">
        <v>0.000000</v>
      </c>
      <c r="AA33" t="str">
        <v>95.826744</v>
      </c>
      <c r="AB33" t="str">
        <v>99.605659</v>
      </c>
      <c r="AC33" t="str">
        <v>0.037939</v>
      </c>
      <c r="AD33" t="str">
        <v>0.5</v>
      </c>
      <c r="AE33" t="str">
        <v>0.80</v>
      </c>
      <c r="AF33" t="str">
        <f>AC33*AD33*AE33*AQ33</f>
        <v>2.251152</v>
      </c>
      <c r="AG33" t="str">
        <v>1.000000</v>
      </c>
      <c r="AH33" t="str">
        <v>22.55</v>
      </c>
      <c r="AI33" t="str">
        <v>22.68</v>
      </c>
      <c r="AJ33" t="str">
        <v>22.49</v>
      </c>
      <c r="AK33" t="str">
        <v>20.86</v>
      </c>
      <c r="AL33" t="str">
        <f>(AK33-AJ33)*(AJ33*0+0)+AK33</f>
        <v>20.86</v>
      </c>
      <c r="AM33" t="str">
        <v>90.93</v>
      </c>
      <c r="AN33" t="str">
        <v>156.6</v>
      </c>
      <c r="AO33" t="str">
        <v>158.5</v>
      </c>
      <c r="AP33" t="str">
        <v>-1.2</v>
      </c>
      <c r="AQ33" t="str">
        <v>148</v>
      </c>
      <c r="AR33" t="str">
        <v>3.916</v>
      </c>
      <c r="AS33" t="str">
        <v>14:23:54</v>
      </c>
      <c r="AT33" t="str">
        <v>2025-12-10</v>
      </c>
      <c r="AU33" t="str">
        <v>-0.06</v>
      </c>
      <c r="AV33" t="str">
        <v>1</v>
      </c>
      <c r="AW33" t="str">
        <v>-0.002</v>
      </c>
      <c r="AX33" t="str">
        <v>-0.002</v>
      </c>
      <c r="AY33" t="str">
        <v>-9999.000</v>
      </c>
      <c r="AZ33" t="str">
        <v>0.761</v>
      </c>
      <c r="BA33" t="str">
        <v>-0.204</v>
      </c>
      <c r="BB33" t="str">
        <v>-9999.000</v>
      </c>
      <c r="BC33" t="str">
        <v>1</v>
      </c>
      <c r="BD33" t="str">
        <v>150</v>
      </c>
      <c r="BE33" t="str">
        <v>0.005</v>
      </c>
      <c r="BF33" t="str">
        <v>2.000000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0</v>
      </c>
      <c r="BO33" t="str">
        <v>mpf</v>
      </c>
      <c r="BP33" t="str">
        <v>7000</v>
      </c>
      <c r="BQ33" t="str">
        <v>500</v>
      </c>
      <c r="BR33" t="str">
        <v>5.000000</v>
      </c>
      <c r="BS33" t="str">
        <v>2.000000</v>
      </c>
      <c r="BT33" t="str">
        <v>300</v>
      </c>
      <c r="BU33" t="str">
        <v>300</v>
      </c>
      <c r="BV33" t="str">
        <v>300</v>
      </c>
      <c r="BW33" t="str">
        <v>99.396942</v>
      </c>
      <c r="BX33" t="str">
        <v>25</v>
      </c>
      <c r="BY33" t="str">
        <v>-0.188640</v>
      </c>
      <c r="BZ33" t="str">
        <v>99.104401</v>
      </c>
      <c r="CA33" t="str">
        <v>99.335999</v>
      </c>
      <c r="CB33" t="str">
        <v>-0.231598</v>
      </c>
      <c r="CC33" t="str">
        <v>2.429341</v>
      </c>
      <c r="CD33" t="str">
        <v>2.443110</v>
      </c>
      <c r="CE33" t="str">
        <v>1.654673</v>
      </c>
      <c r="CF33" t="str">
        <v>0.942634</v>
      </c>
      <c r="CG33" t="str">
        <v>0.301548</v>
      </c>
      <c r="CH33" t="str">
        <v>-0.017359</v>
      </c>
      <c r="CI33" t="str">
        <v>0.169743</v>
      </c>
      <c r="CJ33" t="str">
        <v>0.240744</v>
      </c>
      <c r="CK33" t="str">
        <v>95.826744</v>
      </c>
      <c r="CL33" t="str">
        <v>0.000239</v>
      </c>
      <c r="CM33" t="str">
        <v>2.388960</v>
      </c>
      <c r="CN33" t="str">
        <v>-0.000025</v>
      </c>
      <c r="CO33" t="str">
        <v>1.000000</v>
      </c>
      <c r="CP33" t="str">
        <v>2.402765</v>
      </c>
      <c r="CQ33" t="str">
        <v>-0.000034</v>
      </c>
      <c r="CR33" t="str">
        <v>1.000000</v>
      </c>
      <c r="CS33" t="str">
        <v>0.600816</v>
      </c>
      <c r="CT33" t="str">
        <v>0.600971</v>
      </c>
      <c r="CU33" t="str">
        <v>0.107301</v>
      </c>
      <c r="CV33" t="str">
        <v>0.000000</v>
      </c>
      <c r="CW33" t="str">
        <v>PSF-00438_20251210142856_bfc</v>
      </c>
      <c r="CX33" t="str">
        <v>PFA-00474</v>
      </c>
      <c r="CY33" t="str">
        <v>PSA-00486</v>
      </c>
      <c r="CZ33" t="str">
        <v>PSF-00438</v>
      </c>
      <c r="DA33" t="str">
        <v>RHS-00603</v>
      </c>
      <c r="DB33" t="str">
        <v>3.0.0</v>
      </c>
      <c r="DC33" t="str">
        <v>2025-03-10T14:27:16.709Z</v>
      </c>
    </row>
    <row r="34">
      <c r="A34" t="str">
        <v>31</v>
      </c>
      <c r="B34" t="str">
        <v>14:29:15</v>
      </c>
      <c r="C34" t="str">
        <v>2025-12-10</v>
      </c>
      <c r="D34" t="str">
        <v>TT25_psf</v>
      </c>
      <c r="E34" t="str">
        <v>eap</v>
      </c>
      <c r="F34" t="str">
        <v/>
      </c>
      <c r="G34" t="str">
        <v>1374_Tri_white</v>
      </c>
      <c r="H34" t="str">
        <v/>
      </c>
      <c r="I34" t="str">
        <v/>
      </c>
      <c r="J34" t="str">
        <f>1/((1/L34)-(1/K34))</f>
        <v>0.026269</v>
      </c>
      <c r="K34" t="str">
        <f>BH34+(BI34*AN34)+(BJ34*AN34*POWER(V34,2))+(BK34*AN34*V34)+(BL34*POWER(AN34,2))</f>
        <v>2.922809</v>
      </c>
      <c r="L34" t="str">
        <f>((M34/1000)*(1000-((T34+S34)/2)))/(T34-S34)</f>
        <v>0.026035</v>
      </c>
      <c r="M34" t="str">
        <f>(AN34*(S34-R34))/(100*U34*(1000-S34))*1000</f>
        <v>0.525053</v>
      </c>
      <c r="N34" t="str">
        <v>0.643503</v>
      </c>
      <c r="O34" t="str">
        <v>0.630149</v>
      </c>
      <c r="P34" t="str">
        <f>0.61365*EXP((17.502*AL34)/(240.97+AL34))</f>
        <v>2.446203</v>
      </c>
      <c r="Q34" t="str">
        <f>P34-N34</f>
        <v>1.802701</v>
      </c>
      <c r="R34" t="str">
        <v>6.929954</v>
      </c>
      <c r="S34" t="str">
        <v>7.076805</v>
      </c>
      <c r="T34" t="str">
        <f>(P34/AM34)*1000</f>
        <v>26.901678</v>
      </c>
      <c r="U34" t="str">
        <f>V34*BG34</f>
        <v>0.441786</v>
      </c>
      <c r="V34" t="str">
        <v>7.500000</v>
      </c>
      <c r="W34" t="str">
        <v>PSF-00438_20251210142915_243</v>
      </c>
      <c r="X34" t="str">
        <v>0.000000</v>
      </c>
      <c r="Y34" t="str">
        <v>0.000000</v>
      </c>
      <c r="Z34" t="str">
        <v>0.000000</v>
      </c>
      <c r="AA34" t="str">
        <v>107.757927</v>
      </c>
      <c r="AB34" t="str">
        <v>118.347290</v>
      </c>
      <c r="AC34" t="str">
        <v>0.089477</v>
      </c>
      <c r="AD34" t="str">
        <v>0.5</v>
      </c>
      <c r="AE34" t="str">
        <v>0.80</v>
      </c>
      <c r="AF34" t="str">
        <f>AC34*AD34*AE34*AQ34</f>
        <v>1.448019</v>
      </c>
      <c r="AG34" t="str">
        <v>1.000000</v>
      </c>
      <c r="AH34" t="str">
        <v>23.55</v>
      </c>
      <c r="AI34" t="str">
        <v>23.06</v>
      </c>
      <c r="AJ34" t="str">
        <v>22.48</v>
      </c>
      <c r="AK34" t="str">
        <v>20.67</v>
      </c>
      <c r="AL34" t="str">
        <f>(AK34-AJ34)*(AJ34*0+0)+AK34</f>
        <v>20.67</v>
      </c>
      <c r="AM34" t="str">
        <v>90.93</v>
      </c>
      <c r="AN34" t="str">
        <v>156.8</v>
      </c>
      <c r="AO34" t="str">
        <v>158.7</v>
      </c>
      <c r="AP34" t="str">
        <v>-1.2</v>
      </c>
      <c r="AQ34" t="str">
        <v>40</v>
      </c>
      <c r="AR34" t="str">
        <v>3.884</v>
      </c>
      <c r="AS34" t="str">
        <v>14:23:54</v>
      </c>
      <c r="AT34" t="str">
        <v>2025-12-10</v>
      </c>
      <c r="AU34" t="str">
        <v>-0.06</v>
      </c>
      <c r="AV34" t="str">
        <v>1</v>
      </c>
      <c r="AW34" t="str">
        <v>0.000</v>
      </c>
      <c r="AX34" t="str">
        <v>-0.002</v>
      </c>
      <c r="AY34" t="str">
        <v>-9999.000</v>
      </c>
      <c r="AZ34" t="str">
        <v>0.358</v>
      </c>
      <c r="BA34" t="str">
        <v>-0.122</v>
      </c>
      <c r="BB34" t="str">
        <v>-9999.000</v>
      </c>
      <c r="BC34" t="str">
        <v>1</v>
      </c>
      <c r="BD34" t="str">
        <v>150</v>
      </c>
      <c r="BE34" t="str">
        <v>0.005</v>
      </c>
      <c r="BF34" t="str">
        <v>2.000000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0</v>
      </c>
      <c r="BO34" t="str">
        <v>mpf</v>
      </c>
      <c r="BP34" t="str">
        <v>7000</v>
      </c>
      <c r="BQ34" t="str">
        <v>500</v>
      </c>
      <c r="BR34" t="str">
        <v>5.000000</v>
      </c>
      <c r="BS34" t="str">
        <v>2.000000</v>
      </c>
      <c r="BT34" t="str">
        <v>300</v>
      </c>
      <c r="BU34" t="str">
        <v>300</v>
      </c>
      <c r="BV34" t="str">
        <v>300</v>
      </c>
      <c r="BW34" t="str">
        <v>118.347290</v>
      </c>
      <c r="BX34" t="str">
        <v>25</v>
      </c>
      <c r="BY34" t="str">
        <v>0.139430</v>
      </c>
      <c r="BZ34" t="str">
        <v>118.132713</v>
      </c>
      <c r="CA34" t="str">
        <v>118.546600</v>
      </c>
      <c r="CB34" t="str">
        <v>-0.413887</v>
      </c>
      <c r="CC34" t="str">
        <v>2.429926</v>
      </c>
      <c r="CD34" t="str">
        <v>2.444665</v>
      </c>
      <c r="CE34" t="str">
        <v>1.656653</v>
      </c>
      <c r="CF34" t="str">
        <v>0.943088</v>
      </c>
      <c r="CG34" t="str">
        <v>0.301592</v>
      </c>
      <c r="CH34" t="str">
        <v>-0.019368</v>
      </c>
      <c r="CI34" t="str">
        <v>0.171878</v>
      </c>
      <c r="CJ34" t="str">
        <v>0.143696</v>
      </c>
      <c r="CK34" t="str">
        <v>107.757927</v>
      </c>
      <c r="CL34" t="str">
        <v>0.000236</v>
      </c>
      <c r="CM34" t="str">
        <v>2.388960</v>
      </c>
      <c r="CN34" t="str">
        <v>-0.000025</v>
      </c>
      <c r="CO34" t="str">
        <v>1.000000</v>
      </c>
      <c r="CP34" t="str">
        <v>2.402765</v>
      </c>
      <c r="CQ34" t="str">
        <v>-0.000034</v>
      </c>
      <c r="CR34" t="str">
        <v>1.000000</v>
      </c>
      <c r="CS34" t="str">
        <v>0.600816</v>
      </c>
      <c r="CT34" t="str">
        <v>0.600971</v>
      </c>
      <c r="CU34" t="str">
        <v>0.107301</v>
      </c>
      <c r="CV34" t="str">
        <v>0.000000</v>
      </c>
      <c r="CW34" t="str">
        <v>PSF-00438_20251210142915_243</v>
      </c>
      <c r="CX34" t="str">
        <v>PFA-00474</v>
      </c>
      <c r="CY34" t="str">
        <v>PSA-00486</v>
      </c>
      <c r="CZ34" t="str">
        <v>PSF-00438</v>
      </c>
      <c r="DA34" t="str">
        <v>RHS-00603</v>
      </c>
      <c r="DB34" t="str">
        <v>3.0.0</v>
      </c>
      <c r="DC34" t="str">
        <v>2025-03-10T14:27:16.709Z</v>
      </c>
    </row>
    <row r="35">
      <c r="A35" t="str">
        <v>32</v>
      </c>
      <c r="B35" t="str">
        <v>14:29:36</v>
      </c>
      <c r="C35" t="str">
        <v>2025-12-10</v>
      </c>
      <c r="D35" t="str">
        <v>TT25_psf</v>
      </c>
      <c r="E35" t="str">
        <v>eap</v>
      </c>
      <c r="F35" t="str">
        <v/>
      </c>
      <c r="G35" t="str">
        <v>4990_Tri_white</v>
      </c>
      <c r="H35" t="str">
        <v/>
      </c>
      <c r="I35" t="str">
        <v/>
      </c>
      <c r="J35" t="str">
        <f>1/((1/L35)-(1/K35))</f>
        <v>0.016257</v>
      </c>
      <c r="K35" t="str">
        <f>BH35+(BI35*AN35)+(BJ35*AN35*POWER(V35,2))+(BK35*AN35*V35)+(BL35*POWER(AN35,2))</f>
        <v>2.921847</v>
      </c>
      <c r="L35" t="str">
        <f>((M35/1000)*(1000-((T35+S35)/2)))/(T35-S35)</f>
        <v>0.016167</v>
      </c>
      <c r="M35" t="str">
        <f>(AN35*(S35-R35))/(100*U35*(1000-S35))*1000</f>
        <v>0.330642</v>
      </c>
      <c r="N35" t="str">
        <v>0.669590</v>
      </c>
      <c r="O35" t="str">
        <v>0.661178</v>
      </c>
      <c r="P35" t="str">
        <f>0.61365*EXP((17.502*AL35)/(240.97+AL35))</f>
        <v>2.496910</v>
      </c>
      <c r="Q35" t="str">
        <f>P35-N35</f>
        <v>1.827320</v>
      </c>
      <c r="R35" t="str">
        <v>7.271340</v>
      </c>
      <c r="S35" t="str">
        <v>7.363861</v>
      </c>
      <c r="T35" t="str">
        <f>(P35/AM35)*1000</f>
        <v>27.459917</v>
      </c>
      <c r="U35" t="str">
        <f>V35*BG35</f>
        <v>0.441786</v>
      </c>
      <c r="V35" t="str">
        <v>7.500000</v>
      </c>
      <c r="W35" t="str">
        <v>PSF-00438_20251210142936_52a</v>
      </c>
      <c r="X35" t="str">
        <v>0.000000</v>
      </c>
      <c r="Y35" t="str">
        <v>0.000000</v>
      </c>
      <c r="Z35" t="str">
        <v>0.000000</v>
      </c>
      <c r="AA35" t="str">
        <v>113.137726</v>
      </c>
      <c r="AB35" t="str">
        <v>277.035339</v>
      </c>
      <c r="AC35" t="str">
        <v>0.591613</v>
      </c>
      <c r="AD35" t="str">
        <v>0.5</v>
      </c>
      <c r="AE35" t="str">
        <v>0.80</v>
      </c>
      <c r="AF35" t="str">
        <f>AC35*AD35*AE35*AQ35</f>
        <v>28.628241</v>
      </c>
      <c r="AG35" t="str">
        <v>1.000000</v>
      </c>
      <c r="AH35" t="str">
        <v>24.51</v>
      </c>
      <c r="AI35" t="str">
        <v>24.20</v>
      </c>
      <c r="AJ35" t="str">
        <v>22.48</v>
      </c>
      <c r="AK35" t="str">
        <v>21.01</v>
      </c>
      <c r="AL35" t="str">
        <f>(AK35-AJ35)*(AJ35*0+0)+AK35</f>
        <v>21.01</v>
      </c>
      <c r="AM35" t="str">
        <v>90.93</v>
      </c>
      <c r="AN35" t="str">
        <v>156.7</v>
      </c>
      <c r="AO35" t="str">
        <v>158.5</v>
      </c>
      <c r="AP35" t="str">
        <v>-1.1</v>
      </c>
      <c r="AQ35" t="str">
        <v>121</v>
      </c>
      <c r="AR35" t="str">
        <v>3.915</v>
      </c>
      <c r="AS35" t="str">
        <v>14:23:54</v>
      </c>
      <c r="AT35" t="str">
        <v>2025-12-10</v>
      </c>
      <c r="AU35" t="str">
        <v>-0.06</v>
      </c>
      <c r="AV35" t="str">
        <v>1</v>
      </c>
      <c r="AW35" t="str">
        <v>-0.000</v>
      </c>
      <c r="AX35" t="str">
        <v>-0.000</v>
      </c>
      <c r="AY35" t="str">
        <v>-9999.000</v>
      </c>
      <c r="AZ35" t="str">
        <v>0.857</v>
      </c>
      <c r="BA35" t="str">
        <v>0.726</v>
      </c>
      <c r="BB35" t="str">
        <v>-9999.000</v>
      </c>
      <c r="BC35" t="str">
        <v>1</v>
      </c>
      <c r="BD35" t="str">
        <v>150</v>
      </c>
      <c r="BE35" t="str">
        <v>0.005</v>
      </c>
      <c r="BF35" t="str">
        <v>2.000000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0</v>
      </c>
      <c r="BO35" t="str">
        <v>mpf</v>
      </c>
      <c r="BP35" t="str">
        <v>7000</v>
      </c>
      <c r="BQ35" t="str">
        <v>500</v>
      </c>
      <c r="BR35" t="str">
        <v>5.000000</v>
      </c>
      <c r="BS35" t="str">
        <v>2.000000</v>
      </c>
      <c r="BT35" t="str">
        <v>300</v>
      </c>
      <c r="BU35" t="str">
        <v>300</v>
      </c>
      <c r="BV35" t="str">
        <v>300</v>
      </c>
      <c r="BW35" t="str">
        <v>270.430695</v>
      </c>
      <c r="BX35" t="str">
        <v>25</v>
      </c>
      <c r="BY35" t="str">
        <v>-4.521893</v>
      </c>
      <c r="BZ35" t="str">
        <v>270.912781</v>
      </c>
      <c r="CA35" t="str">
        <v>270.571320</v>
      </c>
      <c r="CB35" t="str">
        <v>0.341461</v>
      </c>
      <c r="CC35" t="str">
        <v>2.431683</v>
      </c>
      <c r="CD35" t="str">
        <v>2.446151</v>
      </c>
      <c r="CE35" t="str">
        <v>1.655645</v>
      </c>
      <c r="CF35" t="str">
        <v>0.942660</v>
      </c>
      <c r="CG35" t="str">
        <v>0.301646</v>
      </c>
      <c r="CH35" t="str">
        <v>-0.015674</v>
      </c>
      <c r="CI35" t="str">
        <v>0.174128</v>
      </c>
      <c r="CJ35" t="str">
        <v>0.216127</v>
      </c>
      <c r="CK35" t="str">
        <v>113.137726</v>
      </c>
      <c r="CL35" t="str">
        <v>0.000239</v>
      </c>
      <c r="CM35" t="str">
        <v>2.388960</v>
      </c>
      <c r="CN35" t="str">
        <v>-0.000025</v>
      </c>
      <c r="CO35" t="str">
        <v>1.000000</v>
      </c>
      <c r="CP35" t="str">
        <v>2.402765</v>
      </c>
      <c r="CQ35" t="str">
        <v>-0.000034</v>
      </c>
      <c r="CR35" t="str">
        <v>1.000000</v>
      </c>
      <c r="CS35" t="str">
        <v>0.600816</v>
      </c>
      <c r="CT35" t="str">
        <v>0.600971</v>
      </c>
      <c r="CU35" t="str">
        <v>0.107301</v>
      </c>
      <c r="CV35" t="str">
        <v>0.000000</v>
      </c>
      <c r="CW35" t="str">
        <v>PSF-00438_20251210142936_52a</v>
      </c>
      <c r="CX35" t="str">
        <v>PFA-00474</v>
      </c>
      <c r="CY35" t="str">
        <v>PSA-00486</v>
      </c>
      <c r="CZ35" t="str">
        <v>PSF-00438</v>
      </c>
      <c r="DA35" t="str">
        <v>RHS-00603</v>
      </c>
      <c r="DB35" t="str">
        <v>3.0.0</v>
      </c>
      <c r="DC35" t="str">
        <v>2025-03-10T14:27:16.709Z</v>
      </c>
    </row>
    <row r="36">
      <c r="A36" t="str">
        <v>33</v>
      </c>
      <c r="B36" t="str">
        <v>14:29:54</v>
      </c>
      <c r="C36" t="str">
        <v>2025-12-10</v>
      </c>
      <c r="D36" t="str">
        <v>TT25_psf</v>
      </c>
      <c r="E36" t="str">
        <v>eap</v>
      </c>
      <c r="F36" t="str">
        <v/>
      </c>
      <c r="G36" t="str">
        <v>2563_Tri_white</v>
      </c>
      <c r="H36" t="str">
        <v/>
      </c>
      <c r="I36" t="str">
        <v/>
      </c>
      <c r="J36" t="str">
        <f>1/((1/L36)-(1/K36))</f>
        <v>0.004785</v>
      </c>
      <c r="K36" t="str">
        <f>BH36+(BI36*AN36)+(BJ36*AN36*POWER(V36,2))+(BK36*AN36*V36)+(BL36*POWER(AN36,2))</f>
        <v>2.921038</v>
      </c>
      <c r="L36" t="str">
        <f>((M36/1000)*(1000-((T36+S36)/2)))/(T36-S36)</f>
        <v>0.004778</v>
      </c>
      <c r="M36" t="str">
        <f>(AN36*(S36-R36))/(100*U36*(1000-S36))*1000</f>
        <v>0.099767</v>
      </c>
      <c r="N36" t="str">
        <v>0.641250</v>
      </c>
      <c r="O36" t="str">
        <v>0.638709</v>
      </c>
      <c r="P36" t="str">
        <f>0.61365*EXP((17.502*AL36)/(240.97+AL36))</f>
        <v>2.507197</v>
      </c>
      <c r="Q36" t="str">
        <f>P36-N36</f>
        <v>1.865947</v>
      </c>
      <c r="R36" t="str">
        <v>7.024123</v>
      </c>
      <c r="S36" t="str">
        <v>7.052067</v>
      </c>
      <c r="T36" t="str">
        <f>(P36/AM36)*1000</f>
        <v>27.572599</v>
      </c>
      <c r="U36" t="str">
        <f>V36*BG36</f>
        <v>0.441786</v>
      </c>
      <c r="V36" t="str">
        <v>7.500000</v>
      </c>
      <c r="W36" t="str">
        <v>PSF-00438_20251210142954_5f7</v>
      </c>
      <c r="X36" t="str">
        <v>0.000000</v>
      </c>
      <c r="Y36" t="str">
        <v>0.000000</v>
      </c>
      <c r="Z36" t="str">
        <v>0.000000</v>
      </c>
      <c r="AA36" t="str">
        <v>99.679825</v>
      </c>
      <c r="AB36" t="str">
        <v>155.687668</v>
      </c>
      <c r="AC36" t="str">
        <v>0.359745</v>
      </c>
      <c r="AD36" t="str">
        <v>0.5</v>
      </c>
      <c r="AE36" t="str">
        <v>0.80</v>
      </c>
      <c r="AF36" t="str">
        <f>AC36*AD36*AE36*AQ36</f>
        <v>18.797398</v>
      </c>
      <c r="AG36" t="str">
        <v>1.000000</v>
      </c>
      <c r="AH36" t="str">
        <v>23.48</v>
      </c>
      <c r="AI36" t="str">
        <v>23.39</v>
      </c>
      <c r="AJ36" t="str">
        <v>22.47</v>
      </c>
      <c r="AK36" t="str">
        <v>21.07</v>
      </c>
      <c r="AL36" t="str">
        <f>(AK36-AJ36)*(AJ36*0+0)+AK36</f>
        <v>21.07</v>
      </c>
      <c r="AM36" t="str">
        <v>90.93</v>
      </c>
      <c r="AN36" t="str">
        <v>156.6</v>
      </c>
      <c r="AO36" t="str">
        <v>158.5</v>
      </c>
      <c r="AP36" t="str">
        <v>-1.2</v>
      </c>
      <c r="AQ36" t="str">
        <v>131</v>
      </c>
      <c r="AR36" t="str">
        <v>3.910</v>
      </c>
      <c r="AS36" t="str">
        <v>14:23:54</v>
      </c>
      <c r="AT36" t="str">
        <v>2025-12-10</v>
      </c>
      <c r="AU36" t="str">
        <v>-0.06</v>
      </c>
      <c r="AV36" t="str">
        <v>1</v>
      </c>
      <c r="AW36" t="str">
        <v>0.000</v>
      </c>
      <c r="AX36" t="str">
        <v>-0.002</v>
      </c>
      <c r="AY36" t="str">
        <v>-9999.000</v>
      </c>
      <c r="AZ36" t="str">
        <v>-0.283</v>
      </c>
      <c r="BA36" t="str">
        <v>0.844</v>
      </c>
      <c r="BB36" t="str">
        <v>-9999.000</v>
      </c>
      <c r="BC36" t="str">
        <v>1</v>
      </c>
      <c r="BD36" t="str">
        <v>150</v>
      </c>
      <c r="BE36" t="str">
        <v>0.005</v>
      </c>
      <c r="BF36" t="str">
        <v>2.000000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0</v>
      </c>
      <c r="BO36" t="str">
        <v>mpf</v>
      </c>
      <c r="BP36" t="str">
        <v>7000</v>
      </c>
      <c r="BQ36" t="str">
        <v>500</v>
      </c>
      <c r="BR36" t="str">
        <v>5.000000</v>
      </c>
      <c r="BS36" t="str">
        <v>2.000000</v>
      </c>
      <c r="BT36" t="str">
        <v>300</v>
      </c>
      <c r="BU36" t="str">
        <v>300</v>
      </c>
      <c r="BV36" t="str">
        <v>300</v>
      </c>
      <c r="BW36" t="str">
        <v>153.678421</v>
      </c>
      <c r="BX36" t="str">
        <v>25</v>
      </c>
      <c r="BY36" t="str">
        <v>-1.357844</v>
      </c>
      <c r="BZ36" t="str">
        <v>153.597946</v>
      </c>
      <c r="CA36" t="str">
        <v>153.746643</v>
      </c>
      <c r="CB36" t="str">
        <v>-0.148697</v>
      </c>
      <c r="CC36" t="str">
        <v>2.430434</v>
      </c>
      <c r="CD36" t="str">
        <v>2.444561</v>
      </c>
      <c r="CE36" t="str">
        <v>1.654798</v>
      </c>
      <c r="CF36" t="str">
        <v>0.942774</v>
      </c>
      <c r="CG36" t="str">
        <v>0.301717</v>
      </c>
      <c r="CH36" t="str">
        <v>-0.014876</v>
      </c>
      <c r="CI36" t="str">
        <v>0.176196</v>
      </c>
      <c r="CJ36" t="str">
        <v>0.224812</v>
      </c>
      <c r="CK36" t="str">
        <v>99.679825</v>
      </c>
      <c r="CL36" t="str">
        <v>0.000237</v>
      </c>
      <c r="CM36" t="str">
        <v>2.388960</v>
      </c>
      <c r="CN36" t="str">
        <v>-0.000025</v>
      </c>
      <c r="CO36" t="str">
        <v>1.000000</v>
      </c>
      <c r="CP36" t="str">
        <v>2.402765</v>
      </c>
      <c r="CQ36" t="str">
        <v>-0.000034</v>
      </c>
      <c r="CR36" t="str">
        <v>1.000000</v>
      </c>
      <c r="CS36" t="str">
        <v>0.600816</v>
      </c>
      <c r="CT36" t="str">
        <v>0.600971</v>
      </c>
      <c r="CU36" t="str">
        <v>0.107301</v>
      </c>
      <c r="CV36" t="str">
        <v>0.000000</v>
      </c>
      <c r="CW36" t="str">
        <v>PSF-00438_20251210142954_5f7</v>
      </c>
      <c r="CX36" t="str">
        <v>PFA-00474</v>
      </c>
      <c r="CY36" t="str">
        <v>PSA-00486</v>
      </c>
      <c r="CZ36" t="str">
        <v>PSF-00438</v>
      </c>
      <c r="DA36" t="str">
        <v>RHS-00603</v>
      </c>
      <c r="DB36" t="str">
        <v>3.0.0</v>
      </c>
      <c r="DC36" t="str">
        <v>2025-03-10T14:27:16.709Z</v>
      </c>
    </row>
    <row r="37">
      <c r="A37" t="str">
        <v>34</v>
      </c>
      <c r="B37" t="str">
        <v>14:30:13</v>
      </c>
      <c r="C37" t="str">
        <v>2025-12-10</v>
      </c>
      <c r="D37" t="str">
        <v>TT25_psf</v>
      </c>
      <c r="E37" t="str">
        <v>eap</v>
      </c>
      <c r="F37" t="str">
        <v/>
      </c>
      <c r="G37" t="str">
        <v>1647_Tri_white</v>
      </c>
      <c r="H37" t="str">
        <v/>
      </c>
      <c r="I37" t="str">
        <v/>
      </c>
      <c r="J37" t="str">
        <f>1/((1/L37)-(1/K37))</f>
        <v>-0.001580</v>
      </c>
      <c r="K37" t="str">
        <f>BH37+(BI37*AN37)+(BJ37*AN37*POWER(V37,2))+(BK37*AN37*V37)+(BL37*POWER(AN37,2))</f>
        <v>2.921273</v>
      </c>
      <c r="L37" t="str">
        <f>((M37/1000)*(1000-((T37+S37)/2)))/(T37-S37)</f>
        <v>-0.001581</v>
      </c>
      <c r="M37" t="str">
        <f>(AN37*(S37-R37))/(100*U37*(1000-S37))*1000</f>
        <v>-0.032123</v>
      </c>
      <c r="N37" t="str">
        <v>0.687958</v>
      </c>
      <c r="O37" t="str">
        <v>0.688775</v>
      </c>
      <c r="P37" t="str">
        <f>0.61365*EXP((17.502*AL37)/(240.97+AL37))</f>
        <v>2.503507</v>
      </c>
      <c r="Q37" t="str">
        <f>P37-N37</f>
        <v>1.815549</v>
      </c>
      <c r="R37" t="str">
        <v>7.574390</v>
      </c>
      <c r="S37" t="str">
        <v>7.565399</v>
      </c>
      <c r="T37" t="str">
        <f>(P37/AM37)*1000</f>
        <v>27.530804</v>
      </c>
      <c r="U37" t="str">
        <f>V37*BG37</f>
        <v>0.441786</v>
      </c>
      <c r="V37" t="str">
        <v>7.500000</v>
      </c>
      <c r="W37" t="str">
        <v>PSF-00438_20251210143013_a5d</v>
      </c>
      <c r="X37" t="str">
        <v>0.000000</v>
      </c>
      <c r="Y37" t="str">
        <v>0.000000</v>
      </c>
      <c r="Z37" t="str">
        <v>0.000000</v>
      </c>
      <c r="AA37" t="str">
        <v>88.330147</v>
      </c>
      <c r="AB37" t="str">
        <v>91.142593</v>
      </c>
      <c r="AC37" t="str">
        <v>0.030858</v>
      </c>
      <c r="AD37" t="str">
        <v>0.5</v>
      </c>
      <c r="AE37" t="str">
        <v>0.80</v>
      </c>
      <c r="AF37" t="str">
        <f>AC37*AD37*AE37*AQ37</f>
        <v>2.369002</v>
      </c>
      <c r="AG37" t="str">
        <v>1.000000</v>
      </c>
      <c r="AH37" t="str">
        <v>25.20</v>
      </c>
      <c r="AI37" t="str">
        <v>25.23</v>
      </c>
      <c r="AJ37" t="str">
        <v>22.47</v>
      </c>
      <c r="AK37" t="str">
        <v>21.05</v>
      </c>
      <c r="AL37" t="str">
        <f>(AK37-AJ37)*(AJ37*0+0)+AK37</f>
        <v>21.05</v>
      </c>
      <c r="AM37" t="str">
        <v>90.93</v>
      </c>
      <c r="AN37" t="str">
        <v>156.6</v>
      </c>
      <c r="AO37" t="str">
        <v>158.4</v>
      </c>
      <c r="AP37" t="str">
        <v>-1.1</v>
      </c>
      <c r="AQ37" t="str">
        <v>192</v>
      </c>
      <c r="AR37" t="str">
        <v>3.909</v>
      </c>
      <c r="AS37" t="str">
        <v>14:23:54</v>
      </c>
      <c r="AT37" t="str">
        <v>2025-12-10</v>
      </c>
      <c r="AU37" t="str">
        <v>-0.06</v>
      </c>
      <c r="AV37" t="str">
        <v>1</v>
      </c>
      <c r="AW37" t="str">
        <v>0.001</v>
      </c>
      <c r="AX37" t="str">
        <v>-0.001</v>
      </c>
      <c r="AY37" t="str">
        <v>-9999.000</v>
      </c>
      <c r="AZ37" t="str">
        <v>-2.436</v>
      </c>
      <c r="BA37" t="str">
        <v>1.005</v>
      </c>
      <c r="BB37" t="str">
        <v>-9999.000</v>
      </c>
      <c r="BC37" t="str">
        <v>1</v>
      </c>
      <c r="BD37" t="str">
        <v>150</v>
      </c>
      <c r="BE37" t="str">
        <v>0.005</v>
      </c>
      <c r="BF37" t="str">
        <v>2.000000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0</v>
      </c>
      <c r="BO37" t="str">
        <v>mpf</v>
      </c>
      <c r="BP37" t="str">
        <v>7000</v>
      </c>
      <c r="BQ37" t="str">
        <v>500</v>
      </c>
      <c r="BR37" t="str">
        <v>5.000000</v>
      </c>
      <c r="BS37" t="str">
        <v>2.000000</v>
      </c>
      <c r="BT37" t="str">
        <v>300</v>
      </c>
      <c r="BU37" t="str">
        <v>300</v>
      </c>
      <c r="BV37" t="str">
        <v>300</v>
      </c>
      <c r="BW37" t="str">
        <v>90.815666</v>
      </c>
      <c r="BX37" t="str">
        <v>25</v>
      </c>
      <c r="BY37" t="str">
        <v>-0.229649</v>
      </c>
      <c r="BZ37" t="str">
        <v>90.542793</v>
      </c>
      <c r="CA37" t="str">
        <v>90.814316</v>
      </c>
      <c r="CB37" t="str">
        <v>-0.271523</v>
      </c>
      <c r="CC37" t="str">
        <v>2.433252</v>
      </c>
      <c r="CD37" t="str">
        <v>2.447213</v>
      </c>
      <c r="CE37" t="str">
        <v>1.655043</v>
      </c>
      <c r="CF37" t="str">
        <v>0.942283</v>
      </c>
      <c r="CG37" t="str">
        <v>0.301792</v>
      </c>
      <c r="CH37" t="str">
        <v>-0.015069</v>
      </c>
      <c r="CI37" t="str">
        <v>0.178261</v>
      </c>
      <c r="CJ37" t="str">
        <v>0.279955</v>
      </c>
      <c r="CK37" t="str">
        <v>88.330147</v>
      </c>
      <c r="CL37" t="str">
        <v>0.000237</v>
      </c>
      <c r="CM37" t="str">
        <v>2.388960</v>
      </c>
      <c r="CN37" t="str">
        <v>-0.000025</v>
      </c>
      <c r="CO37" t="str">
        <v>1.000000</v>
      </c>
      <c r="CP37" t="str">
        <v>2.402765</v>
      </c>
      <c r="CQ37" t="str">
        <v>-0.000034</v>
      </c>
      <c r="CR37" t="str">
        <v>1.000000</v>
      </c>
      <c r="CS37" t="str">
        <v>0.600816</v>
      </c>
      <c r="CT37" t="str">
        <v>0.600971</v>
      </c>
      <c r="CU37" t="str">
        <v>0.107301</v>
      </c>
      <c r="CV37" t="str">
        <v>0.000000</v>
      </c>
      <c r="CW37" t="str">
        <v>PSF-00438_20251210143013_a5d</v>
      </c>
      <c r="CX37" t="str">
        <v>PFA-00474</v>
      </c>
      <c r="CY37" t="str">
        <v>PSA-00486</v>
      </c>
      <c r="CZ37" t="str">
        <v>PSF-00438</v>
      </c>
      <c r="DA37" t="str">
        <v>RHS-00603</v>
      </c>
      <c r="DB37" t="str">
        <v>3.0.0</v>
      </c>
      <c r="DC37" t="str">
        <v>2025-03-10T14:27:16.709Z</v>
      </c>
    </row>
    <row r="38">
      <c r="A38" t="str">
        <v>35</v>
      </c>
      <c r="B38" t="str">
        <v>14:30:32</v>
      </c>
      <c r="C38" t="str">
        <v>2025-12-10</v>
      </c>
      <c r="D38" t="str">
        <v>TT25_psf</v>
      </c>
      <c r="E38" t="str">
        <v>eap</v>
      </c>
      <c r="F38" t="str">
        <v/>
      </c>
      <c r="G38" t="str">
        <v>6507_Tri_white</v>
      </c>
      <c r="H38" t="str">
        <v/>
      </c>
      <c r="I38" t="str">
        <v/>
      </c>
      <c r="J38" t="str">
        <f>1/((1/L38)-(1/K38))</f>
        <v>-0.003809</v>
      </c>
      <c r="K38" t="str">
        <f>BH38+(BI38*AN38)+(BJ38*AN38*POWER(V38,2))+(BK38*AN38*V38)+(BL38*POWER(AN38,2))</f>
        <v>2.921024</v>
      </c>
      <c r="L38" t="str">
        <f>((M38/1000)*(1000-((T38+S38)/2)))/(T38-S38)</f>
        <v>-0.003814</v>
      </c>
      <c r="M38" t="str">
        <f>(AN38*(S38-R38))/(100*U38*(1000-S38))*1000</f>
        <v>-0.077456</v>
      </c>
      <c r="N38" t="str">
        <v>0.712807</v>
      </c>
      <c r="O38" t="str">
        <v>0.714778</v>
      </c>
      <c r="P38" t="str">
        <f>0.61365*EXP((17.502*AL38)/(240.97+AL38))</f>
        <v>2.526489</v>
      </c>
      <c r="Q38" t="str">
        <f>P38-N38</f>
        <v>1.813682</v>
      </c>
      <c r="R38" t="str">
        <v>7.860640</v>
      </c>
      <c r="S38" t="str">
        <v>7.838963</v>
      </c>
      <c r="T38" t="str">
        <f>(P38/AM38)*1000</f>
        <v>27.784603</v>
      </c>
      <c r="U38" t="str">
        <f>V38*BG38</f>
        <v>0.441786</v>
      </c>
      <c r="V38" t="str">
        <v>7.500000</v>
      </c>
      <c r="W38" t="str">
        <v>PSF-00438_20251210143032_fa5</v>
      </c>
      <c r="X38" t="str">
        <v>0.000000</v>
      </c>
      <c r="Y38" t="str">
        <v>0.000000</v>
      </c>
      <c r="Z38" t="str">
        <v>0.000000</v>
      </c>
      <c r="AA38" t="str">
        <v>104.351166</v>
      </c>
      <c r="AB38" t="str">
        <v>119.711639</v>
      </c>
      <c r="AC38" t="str">
        <v>0.128312</v>
      </c>
      <c r="AD38" t="str">
        <v>0.5</v>
      </c>
      <c r="AE38" t="str">
        <v>0.80</v>
      </c>
      <c r="AF38" t="str">
        <f>AC38*AD38*AE38*AQ38</f>
        <v>10.384870</v>
      </c>
      <c r="AG38" t="str">
        <v>1.000000</v>
      </c>
      <c r="AH38" t="str">
        <v>26.12</v>
      </c>
      <c r="AI38" t="str">
        <v>26.19</v>
      </c>
      <c r="AJ38" t="str">
        <v>22.46</v>
      </c>
      <c r="AK38" t="str">
        <v>21.20</v>
      </c>
      <c r="AL38" t="str">
        <f>(AK38-AJ38)*(AJ38*0+0)+AK38</f>
        <v>21.20</v>
      </c>
      <c r="AM38" t="str">
        <v>90.93</v>
      </c>
      <c r="AN38" t="str">
        <v>156.6</v>
      </c>
      <c r="AO38" t="str">
        <v>158.2</v>
      </c>
      <c r="AP38" t="str">
        <v>-1.0</v>
      </c>
      <c r="AQ38" t="str">
        <v>202</v>
      </c>
      <c r="AR38" t="str">
        <v>3.914</v>
      </c>
      <c r="AS38" t="str">
        <v>14:23:54</v>
      </c>
      <c r="AT38" t="str">
        <v>2025-12-10</v>
      </c>
      <c r="AU38" t="str">
        <v>-0.06</v>
      </c>
      <c r="AV38" t="str">
        <v>1</v>
      </c>
      <c r="AW38" t="str">
        <v>-0.002</v>
      </c>
      <c r="AX38" t="str">
        <v>-0.004</v>
      </c>
      <c r="AY38" t="str">
        <v>-9999.000</v>
      </c>
      <c r="AZ38" t="str">
        <v>0.512</v>
      </c>
      <c r="BA38" t="str">
        <v>0.373</v>
      </c>
      <c r="BB38" t="str">
        <v>-9999.000</v>
      </c>
      <c r="BC38" t="str">
        <v>1</v>
      </c>
      <c r="BD38" t="str">
        <v>150</v>
      </c>
      <c r="BE38" t="str">
        <v>0.005</v>
      </c>
      <c r="BF38" t="str">
        <v>2.000000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0</v>
      </c>
      <c r="BO38" t="str">
        <v>mpf</v>
      </c>
      <c r="BP38" t="str">
        <v>7000</v>
      </c>
      <c r="BQ38" t="str">
        <v>500</v>
      </c>
      <c r="BR38" t="str">
        <v>5.000000</v>
      </c>
      <c r="BS38" t="str">
        <v>2.000000</v>
      </c>
      <c r="BT38" t="str">
        <v>300</v>
      </c>
      <c r="BU38" t="str">
        <v>300</v>
      </c>
      <c r="BV38" t="str">
        <v>300</v>
      </c>
      <c r="BW38" t="str">
        <v>119.711639</v>
      </c>
      <c r="BX38" t="str">
        <v>25</v>
      </c>
      <c r="BY38" t="str">
        <v>0.289795</v>
      </c>
      <c r="BZ38" t="str">
        <v>119.872574</v>
      </c>
      <c r="CA38" t="str">
        <v>120.125900</v>
      </c>
      <c r="CB38" t="str">
        <v>-0.253326</v>
      </c>
      <c r="CC38" t="str">
        <v>2.434711</v>
      </c>
      <c r="CD38" t="str">
        <v>2.448620</v>
      </c>
      <c r="CE38" t="str">
        <v>1.654783</v>
      </c>
      <c r="CF38" t="str">
        <v>0.941875</v>
      </c>
      <c r="CG38" t="str">
        <v>0.301884</v>
      </c>
      <c r="CH38" t="str">
        <v>-0.013353</v>
      </c>
      <c r="CI38" t="str">
        <v>0.180327</v>
      </c>
      <c r="CJ38" t="str">
        <v>0.289316</v>
      </c>
      <c r="CK38" t="str">
        <v>104.351166</v>
      </c>
      <c r="CL38" t="str">
        <v>0.000237</v>
      </c>
      <c r="CM38" t="str">
        <v>2.388960</v>
      </c>
      <c r="CN38" t="str">
        <v>-0.000025</v>
      </c>
      <c r="CO38" t="str">
        <v>1.000000</v>
      </c>
      <c r="CP38" t="str">
        <v>2.402765</v>
      </c>
      <c r="CQ38" t="str">
        <v>-0.000034</v>
      </c>
      <c r="CR38" t="str">
        <v>1.000000</v>
      </c>
      <c r="CS38" t="str">
        <v>0.600816</v>
      </c>
      <c r="CT38" t="str">
        <v>0.600971</v>
      </c>
      <c r="CU38" t="str">
        <v>0.107301</v>
      </c>
      <c r="CV38" t="str">
        <v>0.000000</v>
      </c>
      <c r="CW38" t="str">
        <v>PSF-00438_20251210143032_fa5</v>
      </c>
      <c r="CX38" t="str">
        <v>PFA-00474</v>
      </c>
      <c r="CY38" t="str">
        <v>PSA-00486</v>
      </c>
      <c r="CZ38" t="str">
        <v>PSF-00438</v>
      </c>
      <c r="DA38" t="str">
        <v>RHS-00603</v>
      </c>
      <c r="DB38" t="str">
        <v>3.0.0</v>
      </c>
      <c r="DC38" t="str">
        <v>2025-03-10T14:27:16.709Z</v>
      </c>
    </row>
    <row r="39">
      <c r="A39" t="str">
        <v>36</v>
      </c>
      <c r="B39" t="str">
        <v>14:30:50</v>
      </c>
      <c r="C39" t="str">
        <v>2025-12-10</v>
      </c>
      <c r="D39" t="str">
        <v>TT25_psf</v>
      </c>
      <c r="E39" t="str">
        <v>eap</v>
      </c>
      <c r="F39" t="str">
        <v/>
      </c>
      <c r="G39" t="str">
        <v>5619_Tri_white</v>
      </c>
      <c r="H39" t="str">
        <v/>
      </c>
      <c r="I39" t="str">
        <v/>
      </c>
      <c r="J39" t="str">
        <f>1/((1/L39)-(1/K39))</f>
        <v>-0.000378</v>
      </c>
      <c r="K39" t="str">
        <f>BH39+(BI39*AN39)+(BJ39*AN39*POWER(V39,2))+(BK39*AN39*V39)+(BL39*POWER(AN39,2))</f>
        <v>2.920508</v>
      </c>
      <c r="L39" t="str">
        <f>((M39/1000)*(1000-((T39+S39)/2)))/(T39-S39)</f>
        <v>-0.000378</v>
      </c>
      <c r="M39" t="str">
        <f>(AN39*(S39-R39))/(100*U39*(1000-S39))*1000</f>
        <v>-0.007623</v>
      </c>
      <c r="N39" t="str">
        <v>0.696449</v>
      </c>
      <c r="O39" t="str">
        <v>0.696643</v>
      </c>
      <c r="P39" t="str">
        <f>0.61365*EXP((17.502*AL39)/(240.97+AL39))</f>
        <v>2.496911</v>
      </c>
      <c r="Q39" t="str">
        <f>P39-N39</f>
        <v>1.800462</v>
      </c>
      <c r="R39" t="str">
        <v>7.660928</v>
      </c>
      <c r="S39" t="str">
        <v>7.658793</v>
      </c>
      <c r="T39" t="str">
        <f>(P39/AM39)*1000</f>
        <v>27.458345</v>
      </c>
      <c r="U39" t="str">
        <f>V39*BG39</f>
        <v>0.441786</v>
      </c>
      <c r="V39" t="str">
        <v>7.500000</v>
      </c>
      <c r="W39" t="str">
        <v>PSF-00438_20251210143050_e2d</v>
      </c>
      <c r="X39" t="str">
        <v>0.000000</v>
      </c>
      <c r="Y39" t="str">
        <v>0.000000</v>
      </c>
      <c r="Z39" t="str">
        <v>0.000000</v>
      </c>
      <c r="AA39" t="str">
        <v>96.905350</v>
      </c>
      <c r="AB39" t="str">
        <v>110.645767</v>
      </c>
      <c r="AC39" t="str">
        <v>0.124184</v>
      </c>
      <c r="AD39" t="str">
        <v>0.5</v>
      </c>
      <c r="AE39" t="str">
        <v>0.80</v>
      </c>
      <c r="AF39" t="str">
        <f>AC39*AD39*AE39*AQ39</f>
        <v>10.430925</v>
      </c>
      <c r="AG39" t="str">
        <v>1.000000</v>
      </c>
      <c r="AH39" t="str">
        <v>25.53</v>
      </c>
      <c r="AI39" t="str">
        <v>25.54</v>
      </c>
      <c r="AJ39" t="str">
        <v>22.45</v>
      </c>
      <c r="AK39" t="str">
        <v>21.01</v>
      </c>
      <c r="AL39" t="str">
        <f>(AK39-AJ39)*(AJ39*0+0)+AK39</f>
        <v>21.01</v>
      </c>
      <c r="AM39" t="str">
        <v>90.93</v>
      </c>
      <c r="AN39" t="str">
        <v>156.6</v>
      </c>
      <c r="AO39" t="str">
        <v>158.6</v>
      </c>
      <c r="AP39" t="str">
        <v>-1.3</v>
      </c>
      <c r="AQ39" t="str">
        <v>210</v>
      </c>
      <c r="AR39" t="str">
        <v>3.913</v>
      </c>
      <c r="AS39" t="str">
        <v>14:23:54</v>
      </c>
      <c r="AT39" t="str">
        <v>2025-12-10</v>
      </c>
      <c r="AU39" t="str">
        <v>-0.06</v>
      </c>
      <c r="AV39" t="str">
        <v>1</v>
      </c>
      <c r="AW39" t="str">
        <v>0.001</v>
      </c>
      <c r="AX39" t="str">
        <v>-0.000</v>
      </c>
      <c r="AY39" t="str">
        <v>-9999.000</v>
      </c>
      <c r="AZ39" t="str">
        <v>0.100</v>
      </c>
      <c r="BA39" t="str">
        <v>-0.635</v>
      </c>
      <c r="BB39" t="str">
        <v>-9999.000</v>
      </c>
      <c r="BC39" t="str">
        <v>1</v>
      </c>
      <c r="BD39" t="str">
        <v>150</v>
      </c>
      <c r="BE39" t="str">
        <v>0.005</v>
      </c>
      <c r="BF39" t="str">
        <v>2.000000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0</v>
      </c>
      <c r="BO39" t="str">
        <v>mpf</v>
      </c>
      <c r="BP39" t="str">
        <v>7000</v>
      </c>
      <c r="BQ39" t="str">
        <v>500</v>
      </c>
      <c r="BR39" t="str">
        <v>5.000000</v>
      </c>
      <c r="BS39" t="str">
        <v>2.000000</v>
      </c>
      <c r="BT39" t="str">
        <v>300</v>
      </c>
      <c r="BU39" t="str">
        <v>300</v>
      </c>
      <c r="BV39" t="str">
        <v>300</v>
      </c>
      <c r="BW39" t="str">
        <v>110.645767</v>
      </c>
      <c r="BX39" t="str">
        <v>25</v>
      </c>
      <c r="BY39" t="str">
        <v>0.080195</v>
      </c>
      <c r="BZ39" t="str">
        <v>110.573532</v>
      </c>
      <c r="CA39" t="str">
        <v>110.760406</v>
      </c>
      <c r="CB39" t="str">
        <v>-0.186874</v>
      </c>
      <c r="CC39" t="str">
        <v>2.433726</v>
      </c>
      <c r="CD39" t="str">
        <v>2.447726</v>
      </c>
      <c r="CE39" t="str">
        <v>1.654244</v>
      </c>
      <c r="CF39" t="str">
        <v>0.942968</v>
      </c>
      <c r="CG39" t="str">
        <v>0.301973</v>
      </c>
      <c r="CH39" t="str">
        <v>-0.015372</v>
      </c>
      <c r="CI39" t="str">
        <v>0.182207</v>
      </c>
      <c r="CJ39" t="str">
        <v>0.296201</v>
      </c>
      <c r="CK39" t="str">
        <v>96.905350</v>
      </c>
      <c r="CL39" t="str">
        <v>0.000239</v>
      </c>
      <c r="CM39" t="str">
        <v>2.388960</v>
      </c>
      <c r="CN39" t="str">
        <v>-0.000025</v>
      </c>
      <c r="CO39" t="str">
        <v>1.000000</v>
      </c>
      <c r="CP39" t="str">
        <v>2.402765</v>
      </c>
      <c r="CQ39" t="str">
        <v>-0.000034</v>
      </c>
      <c r="CR39" t="str">
        <v>1.000000</v>
      </c>
      <c r="CS39" t="str">
        <v>0.600816</v>
      </c>
      <c r="CT39" t="str">
        <v>0.600971</v>
      </c>
      <c r="CU39" t="str">
        <v>0.107301</v>
      </c>
      <c r="CV39" t="str">
        <v>0.000000</v>
      </c>
      <c r="CW39" t="str">
        <v>PSF-00438_20251210143050_e2d</v>
      </c>
      <c r="CX39" t="str">
        <v>PFA-00474</v>
      </c>
      <c r="CY39" t="str">
        <v>PSA-00486</v>
      </c>
      <c r="CZ39" t="str">
        <v>PSF-00438</v>
      </c>
      <c r="DA39" t="str">
        <v>RHS-00603</v>
      </c>
      <c r="DB39" t="str">
        <v>3.0.0</v>
      </c>
      <c r="DC39" t="str">
        <v>2025-03-10T14:27:16.709Z</v>
      </c>
    </row>
    <row r="40">
      <c r="A40" t="str">
        <v>37</v>
      </c>
      <c r="B40" t="str">
        <v>14:31:11</v>
      </c>
      <c r="C40" t="str">
        <v>2025-12-10</v>
      </c>
      <c r="D40" t="str">
        <v>TT25_psf</v>
      </c>
      <c r="E40" t="str">
        <v>eap</v>
      </c>
      <c r="F40" t="str">
        <v/>
      </c>
      <c r="G40" t="str">
        <v>583_Tri_white</v>
      </c>
      <c r="H40" t="str">
        <v/>
      </c>
      <c r="I40" t="str">
        <v/>
      </c>
      <c r="J40" t="str">
        <f>1/((1/L40)-(1/K40))</f>
        <v>-0.004402</v>
      </c>
      <c r="K40" t="str">
        <f>BH40+(BI40*AN40)+(BJ40*AN40*POWER(V40,2))+(BK40*AN40*V40)+(BL40*POWER(AN40,2))</f>
        <v>2.922558</v>
      </c>
      <c r="L40" t="str">
        <f>((M40/1000)*(1000-((T40+S40)/2)))/(T40-S40)</f>
        <v>-0.004408</v>
      </c>
      <c r="M40" t="str">
        <f>(AN40*(S40-R40))/(100*U40*(1000-S40))*1000</f>
        <v>-0.086808</v>
      </c>
      <c r="N40" t="str">
        <v>0.698336</v>
      </c>
      <c r="O40" t="str">
        <v>0.700543</v>
      </c>
      <c r="P40" t="str">
        <f>0.61365*EXP((17.502*AL40)/(240.97+AL40))</f>
        <v>2.457934</v>
      </c>
      <c r="Q40" t="str">
        <f>P40-N40</f>
        <v>1.759598</v>
      </c>
      <c r="R40" t="str">
        <v>7.703518</v>
      </c>
      <c r="S40" t="str">
        <v>7.679249</v>
      </c>
      <c r="T40" t="str">
        <f>(P40/AM40)*1000</f>
        <v>27.028677</v>
      </c>
      <c r="U40" t="str">
        <f>V40*BG40</f>
        <v>0.441786</v>
      </c>
      <c r="V40" t="str">
        <v>7.500000</v>
      </c>
      <c r="W40" t="str">
        <v>PSF-00438_20251210143111_1ac</v>
      </c>
      <c r="X40" t="str">
        <v>0.000000</v>
      </c>
      <c r="Y40" t="str">
        <v>0.000000</v>
      </c>
      <c r="Z40" t="str">
        <v>0.000000</v>
      </c>
      <c r="AA40" t="str">
        <v>123.961685</v>
      </c>
      <c r="AB40" t="str">
        <v>125.406143</v>
      </c>
      <c r="AC40" t="str">
        <v>0.011518</v>
      </c>
      <c r="AD40" t="str">
        <v>0.5</v>
      </c>
      <c r="AE40" t="str">
        <v>0.80</v>
      </c>
      <c r="AF40" t="str">
        <f>AC40*AD40*AE40*AQ40</f>
        <v>1.051764</v>
      </c>
      <c r="AG40" t="str">
        <v>1.000000</v>
      </c>
      <c r="AH40" t="str">
        <v>25.62</v>
      </c>
      <c r="AI40" t="str">
        <v>25.70</v>
      </c>
      <c r="AJ40" t="str">
        <v>22.44</v>
      </c>
      <c r="AK40" t="str">
        <v>20.75</v>
      </c>
      <c r="AL40" t="str">
        <f>(AK40-AJ40)*(AJ40*0+0)+AK40</f>
        <v>20.75</v>
      </c>
      <c r="AM40" t="str">
        <v>90.94</v>
      </c>
      <c r="AN40" t="str">
        <v>156.8</v>
      </c>
      <c r="AO40" t="str">
        <v>156.4</v>
      </c>
      <c r="AP40" t="str">
        <v>0.2</v>
      </c>
      <c r="AQ40" t="str">
        <v>228</v>
      </c>
      <c r="AR40" t="str">
        <v>3.913</v>
      </c>
      <c r="AS40" t="str">
        <v>14:23:54</v>
      </c>
      <c r="AT40" t="str">
        <v>2025-12-10</v>
      </c>
      <c r="AU40" t="str">
        <v>-0.06</v>
      </c>
      <c r="AV40" t="str">
        <v>1</v>
      </c>
      <c r="AW40" t="str">
        <v>-0.000</v>
      </c>
      <c r="AX40" t="str">
        <v>-0.002</v>
      </c>
      <c r="AY40" t="str">
        <v>-9999.000</v>
      </c>
      <c r="AZ40" t="str">
        <v>-1.461</v>
      </c>
      <c r="BA40" t="str">
        <v>-1.547</v>
      </c>
      <c r="BB40" t="str">
        <v>-9999.000</v>
      </c>
      <c r="BC40" t="str">
        <v>1</v>
      </c>
      <c r="BD40" t="str">
        <v>150</v>
      </c>
      <c r="BE40" t="str">
        <v>0.005</v>
      </c>
      <c r="BF40" t="str">
        <v>2.000000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0</v>
      </c>
      <c r="BO40" t="str">
        <v>mpf</v>
      </c>
      <c r="BP40" t="str">
        <v>7000</v>
      </c>
      <c r="BQ40" t="str">
        <v>500</v>
      </c>
      <c r="BR40" t="str">
        <v>5.000000</v>
      </c>
      <c r="BS40" t="str">
        <v>2.000000</v>
      </c>
      <c r="BT40" t="str">
        <v>300</v>
      </c>
      <c r="BU40" t="str">
        <v>300</v>
      </c>
      <c r="BV40" t="str">
        <v>300</v>
      </c>
      <c r="BW40" t="str">
        <v>125.406143</v>
      </c>
      <c r="BX40" t="str">
        <v>25</v>
      </c>
      <c r="BY40" t="str">
        <v>-0.064703</v>
      </c>
      <c r="BZ40" t="str">
        <v>124.978783</v>
      </c>
      <c r="CA40" t="str">
        <v>125.313652</v>
      </c>
      <c r="CB40" t="str">
        <v>-0.334869</v>
      </c>
      <c r="CC40" t="str">
        <v>2.433963</v>
      </c>
      <c r="CD40" t="str">
        <v>2.447852</v>
      </c>
      <c r="CE40" t="str">
        <v>1.656390</v>
      </c>
      <c r="CF40" t="str">
        <v>0.937333</v>
      </c>
      <c r="CG40" t="str">
        <v>0.302071</v>
      </c>
      <c r="CH40" t="str">
        <v>-0.018078</v>
      </c>
      <c r="CI40" t="str">
        <v>0.184466</v>
      </c>
      <c r="CJ40" t="str">
        <v>0.312657</v>
      </c>
      <c r="CK40" t="str">
        <v>123.961685</v>
      </c>
      <c r="CL40" t="str">
        <v>0.000238</v>
      </c>
      <c r="CM40" t="str">
        <v>2.388960</v>
      </c>
      <c r="CN40" t="str">
        <v>-0.000025</v>
      </c>
      <c r="CO40" t="str">
        <v>1.000000</v>
      </c>
      <c r="CP40" t="str">
        <v>2.402765</v>
      </c>
      <c r="CQ40" t="str">
        <v>-0.000034</v>
      </c>
      <c r="CR40" t="str">
        <v>1.000000</v>
      </c>
      <c r="CS40" t="str">
        <v>0.600816</v>
      </c>
      <c r="CT40" t="str">
        <v>0.600971</v>
      </c>
      <c r="CU40" t="str">
        <v>0.107301</v>
      </c>
      <c r="CV40" t="str">
        <v>0.000000</v>
      </c>
      <c r="CW40" t="str">
        <v>PSF-00438_20251210143111_1ac</v>
      </c>
      <c r="CX40" t="str">
        <v>PFA-00474</v>
      </c>
      <c r="CY40" t="str">
        <v>PSA-00486</v>
      </c>
      <c r="CZ40" t="str">
        <v>PSF-00438</v>
      </c>
      <c r="DA40" t="str">
        <v>RHS-00603</v>
      </c>
      <c r="DB40" t="str">
        <v>3.0.0</v>
      </c>
      <c r="DC40" t="str">
        <v>2025-03-10T14:27:16.709Z</v>
      </c>
    </row>
    <row r="41">
      <c r="A41" t="str">
        <v>38</v>
      </c>
      <c r="B41" t="str">
        <v>14:31:33</v>
      </c>
      <c r="C41" t="str">
        <v>2025-12-10</v>
      </c>
      <c r="D41" t="str">
        <v>TT25_psf</v>
      </c>
      <c r="E41" t="str">
        <v>eap</v>
      </c>
      <c r="F41" t="str">
        <v/>
      </c>
      <c r="G41" t="str">
        <v>6879_Tri_white</v>
      </c>
      <c r="H41" t="str">
        <v/>
      </c>
      <c r="I41" t="str">
        <v/>
      </c>
      <c r="J41" t="str">
        <f>1/((1/L41)-(1/K41))</f>
        <v>-0.001148</v>
      </c>
      <c r="K41" t="str">
        <f>BH41+(BI41*AN41)+(BJ41*AN41*POWER(V41,2))+(BK41*AN41*V41)+(BL41*POWER(AN41,2))</f>
        <v>2.921624</v>
      </c>
      <c r="L41" t="str">
        <f>((M41/1000)*(1000-((T41+S41)/2)))/(T41-S41)</f>
        <v>-0.001148</v>
      </c>
      <c r="M41" t="str">
        <f>(AN41*(S41-R41))/(100*U41*(1000-S41))*1000</f>
        <v>-0.021669</v>
      </c>
      <c r="N41" t="str">
        <v>0.694204</v>
      </c>
      <c r="O41" t="str">
        <v>0.694755</v>
      </c>
      <c r="P41" t="str">
        <f>0.61365*EXP((17.502*AL41)/(240.97+AL41))</f>
        <v>2.381444</v>
      </c>
      <c r="Q41" t="str">
        <f>P41-N41</f>
        <v>1.687241</v>
      </c>
      <c r="R41" t="str">
        <v>7.640800</v>
      </c>
      <c r="S41" t="str">
        <v>7.634737</v>
      </c>
      <c r="T41" t="str">
        <f>(P41/AM41)*1000</f>
        <v>26.190727</v>
      </c>
      <c r="U41" t="str">
        <f>V41*BG41</f>
        <v>0.441786</v>
      </c>
      <c r="V41" t="str">
        <v>7.500000</v>
      </c>
      <c r="W41" t="str">
        <v>PSF-00438_20251210143133_575</v>
      </c>
      <c r="X41" t="str">
        <v>0.000000</v>
      </c>
      <c r="Y41" t="str">
        <v>0.000000</v>
      </c>
      <c r="Z41" t="str">
        <v>0.000000</v>
      </c>
      <c r="AA41" t="str">
        <v>108.164909</v>
      </c>
      <c r="AB41" t="str">
        <v>115.075706</v>
      </c>
      <c r="AC41" t="str">
        <v>0.060054</v>
      </c>
      <c r="AD41" t="str">
        <v>0.5</v>
      </c>
      <c r="AE41" t="str">
        <v>0.80</v>
      </c>
      <c r="AF41" t="str">
        <f>AC41*AD41*AE41*AQ41</f>
        <v>4.813015</v>
      </c>
      <c r="AG41" t="str">
        <v>1.000000</v>
      </c>
      <c r="AH41" t="str">
        <v>25.49</v>
      </c>
      <c r="AI41" t="str">
        <v>25.51</v>
      </c>
      <c r="AJ41" t="str">
        <v>22.43</v>
      </c>
      <c r="AK41" t="str">
        <v>20.24</v>
      </c>
      <c r="AL41" t="str">
        <f>(AK41-AJ41)*(AJ41*0+0)+AK41</f>
        <v>20.24</v>
      </c>
      <c r="AM41" t="str">
        <v>90.93</v>
      </c>
      <c r="AN41" t="str">
        <v>156.7</v>
      </c>
      <c r="AO41" t="str">
        <v>158.7</v>
      </c>
      <c r="AP41" t="str">
        <v>-1.3</v>
      </c>
      <c r="AQ41" t="str">
        <v>200</v>
      </c>
      <c r="AR41" t="str">
        <v>3.912</v>
      </c>
      <c r="AS41" t="str">
        <v>14:23:54</v>
      </c>
      <c r="AT41" t="str">
        <v>2025-12-10</v>
      </c>
      <c r="AU41" t="str">
        <v>-0.06</v>
      </c>
      <c r="AV41" t="str">
        <v>1</v>
      </c>
      <c r="AW41" t="str">
        <v>-0.000</v>
      </c>
      <c r="AX41" t="str">
        <v>-0.002</v>
      </c>
      <c r="AY41" t="str">
        <v>-9999.000</v>
      </c>
      <c r="AZ41" t="str">
        <v>-0.919</v>
      </c>
      <c r="BA41" t="str">
        <v>-0.644</v>
      </c>
      <c r="BB41" t="str">
        <v>-9999.000</v>
      </c>
      <c r="BC41" t="str">
        <v>1</v>
      </c>
      <c r="BD41" t="str">
        <v>150</v>
      </c>
      <c r="BE41" t="str">
        <v>0.005</v>
      </c>
      <c r="BF41" t="str">
        <v>2.000000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0</v>
      </c>
      <c r="BO41" t="str">
        <v>mpf</v>
      </c>
      <c r="BP41" t="str">
        <v>7000</v>
      </c>
      <c r="BQ41" t="str">
        <v>500</v>
      </c>
      <c r="BR41" t="str">
        <v>5.000000</v>
      </c>
      <c r="BS41" t="str">
        <v>2.000000</v>
      </c>
      <c r="BT41" t="str">
        <v>300</v>
      </c>
      <c r="BU41" t="str">
        <v>300</v>
      </c>
      <c r="BV41" t="str">
        <v>300</v>
      </c>
      <c r="BW41" t="str">
        <v>115.075706</v>
      </c>
      <c r="BX41" t="str">
        <v>25</v>
      </c>
      <c r="BY41" t="str">
        <v>0.146720</v>
      </c>
      <c r="BZ41" t="str">
        <v>115.020988</v>
      </c>
      <c r="CA41" t="str">
        <v>115.285439</v>
      </c>
      <c r="CB41" t="str">
        <v>-0.264450</v>
      </c>
      <c r="CC41" t="str">
        <v>2.433678</v>
      </c>
      <c r="CD41" t="str">
        <v>2.447657</v>
      </c>
      <c r="CE41" t="str">
        <v>1.655411</v>
      </c>
      <c r="CF41" t="str">
        <v>0.943249</v>
      </c>
      <c r="CG41" t="str">
        <v>0.302249</v>
      </c>
      <c r="CH41" t="str">
        <v>-0.023493</v>
      </c>
      <c r="CI41" t="str">
        <v>0.186831</v>
      </c>
      <c r="CJ41" t="str">
        <v>0.287539</v>
      </c>
      <c r="CK41" t="str">
        <v>108.164909</v>
      </c>
      <c r="CL41" t="str">
        <v>0.000239</v>
      </c>
      <c r="CM41" t="str">
        <v>2.388960</v>
      </c>
      <c r="CN41" t="str">
        <v>-0.000025</v>
      </c>
      <c r="CO41" t="str">
        <v>1.000000</v>
      </c>
      <c r="CP41" t="str">
        <v>2.402765</v>
      </c>
      <c r="CQ41" t="str">
        <v>-0.000034</v>
      </c>
      <c r="CR41" t="str">
        <v>1.000000</v>
      </c>
      <c r="CS41" t="str">
        <v>0.600816</v>
      </c>
      <c r="CT41" t="str">
        <v>0.600971</v>
      </c>
      <c r="CU41" t="str">
        <v>0.107301</v>
      </c>
      <c r="CV41" t="str">
        <v>0.000000</v>
      </c>
      <c r="CW41" t="str">
        <v>PSF-00438_20251210143133_575</v>
      </c>
      <c r="CX41" t="str">
        <v>PFA-00474</v>
      </c>
      <c r="CY41" t="str">
        <v>PSA-00486</v>
      </c>
      <c r="CZ41" t="str">
        <v>PSF-00438</v>
      </c>
      <c r="DA41" t="str">
        <v>RHS-00603</v>
      </c>
      <c r="DB41" t="str">
        <v>3.0.0</v>
      </c>
      <c r="DC41" t="str">
        <v>2025-03-10T14:27:16.709Z</v>
      </c>
    </row>
    <row r="42">
      <c r="A42" t="str">
        <v>39</v>
      </c>
      <c r="B42" t="str">
        <v>14:32:04</v>
      </c>
      <c r="C42" t="str">
        <v>2025-12-10</v>
      </c>
      <c r="D42" t="str">
        <v>TT25_psf</v>
      </c>
      <c r="E42" t="str">
        <v>eap</v>
      </c>
      <c r="F42" t="str">
        <v/>
      </c>
      <c r="G42" t="str">
        <v>2980_Tri_white</v>
      </c>
      <c r="H42" t="str">
        <v/>
      </c>
      <c r="I42" t="str">
        <v/>
      </c>
      <c r="J42" t="str">
        <f>1/((1/L42)-(1/K42))</f>
        <v>0.023733</v>
      </c>
      <c r="K42" t="str">
        <f>BH42+(BI42*AN42)+(BJ42*AN42*POWER(V42,2))+(BK42*AN42*V42)+(BL42*POWER(AN42,2))</f>
        <v>2.921365</v>
      </c>
      <c r="L42" t="str">
        <f>((M42/1000)*(1000-((T42+S42)/2)))/(T42-S42)</f>
        <v>0.023542</v>
      </c>
      <c r="M42" t="str">
        <f>(AN42*(S42-R42))/(100*U42*(1000-S42))*1000</f>
        <v>0.380587</v>
      </c>
      <c r="N42" t="str">
        <v>0.690318</v>
      </c>
      <c r="O42" t="str">
        <v>0.680633</v>
      </c>
      <c r="P42" t="str">
        <f>0.61365*EXP((17.502*AL42)/(240.97+AL42))</f>
        <v>2.137565</v>
      </c>
      <c r="Q42" t="str">
        <f>P42-N42</f>
        <v>1.447246</v>
      </c>
      <c r="R42" t="str">
        <v>7.484764</v>
      </c>
      <c r="S42" t="str">
        <v>7.591276</v>
      </c>
      <c r="T42" t="str">
        <f>(P42/AM42)*1000</f>
        <v>23.506317</v>
      </c>
      <c r="U42" t="str">
        <f>V42*BG42</f>
        <v>0.441786</v>
      </c>
      <c r="V42" t="str">
        <v>7.500000</v>
      </c>
      <c r="W42" t="str">
        <v>PSF-00438_20251210143204_5ed</v>
      </c>
      <c r="X42" t="str">
        <v>0.000000</v>
      </c>
      <c r="Y42" t="str">
        <v>0.000000</v>
      </c>
      <c r="Z42" t="str">
        <v>0.000000</v>
      </c>
      <c r="AA42" t="str">
        <v>112.966064</v>
      </c>
      <c r="AB42" t="str">
        <v>227.561798</v>
      </c>
      <c r="AC42" t="str">
        <v>0.503581</v>
      </c>
      <c r="AD42" t="str">
        <v>0.5</v>
      </c>
      <c r="AE42" t="str">
        <v>0.80</v>
      </c>
      <c r="AF42" t="str">
        <f>AC42*AD42*AE42*AQ42</f>
        <v>35.053005</v>
      </c>
      <c r="AG42" t="str">
        <v>1.000000</v>
      </c>
      <c r="AH42" t="str">
        <v>25.40</v>
      </c>
      <c r="AI42" t="str">
        <v>25.04</v>
      </c>
      <c r="AJ42" t="str">
        <v>22.40</v>
      </c>
      <c r="AK42" t="str">
        <v>18.50</v>
      </c>
      <c r="AL42" t="str">
        <f>(AK42-AJ42)*(AJ42*0+0)+AK42</f>
        <v>18.50</v>
      </c>
      <c r="AM42" t="str">
        <v>90.94</v>
      </c>
      <c r="AN42" t="str">
        <v>156.7</v>
      </c>
      <c r="AO42" t="str">
        <v>157.9</v>
      </c>
      <c r="AP42" t="str">
        <v>-0.8</v>
      </c>
      <c r="AQ42" t="str">
        <v>174</v>
      </c>
      <c r="AR42" t="str">
        <v>3.902</v>
      </c>
      <c r="AS42" t="str">
        <v>14:23:54</v>
      </c>
      <c r="AT42" t="str">
        <v>2025-12-10</v>
      </c>
      <c r="AU42" t="str">
        <v>-0.06</v>
      </c>
      <c r="AV42" t="str">
        <v>1</v>
      </c>
      <c r="AW42" t="str">
        <v>-0.001</v>
      </c>
      <c r="AX42" t="str">
        <v>-0.002</v>
      </c>
      <c r="AY42" t="str">
        <v>-9999.000</v>
      </c>
      <c r="AZ42" t="str">
        <v>-1.512</v>
      </c>
      <c r="BA42" t="str">
        <v>0.383</v>
      </c>
      <c r="BB42" t="str">
        <v>-9999.000</v>
      </c>
      <c r="BC42" t="str">
        <v>1</v>
      </c>
      <c r="BD42" t="str">
        <v>150</v>
      </c>
      <c r="BE42" t="str">
        <v>0.005</v>
      </c>
      <c r="BF42" t="str">
        <v>2.000000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0</v>
      </c>
      <c r="BO42" t="str">
        <v>mpf</v>
      </c>
      <c r="BP42" t="str">
        <v>7000</v>
      </c>
      <c r="BQ42" t="str">
        <v>500</v>
      </c>
      <c r="BR42" t="str">
        <v>5.000000</v>
      </c>
      <c r="BS42" t="str">
        <v>2.000000</v>
      </c>
      <c r="BT42" t="str">
        <v>300</v>
      </c>
      <c r="BU42" t="str">
        <v>300</v>
      </c>
      <c r="BV42" t="str">
        <v>300</v>
      </c>
      <c r="BW42" t="str">
        <v>226.828690</v>
      </c>
      <c r="BX42" t="str">
        <v>25</v>
      </c>
      <c r="BY42" t="str">
        <v>-0.457475</v>
      </c>
      <c r="BZ42" t="str">
        <v>227.558609</v>
      </c>
      <c r="CA42" t="str">
        <v>226.907837</v>
      </c>
      <c r="CB42" t="str">
        <v>0.650772</v>
      </c>
      <c r="CC42" t="str">
        <v>2.432974</v>
      </c>
      <c r="CD42" t="str">
        <v>2.447524</v>
      </c>
      <c r="CE42" t="str">
        <v>1.655139</v>
      </c>
      <c r="CF42" t="str">
        <v>0.941136</v>
      </c>
      <c r="CG42" t="str">
        <v>0.302658</v>
      </c>
      <c r="CH42" t="str">
        <v>-0.041787</v>
      </c>
      <c r="CI42" t="str">
        <v>0.190108</v>
      </c>
      <c r="CJ42" t="str">
        <v>0.263843</v>
      </c>
      <c r="CK42" t="str">
        <v>112.966064</v>
      </c>
      <c r="CL42" t="str">
        <v>0.000239</v>
      </c>
      <c r="CM42" t="str">
        <v>2.388960</v>
      </c>
      <c r="CN42" t="str">
        <v>-0.000025</v>
      </c>
      <c r="CO42" t="str">
        <v>1.000000</v>
      </c>
      <c r="CP42" t="str">
        <v>2.402765</v>
      </c>
      <c r="CQ42" t="str">
        <v>-0.000034</v>
      </c>
      <c r="CR42" t="str">
        <v>1.000000</v>
      </c>
      <c r="CS42" t="str">
        <v>0.600816</v>
      </c>
      <c r="CT42" t="str">
        <v>0.600971</v>
      </c>
      <c r="CU42" t="str">
        <v>0.107301</v>
      </c>
      <c r="CV42" t="str">
        <v>0.000000</v>
      </c>
      <c r="CW42" t="str">
        <v>PSF-00438_20251210143204_5ed</v>
      </c>
      <c r="CX42" t="str">
        <v>PFA-00474</v>
      </c>
      <c r="CY42" t="str">
        <v>PSA-00486</v>
      </c>
      <c r="CZ42" t="str">
        <v>PSF-00438</v>
      </c>
      <c r="DA42" t="str">
        <v>RHS-00603</v>
      </c>
      <c r="DB42" t="str">
        <v>3.0.0</v>
      </c>
      <c r="DC42" t="str">
        <v>2025-03-10T14:27:16.709Z</v>
      </c>
    </row>
  </sheetData>
  <ignoredErrors>
    <ignoredError numberStoredAsText="1" sqref="A1:DC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TT25_psf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