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T25_ps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55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13:51:18</v>
      </c>
      <c r="C4" t="str">
        <v>2025-12-12</v>
      </c>
      <c r="D4" t="str">
        <v>TT25_psf</v>
      </c>
      <c r="E4" t="str">
        <v>eap</v>
      </c>
      <c r="F4" t="str">
        <v/>
      </c>
      <c r="G4" t="str">
        <v>4000_Tri_red</v>
      </c>
      <c r="H4" t="str">
        <v/>
      </c>
      <c r="I4" t="str">
        <v/>
      </c>
      <c r="J4" t="str">
        <f>1/((1/L4)-(1/K4))</f>
        <v>0.016420</v>
      </c>
      <c r="K4" t="str">
        <f>BH4+(BI4*AN4)+(BJ4*AN4*POWER(V4,2))+(BK4*AN4*V4)+(BL4*POWER(AN4,2))</f>
        <v>2.921275</v>
      </c>
      <c r="L4" t="str">
        <f>((M4/1000)*(1000-((T4+S4)/2)))/(T4-S4)</f>
        <v>0.016329</v>
      </c>
      <c r="M4" t="str">
        <f>(AN4*(S4-R4))/(100*U4*(1000-S4))*1000</f>
        <v>0.303655</v>
      </c>
      <c r="N4" t="str">
        <v>0.782782</v>
      </c>
      <c r="O4" t="str">
        <v>0.775106</v>
      </c>
      <c r="P4" t="str">
        <f>0.61365*EXP((17.502*AL4)/(240.97+AL4))</f>
        <v>2.434328</v>
      </c>
      <c r="Q4" t="str">
        <f>P4-N4</f>
        <v>1.651545</v>
      </c>
      <c r="R4" t="str">
        <v>8.572430</v>
      </c>
      <c r="S4" t="str">
        <v>8.657326</v>
      </c>
      <c r="T4" t="str">
        <f>(P4/AM4)*1000</f>
        <v>26.922894</v>
      </c>
      <c r="U4" t="str">
        <f>V4*BG4</f>
        <v>0.441786</v>
      </c>
      <c r="V4" t="str">
        <v>7.500000</v>
      </c>
      <c r="W4" t="str">
        <v>PSF-00438_20251212135118_345</v>
      </c>
      <c r="X4" t="str">
        <v>0.000000</v>
      </c>
      <c r="Y4" t="str">
        <v>0.000000</v>
      </c>
      <c r="Z4" t="str">
        <v>0.000000</v>
      </c>
      <c r="AA4" t="str">
        <v>89.412331</v>
      </c>
      <c r="AB4" t="str">
        <v>119.263527</v>
      </c>
      <c r="AC4" t="str">
        <v>0.250296</v>
      </c>
      <c r="AD4" t="str">
        <v>0.5</v>
      </c>
      <c r="AE4" t="str">
        <v>0.80</v>
      </c>
      <c r="AF4" t="str">
        <f>AC4*AD4*AE4*AQ4</f>
        <v>10.807940</v>
      </c>
      <c r="AG4" t="str">
        <v>1.000000</v>
      </c>
      <c r="AH4" t="str">
        <v>27.50</v>
      </c>
      <c r="AI4" t="str">
        <v>27.23</v>
      </c>
      <c r="AJ4" t="str">
        <v>23.15</v>
      </c>
      <c r="AK4" t="str">
        <v>20.59</v>
      </c>
      <c r="AL4" t="str">
        <f>(AK4-AJ4)*(AJ4*0+0)+AK4</f>
        <v>20.59</v>
      </c>
      <c r="AM4" t="str">
        <v>90.42</v>
      </c>
      <c r="AN4" t="str">
        <v>156.6</v>
      </c>
      <c r="AO4" t="str">
        <v>155.2</v>
      </c>
      <c r="AP4" t="str">
        <v>0.9</v>
      </c>
      <c r="AQ4" t="str">
        <v>108</v>
      </c>
      <c r="AR4" t="str">
        <v>4.049</v>
      </c>
      <c r="AS4" t="str">
        <v>13:50:50</v>
      </c>
      <c r="AT4" t="str">
        <v>2025-12-12</v>
      </c>
      <c r="AU4" t="str">
        <v>-0.16</v>
      </c>
      <c r="AV4" t="str">
        <v>1</v>
      </c>
      <c r="AW4" t="str">
        <v>0.001</v>
      </c>
      <c r="AX4" t="str">
        <v>-0.000</v>
      </c>
      <c r="AY4" t="str">
        <v>-9999.000</v>
      </c>
      <c r="AZ4" t="str">
        <v>0.365</v>
      </c>
      <c r="BA4" t="str">
        <v>0.567</v>
      </c>
      <c r="BB4" t="str">
        <v>-9999.000</v>
      </c>
      <c r="BC4" t="str">
        <v>1</v>
      </c>
      <c r="BD4" t="str">
        <v>150</v>
      </c>
      <c r="BE4" t="str">
        <v>0.005</v>
      </c>
      <c r="BF4" t="str">
        <v>2.000000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mpf</v>
      </c>
      <c r="BP4" t="str">
        <v>7000</v>
      </c>
      <c r="BQ4" t="str">
        <v>500</v>
      </c>
      <c r="BR4" t="str">
        <v>5.000000</v>
      </c>
      <c r="BS4" t="str">
        <v>2.000000</v>
      </c>
      <c r="BT4" t="str">
        <v>300</v>
      </c>
      <c r="BU4" t="str">
        <v>300</v>
      </c>
      <c r="BV4" t="str">
        <v>300</v>
      </c>
      <c r="BW4" t="str">
        <v>119.263527</v>
      </c>
      <c r="BX4" t="str">
        <v>25</v>
      </c>
      <c r="BY4" t="str">
        <v>0.783722</v>
      </c>
      <c r="BZ4" t="str">
        <v>119.988441</v>
      </c>
      <c r="CA4" t="str">
        <v>120.383850</v>
      </c>
      <c r="CB4" t="str">
        <v>-0.395409</v>
      </c>
      <c r="CC4" t="str">
        <v>2.436164</v>
      </c>
      <c r="CD4" t="str">
        <v>2.450743</v>
      </c>
      <c r="CE4" t="str">
        <v>1.655046</v>
      </c>
      <c r="CF4" t="str">
        <v>0.934194</v>
      </c>
      <c r="CG4" t="str">
        <v>0.293608</v>
      </c>
      <c r="CH4" t="str">
        <v>-0.027716</v>
      </c>
      <c r="CI4" t="str">
        <v>0.110368</v>
      </c>
      <c r="CJ4" t="str">
        <v>0.204411</v>
      </c>
      <c r="CK4" t="str">
        <v>89.412331</v>
      </c>
      <c r="CL4" t="str">
        <v>0.000237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PSF-00438_20251212135118_345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2025-12-11T16:13:02.852Z</v>
      </c>
    </row>
    <row r="5">
      <c r="A5" t="str">
        <v>2</v>
      </c>
      <c r="B5" t="str">
        <v>13:51:41</v>
      </c>
      <c r="C5" t="str">
        <v>2025-12-12</v>
      </c>
      <c r="D5" t="str">
        <v>TT25_psf</v>
      </c>
      <c r="E5" t="str">
        <v>eap</v>
      </c>
      <c r="F5" t="str">
        <v/>
      </c>
      <c r="G5" t="str">
        <v>5229_Tri_red</v>
      </c>
      <c r="H5" t="str">
        <v/>
      </c>
      <c r="I5" t="str">
        <v/>
      </c>
      <c r="J5" t="str">
        <f>1/((1/L5)-(1/K5))</f>
        <v>0.006642</v>
      </c>
      <c r="K5" t="str">
        <f>BH5+(BI5*AN5)+(BJ5*AN5*POWER(V5,2))+(BK5*AN5*V5)+(BL5*POWER(AN5,2))</f>
        <v>2.922741</v>
      </c>
      <c r="L5" t="str">
        <f>((M5/1000)*(1000-((T5+S5)/2)))/(T5-S5)</f>
        <v>0.006627</v>
      </c>
      <c r="M5" t="str">
        <f>(AN5*(S5-R5))/(100*U5*(1000-S5))*1000</f>
        <v>0.125509</v>
      </c>
      <c r="N5" t="str">
        <v>0.816224</v>
      </c>
      <c r="O5" t="str">
        <v>0.813057</v>
      </c>
      <c r="P5" t="str">
        <f>0.61365*EXP((17.502*AL5)/(240.97+AL5))</f>
        <v>2.497245</v>
      </c>
      <c r="Q5" t="str">
        <f>P5-N5</f>
        <v>1.681020</v>
      </c>
      <c r="R5" t="str">
        <v>8.992496</v>
      </c>
      <c r="S5" t="str">
        <v>9.027534</v>
      </c>
      <c r="T5" t="str">
        <f>(P5/AM5)*1000</f>
        <v>27.619802</v>
      </c>
      <c r="U5" t="str">
        <f>V5*BG5</f>
        <v>0.441786</v>
      </c>
      <c r="V5" t="str">
        <v>7.500000</v>
      </c>
      <c r="W5" t="str">
        <v>PSF-00438_20251212135141_7b6</v>
      </c>
      <c r="X5" t="str">
        <v>0.000000</v>
      </c>
      <c r="Y5" t="str">
        <v>0.000000</v>
      </c>
      <c r="Z5" t="str">
        <v>0.000000</v>
      </c>
      <c r="AA5" t="str">
        <v>90.129021</v>
      </c>
      <c r="AB5" t="str">
        <v>96.580231</v>
      </c>
      <c r="AC5" t="str">
        <v>0.066796</v>
      </c>
      <c r="AD5" t="str">
        <v>0.5</v>
      </c>
      <c r="AE5" t="str">
        <v>0.80</v>
      </c>
      <c r="AF5" t="str">
        <f>AC5*AD5*AE5*AQ5</f>
        <v>3.596191</v>
      </c>
      <c r="AG5" t="str">
        <v>1.000000</v>
      </c>
      <c r="AH5" t="str">
        <v>28.74</v>
      </c>
      <c r="AI5" t="str">
        <v>28.63</v>
      </c>
      <c r="AJ5" t="str">
        <v>23.12</v>
      </c>
      <c r="AK5" t="str">
        <v>21.01</v>
      </c>
      <c r="AL5" t="str">
        <f>(AK5-AJ5)*(AJ5*0+0)+AK5</f>
        <v>21.01</v>
      </c>
      <c r="AM5" t="str">
        <v>90.42</v>
      </c>
      <c r="AN5" t="str">
        <v>156.8</v>
      </c>
      <c r="AO5" t="str">
        <v>157.0</v>
      </c>
      <c r="AP5" t="str">
        <v>-0.1</v>
      </c>
      <c r="AQ5" t="str">
        <v>135</v>
      </c>
      <c r="AR5" t="str">
        <v>4.044</v>
      </c>
      <c r="AS5" t="str">
        <v>13:50:50</v>
      </c>
      <c r="AT5" t="str">
        <v>2025-12-12</v>
      </c>
      <c r="AU5" t="str">
        <v>-0.16</v>
      </c>
      <c r="AV5" t="str">
        <v>1</v>
      </c>
      <c r="AW5" t="str">
        <v>0.001</v>
      </c>
      <c r="AX5" t="str">
        <v>-0.003</v>
      </c>
      <c r="AY5" t="str">
        <v>-9999.000</v>
      </c>
      <c r="AZ5" t="str">
        <v>0.617</v>
      </c>
      <c r="BA5" t="str">
        <v>-0.511</v>
      </c>
      <c r="BB5" t="str">
        <v>-9999.000</v>
      </c>
      <c r="BC5" t="str">
        <v>1</v>
      </c>
      <c r="BD5" t="str">
        <v>150</v>
      </c>
      <c r="BE5" t="str">
        <v>0.005</v>
      </c>
      <c r="BF5" t="str">
        <v>2.000000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mpf</v>
      </c>
      <c r="BP5" t="str">
        <v>7000</v>
      </c>
      <c r="BQ5" t="str">
        <v>500</v>
      </c>
      <c r="BR5" t="str">
        <v>5.000000</v>
      </c>
      <c r="BS5" t="str">
        <v>2.000000</v>
      </c>
      <c r="BT5" t="str">
        <v>300</v>
      </c>
      <c r="BU5" t="str">
        <v>300</v>
      </c>
      <c r="BV5" t="str">
        <v>300</v>
      </c>
      <c r="BW5" t="str">
        <v>96.049904</v>
      </c>
      <c r="BX5" t="str">
        <v>25</v>
      </c>
      <c r="BY5" t="str">
        <v>-0.324424</v>
      </c>
      <c r="BZ5" t="str">
        <v>95.914719</v>
      </c>
      <c r="CA5" t="str">
        <v>96.116470</v>
      </c>
      <c r="CB5" t="str">
        <v>-0.201752</v>
      </c>
      <c r="CC5" t="str">
        <v>2.438242</v>
      </c>
      <c r="CD5" t="str">
        <v>2.452598</v>
      </c>
      <c r="CE5" t="str">
        <v>1.656582</v>
      </c>
      <c r="CF5" t="str">
        <v>0.938863</v>
      </c>
      <c r="CG5" t="str">
        <v>0.294042</v>
      </c>
      <c r="CH5" t="str">
        <v>-0.022781</v>
      </c>
      <c r="CI5" t="str">
        <v>0.114077</v>
      </c>
      <c r="CJ5" t="str">
        <v>0.228379</v>
      </c>
      <c r="CK5" t="str">
        <v>90.129021</v>
      </c>
      <c r="CL5" t="str">
        <v>0.000237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PSF-00438_20251212135141_7b6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2025-12-11T16:13:02.852Z</v>
      </c>
    </row>
    <row r="6">
      <c r="A6" t="str">
        <v>3</v>
      </c>
      <c r="B6" t="str">
        <v>13:52:06</v>
      </c>
      <c r="C6" t="str">
        <v>2025-12-12</v>
      </c>
      <c r="D6" t="str">
        <v>TT25_psf</v>
      </c>
      <c r="E6" t="str">
        <v>eap</v>
      </c>
      <c r="F6" t="str">
        <v/>
      </c>
      <c r="G6" t="str">
        <v>4149_Tri_red</v>
      </c>
      <c r="H6" t="str">
        <v/>
      </c>
      <c r="I6" t="str">
        <v/>
      </c>
      <c r="J6" t="str">
        <f>1/((1/L6)-(1/K6))</f>
        <v>0.005886</v>
      </c>
      <c r="K6" t="str">
        <f>BH6+(BI6*AN6)+(BJ6*AN6*POWER(V6,2))+(BK6*AN6*V6)+(BL6*POWER(AN6,2))</f>
        <v>2.920668</v>
      </c>
      <c r="L6" t="str">
        <f>((M6/1000)*(1000-((T6+S6)/2)))/(T6-S6)</f>
        <v>0.005874</v>
      </c>
      <c r="M6" t="str">
        <f>(AN6*(S6-R6))/(100*U6*(1000-S6))*1000</f>
        <v>0.119403</v>
      </c>
      <c r="N6" t="str">
        <v>0.869638</v>
      </c>
      <c r="O6" t="str">
        <v>0.866622</v>
      </c>
      <c r="P6" t="str">
        <f>0.61365*EXP((17.502*AL6)/(240.97+AL6))</f>
        <v>2.671524</v>
      </c>
      <c r="Q6" t="str">
        <f>P6-N6</f>
        <v>1.801885</v>
      </c>
      <c r="R6" t="str">
        <v>9.585037</v>
      </c>
      <c r="S6" t="str">
        <v>9.618403</v>
      </c>
      <c r="T6" t="str">
        <f>(P6/AM6)*1000</f>
        <v>29.547678</v>
      </c>
      <c r="U6" t="str">
        <f>V6*BG6</f>
        <v>0.441786</v>
      </c>
      <c r="V6" t="str">
        <v>7.500000</v>
      </c>
      <c r="W6" t="str">
        <v>PSF-00438_20251212135206_a56</v>
      </c>
      <c r="X6" t="str">
        <v>0.000000</v>
      </c>
      <c r="Y6" t="str">
        <v>0.000000</v>
      </c>
      <c r="Z6" t="str">
        <v>0.000000</v>
      </c>
      <c r="AA6" t="str">
        <v>144.879333</v>
      </c>
      <c r="AB6" t="str">
        <v>155.969742</v>
      </c>
      <c r="AC6" t="str">
        <v>0.071106</v>
      </c>
      <c r="AD6" t="str">
        <v>0.5</v>
      </c>
      <c r="AE6" t="str">
        <v>0.80</v>
      </c>
      <c r="AF6" t="str">
        <f>AC6*AD6*AE6*AQ6</f>
        <v>3.050823</v>
      </c>
      <c r="AG6" t="str">
        <v>1.000000</v>
      </c>
      <c r="AH6" t="str">
        <v>30.69</v>
      </c>
      <c r="AI6" t="str">
        <v>30.59</v>
      </c>
      <c r="AJ6" t="str">
        <v>23.08</v>
      </c>
      <c r="AK6" t="str">
        <v>22.11</v>
      </c>
      <c r="AL6" t="str">
        <f>(AK6-AJ6)*(AJ6*0+0)+AK6</f>
        <v>22.11</v>
      </c>
      <c r="AM6" t="str">
        <v>90.41</v>
      </c>
      <c r="AN6" t="str">
        <v>156.6</v>
      </c>
      <c r="AO6" t="str">
        <v>158.5</v>
      </c>
      <c r="AP6" t="str">
        <v>-1.2</v>
      </c>
      <c r="AQ6" t="str">
        <v>107</v>
      </c>
      <c r="AR6" t="str">
        <v>4.047</v>
      </c>
      <c r="AS6" t="str">
        <v>13:50:50</v>
      </c>
      <c r="AT6" t="str">
        <v>2025-12-12</v>
      </c>
      <c r="AU6" t="str">
        <v>-0.16</v>
      </c>
      <c r="AV6" t="str">
        <v>1</v>
      </c>
      <c r="AW6" t="str">
        <v>-0.001</v>
      </c>
      <c r="AX6" t="str">
        <v>-0.003</v>
      </c>
      <c r="AY6" t="str">
        <v>-9999.000</v>
      </c>
      <c r="AZ6" t="str">
        <v>0.168</v>
      </c>
      <c r="BA6" t="str">
        <v>0.759</v>
      </c>
      <c r="BB6" t="str">
        <v>-9999.000</v>
      </c>
      <c r="BC6" t="str">
        <v>1</v>
      </c>
      <c r="BD6" t="str">
        <v>150</v>
      </c>
      <c r="BE6" t="str">
        <v>0.005</v>
      </c>
      <c r="BF6" t="str">
        <v>2.000000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mpf</v>
      </c>
      <c r="BP6" t="str">
        <v>7000</v>
      </c>
      <c r="BQ6" t="str">
        <v>500</v>
      </c>
      <c r="BR6" t="str">
        <v>5.000000</v>
      </c>
      <c r="BS6" t="str">
        <v>2.000000</v>
      </c>
      <c r="BT6" t="str">
        <v>300</v>
      </c>
      <c r="BU6" t="str">
        <v>300</v>
      </c>
      <c r="BV6" t="str">
        <v>300</v>
      </c>
      <c r="BW6" t="str">
        <v>155.969742</v>
      </c>
      <c r="BX6" t="str">
        <v>25</v>
      </c>
      <c r="BY6" t="str">
        <v>0.532202</v>
      </c>
      <c r="BZ6" t="str">
        <v>155.911804</v>
      </c>
      <c r="CA6" t="str">
        <v>156.730515</v>
      </c>
      <c r="CB6" t="str">
        <v>-0.818710</v>
      </c>
      <c r="CC6" t="str">
        <v>2.441111</v>
      </c>
      <c r="CD6" t="str">
        <v>2.455481</v>
      </c>
      <c r="CE6" t="str">
        <v>1.654411</v>
      </c>
      <c r="CF6" t="str">
        <v>0.942647</v>
      </c>
      <c r="CG6" t="str">
        <v>0.294474</v>
      </c>
      <c r="CH6" t="str">
        <v>-0.010247</v>
      </c>
      <c r="CI6" t="str">
        <v>0.117899</v>
      </c>
      <c r="CJ6" t="str">
        <v>0.203791</v>
      </c>
      <c r="CK6" t="str">
        <v>144.879333</v>
      </c>
      <c r="CL6" t="str">
        <v>0.000237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PSF-00438_20251212135206_a56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2025-12-11T16:13:02.852Z</v>
      </c>
    </row>
    <row r="7">
      <c r="A7" t="str">
        <v>4</v>
      </c>
      <c r="B7" t="str">
        <v>13:52:23</v>
      </c>
      <c r="C7" t="str">
        <v>2025-12-12</v>
      </c>
      <c r="D7" t="str">
        <v>TT25_psf</v>
      </c>
      <c r="E7" t="str">
        <v>eap</v>
      </c>
      <c r="F7" t="str">
        <v/>
      </c>
      <c r="G7" t="str">
        <v>2329_Tri_red</v>
      </c>
      <c r="H7" t="str">
        <v/>
      </c>
      <c r="I7" t="str">
        <v/>
      </c>
      <c r="J7" t="str">
        <f>1/((1/L7)-(1/K7))</f>
        <v>0.001086</v>
      </c>
      <c r="K7" t="str">
        <f>BH7+(BI7*AN7)+(BJ7*AN7*POWER(V7,2))+(BK7*AN7*V7)+(BL7*POWER(AN7,2))</f>
        <v>2.921438</v>
      </c>
      <c r="L7" t="str">
        <f>((M7/1000)*(1000-((T7+S7)/2)))/(T7-S7)</f>
        <v>0.001086</v>
      </c>
      <c r="M7" t="str">
        <f>(AN7*(S7-R7))/(100*U7*(1000-S7))*1000</f>
        <v>0.019582</v>
      </c>
      <c r="N7" t="str">
        <v>0.886195</v>
      </c>
      <c r="O7" t="str">
        <v>0.885700</v>
      </c>
      <c r="P7" t="str">
        <f>0.61365*EXP((17.502*AL7)/(240.97+AL7))</f>
        <v>2.486328</v>
      </c>
      <c r="Q7" t="str">
        <f>P7-N7</f>
        <v>1.600133</v>
      </c>
      <c r="R7" t="str">
        <v>9.796487</v>
      </c>
      <c r="S7" t="str">
        <v>9.801955</v>
      </c>
      <c r="T7" t="str">
        <f>(P7/AM7)*1000</f>
        <v>27.500582</v>
      </c>
      <c r="U7" t="str">
        <f>V7*BG7</f>
        <v>0.441786</v>
      </c>
      <c r="V7" t="str">
        <v>7.500000</v>
      </c>
      <c r="W7" t="str">
        <v>PSF-00438_20251212135223_b64</v>
      </c>
      <c r="X7" t="str">
        <v>0.000000</v>
      </c>
      <c r="Y7" t="str">
        <v>0.000000</v>
      </c>
      <c r="Z7" t="str">
        <v>0.000000</v>
      </c>
      <c r="AA7" t="str">
        <v>82.888123</v>
      </c>
      <c r="AB7" t="str">
        <v>83.761497</v>
      </c>
      <c r="AC7" t="str">
        <v>0.010427</v>
      </c>
      <c r="AD7" t="str">
        <v>0.5</v>
      </c>
      <c r="AE7" t="str">
        <v>0.80</v>
      </c>
      <c r="AF7" t="str">
        <f>AC7*AD7*AE7*AQ7</f>
        <v>0.871827</v>
      </c>
      <c r="AG7" t="str">
        <v>1.000000</v>
      </c>
      <c r="AH7" t="str">
        <v>31.32</v>
      </c>
      <c r="AI7" t="str">
        <v>31.30</v>
      </c>
      <c r="AJ7" t="str">
        <v>23.06</v>
      </c>
      <c r="AK7" t="str">
        <v>20.94</v>
      </c>
      <c r="AL7" t="str">
        <f>(AK7-AJ7)*(AJ7*0+0)+AK7</f>
        <v>20.94</v>
      </c>
      <c r="AM7" t="str">
        <v>90.41</v>
      </c>
      <c r="AN7" t="str">
        <v>156.7</v>
      </c>
      <c r="AO7" t="str">
        <v>158.6</v>
      </c>
      <c r="AP7" t="str">
        <v>-1.2</v>
      </c>
      <c r="AQ7" t="str">
        <v>209</v>
      </c>
      <c r="AR7" t="str">
        <v>4.046</v>
      </c>
      <c r="AS7" t="str">
        <v>13:50:50</v>
      </c>
      <c r="AT7" t="str">
        <v>2025-12-12</v>
      </c>
      <c r="AU7" t="str">
        <v>-0.16</v>
      </c>
      <c r="AV7" t="str">
        <v>1</v>
      </c>
      <c r="AW7" t="str">
        <v>-0.001</v>
      </c>
      <c r="AX7" t="str">
        <v>-0.002</v>
      </c>
      <c r="AY7" t="str">
        <v>-9999.000</v>
      </c>
      <c r="AZ7" t="str">
        <v>-0.763</v>
      </c>
      <c r="BA7" t="str">
        <v>0.111</v>
      </c>
      <c r="BB7" t="str">
        <v>-9999.000</v>
      </c>
      <c r="BC7" t="str">
        <v>1</v>
      </c>
      <c r="BD7" t="str">
        <v>150</v>
      </c>
      <c r="BE7" t="str">
        <v>0.005</v>
      </c>
      <c r="BF7" t="str">
        <v>2.000000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mpf</v>
      </c>
      <c r="BP7" t="str">
        <v>7000</v>
      </c>
      <c r="BQ7" t="str">
        <v>500</v>
      </c>
      <c r="BR7" t="str">
        <v>5.000000</v>
      </c>
      <c r="BS7" t="str">
        <v>2.000000</v>
      </c>
      <c r="BT7" t="str">
        <v>300</v>
      </c>
      <c r="BU7" t="str">
        <v>300</v>
      </c>
      <c r="BV7" t="str">
        <v>300</v>
      </c>
      <c r="BW7" t="str">
        <v>83.440308</v>
      </c>
      <c r="BX7" t="str">
        <v>25</v>
      </c>
      <c r="BY7" t="str">
        <v>-0.380014</v>
      </c>
      <c r="BZ7" t="str">
        <v>82.885269</v>
      </c>
      <c r="CA7" t="str">
        <v>83.218269</v>
      </c>
      <c r="CB7" t="str">
        <v>-0.333000</v>
      </c>
      <c r="CC7" t="str">
        <v>2.442158</v>
      </c>
      <c r="CD7" t="str">
        <v>2.456406</v>
      </c>
      <c r="CE7" t="str">
        <v>1.655217</v>
      </c>
      <c r="CF7" t="str">
        <v>0.942881</v>
      </c>
      <c r="CG7" t="str">
        <v>0.294753</v>
      </c>
      <c r="CH7" t="str">
        <v>-0.022884</v>
      </c>
      <c r="CI7" t="str">
        <v>0.120501</v>
      </c>
      <c r="CJ7" t="str">
        <v>0.295340</v>
      </c>
      <c r="CK7" t="str">
        <v>82.888123</v>
      </c>
      <c r="CL7" t="str">
        <v>0.000235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PSF-00438_20251212135223_b64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2025-12-11T16:13:02.852Z</v>
      </c>
    </row>
    <row r="8">
      <c r="A8" t="str">
        <v>5</v>
      </c>
      <c r="B8" t="str">
        <v>13:52:44</v>
      </c>
      <c r="C8" t="str">
        <v>2025-12-12</v>
      </c>
      <c r="D8" t="str">
        <v>TT25_psf</v>
      </c>
      <c r="E8" t="str">
        <v>eap</v>
      </c>
      <c r="F8" t="str">
        <v/>
      </c>
      <c r="G8" t="str">
        <v>632_Tri_red</v>
      </c>
      <c r="H8" t="str">
        <v/>
      </c>
      <c r="I8" t="str">
        <v/>
      </c>
      <c r="J8" t="str">
        <f>1/((1/L8)-(1/K8))</f>
        <v>0.007484</v>
      </c>
      <c r="K8" t="str">
        <f>BH8+(BI8*AN8)+(BJ8*AN8*POWER(V8,2))+(BK8*AN8*V8)+(BL8*POWER(AN8,2))</f>
        <v>2.921149</v>
      </c>
      <c r="L8" t="str">
        <f>((M8/1000)*(1000-((T8+S8)/2)))/(T8-S8)</f>
        <v>0.007465</v>
      </c>
      <c r="M8" t="str">
        <f>(AN8*(S8-R8))/(100*U8*(1000-S8))*1000</f>
        <v>0.139581</v>
      </c>
      <c r="N8" t="str">
        <v>0.907159</v>
      </c>
      <c r="O8" t="str">
        <v>0.903635</v>
      </c>
      <c r="P8" t="str">
        <f>0.61365*EXP((17.502*AL8)/(240.97+AL8))</f>
        <v>2.565222</v>
      </c>
      <c r="Q8" t="str">
        <f>P8-N8</f>
        <v>1.658064</v>
      </c>
      <c r="R8" t="str">
        <v>9.994386</v>
      </c>
      <c r="S8" t="str">
        <v>10.033360</v>
      </c>
      <c r="T8" t="str">
        <f>(P8/AM8)*1000</f>
        <v>28.371880</v>
      </c>
      <c r="U8" t="str">
        <f>V8*BG8</f>
        <v>0.441786</v>
      </c>
      <c r="V8" t="str">
        <v>7.500000</v>
      </c>
      <c r="W8" t="str">
        <v>PSF-00438_20251212135244_6e9</v>
      </c>
      <c r="X8" t="str">
        <v>0.000000</v>
      </c>
      <c r="Y8" t="str">
        <v>0.000000</v>
      </c>
      <c r="Z8" t="str">
        <v>0.000000</v>
      </c>
      <c r="AA8" t="str">
        <v>82.332733</v>
      </c>
      <c r="AB8" t="str">
        <v>84.120155</v>
      </c>
      <c r="AC8" t="str">
        <v>0.021248</v>
      </c>
      <c r="AD8" t="str">
        <v>0.5</v>
      </c>
      <c r="AE8" t="str">
        <v>0.80</v>
      </c>
      <c r="AF8" t="str">
        <f>AC8*AD8*AE8*AQ8</f>
        <v>1.736630</v>
      </c>
      <c r="AG8" t="str">
        <v>1.000000</v>
      </c>
      <c r="AH8" t="str">
        <v>32.14</v>
      </c>
      <c r="AI8" t="str">
        <v>32.02</v>
      </c>
      <c r="AJ8" t="str">
        <v>23.02</v>
      </c>
      <c r="AK8" t="str">
        <v>21.45</v>
      </c>
      <c r="AL8" t="str">
        <f>(AK8-AJ8)*(AJ8*0+0)+AK8</f>
        <v>21.45</v>
      </c>
      <c r="AM8" t="str">
        <v>90.41</v>
      </c>
      <c r="AN8" t="str">
        <v>156.6</v>
      </c>
      <c r="AO8" t="str">
        <v>158.1</v>
      </c>
      <c r="AP8" t="str">
        <v>-0.9</v>
      </c>
      <c r="AQ8" t="str">
        <v>204</v>
      </c>
      <c r="AR8" t="str">
        <v>4.046</v>
      </c>
      <c r="AS8" t="str">
        <v>13:50:50</v>
      </c>
      <c r="AT8" t="str">
        <v>2025-12-12</v>
      </c>
      <c r="AU8" t="str">
        <v>-0.16</v>
      </c>
      <c r="AV8" t="str">
        <v>1</v>
      </c>
      <c r="AW8" t="str">
        <v>-0.000</v>
      </c>
      <c r="AX8" t="str">
        <v>-0.000</v>
      </c>
      <c r="AY8" t="str">
        <v>-9999.000</v>
      </c>
      <c r="AZ8" t="str">
        <v>0.646</v>
      </c>
      <c r="BA8" t="str">
        <v>0.878</v>
      </c>
      <c r="BB8" t="str">
        <v>-9999.000</v>
      </c>
      <c r="BC8" t="str">
        <v>1</v>
      </c>
      <c r="BD8" t="str">
        <v>150</v>
      </c>
      <c r="BE8" t="str">
        <v>0.005</v>
      </c>
      <c r="BF8" t="str">
        <v>2.000000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mpf</v>
      </c>
      <c r="BP8" t="str">
        <v>7000</v>
      </c>
      <c r="BQ8" t="str">
        <v>500</v>
      </c>
      <c r="BR8" t="str">
        <v>5.000000</v>
      </c>
      <c r="BS8" t="str">
        <v>2.000000</v>
      </c>
      <c r="BT8" t="str">
        <v>300</v>
      </c>
      <c r="BU8" t="str">
        <v>300</v>
      </c>
      <c r="BV8" t="str">
        <v>300</v>
      </c>
      <c r="BW8" t="str">
        <v>84.120155</v>
      </c>
      <c r="BX8" t="str">
        <v>25</v>
      </c>
      <c r="BY8" t="str">
        <v>0.160845</v>
      </c>
      <c r="BZ8" t="str">
        <v>84.075096</v>
      </c>
      <c r="CA8" t="str">
        <v>84.350082</v>
      </c>
      <c r="CB8" t="str">
        <v>-0.274986</v>
      </c>
      <c r="CC8" t="str">
        <v>2.443194</v>
      </c>
      <c r="CD8" t="str">
        <v>2.457607</v>
      </c>
      <c r="CE8" t="str">
        <v>1.654914</v>
      </c>
      <c r="CF8" t="str">
        <v>0.941552</v>
      </c>
      <c r="CG8" t="str">
        <v>0.295226</v>
      </c>
      <c r="CH8" t="str">
        <v>-0.016859</v>
      </c>
      <c r="CI8" t="str">
        <v>0.123467</v>
      </c>
      <c r="CJ8" t="str">
        <v>0.291105</v>
      </c>
      <c r="CK8" t="str">
        <v>82.332733</v>
      </c>
      <c r="CL8" t="str">
        <v>0.000241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PSF-00438_20251212135244_6e9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2025-12-11T16:13:02.852Z</v>
      </c>
    </row>
    <row r="9">
      <c r="A9" t="str">
        <v>6</v>
      </c>
      <c r="B9" t="str">
        <v>13:53:03</v>
      </c>
      <c r="C9" t="str">
        <v>2025-12-12</v>
      </c>
      <c r="D9" t="str">
        <v>TT25_psf</v>
      </c>
      <c r="E9" t="str">
        <v>eap</v>
      </c>
      <c r="F9" t="str">
        <v/>
      </c>
      <c r="G9" t="str">
        <v>2996A2_Tri_red</v>
      </c>
      <c r="H9" t="str">
        <v/>
      </c>
      <c r="I9" t="str">
        <v/>
      </c>
      <c r="J9" t="str">
        <f>1/((1/L9)-(1/K9))</f>
        <v>0.014770</v>
      </c>
      <c r="K9" t="str">
        <f>BH9+(BI9*AN9)+(BJ9*AN9*POWER(V9,2))+(BK9*AN9*V9)+(BL9*POWER(AN9,2))</f>
        <v>2.922701</v>
      </c>
      <c r="L9" t="str">
        <f>((M9/1000)*(1000-((T9+S9)/2)))/(T9-S9)</f>
        <v>0.014696</v>
      </c>
      <c r="M9" t="str">
        <f>(AN9*(S9-R9))/(100*U9*(1000-S9))*1000</f>
        <v>0.267241</v>
      </c>
      <c r="N9" t="str">
        <v>0.905506</v>
      </c>
      <c r="O9" t="str">
        <v>0.898767</v>
      </c>
      <c r="P9" t="str">
        <f>0.61365*EXP((17.502*AL9)/(240.97+AL9))</f>
        <v>2.518620</v>
      </c>
      <c r="Q9" t="str">
        <f>P9-N9</f>
        <v>1.613115</v>
      </c>
      <c r="R9" t="str">
        <v>9.940050</v>
      </c>
      <c r="S9" t="str">
        <v>10.014580</v>
      </c>
      <c r="T9" t="str">
        <f>(P9/AM9)*1000</f>
        <v>27.855066</v>
      </c>
      <c r="U9" t="str">
        <f>V9*BG9</f>
        <v>0.441786</v>
      </c>
      <c r="V9" t="str">
        <v>7.500000</v>
      </c>
      <c r="W9" t="str">
        <v>PSF-00438_20251212135303_ed7</v>
      </c>
      <c r="X9" t="str">
        <v>0.000000</v>
      </c>
      <c r="Y9" t="str">
        <v>0.000000</v>
      </c>
      <c r="Z9" t="str">
        <v>0.000000</v>
      </c>
      <c r="AA9" t="str">
        <v>130.587097</v>
      </c>
      <c r="AB9" t="str">
        <v>130.740173</v>
      </c>
      <c r="AC9" t="str">
        <v>0.001171</v>
      </c>
      <c r="AD9" t="str">
        <v>0.5</v>
      </c>
      <c r="AE9" t="str">
        <v>0.80</v>
      </c>
      <c r="AF9" t="str">
        <f>AC9*AD9*AE9*AQ9</f>
        <v>0.093017</v>
      </c>
      <c r="AG9" t="str">
        <v>1.000000</v>
      </c>
      <c r="AH9" t="str">
        <v>32.14</v>
      </c>
      <c r="AI9" t="str">
        <v>31.90</v>
      </c>
      <c r="AJ9" t="str">
        <v>22.99</v>
      </c>
      <c r="AK9" t="str">
        <v>21.15</v>
      </c>
      <c r="AL9" t="str">
        <f>(AK9-AJ9)*(AJ9*0+0)+AK9</f>
        <v>21.15</v>
      </c>
      <c r="AM9" t="str">
        <v>90.42</v>
      </c>
      <c r="AN9" t="str">
        <v>156.8</v>
      </c>
      <c r="AO9" t="str">
        <v>158.4</v>
      </c>
      <c r="AP9" t="str">
        <v>-1.0</v>
      </c>
      <c r="AQ9" t="str">
        <v>199</v>
      </c>
      <c r="AR9" t="str">
        <v>4.045</v>
      </c>
      <c r="AS9" t="str">
        <v>13:50:50</v>
      </c>
      <c r="AT9" t="str">
        <v>2025-12-12</v>
      </c>
      <c r="AU9" t="str">
        <v>-0.16</v>
      </c>
      <c r="AV9" t="str">
        <v>1</v>
      </c>
      <c r="AW9" t="str">
        <v>-0.002</v>
      </c>
      <c r="AX9" t="str">
        <v>-0.001</v>
      </c>
      <c r="AY9" t="str">
        <v>-9999.000</v>
      </c>
      <c r="AZ9" t="str">
        <v>-0.381</v>
      </c>
      <c r="BA9" t="str">
        <v>-0.391</v>
      </c>
      <c r="BB9" t="str">
        <v>-9999.000</v>
      </c>
      <c r="BC9" t="str">
        <v>1</v>
      </c>
      <c r="BD9" t="str">
        <v>150</v>
      </c>
      <c r="BE9" t="str">
        <v>0.005</v>
      </c>
      <c r="BF9" t="str">
        <v>2.000000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mpf</v>
      </c>
      <c r="BP9" t="str">
        <v>7000</v>
      </c>
      <c r="BQ9" t="str">
        <v>500</v>
      </c>
      <c r="BR9" t="str">
        <v>5.000000</v>
      </c>
      <c r="BS9" t="str">
        <v>2.000000</v>
      </c>
      <c r="BT9" t="str">
        <v>300</v>
      </c>
      <c r="BU9" t="str">
        <v>300</v>
      </c>
      <c r="BV9" t="str">
        <v>300</v>
      </c>
      <c r="BW9" t="str">
        <v>130.740173</v>
      </c>
      <c r="BX9" t="str">
        <v>25</v>
      </c>
      <c r="BY9" t="str">
        <v>-0.086574</v>
      </c>
      <c r="BZ9" t="str">
        <v>130.121826</v>
      </c>
      <c r="CA9" t="str">
        <v>130.616409</v>
      </c>
      <c r="CB9" t="str">
        <v>-0.494583</v>
      </c>
      <c r="CC9" t="str">
        <v>2.443032</v>
      </c>
      <c r="CD9" t="str">
        <v>2.457610</v>
      </c>
      <c r="CE9" t="str">
        <v>1.656541</v>
      </c>
      <c r="CF9" t="str">
        <v>0.942479</v>
      </c>
      <c r="CG9" t="str">
        <v>0.295573</v>
      </c>
      <c r="CH9" t="str">
        <v>-0.019810</v>
      </c>
      <c r="CI9" t="str">
        <v>0.126221</v>
      </c>
      <c r="CJ9" t="str">
        <v>0.285966</v>
      </c>
      <c r="CK9" t="str">
        <v>130.587097</v>
      </c>
      <c r="CL9" t="str">
        <v>0.000240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PSF-00438_20251212135303_ed7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2025-12-11T16:13:02.852Z</v>
      </c>
    </row>
    <row r="10">
      <c r="A10" t="str">
        <v>7</v>
      </c>
      <c r="B10" t="str">
        <v>13:53:23</v>
      </c>
      <c r="C10" t="str">
        <v>2025-12-12</v>
      </c>
      <c r="D10" t="str">
        <v>TT25_psf</v>
      </c>
      <c r="E10" t="str">
        <v>eap</v>
      </c>
      <c r="F10" t="str">
        <v/>
      </c>
      <c r="G10" t="str">
        <v>flag3_tri_Tri_red</v>
      </c>
      <c r="H10" t="str">
        <v/>
      </c>
      <c r="I10" t="str">
        <v/>
      </c>
      <c r="J10" t="str">
        <f>1/((1/L10)-(1/K10))</f>
        <v>0.004748</v>
      </c>
      <c r="K10" t="str">
        <f>BH10+(BI10*AN10)+(BJ10*AN10*POWER(V10,2))+(BK10*AN10*V10)+(BL10*POWER(AN10,2))</f>
        <v>2.922431</v>
      </c>
      <c r="L10" t="str">
        <f>((M10/1000)*(1000-((T10+S10)/2)))/(T10-S10)</f>
        <v>0.004740</v>
      </c>
      <c r="M10" t="str">
        <f>(AN10*(S10-R10))/(100*U10*(1000-S10))*1000</f>
        <v>0.092471</v>
      </c>
      <c r="N10" t="str">
        <v>0.900543</v>
      </c>
      <c r="O10" t="str">
        <v>0.898211</v>
      </c>
      <c r="P10" t="str">
        <f>0.61365*EXP((17.502*AL10)/(240.97+AL10))</f>
        <v>2.630092</v>
      </c>
      <c r="Q10" t="str">
        <f>P10-N10</f>
        <v>1.729549</v>
      </c>
      <c r="R10" t="str">
        <v>9.933981</v>
      </c>
      <c r="S10" t="str">
        <v>9.959777</v>
      </c>
      <c r="T10" t="str">
        <f>(P10/AM10)*1000</f>
        <v>29.088142</v>
      </c>
      <c r="U10" t="str">
        <f>V10*BG10</f>
        <v>0.441786</v>
      </c>
      <c r="V10" t="str">
        <v>7.500000</v>
      </c>
      <c r="W10" t="str">
        <v>PSF-00438_20251212135323_ad1</v>
      </c>
      <c r="X10" t="str">
        <v>0.000000</v>
      </c>
      <c r="Y10" t="str">
        <v>0.000000</v>
      </c>
      <c r="Z10" t="str">
        <v>0.000000</v>
      </c>
      <c r="AA10" t="str">
        <v>162.714966</v>
      </c>
      <c r="AB10" t="str">
        <v>164.160843</v>
      </c>
      <c r="AC10" t="str">
        <v>0.008808</v>
      </c>
      <c r="AD10" t="str">
        <v>0.5</v>
      </c>
      <c r="AE10" t="str">
        <v>0.80</v>
      </c>
      <c r="AF10" t="str">
        <f>AC10*AD10*AE10*AQ10</f>
        <v>0.663352</v>
      </c>
      <c r="AG10" t="str">
        <v>1.000000</v>
      </c>
      <c r="AH10" t="str">
        <v>32.01</v>
      </c>
      <c r="AI10" t="str">
        <v>31.93</v>
      </c>
      <c r="AJ10" t="str">
        <v>22.96</v>
      </c>
      <c r="AK10" t="str">
        <v>21.85</v>
      </c>
      <c r="AL10" t="str">
        <f>(AK10-AJ10)*(AJ10*0+0)+AK10</f>
        <v>21.85</v>
      </c>
      <c r="AM10" t="str">
        <v>90.42</v>
      </c>
      <c r="AN10" t="str">
        <v>156.8</v>
      </c>
      <c r="AO10" t="str">
        <v>152.1</v>
      </c>
      <c r="AP10" t="str">
        <v>3.0</v>
      </c>
      <c r="AQ10" t="str">
        <v>188</v>
      </c>
      <c r="AR10" t="str">
        <v>4.044</v>
      </c>
      <c r="AS10" t="str">
        <v>13:50:50</v>
      </c>
      <c r="AT10" t="str">
        <v>2025-12-12</v>
      </c>
      <c r="AU10" t="str">
        <v>-0.16</v>
      </c>
      <c r="AV10" t="str">
        <v>1</v>
      </c>
      <c r="AW10" t="str">
        <v>-0.000</v>
      </c>
      <c r="AX10" t="str">
        <v>-0.002</v>
      </c>
      <c r="AY10" t="str">
        <v>-9999.000</v>
      </c>
      <c r="AZ10" t="str">
        <v>-0.384</v>
      </c>
      <c r="BA10" t="str">
        <v>-0.093</v>
      </c>
      <c r="BB10" t="str">
        <v>-9999.000</v>
      </c>
      <c r="BC10" t="str">
        <v>1</v>
      </c>
      <c r="BD10" t="str">
        <v>150</v>
      </c>
      <c r="BE10" t="str">
        <v>0.005</v>
      </c>
      <c r="BF10" t="str">
        <v>2.000000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mpf</v>
      </c>
      <c r="BP10" t="str">
        <v>7000</v>
      </c>
      <c r="BQ10" t="str">
        <v>500</v>
      </c>
      <c r="BR10" t="str">
        <v>5.000000</v>
      </c>
      <c r="BS10" t="str">
        <v>2.000000</v>
      </c>
      <c r="BT10" t="str">
        <v>300</v>
      </c>
      <c r="BU10" t="str">
        <v>300</v>
      </c>
      <c r="BV10" t="str">
        <v>300</v>
      </c>
      <c r="BW10" t="str">
        <v>164.160843</v>
      </c>
      <c r="BX10" t="str">
        <v>25</v>
      </c>
      <c r="BY10" t="str">
        <v>0.101155</v>
      </c>
      <c r="BZ10" t="str">
        <v>163.300034</v>
      </c>
      <c r="CA10" t="str">
        <v>164.305435</v>
      </c>
      <c r="CB10" t="str">
        <v>-1.005402</v>
      </c>
      <c r="CC10" t="str">
        <v>2.443077</v>
      </c>
      <c r="CD10" t="str">
        <v>2.457428</v>
      </c>
      <c r="CE10" t="str">
        <v>1.656256</v>
      </c>
      <c r="CF10" t="str">
        <v>0.926424</v>
      </c>
      <c r="CG10" t="str">
        <v>0.295867</v>
      </c>
      <c r="CH10" t="str">
        <v>-0.011755</v>
      </c>
      <c r="CI10" t="str">
        <v>0.128962</v>
      </c>
      <c r="CJ10" t="str">
        <v>0.276679</v>
      </c>
      <c r="CK10" t="str">
        <v>162.714966</v>
      </c>
      <c r="CL10" t="str">
        <v>0.000238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PSF-00438_20251212135323_ad1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2025-12-11T16:13:02.852Z</v>
      </c>
    </row>
    <row r="11">
      <c r="A11" t="str">
        <v>8</v>
      </c>
      <c r="B11" t="str">
        <v>13:53:42</v>
      </c>
      <c r="C11" t="str">
        <v>2025-12-12</v>
      </c>
      <c r="D11" t="str">
        <v>TT25_psf</v>
      </c>
      <c r="E11" t="str">
        <v>eap</v>
      </c>
      <c r="F11" t="str">
        <v/>
      </c>
      <c r="G11" t="str">
        <v>6885_Tri_red</v>
      </c>
      <c r="H11" t="str">
        <v/>
      </c>
      <c r="I11" t="str">
        <v/>
      </c>
      <c r="J11" t="str">
        <f>1/((1/L11)-(1/K11))</f>
        <v>0.003611</v>
      </c>
      <c r="K11" t="str">
        <f>BH11+(BI11*AN11)+(BJ11*AN11*POWER(V11,2))+(BK11*AN11*V11)+(BL11*POWER(AN11,2))</f>
        <v>2.922739</v>
      </c>
      <c r="L11" t="str">
        <f>((M11/1000)*(1000-((T11+S11)/2)))/(T11-S11)</f>
        <v>0.003607</v>
      </c>
      <c r="M11" t="str">
        <f>(AN11*(S11-R11))/(100*U11*(1000-S11))*1000</f>
        <v>0.071336</v>
      </c>
      <c r="N11" t="str">
        <v>0.917961</v>
      </c>
      <c r="O11" t="str">
        <v>0.916163</v>
      </c>
      <c r="P11" t="str">
        <f>0.61365*EXP((17.502*AL11)/(240.97+AL11))</f>
        <v>2.670721</v>
      </c>
      <c r="Q11" t="str">
        <f>P11-N11</f>
        <v>1.752760</v>
      </c>
      <c r="R11" t="str">
        <v>10.132781</v>
      </c>
      <c r="S11" t="str">
        <v>10.152673</v>
      </c>
      <c r="T11" t="str">
        <f>(P11/AM11)*1000</f>
        <v>29.538229</v>
      </c>
      <c r="U11" t="str">
        <f>V11*BG11</f>
        <v>0.441786</v>
      </c>
      <c r="V11" t="str">
        <v>7.500000</v>
      </c>
      <c r="W11" t="str">
        <v>PSF-00438_20251212135342_f36</v>
      </c>
      <c r="X11" t="str">
        <v>0.000000</v>
      </c>
      <c r="Y11" t="str">
        <v>0.000000</v>
      </c>
      <c r="Z11" t="str">
        <v>0.000000</v>
      </c>
      <c r="AA11" t="str">
        <v>86.237671</v>
      </c>
      <c r="AB11" t="str">
        <v>87.113144</v>
      </c>
      <c r="AC11" t="str">
        <v>0.010050</v>
      </c>
      <c r="AD11" t="str">
        <v>0.5</v>
      </c>
      <c r="AE11" t="str">
        <v>0.80</v>
      </c>
      <c r="AF11" t="str">
        <f>AC11*AD11*AE11*AQ11</f>
        <v>0.674545</v>
      </c>
      <c r="AG11" t="str">
        <v>1.000000</v>
      </c>
      <c r="AH11" t="str">
        <v>32.67</v>
      </c>
      <c r="AI11" t="str">
        <v>32.60</v>
      </c>
      <c r="AJ11" t="str">
        <v>22.94</v>
      </c>
      <c r="AK11" t="str">
        <v>22.11</v>
      </c>
      <c r="AL11" t="str">
        <f>(AK11-AJ11)*(AJ11*0+0)+AK11</f>
        <v>22.11</v>
      </c>
      <c r="AM11" t="str">
        <v>90.42</v>
      </c>
      <c r="AN11" t="str">
        <v>156.8</v>
      </c>
      <c r="AO11" t="str">
        <v>158.4</v>
      </c>
      <c r="AP11" t="str">
        <v>-1.0</v>
      </c>
      <c r="AQ11" t="str">
        <v>168</v>
      </c>
      <c r="AR11" t="str">
        <v>4.039</v>
      </c>
      <c r="AS11" t="str">
        <v>13:50:50</v>
      </c>
      <c r="AT11" t="str">
        <v>2025-12-12</v>
      </c>
      <c r="AU11" t="str">
        <v>-0.16</v>
      </c>
      <c r="AV11" t="str">
        <v>1</v>
      </c>
      <c r="AW11" t="str">
        <v>0.001</v>
      </c>
      <c r="AX11" t="str">
        <v>0.000</v>
      </c>
      <c r="AY11" t="str">
        <v>-9999.000</v>
      </c>
      <c r="AZ11" t="str">
        <v>0.522</v>
      </c>
      <c r="BA11" t="str">
        <v>0.521</v>
      </c>
      <c r="BB11" t="str">
        <v>-9999.000</v>
      </c>
      <c r="BC11" t="str">
        <v>1</v>
      </c>
      <c r="BD11" t="str">
        <v>150</v>
      </c>
      <c r="BE11" t="str">
        <v>0.005</v>
      </c>
      <c r="BF11" t="str">
        <v>2.000000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mpf</v>
      </c>
      <c r="BP11" t="str">
        <v>7000</v>
      </c>
      <c r="BQ11" t="str">
        <v>500</v>
      </c>
      <c r="BR11" t="str">
        <v>5.000000</v>
      </c>
      <c r="BS11" t="str">
        <v>2.000000</v>
      </c>
      <c r="BT11" t="str">
        <v>300</v>
      </c>
      <c r="BU11" t="str">
        <v>300</v>
      </c>
      <c r="BV11" t="str">
        <v>300</v>
      </c>
      <c r="BW11" t="str">
        <v>86.190819</v>
      </c>
      <c r="BX11" t="str">
        <v>25</v>
      </c>
      <c r="BY11" t="str">
        <v>-0.626977</v>
      </c>
      <c r="BZ11" t="str">
        <v>85.794922</v>
      </c>
      <c r="CA11" t="str">
        <v>86.216888</v>
      </c>
      <c r="CB11" t="str">
        <v>-0.421967</v>
      </c>
      <c r="CC11" t="str">
        <v>2.444050</v>
      </c>
      <c r="CD11" t="str">
        <v>2.458381</v>
      </c>
      <c r="CE11" t="str">
        <v>1.656579</v>
      </c>
      <c r="CF11" t="str">
        <v>0.942314</v>
      </c>
      <c r="CG11" t="str">
        <v>0.296077</v>
      </c>
      <c r="CH11" t="str">
        <v>-0.008778</v>
      </c>
      <c r="CI11" t="str">
        <v>0.131598</v>
      </c>
      <c r="CJ11" t="str">
        <v>0.258248</v>
      </c>
      <c r="CK11" t="str">
        <v>86.237671</v>
      </c>
      <c r="CL11" t="str">
        <v>0.000238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PSF-00438_20251212135342_f36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2025-12-11T16:13:02.852Z</v>
      </c>
    </row>
    <row r="12">
      <c r="A12" t="str">
        <v>9</v>
      </c>
      <c r="B12" t="str">
        <v>13:53:58</v>
      </c>
      <c r="C12" t="str">
        <v>2025-12-12</v>
      </c>
      <c r="D12" t="str">
        <v>TT25_psf</v>
      </c>
      <c r="E12" t="str">
        <v>eap</v>
      </c>
      <c r="F12" t="str">
        <v/>
      </c>
      <c r="G12" t="str">
        <v>4109_Tri_red</v>
      </c>
      <c r="H12" t="str">
        <v/>
      </c>
      <c r="I12" t="str">
        <v/>
      </c>
      <c r="J12" t="str">
        <f>1/((1/L12)-(1/K12))</f>
        <v>0.004465</v>
      </c>
      <c r="K12" t="str">
        <f>BH12+(BI12*AN12)+(BJ12*AN12*POWER(V12,2))+(BK12*AN12*V12)+(BL12*POWER(AN12,2))</f>
        <v>2.922896</v>
      </c>
      <c r="L12" t="str">
        <f>((M12/1000)*(1000-((T12+S12)/2)))/(T12-S12)</f>
        <v>0.004458</v>
      </c>
      <c r="M12" t="str">
        <f>(AN12*(S12-R12))/(100*U12*(1000-S12))*1000</f>
        <v>0.087371</v>
      </c>
      <c r="N12" t="str">
        <v>0.926521</v>
      </c>
      <c r="O12" t="str">
        <v>0.924318</v>
      </c>
      <c r="P12" t="str">
        <f>0.61365*EXP((17.502*AL12)/(240.97+AL12))</f>
        <v>2.663233</v>
      </c>
      <c r="Q12" t="str">
        <f>P12-N12</f>
        <v>1.736713</v>
      </c>
      <c r="R12" t="str">
        <v>10.222895</v>
      </c>
      <c r="S12" t="str">
        <v>10.247252</v>
      </c>
      <c r="T12" t="str">
        <f>(P12/AM12)*1000</f>
        <v>29.455170</v>
      </c>
      <c r="U12" t="str">
        <f>V12*BG12</f>
        <v>0.441786</v>
      </c>
      <c r="V12" t="str">
        <v>7.500000</v>
      </c>
      <c r="W12" t="str">
        <v>PSF-00438_20251212135358_f8d</v>
      </c>
      <c r="X12" t="str">
        <v>0.000000</v>
      </c>
      <c r="Y12" t="str">
        <v>0.000000</v>
      </c>
      <c r="Z12" t="str">
        <v>0.000000</v>
      </c>
      <c r="AA12" t="str">
        <v>78.570129</v>
      </c>
      <c r="AB12" t="str">
        <v>85.879097</v>
      </c>
      <c r="AC12" t="str">
        <v>0.085108</v>
      </c>
      <c r="AD12" t="str">
        <v>0.5</v>
      </c>
      <c r="AE12" t="str">
        <v>0.80</v>
      </c>
      <c r="AF12" t="str">
        <f>AC12*AD12*AE12*AQ12</f>
        <v>6.647240</v>
      </c>
      <c r="AG12" t="str">
        <v>1.000000</v>
      </c>
      <c r="AH12" t="str">
        <v>32.99</v>
      </c>
      <c r="AI12" t="str">
        <v>32.91</v>
      </c>
      <c r="AJ12" t="str">
        <v>22.93</v>
      </c>
      <c r="AK12" t="str">
        <v>22.06</v>
      </c>
      <c r="AL12" t="str">
        <f>(AK12-AJ12)*(AJ12*0+0)+AK12</f>
        <v>22.06</v>
      </c>
      <c r="AM12" t="str">
        <v>90.42</v>
      </c>
      <c r="AN12" t="str">
        <v>156.8</v>
      </c>
      <c r="AO12" t="str">
        <v>156.4</v>
      </c>
      <c r="AP12" t="str">
        <v>0.3</v>
      </c>
      <c r="AQ12" t="str">
        <v>195</v>
      </c>
      <c r="AR12" t="str">
        <v>4.043</v>
      </c>
      <c r="AS12" t="str">
        <v>13:50:50</v>
      </c>
      <c r="AT12" t="str">
        <v>2025-12-12</v>
      </c>
      <c r="AU12" t="str">
        <v>-0.16</v>
      </c>
      <c r="AV12" t="str">
        <v>1</v>
      </c>
      <c r="AW12" t="str">
        <v>-0.000</v>
      </c>
      <c r="AX12" t="str">
        <v>-0.003</v>
      </c>
      <c r="AY12" t="str">
        <v>-9999.000</v>
      </c>
      <c r="AZ12" t="str">
        <v>-0.369</v>
      </c>
      <c r="BA12" t="str">
        <v>0.239</v>
      </c>
      <c r="BB12" t="str">
        <v>-9999.000</v>
      </c>
      <c r="BC12" t="str">
        <v>1</v>
      </c>
      <c r="BD12" t="str">
        <v>150</v>
      </c>
      <c r="BE12" t="str">
        <v>0.005</v>
      </c>
      <c r="BF12" t="str">
        <v>2.000000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mpf</v>
      </c>
      <c r="BP12" t="str">
        <v>7000</v>
      </c>
      <c r="BQ12" t="str">
        <v>500</v>
      </c>
      <c r="BR12" t="str">
        <v>5.000000</v>
      </c>
      <c r="BS12" t="str">
        <v>2.000000</v>
      </c>
      <c r="BT12" t="str">
        <v>300</v>
      </c>
      <c r="BU12" t="str">
        <v>300</v>
      </c>
      <c r="BV12" t="str">
        <v>300</v>
      </c>
      <c r="BW12" t="str">
        <v>85.831764</v>
      </c>
      <c r="BX12" t="str">
        <v>25</v>
      </c>
      <c r="BY12" t="str">
        <v>0.004101</v>
      </c>
      <c r="BZ12" t="str">
        <v>85.704803</v>
      </c>
      <c r="CA12" t="str">
        <v>85.884956</v>
      </c>
      <c r="CB12" t="str">
        <v>-0.180153</v>
      </c>
      <c r="CC12" t="str">
        <v>2.444499</v>
      </c>
      <c r="CD12" t="str">
        <v>2.458854</v>
      </c>
      <c r="CE12" t="str">
        <v>1.656745</v>
      </c>
      <c r="CF12" t="str">
        <v>0.937187</v>
      </c>
      <c r="CG12" t="str">
        <v>0.296201</v>
      </c>
      <c r="CH12" t="str">
        <v>-0.009170</v>
      </c>
      <c r="CI12" t="str">
        <v>0.133841</v>
      </c>
      <c r="CJ12" t="str">
        <v>0.282951</v>
      </c>
      <c r="CK12" t="str">
        <v>78.570129</v>
      </c>
      <c r="CL12" t="str">
        <v>0.000239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PSF-00438_20251212135358_f8d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2025-12-11T16:13:02.852Z</v>
      </c>
    </row>
    <row r="13">
      <c r="A13" t="str">
        <v>10</v>
      </c>
      <c r="B13" t="str">
        <v>13:54:19</v>
      </c>
      <c r="C13" t="str">
        <v>2025-12-12</v>
      </c>
      <c r="D13" t="str">
        <v>TT25_psf</v>
      </c>
      <c r="E13" t="str">
        <v>eap</v>
      </c>
      <c r="F13" t="str">
        <v/>
      </c>
      <c r="G13" t="str">
        <v>2996A1_Tri_red</v>
      </c>
      <c r="H13" t="str">
        <v/>
      </c>
      <c r="I13" t="str">
        <v/>
      </c>
      <c r="J13" t="str">
        <f>1/((1/L13)-(1/K13))</f>
        <v>0.038857</v>
      </c>
      <c r="K13" t="str">
        <f>BH13+(BI13*AN13)+(BJ13*AN13*POWER(V13,2))+(BK13*AN13*V13)+(BL13*POWER(AN13,2))</f>
        <v>2.922800</v>
      </c>
      <c r="L13" t="str">
        <f>((M13/1000)*(1000-((T13+S13)/2)))/(T13-S13)</f>
        <v>0.038347</v>
      </c>
      <c r="M13" t="str">
        <f>(AN13*(S13-R13))/(100*U13*(1000-S13))*1000</f>
        <v>0.724235</v>
      </c>
      <c r="N13" t="str">
        <v>0.981845</v>
      </c>
      <c r="O13" t="str">
        <v>0.963599</v>
      </c>
      <c r="P13" t="str">
        <f>0.61365*EXP((17.502*AL13)/(240.97+AL13))</f>
        <v>2.655196</v>
      </c>
      <c r="Q13" t="str">
        <f>P13-N13</f>
        <v>1.673351</v>
      </c>
      <c r="R13" t="str">
        <v>10.656929</v>
      </c>
      <c r="S13" t="str">
        <v>10.858718</v>
      </c>
      <c r="T13" t="str">
        <f>(P13/AM13)*1000</f>
        <v>29.365141</v>
      </c>
      <c r="U13" t="str">
        <f>V13*BG13</f>
        <v>0.441786</v>
      </c>
      <c r="V13" t="str">
        <v>7.500000</v>
      </c>
      <c r="W13" t="str">
        <v>PSF-00438_20251212135419_a83</v>
      </c>
      <c r="X13" t="str">
        <v>0.000000</v>
      </c>
      <c r="Y13" t="str">
        <v>0.000000</v>
      </c>
      <c r="Z13" t="str">
        <v>0.000000</v>
      </c>
      <c r="AA13" t="str">
        <v>186.891678</v>
      </c>
      <c r="AB13" t="str">
        <v>464.181488</v>
      </c>
      <c r="AC13" t="str">
        <v>0.597374</v>
      </c>
      <c r="AD13" t="str">
        <v>0.5</v>
      </c>
      <c r="AE13" t="str">
        <v>0.80</v>
      </c>
      <c r="AF13" t="str">
        <f>AC13*AD13*AE13*AQ13</f>
        <v>44.453514</v>
      </c>
      <c r="AG13" t="str">
        <v>1.000000</v>
      </c>
      <c r="AH13" t="str">
        <v>34.98</v>
      </c>
      <c r="AI13" t="str">
        <v>34.33</v>
      </c>
      <c r="AJ13" t="str">
        <v>22.92</v>
      </c>
      <c r="AK13" t="str">
        <v>22.01</v>
      </c>
      <c r="AL13" t="str">
        <f>(AK13-AJ13)*(AJ13*0+0)+AK13</f>
        <v>22.01</v>
      </c>
      <c r="AM13" t="str">
        <v>90.42</v>
      </c>
      <c r="AN13" t="str">
        <v>156.8</v>
      </c>
      <c r="AO13" t="str">
        <v>158.6</v>
      </c>
      <c r="AP13" t="str">
        <v>-1.1</v>
      </c>
      <c r="AQ13" t="str">
        <v>186</v>
      </c>
      <c r="AR13" t="str">
        <v>4.042</v>
      </c>
      <c r="AS13" t="str">
        <v>13:50:50</v>
      </c>
      <c r="AT13" t="str">
        <v>2025-12-12</v>
      </c>
      <c r="AU13" t="str">
        <v>-0.16</v>
      </c>
      <c r="AV13" t="str">
        <v>1</v>
      </c>
      <c r="AW13" t="str">
        <v>0.000</v>
      </c>
      <c r="AX13" t="str">
        <v>0.001</v>
      </c>
      <c r="AY13" t="str">
        <v>0.000</v>
      </c>
      <c r="AZ13" t="str">
        <v>2.426</v>
      </c>
      <c r="BA13" t="str">
        <v>-3.154</v>
      </c>
      <c r="BB13" t="str">
        <v>9.741</v>
      </c>
      <c r="BC13" t="str">
        <v>1</v>
      </c>
      <c r="BD13" t="str">
        <v>150</v>
      </c>
      <c r="BE13" t="str">
        <v>0.005</v>
      </c>
      <c r="BF13" t="str">
        <v>2.000000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mpf</v>
      </c>
      <c r="BP13" t="str">
        <v>7000</v>
      </c>
      <c r="BQ13" t="str">
        <v>500</v>
      </c>
      <c r="BR13" t="str">
        <v>5.000000</v>
      </c>
      <c r="BS13" t="str">
        <v>2.000000</v>
      </c>
      <c r="BT13" t="str">
        <v>300</v>
      </c>
      <c r="BU13" t="str">
        <v>300</v>
      </c>
      <c r="BV13" t="str">
        <v>300</v>
      </c>
      <c r="BW13" t="str">
        <v>456.677185</v>
      </c>
      <c r="BX13" t="str">
        <v>25</v>
      </c>
      <c r="BY13" t="str">
        <v>-7.877316</v>
      </c>
      <c r="BZ13" t="str">
        <v>448.525421</v>
      </c>
      <c r="CA13" t="str">
        <v>452.920929</v>
      </c>
      <c r="CB13" t="str">
        <v>-4.395508</v>
      </c>
      <c r="CC13" t="str">
        <v>2.446534</v>
      </c>
      <c r="CD13" t="str">
        <v>2.461724</v>
      </c>
      <c r="CE13" t="str">
        <v>1.656643</v>
      </c>
      <c r="CF13" t="str">
        <v>0.942916</v>
      </c>
      <c r="CG13" t="str">
        <v>0.296336</v>
      </c>
      <c r="CH13" t="str">
        <v>-0.009591</v>
      </c>
      <c r="CI13" t="str">
        <v>0.136690</v>
      </c>
      <c r="CJ13" t="str">
        <v>0.274654</v>
      </c>
      <c r="CK13" t="str">
        <v>186.891678</v>
      </c>
      <c r="CL13" t="str">
        <v>0.000237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PSF-00438_20251212135419_a83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2025-12-11T16:13:02.852Z</v>
      </c>
    </row>
    <row r="14">
      <c r="A14" t="str">
        <v>11</v>
      </c>
      <c r="B14" t="str">
        <v>13:54:43</v>
      </c>
      <c r="C14" t="str">
        <v>2025-12-12</v>
      </c>
      <c r="D14" t="str">
        <v>TT25_psf</v>
      </c>
      <c r="E14" t="str">
        <v>eap</v>
      </c>
      <c r="F14" t="str">
        <v/>
      </c>
      <c r="G14" t="str">
        <v>1750_Tri_red</v>
      </c>
      <c r="H14" t="str">
        <v/>
      </c>
      <c r="I14" t="str">
        <v/>
      </c>
      <c r="J14" t="str">
        <f>1/((1/L14)-(1/K14))</f>
        <v>0.012933</v>
      </c>
      <c r="K14" t="str">
        <f>BH14+(BI14*AN14)+(BJ14*AN14*POWER(V14,2))+(BK14*AN14*V14)+(BL14*POWER(AN14,2))</f>
        <v>2.922106</v>
      </c>
      <c r="L14" t="str">
        <f>((M14/1000)*(1000-((T14+S14)/2)))/(T14-S14)</f>
        <v>0.012876</v>
      </c>
      <c r="M14" t="str">
        <f>(AN14*(S14-R14))/(100*U14*(1000-S14))*1000</f>
        <v>0.240034</v>
      </c>
      <c r="N14" t="str">
        <v>0.975202</v>
      </c>
      <c r="O14" t="str">
        <v>0.969151</v>
      </c>
      <c r="P14" t="str">
        <f>0.61365*EXP((17.502*AL14)/(240.97+AL14))</f>
        <v>2.627248</v>
      </c>
      <c r="Q14" t="str">
        <f>P14-N14</f>
        <v>1.652046</v>
      </c>
      <c r="R14" t="str">
        <v>10.718091</v>
      </c>
      <c r="S14" t="str">
        <v>10.785012</v>
      </c>
      <c r="T14" t="str">
        <f>(P14/AM14)*1000</f>
        <v>29.055410</v>
      </c>
      <c r="U14" t="str">
        <f>V14*BG14</f>
        <v>0.441786</v>
      </c>
      <c r="V14" t="str">
        <v>7.500000</v>
      </c>
      <c r="W14" t="str">
        <v>PSF-00438_20251212135443_c0b</v>
      </c>
      <c r="X14" t="str">
        <v>0.000000</v>
      </c>
      <c r="Y14" t="str">
        <v>0.000000</v>
      </c>
      <c r="Z14" t="str">
        <v>0.000000</v>
      </c>
      <c r="AA14" t="str">
        <v>124.531387</v>
      </c>
      <c r="AB14" t="str">
        <v>306.158417</v>
      </c>
      <c r="AC14" t="str">
        <v>0.593245</v>
      </c>
      <c r="AD14" t="str">
        <v>0.5</v>
      </c>
      <c r="AE14" t="str">
        <v>0.80</v>
      </c>
      <c r="AF14" t="str">
        <f>AC14*AD14*AE14*AQ14</f>
        <v>41.659615</v>
      </c>
      <c r="AG14" t="str">
        <v>1.000000</v>
      </c>
      <c r="AH14" t="str">
        <v>34.77</v>
      </c>
      <c r="AI14" t="str">
        <v>34.55</v>
      </c>
      <c r="AJ14" t="str">
        <v>22.91</v>
      </c>
      <c r="AK14" t="str">
        <v>21.84</v>
      </c>
      <c r="AL14" t="str">
        <f>(AK14-AJ14)*(AJ14*0+0)+AK14</f>
        <v>21.84</v>
      </c>
      <c r="AM14" t="str">
        <v>90.42</v>
      </c>
      <c r="AN14" t="str">
        <v>156.8</v>
      </c>
      <c r="AO14" t="str">
        <v>131.9</v>
      </c>
      <c r="AP14" t="str">
        <v>15.8</v>
      </c>
      <c r="AQ14" t="str">
        <v>176</v>
      </c>
      <c r="AR14" t="str">
        <v>4.041</v>
      </c>
      <c r="AS14" t="str">
        <v>13:50:50</v>
      </c>
      <c r="AT14" t="str">
        <v>2025-12-12</v>
      </c>
      <c r="AU14" t="str">
        <v>-0.16</v>
      </c>
      <c r="AV14" t="str">
        <v>1</v>
      </c>
      <c r="AW14" t="str">
        <v>0.000</v>
      </c>
      <c r="AX14" t="str">
        <v>0.001</v>
      </c>
      <c r="AY14" t="str">
        <v>-9999.000</v>
      </c>
      <c r="AZ14" t="str">
        <v>-0.610</v>
      </c>
      <c r="BA14" t="str">
        <v>0.508</v>
      </c>
      <c r="BB14" t="str">
        <v>-9999.000</v>
      </c>
      <c r="BC14" t="str">
        <v>1</v>
      </c>
      <c r="BD14" t="str">
        <v>150</v>
      </c>
      <c r="BE14" t="str">
        <v>0.005</v>
      </c>
      <c r="BF14" t="str">
        <v>2.000000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mpf</v>
      </c>
      <c r="BP14" t="str">
        <v>7000</v>
      </c>
      <c r="BQ14" t="str">
        <v>500</v>
      </c>
      <c r="BR14" t="str">
        <v>5.000000</v>
      </c>
      <c r="BS14" t="str">
        <v>2.000000</v>
      </c>
      <c r="BT14" t="str">
        <v>300</v>
      </c>
      <c r="BU14" t="str">
        <v>300</v>
      </c>
      <c r="BV14" t="str">
        <v>300</v>
      </c>
      <c r="BW14" t="str">
        <v>303.353912</v>
      </c>
      <c r="BX14" t="str">
        <v>25</v>
      </c>
      <c r="BY14" t="str">
        <v>-1.875465</v>
      </c>
      <c r="BZ14" t="str">
        <v>303.462982</v>
      </c>
      <c r="CA14" t="str">
        <v>303.477448</v>
      </c>
      <c r="CB14" t="str">
        <v>-0.014465</v>
      </c>
      <c r="CC14" t="str">
        <v>2.446848</v>
      </c>
      <c r="CD14" t="str">
        <v>2.461418</v>
      </c>
      <c r="CE14" t="str">
        <v>1.655916</v>
      </c>
      <c r="CF14" t="str">
        <v>0.876388</v>
      </c>
      <c r="CG14" t="str">
        <v>0.296458</v>
      </c>
      <c r="CH14" t="str">
        <v>-0.011391</v>
      </c>
      <c r="CI14" t="str">
        <v>0.139983</v>
      </c>
      <c r="CJ14" t="str">
        <v>0.265228</v>
      </c>
      <c r="CK14" t="str">
        <v>124.531387</v>
      </c>
      <c r="CL14" t="str">
        <v>0.000238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PSF-00438_20251212135443_c0b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2025-12-11T16:13:02.852Z</v>
      </c>
    </row>
    <row r="15">
      <c r="A15" t="str">
        <v>12</v>
      </c>
      <c r="B15" t="str">
        <v>13:54:58</v>
      </c>
      <c r="C15" t="str">
        <v>2025-12-12</v>
      </c>
      <c r="D15" t="str">
        <v>TT25_psf</v>
      </c>
      <c r="E15" t="str">
        <v>eap</v>
      </c>
      <c r="F15" t="str">
        <v/>
      </c>
      <c r="G15" t="str">
        <v>4265_Tri_red</v>
      </c>
      <c r="H15" t="str">
        <v/>
      </c>
      <c r="I15" t="str">
        <v/>
      </c>
      <c r="J15" t="str">
        <f>1/((1/L15)-(1/K15))</f>
        <v>0.006092</v>
      </c>
      <c r="K15" t="str">
        <f>BH15+(BI15*AN15)+(BJ15*AN15*POWER(V15,2))+(BK15*AN15*V15)+(BL15*POWER(AN15,2))</f>
        <v>2.921904</v>
      </c>
      <c r="L15" t="str">
        <f>((M15/1000)*(1000-((T15+S15)/2)))/(T15-S15)</f>
        <v>0.006080</v>
      </c>
      <c r="M15" t="str">
        <f>(AN15*(S15-R15))/(100*U15*(1000-S15))*1000</f>
        <v>0.120930</v>
      </c>
      <c r="N15" t="str">
        <v>0.958544</v>
      </c>
      <c r="O15" t="str">
        <v>0.955494</v>
      </c>
      <c r="P15" t="str">
        <f>0.61365*EXP((17.502*AL15)/(240.97+AL15))</f>
        <v>2.720594</v>
      </c>
      <c r="Q15" t="str">
        <f>P15-N15</f>
        <v>1.762050</v>
      </c>
      <c r="R15" t="str">
        <v>10.566554</v>
      </c>
      <c r="S15" t="str">
        <v>10.600281</v>
      </c>
      <c r="T15" t="str">
        <f>(P15/AM15)*1000</f>
        <v>30.086330</v>
      </c>
      <c r="U15" t="str">
        <f>V15*BG15</f>
        <v>0.441786</v>
      </c>
      <c r="V15" t="str">
        <v>7.500000</v>
      </c>
      <c r="W15" t="str">
        <v>PSF-00438_20251212135458_490</v>
      </c>
      <c r="X15" t="str">
        <v>0.000000</v>
      </c>
      <c r="Y15" t="str">
        <v>0.000000</v>
      </c>
      <c r="Z15" t="str">
        <v>0.000000</v>
      </c>
      <c r="AA15" t="str">
        <v>123.307228</v>
      </c>
      <c r="AB15" t="str">
        <v>124.881844</v>
      </c>
      <c r="AC15" t="str">
        <v>0.012609</v>
      </c>
      <c r="AD15" t="str">
        <v>0.5</v>
      </c>
      <c r="AE15" t="str">
        <v>0.80</v>
      </c>
      <c r="AF15" t="str">
        <f>AC15*AD15*AE15*AQ15</f>
        <v>1.042937</v>
      </c>
      <c r="AG15" t="str">
        <v>1.000000</v>
      </c>
      <c r="AH15" t="str">
        <v>34.19</v>
      </c>
      <c r="AI15" t="str">
        <v>34.08</v>
      </c>
      <c r="AJ15" t="str">
        <v>22.91</v>
      </c>
      <c r="AK15" t="str">
        <v>22.41</v>
      </c>
      <c r="AL15" t="str">
        <f>(AK15-AJ15)*(AJ15*0+0)+AK15</f>
        <v>22.41</v>
      </c>
      <c r="AM15" t="str">
        <v>90.43</v>
      </c>
      <c r="AN15" t="str">
        <v>156.7</v>
      </c>
      <c r="AO15" t="str">
        <v>158.5</v>
      </c>
      <c r="AP15" t="str">
        <v>-1.1</v>
      </c>
      <c r="AQ15" t="str">
        <v>207</v>
      </c>
      <c r="AR15" t="str">
        <v>4.041</v>
      </c>
      <c r="AS15" t="str">
        <v>13:50:50</v>
      </c>
      <c r="AT15" t="str">
        <v>2025-12-12</v>
      </c>
      <c r="AU15" t="str">
        <v>-0.16</v>
      </c>
      <c r="AV15" t="str">
        <v>1</v>
      </c>
      <c r="AW15" t="str">
        <v>0.001</v>
      </c>
      <c r="AX15" t="str">
        <v>0.001</v>
      </c>
      <c r="AY15" t="str">
        <v>-9999.000</v>
      </c>
      <c r="AZ15" t="str">
        <v>0.225</v>
      </c>
      <c r="BA15" t="str">
        <v>0.189</v>
      </c>
      <c r="BB15" t="str">
        <v>-9999.000</v>
      </c>
      <c r="BC15" t="str">
        <v>1</v>
      </c>
      <c r="BD15" t="str">
        <v>150</v>
      </c>
      <c r="BE15" t="str">
        <v>0.005</v>
      </c>
      <c r="BF15" t="str">
        <v>2.000000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mpf</v>
      </c>
      <c r="BP15" t="str">
        <v>7000</v>
      </c>
      <c r="BQ15" t="str">
        <v>500</v>
      </c>
      <c r="BR15" t="str">
        <v>5.000000</v>
      </c>
      <c r="BS15" t="str">
        <v>2.000000</v>
      </c>
      <c r="BT15" t="str">
        <v>300</v>
      </c>
      <c r="BU15" t="str">
        <v>300</v>
      </c>
      <c r="BV15" t="str">
        <v>300</v>
      </c>
      <c r="BW15" t="str">
        <v>124.422310</v>
      </c>
      <c r="BX15" t="str">
        <v>25</v>
      </c>
      <c r="BY15" t="str">
        <v>-0.582324</v>
      </c>
      <c r="BZ15" t="str">
        <v>123.517517</v>
      </c>
      <c r="CA15" t="str">
        <v>124.049416</v>
      </c>
      <c r="CB15" t="str">
        <v>-0.531898</v>
      </c>
      <c r="CC15" t="str">
        <v>2.446176</v>
      </c>
      <c r="CD15" t="str">
        <v>2.460588</v>
      </c>
      <c r="CE15" t="str">
        <v>1.655704</v>
      </c>
      <c r="CF15" t="str">
        <v>0.942710</v>
      </c>
      <c r="CG15" t="str">
        <v>0.296538</v>
      </c>
      <c r="CH15" t="str">
        <v>-0.004971</v>
      </c>
      <c r="CI15" t="str">
        <v>0.141936</v>
      </c>
      <c r="CJ15" t="str">
        <v>0.293320</v>
      </c>
      <c r="CK15" t="str">
        <v>123.307228</v>
      </c>
      <c r="CL15" t="str">
        <v>0.000239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PSF-00438_20251212135458_490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2025-12-11T16:13:02.852Z</v>
      </c>
    </row>
    <row r="16">
      <c r="A16" t="str">
        <v>13</v>
      </c>
      <c r="B16" t="str">
        <v>13:55:16</v>
      </c>
      <c r="C16" t="str">
        <v>2025-12-12</v>
      </c>
      <c r="D16" t="str">
        <v>TT25_psf</v>
      </c>
      <c r="E16" t="str">
        <v>eap</v>
      </c>
      <c r="F16" t="str">
        <v/>
      </c>
      <c r="G16" t="str">
        <v>2996A3_Tri_red</v>
      </c>
      <c r="H16" t="str">
        <v/>
      </c>
      <c r="I16" t="str">
        <v/>
      </c>
      <c r="J16" t="str">
        <f>1/((1/L16)-(1/K16))</f>
        <v>0.006117</v>
      </c>
      <c r="K16" t="str">
        <f>BH16+(BI16*AN16)+(BJ16*AN16*POWER(V16,2))+(BK16*AN16*V16)+(BL16*POWER(AN16,2))</f>
        <v>2.923398</v>
      </c>
      <c r="L16" t="str">
        <f>((M16/1000)*(1000-((T16+S16)/2)))/(T16-S16)</f>
        <v>0.006104</v>
      </c>
      <c r="M16" t="str">
        <f>(AN16*(S16-R16))/(100*U16*(1000-S16))*1000</f>
        <v>0.117250</v>
      </c>
      <c r="N16" t="str">
        <v>0.971710</v>
      </c>
      <c r="O16" t="str">
        <v>0.968758</v>
      </c>
      <c r="P16" t="str">
        <f>0.61365*EXP((17.502*AL16)/(240.97+AL16))</f>
        <v>2.673508</v>
      </c>
      <c r="Q16" t="str">
        <f>P16-N16</f>
        <v>1.701798</v>
      </c>
      <c r="R16" t="str">
        <v>10.713796</v>
      </c>
      <c r="S16" t="str">
        <v>10.746453</v>
      </c>
      <c r="T16" t="str">
        <f>(P16/AM16)*1000</f>
        <v>29.567177</v>
      </c>
      <c r="U16" t="str">
        <f>V16*BG16</f>
        <v>0.441786</v>
      </c>
      <c r="V16" t="str">
        <v>7.500000</v>
      </c>
      <c r="W16" t="str">
        <v>PSF-00438_20251212135516_559</v>
      </c>
      <c r="X16" t="str">
        <v>0.000000</v>
      </c>
      <c r="Y16" t="str">
        <v>0.000000</v>
      </c>
      <c r="Z16" t="str">
        <v>0.000000</v>
      </c>
      <c r="AA16" t="str">
        <v>135.194061</v>
      </c>
      <c r="AB16" t="str">
        <v>136.325958</v>
      </c>
      <c r="AC16" t="str">
        <v>0.008303</v>
      </c>
      <c r="AD16" t="str">
        <v>0.5</v>
      </c>
      <c r="AE16" t="str">
        <v>0.80</v>
      </c>
      <c r="AF16" t="str">
        <f>AC16*AD16*AE16*AQ16</f>
        <v>0.639751</v>
      </c>
      <c r="AG16" t="str">
        <v>1.000000</v>
      </c>
      <c r="AH16" t="str">
        <v>34.66</v>
      </c>
      <c r="AI16" t="str">
        <v>34.56</v>
      </c>
      <c r="AJ16" t="str">
        <v>22.90</v>
      </c>
      <c r="AK16" t="str">
        <v>22.12</v>
      </c>
      <c r="AL16" t="str">
        <f>(AK16-AJ16)*(AJ16*0+0)+AK16</f>
        <v>22.12</v>
      </c>
      <c r="AM16" t="str">
        <v>90.42</v>
      </c>
      <c r="AN16" t="str">
        <v>156.9</v>
      </c>
      <c r="AO16" t="str">
        <v>137.7</v>
      </c>
      <c r="AP16" t="str">
        <v>12.2</v>
      </c>
      <c r="AQ16" t="str">
        <v>193</v>
      </c>
      <c r="AR16" t="str">
        <v>4.040</v>
      </c>
      <c r="AS16" t="str">
        <v>13:50:50</v>
      </c>
      <c r="AT16" t="str">
        <v>2025-12-12</v>
      </c>
      <c r="AU16" t="str">
        <v>-0.16</v>
      </c>
      <c r="AV16" t="str">
        <v>1</v>
      </c>
      <c r="AW16" t="str">
        <v>-0.000</v>
      </c>
      <c r="AX16" t="str">
        <v>-0.000</v>
      </c>
      <c r="AY16" t="str">
        <v>-9999.000</v>
      </c>
      <c r="AZ16" t="str">
        <v>-2.106</v>
      </c>
      <c r="BA16" t="str">
        <v>-1.203</v>
      </c>
      <c r="BB16" t="str">
        <v>-9999.000</v>
      </c>
      <c r="BC16" t="str">
        <v>1</v>
      </c>
      <c r="BD16" t="str">
        <v>150</v>
      </c>
      <c r="BE16" t="str">
        <v>0.005</v>
      </c>
      <c r="BF16" t="str">
        <v>2.000000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mpf</v>
      </c>
      <c r="BP16" t="str">
        <v>7000</v>
      </c>
      <c r="BQ16" t="str">
        <v>500</v>
      </c>
      <c r="BR16" t="str">
        <v>5.000000</v>
      </c>
      <c r="BS16" t="str">
        <v>2.000000</v>
      </c>
      <c r="BT16" t="str">
        <v>300</v>
      </c>
      <c r="BU16" t="str">
        <v>300</v>
      </c>
      <c r="BV16" t="str">
        <v>300</v>
      </c>
      <c r="BW16" t="str">
        <v>136.325958</v>
      </c>
      <c r="BX16" t="str">
        <v>25</v>
      </c>
      <c r="BY16" t="str">
        <v>0.240584</v>
      </c>
      <c r="BZ16" t="str">
        <v>136.106369</v>
      </c>
      <c r="CA16" t="str">
        <v>136.669876</v>
      </c>
      <c r="CB16" t="str">
        <v>-0.563507</v>
      </c>
      <c r="CC16" t="str">
        <v>2.446856</v>
      </c>
      <c r="CD16" t="str">
        <v>2.461268</v>
      </c>
      <c r="CE16" t="str">
        <v>1.657271</v>
      </c>
      <c r="CF16" t="str">
        <v>0.890498</v>
      </c>
      <c r="CG16" t="str">
        <v>0.296564</v>
      </c>
      <c r="CH16" t="str">
        <v>-0.008127</v>
      </c>
      <c r="CI16" t="str">
        <v>0.144212</v>
      </c>
      <c r="CJ16" t="str">
        <v>0.280584</v>
      </c>
      <c r="CK16" t="str">
        <v>135.194061</v>
      </c>
      <c r="CL16" t="str">
        <v>0.000239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PSF-00438_20251212135516_559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2025-12-11T16:13:02.852Z</v>
      </c>
    </row>
    <row r="17">
      <c r="A17" t="str">
        <v>14</v>
      </c>
      <c r="B17" t="str">
        <v>13:55:39</v>
      </c>
      <c r="C17" t="str">
        <v>2025-12-12</v>
      </c>
      <c r="D17" t="str">
        <v>TT25_psf</v>
      </c>
      <c r="E17" t="str">
        <v>eap</v>
      </c>
      <c r="F17" t="str">
        <v/>
      </c>
      <c r="G17" t="str">
        <v>4712_Tri_red</v>
      </c>
      <c r="H17" t="str">
        <v/>
      </c>
      <c r="I17" t="str">
        <v/>
      </c>
      <c r="J17" t="str">
        <f>1/((1/L17)-(1/K17))</f>
        <v>0.013498</v>
      </c>
      <c r="K17" t="str">
        <f>BH17+(BI17*AN17)+(BJ17*AN17*POWER(V17,2))+(BK17*AN17*V17)+(BL17*POWER(AN17,2))</f>
        <v>2.922867</v>
      </c>
      <c r="L17" t="str">
        <f>((M17/1000)*(1000-((T17+S17)/2)))/(T17-S17)</f>
        <v>0.013436</v>
      </c>
      <c r="M17" t="str">
        <f>(AN17*(S17-R17))/(100*U17*(1000-S17))*1000</f>
        <v>0.262390</v>
      </c>
      <c r="N17" t="str">
        <v>0.963919</v>
      </c>
      <c r="O17" t="str">
        <v>0.957308</v>
      </c>
      <c r="P17" t="str">
        <f>0.61365*EXP((17.502*AL17)/(240.97+AL17))</f>
        <v>2.694155</v>
      </c>
      <c r="Q17" t="str">
        <f>P17-N17</f>
        <v>1.730236</v>
      </c>
      <c r="R17" t="str">
        <v>10.586553</v>
      </c>
      <c r="S17" t="str">
        <v>10.659672</v>
      </c>
      <c r="T17" t="str">
        <f>(P17/AM17)*1000</f>
        <v>29.793781</v>
      </c>
      <c r="U17" t="str">
        <f>V17*BG17</f>
        <v>0.441786</v>
      </c>
      <c r="V17" t="str">
        <v>7.500000</v>
      </c>
      <c r="W17" t="str">
        <v>PSF-00438_20251212135539_4ff</v>
      </c>
      <c r="X17" t="str">
        <v>0.000000</v>
      </c>
      <c r="Y17" t="str">
        <v>0.000000</v>
      </c>
      <c r="Z17" t="str">
        <v>0.000000</v>
      </c>
      <c r="AA17" t="str">
        <v>127.007965</v>
      </c>
      <c r="AB17" t="str">
        <v>302.856445</v>
      </c>
      <c r="AC17" t="str">
        <v>0.580633</v>
      </c>
      <c r="AD17" t="str">
        <v>0.5</v>
      </c>
      <c r="AE17" t="str">
        <v>0.80</v>
      </c>
      <c r="AF17" t="str">
        <f>AC17*AD17*AE17*AQ17</f>
        <v>38.951103</v>
      </c>
      <c r="AG17" t="str">
        <v>1.000000</v>
      </c>
      <c r="AH17" t="str">
        <v>34.40</v>
      </c>
      <c r="AI17" t="str">
        <v>34.16</v>
      </c>
      <c r="AJ17" t="str">
        <v>22.90</v>
      </c>
      <c r="AK17" t="str">
        <v>22.25</v>
      </c>
      <c r="AL17" t="str">
        <f>(AK17-AJ17)*(AJ17*0+0)+AK17</f>
        <v>22.25</v>
      </c>
      <c r="AM17" t="str">
        <v>90.43</v>
      </c>
      <c r="AN17" t="str">
        <v>156.8</v>
      </c>
      <c r="AO17" t="str">
        <v>158.6</v>
      </c>
      <c r="AP17" t="str">
        <v>-1.1</v>
      </c>
      <c r="AQ17" t="str">
        <v>168</v>
      </c>
      <c r="AR17" t="str">
        <v>4.040</v>
      </c>
      <c r="AS17" t="str">
        <v>13:50:50</v>
      </c>
      <c r="AT17" t="str">
        <v>2025-12-12</v>
      </c>
      <c r="AU17" t="str">
        <v>-0.16</v>
      </c>
      <c r="AV17" t="str">
        <v>1</v>
      </c>
      <c r="AW17" t="str">
        <v>0.000</v>
      </c>
      <c r="AX17" t="str">
        <v>-0.001</v>
      </c>
      <c r="AY17" t="str">
        <v>-9999.000</v>
      </c>
      <c r="AZ17" t="str">
        <v>1.648</v>
      </c>
      <c r="BA17" t="str">
        <v>1.510</v>
      </c>
      <c r="BB17" t="str">
        <v>-9999.000</v>
      </c>
      <c r="BC17" t="str">
        <v>1</v>
      </c>
      <c r="BD17" t="str">
        <v>150</v>
      </c>
      <c r="BE17" t="str">
        <v>0.005</v>
      </c>
      <c r="BF17" t="str">
        <v>2.000000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mpf</v>
      </c>
      <c r="BP17" t="str">
        <v>7000</v>
      </c>
      <c r="BQ17" t="str">
        <v>500</v>
      </c>
      <c r="BR17" t="str">
        <v>5.000000</v>
      </c>
      <c r="BS17" t="str">
        <v>2.000000</v>
      </c>
      <c r="BT17" t="str">
        <v>300</v>
      </c>
      <c r="BU17" t="str">
        <v>300</v>
      </c>
      <c r="BV17" t="str">
        <v>300</v>
      </c>
      <c r="BW17" t="str">
        <v>302.856445</v>
      </c>
      <c r="BX17" t="str">
        <v>25</v>
      </c>
      <c r="BY17" t="str">
        <v>1.705962</v>
      </c>
      <c r="BZ17" t="str">
        <v>304.727539</v>
      </c>
      <c r="CA17" t="str">
        <v>305.295105</v>
      </c>
      <c r="CB17" t="str">
        <v>-0.567566</v>
      </c>
      <c r="CC17" t="str">
        <v>2.446290</v>
      </c>
      <c r="CD17" t="str">
        <v>2.460886</v>
      </c>
      <c r="CE17" t="str">
        <v>1.656713</v>
      </c>
      <c r="CF17" t="str">
        <v>0.942908</v>
      </c>
      <c r="CG17" t="str">
        <v>0.296624</v>
      </c>
      <c r="CH17" t="str">
        <v>-0.006672</v>
      </c>
      <c r="CI17" t="str">
        <v>0.147222</v>
      </c>
      <c r="CJ17" t="str">
        <v>0.258167</v>
      </c>
      <c r="CK17" t="str">
        <v>127.007965</v>
      </c>
      <c r="CL17" t="str">
        <v>0.000240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PSF-00438_20251212135539_4ff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2025-12-11T16:13:02.852Z</v>
      </c>
    </row>
    <row r="18">
      <c r="A18" t="str">
        <v>15</v>
      </c>
      <c r="B18" t="str">
        <v>13:55:54</v>
      </c>
      <c r="C18" t="str">
        <v>2025-12-12</v>
      </c>
      <c r="D18" t="str">
        <v>TT25_psf</v>
      </c>
      <c r="E18" t="str">
        <v>eap</v>
      </c>
      <c r="F18" t="str">
        <v/>
      </c>
      <c r="G18" t="str">
        <v>5228_Tri_red</v>
      </c>
      <c r="H18" t="str">
        <v/>
      </c>
      <c r="I18" t="str">
        <v/>
      </c>
      <c r="J18" t="str">
        <f>1/((1/L18)-(1/K18))</f>
        <v>0.032184</v>
      </c>
      <c r="K18" t="str">
        <f>BH18+(BI18*AN18)+(BJ18*AN18*POWER(V18,2))+(BK18*AN18*V18)+(BL18*POWER(AN18,2))</f>
        <v>2.920860</v>
      </c>
      <c r="L18" t="str">
        <f>((M18/1000)*(1000-((T18+S18)/2)))/(T18-S18)</f>
        <v>0.031833</v>
      </c>
      <c r="M18" t="str">
        <f>(AN18*(S18-R18))/(100*U18*(1000-S18))*1000</f>
        <v>0.589076</v>
      </c>
      <c r="N18" t="str">
        <v>0.973902</v>
      </c>
      <c r="O18" t="str">
        <v>0.959037</v>
      </c>
      <c r="P18" t="str">
        <f>0.61365*EXP((17.502*AL18)/(240.97+AL18))</f>
        <v>2.614015</v>
      </c>
      <c r="Q18" t="str">
        <f>P18-N18</f>
        <v>1.640113</v>
      </c>
      <c r="R18" t="str">
        <v>10.606055</v>
      </c>
      <c r="S18" t="str">
        <v>10.770453</v>
      </c>
      <c r="T18" t="str">
        <f>(P18/AM18)*1000</f>
        <v>28.908577</v>
      </c>
      <c r="U18" t="str">
        <f>V18*BG18</f>
        <v>0.441786</v>
      </c>
      <c r="V18" t="str">
        <v>7.500000</v>
      </c>
      <c r="W18" t="str">
        <v>PSF-00438_20251212135554_9e7</v>
      </c>
      <c r="X18" t="str">
        <v>0.000000</v>
      </c>
      <c r="Y18" t="str">
        <v>0.000000</v>
      </c>
      <c r="Z18" t="str">
        <v>0.000000</v>
      </c>
      <c r="AA18" t="str">
        <v>128.873703</v>
      </c>
      <c r="AB18" t="str">
        <v>365.091919</v>
      </c>
      <c r="AC18" t="str">
        <v>0.647010</v>
      </c>
      <c r="AD18" t="str">
        <v>0.5</v>
      </c>
      <c r="AE18" t="str">
        <v>0.80</v>
      </c>
      <c r="AF18" t="str">
        <f>AC18*AD18*AE18*AQ18</f>
        <v>36.032978</v>
      </c>
      <c r="AG18" t="str">
        <v>1.000000</v>
      </c>
      <c r="AH18" t="str">
        <v>34.76</v>
      </c>
      <c r="AI18" t="str">
        <v>34.22</v>
      </c>
      <c r="AJ18" t="str">
        <v>22.90</v>
      </c>
      <c r="AK18" t="str">
        <v>21.75</v>
      </c>
      <c r="AL18" t="str">
        <f>(AK18-AJ18)*(AJ18*0+0)+AK18</f>
        <v>21.75</v>
      </c>
      <c r="AM18" t="str">
        <v>90.42</v>
      </c>
      <c r="AN18" t="str">
        <v>156.6</v>
      </c>
      <c r="AO18" t="str">
        <v>158.4</v>
      </c>
      <c r="AP18" t="str">
        <v>-1.1</v>
      </c>
      <c r="AQ18" t="str">
        <v>139</v>
      </c>
      <c r="AR18" t="str">
        <v>4.038</v>
      </c>
      <c r="AS18" t="str">
        <v>13:50:50</v>
      </c>
      <c r="AT18" t="str">
        <v>2025-12-12</v>
      </c>
      <c r="AU18" t="str">
        <v>-0.16</v>
      </c>
      <c r="AV18" t="str">
        <v>1</v>
      </c>
      <c r="AW18" t="str">
        <v>0.001</v>
      </c>
      <c r="AX18" t="str">
        <v>0.003</v>
      </c>
      <c r="AY18" t="str">
        <v>-9999.000</v>
      </c>
      <c r="AZ18" t="str">
        <v>-0.346</v>
      </c>
      <c r="BA18" t="str">
        <v>-0.231</v>
      </c>
      <c r="BB18" t="str">
        <v>-9999.000</v>
      </c>
      <c r="BC18" t="str">
        <v>1</v>
      </c>
      <c r="BD18" t="str">
        <v>150</v>
      </c>
      <c r="BE18" t="str">
        <v>0.005</v>
      </c>
      <c r="BF18" t="str">
        <v>2.000000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mpf</v>
      </c>
      <c r="BP18" t="str">
        <v>7000</v>
      </c>
      <c r="BQ18" t="str">
        <v>500</v>
      </c>
      <c r="BR18" t="str">
        <v>5.000000</v>
      </c>
      <c r="BS18" t="str">
        <v>2.000000</v>
      </c>
      <c r="BT18" t="str">
        <v>300</v>
      </c>
      <c r="BU18" t="str">
        <v>300</v>
      </c>
      <c r="BV18" t="str">
        <v>300</v>
      </c>
      <c r="BW18" t="str">
        <v>365.091919</v>
      </c>
      <c r="BX18" t="str">
        <v>25</v>
      </c>
      <c r="BY18" t="str">
        <v>1.140953</v>
      </c>
      <c r="BZ18" t="str">
        <v>366.290344</v>
      </c>
      <c r="CA18" t="str">
        <v>366.722900</v>
      </c>
      <c r="CB18" t="str">
        <v>-0.432556</v>
      </c>
      <c r="CC18" t="str">
        <v>2.446383</v>
      </c>
      <c r="CD18" t="str">
        <v>2.461401</v>
      </c>
      <c r="CE18" t="str">
        <v>1.654612</v>
      </c>
      <c r="CF18" t="str">
        <v>0.942311</v>
      </c>
      <c r="CG18" t="str">
        <v>0.296641</v>
      </c>
      <c r="CH18" t="str">
        <v>-0.012131</v>
      </c>
      <c r="CI18" t="str">
        <v>0.149115</v>
      </c>
      <c r="CJ18" t="str">
        <v>0.232547</v>
      </c>
      <c r="CK18" t="str">
        <v>128.873703</v>
      </c>
      <c r="CL18" t="str">
        <v>0.000238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PSF-00438_20251212135554_9e7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2025-12-11T16:13:02.852Z</v>
      </c>
    </row>
    <row r="19">
      <c r="A19" t="str">
        <v>16</v>
      </c>
      <c r="B19" t="str">
        <v>13:56:24</v>
      </c>
      <c r="C19" t="str">
        <v>2025-12-12</v>
      </c>
      <c r="D19" t="str">
        <v>TT25_psf</v>
      </c>
      <c r="E19" t="str">
        <v>eap</v>
      </c>
      <c r="F19" t="str">
        <v/>
      </c>
      <c r="G19" t="str">
        <v>5115_Tri_pink</v>
      </c>
      <c r="H19" t="str">
        <v/>
      </c>
      <c r="I19" t="str">
        <v/>
      </c>
      <c r="J19" t="str">
        <f>1/((1/L19)-(1/K19))</f>
        <v>0.002489</v>
      </c>
      <c r="K19" t="str">
        <f>BH19+(BI19*AN19)+(BJ19*AN19*POWER(V19,2))+(BK19*AN19*V19)+(BL19*POWER(AN19,2))</f>
        <v>2.921829</v>
      </c>
      <c r="L19" t="str">
        <f>((M19/1000)*(1000-((T19+S19)/2)))/(T19-S19)</f>
        <v>0.002487</v>
      </c>
      <c r="M19" t="str">
        <f>(AN19*(S19-R19))/(100*U19*(1000-S19))*1000</f>
        <v>0.049498</v>
      </c>
      <c r="N19" t="str">
        <v>0.926102</v>
      </c>
      <c r="O19" t="str">
        <v>0.924853</v>
      </c>
      <c r="P19" t="str">
        <f>0.61365*EXP((17.502*AL19)/(240.97+AL19))</f>
        <v>2.689453</v>
      </c>
      <c r="Q19" t="str">
        <f>P19-N19</f>
        <v>1.763351</v>
      </c>
      <c r="R19" t="str">
        <v>10.228727</v>
      </c>
      <c r="S19" t="str">
        <v>10.242537</v>
      </c>
      <c r="T19" t="str">
        <f>(P19/AM19)*1000</f>
        <v>29.744913</v>
      </c>
      <c r="U19" t="str">
        <f>V19*BG19</f>
        <v>0.441786</v>
      </c>
      <c r="V19" t="str">
        <v>7.500000</v>
      </c>
      <c r="W19" t="str">
        <v>PSF-00438_20251212135624_219</v>
      </c>
      <c r="X19" t="str">
        <v>0.000000</v>
      </c>
      <c r="Y19" t="str">
        <v>0.000000</v>
      </c>
      <c r="Z19" t="str">
        <v>0.000000</v>
      </c>
      <c r="AA19" t="str">
        <v>170.796280</v>
      </c>
      <c r="AB19" t="str">
        <v>169.906143</v>
      </c>
      <c r="AC19" t="str">
        <v>-0.005239</v>
      </c>
      <c r="AD19" t="str">
        <v>0.5</v>
      </c>
      <c r="AE19" t="str">
        <v>0.80</v>
      </c>
      <c r="AF19" t="str">
        <f>AC19*AD19*AE19*AQ19</f>
        <v>-0.214894</v>
      </c>
      <c r="AG19" t="str">
        <v>1.000000</v>
      </c>
      <c r="AH19" t="str">
        <v>33.05</v>
      </c>
      <c r="AI19" t="str">
        <v>33.01</v>
      </c>
      <c r="AJ19" t="str">
        <v>22.89</v>
      </c>
      <c r="AK19" t="str">
        <v>22.22</v>
      </c>
      <c r="AL19" t="str">
        <f>(AK19-AJ19)*(AJ19*0+0)+AK19</f>
        <v>22.22</v>
      </c>
      <c r="AM19" t="str">
        <v>90.42</v>
      </c>
      <c r="AN19" t="str">
        <v>156.7</v>
      </c>
      <c r="AO19" t="str">
        <v>158.7</v>
      </c>
      <c r="AP19" t="str">
        <v>-1.3</v>
      </c>
      <c r="AQ19" t="str">
        <v>103</v>
      </c>
      <c r="AR19" t="str">
        <v>4.038</v>
      </c>
      <c r="AS19" t="str">
        <v>13:50:50</v>
      </c>
      <c r="AT19" t="str">
        <v>2025-12-12</v>
      </c>
      <c r="AU19" t="str">
        <v>-0.16</v>
      </c>
      <c r="AV19" t="str">
        <v>1</v>
      </c>
      <c r="AW19" t="str">
        <v>0.001</v>
      </c>
      <c r="AX19" t="str">
        <v>0.000</v>
      </c>
      <c r="AY19" t="str">
        <v>-9999.000</v>
      </c>
      <c r="AZ19" t="str">
        <v>-0.771</v>
      </c>
      <c r="BA19" t="str">
        <v>-0.804</v>
      </c>
      <c r="BB19" t="str">
        <v>-9999.000</v>
      </c>
      <c r="BC19" t="str">
        <v>1</v>
      </c>
      <c r="BD19" t="str">
        <v>150</v>
      </c>
      <c r="BE19" t="str">
        <v>0.005</v>
      </c>
      <c r="BF19" t="str">
        <v>2.000000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mpf</v>
      </c>
      <c r="BP19" t="str">
        <v>7000</v>
      </c>
      <c r="BQ19" t="str">
        <v>500</v>
      </c>
      <c r="BR19" t="str">
        <v>5.000000</v>
      </c>
      <c r="BS19" t="str">
        <v>2.000000</v>
      </c>
      <c r="BT19" t="str">
        <v>300</v>
      </c>
      <c r="BU19" t="str">
        <v>300</v>
      </c>
      <c r="BV19" t="str">
        <v>300</v>
      </c>
      <c r="BW19" t="str">
        <v>169.906143</v>
      </c>
      <c r="BX19" t="str">
        <v>25</v>
      </c>
      <c r="BY19" t="str">
        <v>0.196842</v>
      </c>
      <c r="BZ19" t="str">
        <v>168.886902</v>
      </c>
      <c r="CA19" t="str">
        <v>170.187531</v>
      </c>
      <c r="CB19" t="str">
        <v>-1.300629</v>
      </c>
      <c r="CC19" t="str">
        <v>2.444645</v>
      </c>
      <c r="CD19" t="str">
        <v>2.458952</v>
      </c>
      <c r="CE19" t="str">
        <v>1.655625</v>
      </c>
      <c r="CF19" t="str">
        <v>0.943266</v>
      </c>
      <c r="CG19" t="str">
        <v>0.296662</v>
      </c>
      <c r="CH19" t="str">
        <v>-0.006953</v>
      </c>
      <c r="CI19" t="str">
        <v>0.152996</v>
      </c>
      <c r="CJ19" t="str">
        <v>0.199548</v>
      </c>
      <c r="CK19" t="str">
        <v>170.796280</v>
      </c>
      <c r="CL19" t="str">
        <v>0.000239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PSF-00438_20251212135624_219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2025-12-11T16:13:02.852Z</v>
      </c>
    </row>
    <row r="20">
      <c r="A20" t="str">
        <v>17</v>
      </c>
      <c r="B20" t="str">
        <v>13:56:49</v>
      </c>
      <c r="C20" t="str">
        <v>2025-12-12</v>
      </c>
      <c r="D20" t="str">
        <v>TT25_psf</v>
      </c>
      <c r="E20" t="str">
        <v>eap</v>
      </c>
      <c r="F20" t="str">
        <v/>
      </c>
      <c r="G20" t="str">
        <v>2703_Tri_pink</v>
      </c>
      <c r="H20" t="str">
        <v/>
      </c>
      <c r="I20" t="str">
        <v/>
      </c>
      <c r="J20" t="str">
        <f>1/((1/L20)-(1/K20))</f>
        <v>0.031146</v>
      </c>
      <c r="K20" t="str">
        <f>BH20+(BI20*AN20)+(BJ20*AN20*POWER(V20,2))+(BK20*AN20*V20)+(BL20*POWER(AN20,2))</f>
        <v>2.920906</v>
      </c>
      <c r="L20" t="str">
        <f>((M20/1000)*(1000-((T20+S20)/2)))/(T20-S20)</f>
        <v>0.030817</v>
      </c>
      <c r="M20" t="str">
        <f>(AN20*(S20-R20))/(100*U20*(1000-S20))*1000</f>
        <v>0.549818</v>
      </c>
      <c r="N20" t="str">
        <v>0.975555</v>
      </c>
      <c r="O20" t="str">
        <v>0.961682</v>
      </c>
      <c r="P20" t="str">
        <f>0.61365*EXP((17.502*AL20)/(240.97+AL20))</f>
        <v>2.557194</v>
      </c>
      <c r="Q20" t="str">
        <f>P20-N20</f>
        <v>1.581639</v>
      </c>
      <c r="R20" t="str">
        <v>10.636045</v>
      </c>
      <c r="S20" t="str">
        <v>10.789478</v>
      </c>
      <c r="T20" t="str">
        <f>(P20/AM20)*1000</f>
        <v>28.282146</v>
      </c>
      <c r="U20" t="str">
        <f>V20*BG20</f>
        <v>0.441786</v>
      </c>
      <c r="V20" t="str">
        <v>7.500000</v>
      </c>
      <c r="W20" t="str">
        <v>PSF-00438_20251212135649_38c</v>
      </c>
      <c r="X20" t="str">
        <v>0.000000</v>
      </c>
      <c r="Y20" t="str">
        <v>0.000000</v>
      </c>
      <c r="Z20" t="str">
        <v>0.000000</v>
      </c>
      <c r="AA20" t="str">
        <v>109.544632</v>
      </c>
      <c r="AB20" t="str">
        <v>238.418564</v>
      </c>
      <c r="AC20" t="str">
        <v>0.540536</v>
      </c>
      <c r="AD20" t="str">
        <v>0.5</v>
      </c>
      <c r="AE20" t="str">
        <v>0.80</v>
      </c>
      <c r="AF20" t="str">
        <f>AC20*AD20*AE20*AQ20</f>
        <v>45.241814</v>
      </c>
      <c r="AG20" t="str">
        <v>1.000000</v>
      </c>
      <c r="AH20" t="str">
        <v>34.82</v>
      </c>
      <c r="AI20" t="str">
        <v>34.32</v>
      </c>
      <c r="AJ20" t="str">
        <v>22.89</v>
      </c>
      <c r="AK20" t="str">
        <v>21.40</v>
      </c>
      <c r="AL20" t="str">
        <f>(AK20-AJ20)*(AJ20*0+0)+AK20</f>
        <v>21.40</v>
      </c>
      <c r="AM20" t="str">
        <v>90.42</v>
      </c>
      <c r="AN20" t="str">
        <v>156.6</v>
      </c>
      <c r="AO20" t="str">
        <v>157.7</v>
      </c>
      <c r="AP20" t="str">
        <v>-0.7</v>
      </c>
      <c r="AQ20" t="str">
        <v>209</v>
      </c>
      <c r="AR20" t="str">
        <v>4.038</v>
      </c>
      <c r="AS20" t="str">
        <v>13:50:50</v>
      </c>
      <c r="AT20" t="str">
        <v>2025-12-12</v>
      </c>
      <c r="AU20" t="str">
        <v>-0.16</v>
      </c>
      <c r="AV20" t="str">
        <v>1</v>
      </c>
      <c r="AW20" t="str">
        <v>-0.002</v>
      </c>
      <c r="AX20" t="str">
        <v>-0.001</v>
      </c>
      <c r="AY20" t="str">
        <v>-9999.000</v>
      </c>
      <c r="AZ20" t="str">
        <v>-1.679</v>
      </c>
      <c r="BA20" t="str">
        <v>1.386</v>
      </c>
      <c r="BB20" t="str">
        <v>-9999.000</v>
      </c>
      <c r="BC20" t="str">
        <v>1</v>
      </c>
      <c r="BD20" t="str">
        <v>150</v>
      </c>
      <c r="BE20" t="str">
        <v>0.005</v>
      </c>
      <c r="BF20" t="str">
        <v>2.000000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mpf</v>
      </c>
      <c r="BP20" t="str">
        <v>7000</v>
      </c>
      <c r="BQ20" t="str">
        <v>500</v>
      </c>
      <c r="BR20" t="str">
        <v>5.000000</v>
      </c>
      <c r="BS20" t="str">
        <v>2.000000</v>
      </c>
      <c r="BT20" t="str">
        <v>300</v>
      </c>
      <c r="BU20" t="str">
        <v>300</v>
      </c>
      <c r="BV20" t="str">
        <v>300</v>
      </c>
      <c r="BW20" t="str">
        <v>236.396317</v>
      </c>
      <c r="BX20" t="str">
        <v>25</v>
      </c>
      <c r="BY20" t="str">
        <v>-1.261245</v>
      </c>
      <c r="BZ20" t="str">
        <v>236.925964</v>
      </c>
      <c r="CA20" t="str">
        <v>236.615631</v>
      </c>
      <c r="CB20" t="str">
        <v>0.310333</v>
      </c>
      <c r="CC20" t="str">
        <v>2.446525</v>
      </c>
      <c r="CD20" t="str">
        <v>2.461493</v>
      </c>
      <c r="CE20" t="str">
        <v>1.654660</v>
      </c>
      <c r="CF20" t="str">
        <v>0.940609</v>
      </c>
      <c r="CG20" t="str">
        <v>0.296671</v>
      </c>
      <c r="CH20" t="str">
        <v>-0.016055</v>
      </c>
      <c r="CI20" t="str">
        <v>0.156243</v>
      </c>
      <c r="CJ20" t="str">
        <v>0.295531</v>
      </c>
      <c r="CK20" t="str">
        <v>109.544632</v>
      </c>
      <c r="CL20" t="str">
        <v>0.000239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PSF-00438_20251212135649_38c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2025-12-11T16:13:02.852Z</v>
      </c>
    </row>
    <row r="21">
      <c r="A21" t="str">
        <v>18</v>
      </c>
      <c r="B21" t="str">
        <v>13:57:08</v>
      </c>
      <c r="C21" t="str">
        <v>2025-12-12</v>
      </c>
      <c r="D21" t="str">
        <v>TT25_psf</v>
      </c>
      <c r="E21" t="str">
        <v>eap</v>
      </c>
      <c r="F21" t="str">
        <v/>
      </c>
      <c r="G21" t="str">
        <v>955_Tri_pink</v>
      </c>
      <c r="H21" t="str">
        <v/>
      </c>
      <c r="I21" t="str">
        <v/>
      </c>
      <c r="J21" t="str">
        <f>1/((1/L21)-(1/K21))</f>
        <v>0.016917</v>
      </c>
      <c r="K21" t="str">
        <f>BH21+(BI21*AN21)+(BJ21*AN21*POWER(V21,2))+(BK21*AN21*V21)+(BL21*POWER(AN21,2))</f>
        <v>2.922315</v>
      </c>
      <c r="L21" t="str">
        <f>((M21/1000)*(1000-((T21+S21)/2)))/(T21-S21)</f>
        <v>0.016820</v>
      </c>
      <c r="M21" t="str">
        <f>(AN21*(S21-R21))/(100*U21*(1000-S21))*1000</f>
        <v>0.308178</v>
      </c>
      <c r="N21" t="str">
        <v>0.948036</v>
      </c>
      <c r="O21" t="str">
        <v>0.940266</v>
      </c>
      <c r="P21" t="str">
        <f>0.61365*EXP((17.502*AL21)/(240.97+AL21))</f>
        <v>2.572417</v>
      </c>
      <c r="Q21" t="str">
        <f>P21-N21</f>
        <v>1.624381</v>
      </c>
      <c r="R21" t="str">
        <v>10.399306</v>
      </c>
      <c r="S21" t="str">
        <v>10.485237</v>
      </c>
      <c r="T21" t="str">
        <f>(P21/AM21)*1000</f>
        <v>28.450823</v>
      </c>
      <c r="U21" t="str">
        <f>V21*BG21</f>
        <v>0.441786</v>
      </c>
      <c r="V21" t="str">
        <v>7.500000</v>
      </c>
      <c r="W21" t="str">
        <v>PSF-00438_20251212135708_d18</v>
      </c>
      <c r="X21" t="str">
        <v>0.000000</v>
      </c>
      <c r="Y21" t="str">
        <v>0.000000</v>
      </c>
      <c r="Z21" t="str">
        <v>0.000000</v>
      </c>
      <c r="AA21" t="str">
        <v>97.479340</v>
      </c>
      <c r="AB21" t="str">
        <v>139.342194</v>
      </c>
      <c r="AC21" t="str">
        <v>0.300432</v>
      </c>
      <c r="AD21" t="str">
        <v>0.5</v>
      </c>
      <c r="AE21" t="str">
        <v>0.80</v>
      </c>
      <c r="AF21" t="str">
        <f>AC21*AD21*AE21*AQ21</f>
        <v>26.880560</v>
      </c>
      <c r="AG21" t="str">
        <v>1.000000</v>
      </c>
      <c r="AH21" t="str">
        <v>33.85</v>
      </c>
      <c r="AI21" t="str">
        <v>33.57</v>
      </c>
      <c r="AJ21" t="str">
        <v>22.89</v>
      </c>
      <c r="AK21" t="str">
        <v>21.49</v>
      </c>
      <c r="AL21" t="str">
        <f>(AK21-AJ21)*(AJ21*0+0)+AK21</f>
        <v>21.49</v>
      </c>
      <c r="AM21" t="str">
        <v>90.42</v>
      </c>
      <c r="AN21" t="str">
        <v>156.8</v>
      </c>
      <c r="AO21" t="str">
        <v>154.0</v>
      </c>
      <c r="AP21" t="str">
        <v>1.8</v>
      </c>
      <c r="AQ21" t="str">
        <v>224</v>
      </c>
      <c r="AR21" t="str">
        <v>4.038</v>
      </c>
      <c r="AS21" t="str">
        <v>13:50:50</v>
      </c>
      <c r="AT21" t="str">
        <v>2025-12-12</v>
      </c>
      <c r="AU21" t="str">
        <v>-0.16</v>
      </c>
      <c r="AV21" t="str">
        <v>1</v>
      </c>
      <c r="AW21" t="str">
        <v>0.000</v>
      </c>
      <c r="AX21" t="str">
        <v>-0.001</v>
      </c>
      <c r="AY21" t="str">
        <v>-9999.000</v>
      </c>
      <c r="AZ21" t="str">
        <v>-0.092</v>
      </c>
      <c r="BA21" t="str">
        <v>-0.468</v>
      </c>
      <c r="BB21" t="str">
        <v>-9999.000</v>
      </c>
      <c r="BC21" t="str">
        <v>1</v>
      </c>
      <c r="BD21" t="str">
        <v>150</v>
      </c>
      <c r="BE21" t="str">
        <v>0.005</v>
      </c>
      <c r="BF21" t="str">
        <v>2.000000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mpf</v>
      </c>
      <c r="BP21" t="str">
        <v>7000</v>
      </c>
      <c r="BQ21" t="str">
        <v>500</v>
      </c>
      <c r="BR21" t="str">
        <v>5.000000</v>
      </c>
      <c r="BS21" t="str">
        <v>2.000000</v>
      </c>
      <c r="BT21" t="str">
        <v>300</v>
      </c>
      <c r="BU21" t="str">
        <v>300</v>
      </c>
      <c r="BV21" t="str">
        <v>300</v>
      </c>
      <c r="BW21" t="str">
        <v>139.342194</v>
      </c>
      <c r="BX21" t="str">
        <v>25</v>
      </c>
      <c r="BY21" t="str">
        <v>1.122727</v>
      </c>
      <c r="BZ21" t="str">
        <v>140.647888</v>
      </c>
      <c r="CA21" t="str">
        <v>140.947128</v>
      </c>
      <c r="CB21" t="str">
        <v>-0.299240</v>
      </c>
      <c r="CC21" t="str">
        <v>2.445449</v>
      </c>
      <c r="CD21" t="str">
        <v>2.460098</v>
      </c>
      <c r="CE21" t="str">
        <v>1.656135</v>
      </c>
      <c r="CF21" t="str">
        <v>0.931122</v>
      </c>
      <c r="CG21" t="str">
        <v>0.296725</v>
      </c>
      <c r="CH21" t="str">
        <v>-0.014939</v>
      </c>
      <c r="CI21" t="str">
        <v>0.158536</v>
      </c>
      <c r="CJ21" t="str">
        <v>0.308519</v>
      </c>
      <c r="CK21" t="str">
        <v>97.479340</v>
      </c>
      <c r="CL21" t="str">
        <v>0.000237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PSF-00438_20251212135708_d18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2025-12-11T16:13:02.852Z</v>
      </c>
    </row>
    <row r="22">
      <c r="A22" t="str">
        <v>19</v>
      </c>
      <c r="B22" t="str">
        <v>13:57:28</v>
      </c>
      <c r="C22" t="str">
        <v>2025-12-12</v>
      </c>
      <c r="D22" t="str">
        <v>TT25_psf</v>
      </c>
      <c r="E22" t="str">
        <v>eap</v>
      </c>
      <c r="F22" t="str">
        <v/>
      </c>
      <c r="G22" t="str">
        <v>4452_Tri_pink</v>
      </c>
      <c r="H22" t="str">
        <v/>
      </c>
      <c r="I22" t="str">
        <v/>
      </c>
      <c r="J22" t="str">
        <f>1/((1/L22)-(1/K22))</f>
        <v>0.005276</v>
      </c>
      <c r="K22" t="str">
        <f>BH22+(BI22*AN22)+(BJ22*AN22*POWER(V22,2))+(BK22*AN22*V22)+(BL22*POWER(AN22,2))</f>
        <v>2.922235</v>
      </c>
      <c r="L22" t="str">
        <f>((M22/1000)*(1000-((T22+S22)/2)))/(T22-S22)</f>
        <v>0.005266</v>
      </c>
      <c r="M22" t="str">
        <f>(AN22*(S22-R22))/(100*U22*(1000-S22))*1000</f>
        <v>0.100828</v>
      </c>
      <c r="N22" t="str">
        <v>0.920843</v>
      </c>
      <c r="O22" t="str">
        <v>0.918300</v>
      </c>
      <c r="P22" t="str">
        <f>0.61365*EXP((17.502*AL22)/(240.97+AL22))</f>
        <v>2.618162</v>
      </c>
      <c r="Q22" t="str">
        <f>P22-N22</f>
        <v>1.697319</v>
      </c>
      <c r="R22" t="str">
        <v>10.156279</v>
      </c>
      <c r="S22" t="str">
        <v>10.184403</v>
      </c>
      <c r="T22" t="str">
        <f>(P22/AM22)*1000</f>
        <v>28.956524</v>
      </c>
      <c r="U22" t="str">
        <f>V22*BG22</f>
        <v>0.441786</v>
      </c>
      <c r="V22" t="str">
        <v>7.500000</v>
      </c>
      <c r="W22" t="str">
        <v>PSF-00438_20251212135728_7bb</v>
      </c>
      <c r="X22" t="str">
        <v>0.000000</v>
      </c>
      <c r="Y22" t="str">
        <v>0.000000</v>
      </c>
      <c r="Z22" t="str">
        <v>0.000000</v>
      </c>
      <c r="AA22" t="str">
        <v>80.566765</v>
      </c>
      <c r="AB22" t="str">
        <v>87.151047</v>
      </c>
      <c r="AC22" t="str">
        <v>0.075550</v>
      </c>
      <c r="AD22" t="str">
        <v>0.5</v>
      </c>
      <c r="AE22" t="str">
        <v>0.80</v>
      </c>
      <c r="AF22" t="str">
        <f>AC22*AD22*AE22*AQ22</f>
        <v>8.536889</v>
      </c>
      <c r="AG22" t="str">
        <v>1.000000</v>
      </c>
      <c r="AH22" t="str">
        <v>32.89</v>
      </c>
      <c r="AI22" t="str">
        <v>32.80</v>
      </c>
      <c r="AJ22" t="str">
        <v>22.88</v>
      </c>
      <c r="AK22" t="str">
        <v>21.78</v>
      </c>
      <c r="AL22" t="str">
        <f>(AK22-AJ22)*(AJ22*0+0)+AK22</f>
        <v>21.78</v>
      </c>
      <c r="AM22" t="str">
        <v>90.42</v>
      </c>
      <c r="AN22" t="str">
        <v>156.8</v>
      </c>
      <c r="AO22" t="str">
        <v>158.5</v>
      </c>
      <c r="AP22" t="str">
        <v>-1.1</v>
      </c>
      <c r="AQ22" t="str">
        <v>282</v>
      </c>
      <c r="AR22" t="str">
        <v>4.036</v>
      </c>
      <c r="AS22" t="str">
        <v>13:50:50</v>
      </c>
      <c r="AT22" t="str">
        <v>2025-12-12</v>
      </c>
      <c r="AU22" t="str">
        <v>-0.16</v>
      </c>
      <c r="AV22" t="str">
        <v>1</v>
      </c>
      <c r="AW22" t="str">
        <v>-0.001</v>
      </c>
      <c r="AX22" t="str">
        <v>0.001</v>
      </c>
      <c r="AY22" t="str">
        <v>-9999.000</v>
      </c>
      <c r="AZ22" t="str">
        <v>-1.660</v>
      </c>
      <c r="BA22" t="str">
        <v>-0.101</v>
      </c>
      <c r="BB22" t="str">
        <v>-9999.000</v>
      </c>
      <c r="BC22" t="str">
        <v>1</v>
      </c>
      <c r="BD22" t="str">
        <v>150</v>
      </c>
      <c r="BE22" t="str">
        <v>0.005</v>
      </c>
      <c r="BF22" t="str">
        <v>2.000000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0</v>
      </c>
      <c r="BO22" t="str">
        <v>mpf</v>
      </c>
      <c r="BP22" t="str">
        <v>7000</v>
      </c>
      <c r="BQ22" t="str">
        <v>500</v>
      </c>
      <c r="BR22" t="str">
        <v>5.000000</v>
      </c>
      <c r="BS22" t="str">
        <v>2.000000</v>
      </c>
      <c r="BT22" t="str">
        <v>300</v>
      </c>
      <c r="BU22" t="str">
        <v>300</v>
      </c>
      <c r="BV22" t="str">
        <v>300</v>
      </c>
      <c r="BW22" t="str">
        <v>87.151047</v>
      </c>
      <c r="BX22" t="str">
        <v>25</v>
      </c>
      <c r="BY22" t="str">
        <v>0.328070</v>
      </c>
      <c r="BZ22" t="str">
        <v>87.253693</v>
      </c>
      <c r="CA22" t="str">
        <v>87.620018</v>
      </c>
      <c r="CB22" t="str">
        <v>-0.366325</v>
      </c>
      <c r="CC22" t="str">
        <v>2.444351</v>
      </c>
      <c r="CD22" t="str">
        <v>2.458723</v>
      </c>
      <c r="CE22" t="str">
        <v>1.656051</v>
      </c>
      <c r="CF22" t="str">
        <v>0.942630</v>
      </c>
      <c r="CG22" t="str">
        <v>0.296825</v>
      </c>
      <c r="CH22" t="str">
        <v>-0.011670</v>
      </c>
      <c r="CI22" t="str">
        <v>0.161062</v>
      </c>
      <c r="CJ22" t="str">
        <v>0.361421</v>
      </c>
      <c r="CK22" t="str">
        <v>80.566765</v>
      </c>
      <c r="CL22" t="str">
        <v>0.000237</v>
      </c>
      <c r="CM22" t="str">
        <v>2.388960</v>
      </c>
      <c r="CN22" t="str">
        <v>-0.000025</v>
      </c>
      <c r="CO22" t="str">
        <v>1.000000</v>
      </c>
      <c r="CP22" t="str">
        <v>2.402765</v>
      </c>
      <c r="CQ22" t="str">
        <v>-0.000034</v>
      </c>
      <c r="CR22" t="str">
        <v>1.000000</v>
      </c>
      <c r="CS22" t="str">
        <v>0.600816</v>
      </c>
      <c r="CT22" t="str">
        <v>0.600971</v>
      </c>
      <c r="CU22" t="str">
        <v>0.107301</v>
      </c>
      <c r="CV22" t="str">
        <v>0.000000</v>
      </c>
      <c r="CW22" t="str">
        <v>PSF-00438_20251212135728_7bb</v>
      </c>
      <c r="CX22" t="str">
        <v>PFA-00474</v>
      </c>
      <c r="CY22" t="str">
        <v>PSA-00486</v>
      </c>
      <c r="CZ22" t="str">
        <v>PSF-00438</v>
      </c>
      <c r="DA22" t="str">
        <v>RHS-00603</v>
      </c>
      <c r="DB22" t="str">
        <v>3.0.0</v>
      </c>
      <c r="DC22" t="str">
        <v>2025-12-11T16:13:02.852Z</v>
      </c>
    </row>
    <row r="23">
      <c r="A23" t="str">
        <v>20</v>
      </c>
      <c r="B23" t="str">
        <v>13:57:50</v>
      </c>
      <c r="C23" t="str">
        <v>2025-12-12</v>
      </c>
      <c r="D23" t="str">
        <v>TT25_psf</v>
      </c>
      <c r="E23" t="str">
        <v>eap</v>
      </c>
      <c r="F23" t="str">
        <v/>
      </c>
      <c r="G23" t="str">
        <v>3077_Tri_pink</v>
      </c>
      <c r="H23" t="str">
        <v/>
      </c>
      <c r="I23" t="str">
        <v/>
      </c>
      <c r="J23" t="str">
        <f>1/((1/L23)-(1/K23))</f>
        <v>0.011244</v>
      </c>
      <c r="K23" t="str">
        <f>BH23+(BI23*AN23)+(BJ23*AN23*POWER(V23,2))+(BK23*AN23*V23)+(BL23*POWER(AN23,2))</f>
        <v>2.921833</v>
      </c>
      <c r="L23" t="str">
        <f>((M23/1000)*(1000-((T23+S23)/2)))/(T23-S23)</f>
        <v>0.011201</v>
      </c>
      <c r="M23" t="str">
        <f>(AN23*(S23-R23))/(100*U23*(1000-S23))*1000</f>
        <v>0.192333</v>
      </c>
      <c r="N23" t="str">
        <v>0.951664</v>
      </c>
      <c r="O23" t="str">
        <v>0.946813</v>
      </c>
      <c r="P23" t="str">
        <f>0.61365*EXP((17.502*AL23)/(240.97+AL23))</f>
        <v>2.474898</v>
      </c>
      <c r="Q23" t="str">
        <f>P23-N23</f>
        <v>1.523235</v>
      </c>
      <c r="R23" t="str">
        <v>10.471363</v>
      </c>
      <c r="S23" t="str">
        <v>10.525010</v>
      </c>
      <c r="T23" t="str">
        <f>(P23/AM23)*1000</f>
        <v>27.371367</v>
      </c>
      <c r="U23" t="str">
        <f>V23*BG23</f>
        <v>0.441786</v>
      </c>
      <c r="V23" t="str">
        <v>7.500000</v>
      </c>
      <c r="W23" t="str">
        <v>PSF-00438_20251212135750_bff</v>
      </c>
      <c r="X23" t="str">
        <v>0.000000</v>
      </c>
      <c r="Y23" t="str">
        <v>0.000000</v>
      </c>
      <c r="Z23" t="str">
        <v>0.000000</v>
      </c>
      <c r="AA23" t="str">
        <v>144.618988</v>
      </c>
      <c r="AB23" t="str">
        <v>243.248383</v>
      </c>
      <c r="AC23" t="str">
        <v>0.405468</v>
      </c>
      <c r="AD23" t="str">
        <v>0.5</v>
      </c>
      <c r="AE23" t="str">
        <v>0.80</v>
      </c>
      <c r="AF23" t="str">
        <f>AC23*AD23*AE23*AQ23</f>
        <v>30.421421</v>
      </c>
      <c r="AG23" t="str">
        <v>1.000000</v>
      </c>
      <c r="AH23" t="str">
        <v>34.01</v>
      </c>
      <c r="AI23" t="str">
        <v>33.83</v>
      </c>
      <c r="AJ23" t="str">
        <v>22.88</v>
      </c>
      <c r="AK23" t="str">
        <v>20.86</v>
      </c>
      <c r="AL23" t="str">
        <f>(AK23-AJ23)*(AJ23*0+0)+AK23</f>
        <v>20.86</v>
      </c>
      <c r="AM23" t="str">
        <v>90.42</v>
      </c>
      <c r="AN23" t="str">
        <v>156.7</v>
      </c>
      <c r="AO23" t="str">
        <v>158.4</v>
      </c>
      <c r="AP23" t="str">
        <v>-1.1</v>
      </c>
      <c r="AQ23" t="str">
        <v>188</v>
      </c>
      <c r="AR23" t="str">
        <v>4.035</v>
      </c>
      <c r="AS23" t="str">
        <v>13:50:50</v>
      </c>
      <c r="AT23" t="str">
        <v>2025-12-12</v>
      </c>
      <c r="AU23" t="str">
        <v>-0.16</v>
      </c>
      <c r="AV23" t="str">
        <v>1</v>
      </c>
      <c r="AW23" t="str">
        <v>-0.000</v>
      </c>
      <c r="AX23" t="str">
        <v>-0.000</v>
      </c>
      <c r="AY23" t="str">
        <v>-9999.000</v>
      </c>
      <c r="AZ23" t="str">
        <v>-0.431</v>
      </c>
      <c r="BA23" t="str">
        <v>2.116</v>
      </c>
      <c r="BB23" t="str">
        <v>-9999.000</v>
      </c>
      <c r="BC23" t="str">
        <v>1</v>
      </c>
      <c r="BD23" t="str">
        <v>150</v>
      </c>
      <c r="BE23" t="str">
        <v>0.005</v>
      </c>
      <c r="BF23" t="str">
        <v>2.000000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0</v>
      </c>
      <c r="BO23" t="str">
        <v>mpf</v>
      </c>
      <c r="BP23" t="str">
        <v>7000</v>
      </c>
      <c r="BQ23" t="str">
        <v>500</v>
      </c>
      <c r="BR23" t="str">
        <v>5.000000</v>
      </c>
      <c r="BS23" t="str">
        <v>2.000000</v>
      </c>
      <c r="BT23" t="str">
        <v>300</v>
      </c>
      <c r="BU23" t="str">
        <v>300</v>
      </c>
      <c r="BV23" t="str">
        <v>300</v>
      </c>
      <c r="BW23" t="str">
        <v>243.217346</v>
      </c>
      <c r="BX23" t="str">
        <v>25</v>
      </c>
      <c r="BY23" t="str">
        <v>0.162212</v>
      </c>
      <c r="BZ23" t="str">
        <v>244.020218</v>
      </c>
      <c r="CA23" t="str">
        <v>243.480270</v>
      </c>
      <c r="CB23" t="str">
        <v>0.539948</v>
      </c>
      <c r="CC23" t="str">
        <v>2.445828</v>
      </c>
      <c r="CD23" t="str">
        <v>2.460330</v>
      </c>
      <c r="CE23" t="str">
        <v>1.655630</v>
      </c>
      <c r="CF23" t="str">
        <v>0.942398</v>
      </c>
      <c r="CG23" t="str">
        <v>0.296898</v>
      </c>
      <c r="CH23" t="str">
        <v>-0.021675</v>
      </c>
      <c r="CI23" t="str">
        <v>0.163690</v>
      </c>
      <c r="CJ23" t="str">
        <v>0.276033</v>
      </c>
      <c r="CK23" t="str">
        <v>144.618988</v>
      </c>
      <c r="CL23" t="str">
        <v>0.000239</v>
      </c>
      <c r="CM23" t="str">
        <v>2.388960</v>
      </c>
      <c r="CN23" t="str">
        <v>-0.000025</v>
      </c>
      <c r="CO23" t="str">
        <v>1.000000</v>
      </c>
      <c r="CP23" t="str">
        <v>2.402765</v>
      </c>
      <c r="CQ23" t="str">
        <v>-0.000034</v>
      </c>
      <c r="CR23" t="str">
        <v>1.000000</v>
      </c>
      <c r="CS23" t="str">
        <v>0.600816</v>
      </c>
      <c r="CT23" t="str">
        <v>0.600971</v>
      </c>
      <c r="CU23" t="str">
        <v>0.107301</v>
      </c>
      <c r="CV23" t="str">
        <v>0.000000</v>
      </c>
      <c r="CW23" t="str">
        <v>PSF-00438_20251212135750_bff</v>
      </c>
      <c r="CX23" t="str">
        <v>PFA-00474</v>
      </c>
      <c r="CY23" t="str">
        <v>PSA-00486</v>
      </c>
      <c r="CZ23" t="str">
        <v>PSF-00438</v>
      </c>
      <c r="DA23" t="str">
        <v>RHS-00603</v>
      </c>
      <c r="DB23" t="str">
        <v>3.0.0</v>
      </c>
      <c r="DC23" t="str">
        <v>2025-12-11T16:13:02.852Z</v>
      </c>
    </row>
    <row r="24">
      <c r="A24" t="str">
        <v>21</v>
      </c>
      <c r="B24" t="str">
        <v>13:58:07</v>
      </c>
      <c r="C24" t="str">
        <v>2025-12-12</v>
      </c>
      <c r="D24" t="str">
        <v>TT25_psf</v>
      </c>
      <c r="E24" t="str">
        <v>eap</v>
      </c>
      <c r="F24" t="str">
        <v/>
      </c>
      <c r="G24" t="str">
        <v>1666_Tri_pink</v>
      </c>
      <c r="H24" t="str">
        <v/>
      </c>
      <c r="I24" t="str">
        <v/>
      </c>
      <c r="J24" t="str">
        <f>1/((1/L24)-(1/K24))</f>
        <v>0.005323</v>
      </c>
      <c r="K24" t="str">
        <f>BH24+(BI24*AN24)+(BJ24*AN24*POWER(V24,2))+(BK24*AN24*V24)+(BL24*POWER(AN24,2))</f>
        <v>2.922168</v>
      </c>
      <c r="L24" t="str">
        <f>((M24/1000)*(1000-((T24+S24)/2)))/(T24-S24)</f>
        <v>0.005313</v>
      </c>
      <c r="M24" t="str">
        <f>(AN24*(S24-R24))/(100*U24*(1000-S24))*1000</f>
        <v>0.102412</v>
      </c>
      <c r="N24" t="str">
        <v>0.876755</v>
      </c>
      <c r="O24" t="str">
        <v>0.874171</v>
      </c>
      <c r="P24" t="str">
        <f>0.61365*EXP((17.502*AL24)/(240.97+AL24))</f>
        <v>2.586202</v>
      </c>
      <c r="Q24" t="str">
        <f>P24-N24</f>
        <v>1.709447</v>
      </c>
      <c r="R24" t="str">
        <v>9.668185</v>
      </c>
      <c r="S24" t="str">
        <v>9.696768</v>
      </c>
      <c r="T24" t="str">
        <f>(P24/AM24)*1000</f>
        <v>28.602966</v>
      </c>
      <c r="U24" t="str">
        <f>V24*BG24</f>
        <v>0.441786</v>
      </c>
      <c r="V24" t="str">
        <v>7.500000</v>
      </c>
      <c r="W24" t="str">
        <v>PSF-00438_20251212135807_589</v>
      </c>
      <c r="X24" t="str">
        <v>0.000000</v>
      </c>
      <c r="Y24" t="str">
        <v>0.000000</v>
      </c>
      <c r="Z24" t="str">
        <v>0.000000</v>
      </c>
      <c r="AA24" t="str">
        <v>113.022568</v>
      </c>
      <c r="AB24" t="str">
        <v>114.608643</v>
      </c>
      <c r="AC24" t="str">
        <v>0.013839</v>
      </c>
      <c r="AD24" t="str">
        <v>0.5</v>
      </c>
      <c r="AE24" t="str">
        <v>0.80</v>
      </c>
      <c r="AF24" t="str">
        <f>AC24*AD24*AE24*AQ24</f>
        <v>1.411882</v>
      </c>
      <c r="AG24" t="str">
        <v>1.000000</v>
      </c>
      <c r="AH24" t="str">
        <v>31.35</v>
      </c>
      <c r="AI24" t="str">
        <v>31.26</v>
      </c>
      <c r="AJ24" t="str">
        <v>22.86</v>
      </c>
      <c r="AK24" t="str">
        <v>21.58</v>
      </c>
      <c r="AL24" t="str">
        <f>(AK24-AJ24)*(AJ24*0+0)+AK24</f>
        <v>21.58</v>
      </c>
      <c r="AM24" t="str">
        <v>90.42</v>
      </c>
      <c r="AN24" t="str">
        <v>156.8</v>
      </c>
      <c r="AO24" t="str">
        <v>136.9</v>
      </c>
      <c r="AP24" t="str">
        <v>12.6</v>
      </c>
      <c r="AQ24" t="str">
        <v>255</v>
      </c>
      <c r="AR24" t="str">
        <v>4.035</v>
      </c>
      <c r="AS24" t="str">
        <v>13:50:50</v>
      </c>
      <c r="AT24" t="str">
        <v>2025-12-12</v>
      </c>
      <c r="AU24" t="str">
        <v>-0.16</v>
      </c>
      <c r="AV24" t="str">
        <v>1</v>
      </c>
      <c r="AW24" t="str">
        <v>0.000</v>
      </c>
      <c r="AX24" t="str">
        <v>-0.000</v>
      </c>
      <c r="AY24" t="str">
        <v>-9999.000</v>
      </c>
      <c r="AZ24" t="str">
        <v>0.876</v>
      </c>
      <c r="BA24" t="str">
        <v>-0.469</v>
      </c>
      <c r="BB24" t="str">
        <v>-9999.000</v>
      </c>
      <c r="BC24" t="str">
        <v>1</v>
      </c>
      <c r="BD24" t="str">
        <v>150</v>
      </c>
      <c r="BE24" t="str">
        <v>0.005</v>
      </c>
      <c r="BF24" t="str">
        <v>2.000000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0</v>
      </c>
      <c r="BO24" t="str">
        <v>mpf</v>
      </c>
      <c r="BP24" t="str">
        <v>7000</v>
      </c>
      <c r="BQ24" t="str">
        <v>500</v>
      </c>
      <c r="BR24" t="str">
        <v>5.000000</v>
      </c>
      <c r="BS24" t="str">
        <v>2.000000</v>
      </c>
      <c r="BT24" t="str">
        <v>300</v>
      </c>
      <c r="BU24" t="str">
        <v>300</v>
      </c>
      <c r="BV24" t="str">
        <v>300</v>
      </c>
      <c r="BW24" t="str">
        <v>114.608643</v>
      </c>
      <c r="BX24" t="str">
        <v>25</v>
      </c>
      <c r="BY24" t="str">
        <v>0.088397</v>
      </c>
      <c r="BZ24" t="str">
        <v>114.434837</v>
      </c>
      <c r="CA24" t="str">
        <v>114.735008</v>
      </c>
      <c r="CB24" t="str">
        <v>-0.300171</v>
      </c>
      <c r="CC24" t="str">
        <v>2.442123</v>
      </c>
      <c r="CD24" t="str">
        <v>2.456481</v>
      </c>
      <c r="CE24" t="str">
        <v>1.655980</v>
      </c>
      <c r="CF24" t="str">
        <v>0.888578</v>
      </c>
      <c r="CG24" t="str">
        <v>0.297020</v>
      </c>
      <c r="CH24" t="str">
        <v>-0.013700</v>
      </c>
      <c r="CI24" t="str">
        <v>0.165771</v>
      </c>
      <c r="CJ24" t="str">
        <v>0.336740</v>
      </c>
      <c r="CK24" t="str">
        <v>113.022568</v>
      </c>
      <c r="CL24" t="str">
        <v>0.000236</v>
      </c>
      <c r="CM24" t="str">
        <v>2.388960</v>
      </c>
      <c r="CN24" t="str">
        <v>-0.000025</v>
      </c>
      <c r="CO24" t="str">
        <v>1.000000</v>
      </c>
      <c r="CP24" t="str">
        <v>2.402765</v>
      </c>
      <c r="CQ24" t="str">
        <v>-0.000034</v>
      </c>
      <c r="CR24" t="str">
        <v>1.000000</v>
      </c>
      <c r="CS24" t="str">
        <v>0.600816</v>
      </c>
      <c r="CT24" t="str">
        <v>0.600971</v>
      </c>
      <c r="CU24" t="str">
        <v>0.107301</v>
      </c>
      <c r="CV24" t="str">
        <v>0.000000</v>
      </c>
      <c r="CW24" t="str">
        <v>PSF-00438_20251212135807_589</v>
      </c>
      <c r="CX24" t="str">
        <v>PFA-00474</v>
      </c>
      <c r="CY24" t="str">
        <v>PSA-00486</v>
      </c>
      <c r="CZ24" t="str">
        <v>PSF-00438</v>
      </c>
      <c r="DA24" t="str">
        <v>RHS-00603</v>
      </c>
      <c r="DB24" t="str">
        <v>3.0.0</v>
      </c>
      <c r="DC24" t="str">
        <v>2025-12-11T16:13:02.852Z</v>
      </c>
    </row>
    <row r="25">
      <c r="A25" t="str">
        <v>22</v>
      </c>
      <c r="B25" t="str">
        <v>13:58:30</v>
      </c>
      <c r="C25" t="str">
        <v>2025-12-12</v>
      </c>
      <c r="D25" t="str">
        <v>TT25_psf</v>
      </c>
      <c r="E25" t="str">
        <v>eap</v>
      </c>
      <c r="F25" t="str">
        <v/>
      </c>
      <c r="G25" t="str">
        <v>4942_Tri_pink</v>
      </c>
      <c r="H25" t="str">
        <v/>
      </c>
      <c r="I25" t="str">
        <v/>
      </c>
      <c r="J25" t="str">
        <f>1/((1/L25)-(1/K25))</f>
        <v>0.002023</v>
      </c>
      <c r="K25" t="str">
        <f>BH25+(BI25*AN25)+(BJ25*AN25*POWER(V25,2))+(BK25*AN25*V25)+(BL25*POWER(AN25,2))</f>
        <v>2.922735</v>
      </c>
      <c r="L25" t="str">
        <f>((M25/1000)*(1000-((T25+S25)/2)))/(T25-S25)</f>
        <v>0.002022</v>
      </c>
      <c r="M25" t="str">
        <f>(AN25*(S25-R25))/(100*U25*(1000-S25))*1000</f>
        <v>0.039000</v>
      </c>
      <c r="N25" t="str">
        <v>0.884577</v>
      </c>
      <c r="O25" t="str">
        <v>0.883593</v>
      </c>
      <c r="P25" t="str">
        <f>0.61365*EXP((17.502*AL25)/(240.97+AL25))</f>
        <v>2.595310</v>
      </c>
      <c r="Q25" t="str">
        <f>P25-N25</f>
        <v>1.710734</v>
      </c>
      <c r="R25" t="str">
        <v>9.772073</v>
      </c>
      <c r="S25" t="str">
        <v>9.782951</v>
      </c>
      <c r="T25" t="str">
        <f>(P25/AM25)*1000</f>
        <v>28.702757</v>
      </c>
      <c r="U25" t="str">
        <f>V25*BG25</f>
        <v>0.441786</v>
      </c>
      <c r="V25" t="str">
        <v>7.500000</v>
      </c>
      <c r="W25" t="str">
        <v>PSF-00438_20251212135830_30e</v>
      </c>
      <c r="X25" t="str">
        <v>0.000000</v>
      </c>
      <c r="Y25" t="str">
        <v>0.000000</v>
      </c>
      <c r="Z25" t="str">
        <v>0.000000</v>
      </c>
      <c r="AA25" t="str">
        <v>133.132339</v>
      </c>
      <c r="AB25" t="str">
        <v>152.152771</v>
      </c>
      <c r="AC25" t="str">
        <v>0.125009</v>
      </c>
      <c r="AD25" t="str">
        <v>0.5</v>
      </c>
      <c r="AE25" t="str">
        <v>0.80</v>
      </c>
      <c r="AF25" t="str">
        <f>AC25*AD25*AE25*AQ25</f>
        <v>12.393466</v>
      </c>
      <c r="AG25" t="str">
        <v>1.000000</v>
      </c>
      <c r="AH25" t="str">
        <v>31.64</v>
      </c>
      <c r="AI25" t="str">
        <v>31.61</v>
      </c>
      <c r="AJ25" t="str">
        <v>22.86</v>
      </c>
      <c r="AK25" t="str">
        <v>21.64</v>
      </c>
      <c r="AL25" t="str">
        <f>(AK25-AJ25)*(AJ25*0+0)+AK25</f>
        <v>21.64</v>
      </c>
      <c r="AM25" t="str">
        <v>90.42</v>
      </c>
      <c r="AN25" t="str">
        <v>156.8</v>
      </c>
      <c r="AO25" t="str">
        <v>158.5</v>
      </c>
      <c r="AP25" t="str">
        <v>-1.1</v>
      </c>
      <c r="AQ25" t="str">
        <v>248</v>
      </c>
      <c r="AR25" t="str">
        <v>4.035</v>
      </c>
      <c r="AS25" t="str">
        <v>13:50:50</v>
      </c>
      <c r="AT25" t="str">
        <v>2025-12-12</v>
      </c>
      <c r="AU25" t="str">
        <v>-0.16</v>
      </c>
      <c r="AV25" t="str">
        <v>1</v>
      </c>
      <c r="AW25" t="str">
        <v>-0.000</v>
      </c>
      <c r="AX25" t="str">
        <v>-0.003</v>
      </c>
      <c r="AY25" t="str">
        <v>-9999.000</v>
      </c>
      <c r="AZ25" t="str">
        <v>-0.622</v>
      </c>
      <c r="BA25" t="str">
        <v>-0.227</v>
      </c>
      <c r="BB25" t="str">
        <v>-9999.000</v>
      </c>
      <c r="BC25" t="str">
        <v>1</v>
      </c>
      <c r="BD25" t="str">
        <v>150</v>
      </c>
      <c r="BE25" t="str">
        <v>0.005</v>
      </c>
      <c r="BF25" t="str">
        <v>2.000000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0</v>
      </c>
      <c r="BO25" t="str">
        <v>mpf</v>
      </c>
      <c r="BP25" t="str">
        <v>7000</v>
      </c>
      <c r="BQ25" t="str">
        <v>500</v>
      </c>
      <c r="BR25" t="str">
        <v>5.000000</v>
      </c>
      <c r="BS25" t="str">
        <v>2.000000</v>
      </c>
      <c r="BT25" t="str">
        <v>300</v>
      </c>
      <c r="BU25" t="str">
        <v>300</v>
      </c>
      <c r="BV25" t="str">
        <v>300</v>
      </c>
      <c r="BW25" t="str">
        <v>152.152771</v>
      </c>
      <c r="BX25" t="str">
        <v>25</v>
      </c>
      <c r="BY25" t="str">
        <v>-5.740307</v>
      </c>
      <c r="BZ25" t="str">
        <v>130.720490</v>
      </c>
      <c r="CA25" t="str">
        <v>143.947052</v>
      </c>
      <c r="CB25" t="str">
        <v>-13.226562</v>
      </c>
      <c r="CC25" t="str">
        <v>2.442635</v>
      </c>
      <c r="CD25" t="str">
        <v>2.456913</v>
      </c>
      <c r="CE25" t="str">
        <v>1.656575</v>
      </c>
      <c r="CF25" t="str">
        <v>0.942734</v>
      </c>
      <c r="CG25" t="str">
        <v>0.297115</v>
      </c>
      <c r="CH25" t="str">
        <v>-0.012978</v>
      </c>
      <c r="CI25" t="str">
        <v>0.168569</v>
      </c>
      <c r="CJ25" t="str">
        <v>0.330261</v>
      </c>
      <c r="CK25" t="str">
        <v>133.132339</v>
      </c>
      <c r="CL25" t="str">
        <v>0.000240</v>
      </c>
      <c r="CM25" t="str">
        <v>2.388960</v>
      </c>
      <c r="CN25" t="str">
        <v>-0.000025</v>
      </c>
      <c r="CO25" t="str">
        <v>1.000000</v>
      </c>
      <c r="CP25" t="str">
        <v>2.402765</v>
      </c>
      <c r="CQ25" t="str">
        <v>-0.000034</v>
      </c>
      <c r="CR25" t="str">
        <v>1.000000</v>
      </c>
      <c r="CS25" t="str">
        <v>0.600816</v>
      </c>
      <c r="CT25" t="str">
        <v>0.600971</v>
      </c>
      <c r="CU25" t="str">
        <v>0.107301</v>
      </c>
      <c r="CV25" t="str">
        <v>0.000000</v>
      </c>
      <c r="CW25" t="str">
        <v>PSF-00438_20251212135830_30e</v>
      </c>
      <c r="CX25" t="str">
        <v>PFA-00474</v>
      </c>
      <c r="CY25" t="str">
        <v>PSA-00486</v>
      </c>
      <c r="CZ25" t="str">
        <v>PSF-00438</v>
      </c>
      <c r="DA25" t="str">
        <v>RHS-00603</v>
      </c>
      <c r="DB25" t="str">
        <v>3.0.0</v>
      </c>
      <c r="DC25" t="str">
        <v>2025-12-11T16:13:02.852Z</v>
      </c>
    </row>
    <row r="26">
      <c r="A26" t="str">
        <v>23</v>
      </c>
      <c r="B26" t="str">
        <v>13:58:48</v>
      </c>
      <c r="C26" t="str">
        <v>2025-12-12</v>
      </c>
      <c r="D26" t="str">
        <v>TT25_psf</v>
      </c>
      <c r="E26" t="str">
        <v>eap</v>
      </c>
      <c r="F26" t="str">
        <v/>
      </c>
      <c r="G26" t="str">
        <v>4373_Tri_pink</v>
      </c>
      <c r="H26" t="str">
        <v/>
      </c>
      <c r="I26" t="str">
        <v/>
      </c>
      <c r="J26" t="str">
        <f>1/((1/L26)-(1/K26))</f>
        <v>0.032028</v>
      </c>
      <c r="K26" t="str">
        <f>BH26+(BI26*AN26)+(BJ26*AN26*POWER(V26,2))+(BK26*AN26*V26)+(BL26*POWER(AN26,2))</f>
        <v>2.922584</v>
      </c>
      <c r="L26" t="str">
        <f>((M26/1000)*(1000-((T26+S26)/2)))/(T26-S26)</f>
        <v>0.031681</v>
      </c>
      <c r="M26" t="str">
        <f>(AN26*(S26-R26))/(100*U26*(1000-S26))*1000</f>
        <v>0.599641</v>
      </c>
      <c r="N26" t="str">
        <v>0.893957</v>
      </c>
      <c r="O26" t="str">
        <v>0.878833</v>
      </c>
      <c r="P26" t="str">
        <f>0.61365*EXP((17.502*AL26)/(240.97+AL26))</f>
        <v>2.572573</v>
      </c>
      <c r="Q26" t="str">
        <f>P26-N26</f>
        <v>1.678615</v>
      </c>
      <c r="R26" t="str">
        <v>9.719565</v>
      </c>
      <c r="S26" t="str">
        <v>9.886833</v>
      </c>
      <c r="T26" t="str">
        <f>(P26/AM26)*1000</f>
        <v>28.451683</v>
      </c>
      <c r="U26" t="str">
        <f>V26*BG26</f>
        <v>0.441786</v>
      </c>
      <c r="V26" t="str">
        <v>7.500000</v>
      </c>
      <c r="W26" t="str">
        <v>PSF-00438_20251212135848_6ef</v>
      </c>
      <c r="X26" t="str">
        <v>0.000000</v>
      </c>
      <c r="Y26" t="str">
        <v>0.000000</v>
      </c>
      <c r="Z26" t="str">
        <v>0.000000</v>
      </c>
      <c r="AA26" t="str">
        <v>104.060051</v>
      </c>
      <c r="AB26" t="str">
        <v>252.874069</v>
      </c>
      <c r="AC26" t="str">
        <v>0.588491</v>
      </c>
      <c r="AD26" t="str">
        <v>0.5</v>
      </c>
      <c r="AE26" t="str">
        <v>0.80</v>
      </c>
      <c r="AF26" t="str">
        <f>AC26*AD26*AE26*AQ26</f>
        <v>59.994873</v>
      </c>
      <c r="AG26" t="str">
        <v>1.000000</v>
      </c>
      <c r="AH26" t="str">
        <v>31.99</v>
      </c>
      <c r="AI26" t="str">
        <v>31.45</v>
      </c>
      <c r="AJ26" t="str">
        <v>22.85</v>
      </c>
      <c r="AK26" t="str">
        <v>21.49</v>
      </c>
      <c r="AL26" t="str">
        <f>(AK26-AJ26)*(AJ26*0+0)+AK26</f>
        <v>21.49</v>
      </c>
      <c r="AM26" t="str">
        <v>90.42</v>
      </c>
      <c r="AN26" t="str">
        <v>156.8</v>
      </c>
      <c r="AO26" t="str">
        <v>151.7</v>
      </c>
      <c r="AP26" t="str">
        <v>3.2</v>
      </c>
      <c r="AQ26" t="str">
        <v>255</v>
      </c>
      <c r="AR26" t="str">
        <v>4.034</v>
      </c>
      <c r="AS26" t="str">
        <v>13:50:50</v>
      </c>
      <c r="AT26" t="str">
        <v>2025-12-12</v>
      </c>
      <c r="AU26" t="str">
        <v>-0.16</v>
      </c>
      <c r="AV26" t="str">
        <v>1</v>
      </c>
      <c r="AW26" t="str">
        <v>-0.000</v>
      </c>
      <c r="AX26" t="str">
        <v>-0.002</v>
      </c>
      <c r="AY26" t="str">
        <v>-9999.000</v>
      </c>
      <c r="AZ26" t="str">
        <v>0.977</v>
      </c>
      <c r="BA26" t="str">
        <v>0.890</v>
      </c>
      <c r="BB26" t="str">
        <v>-9999.000</v>
      </c>
      <c r="BC26" t="str">
        <v>1</v>
      </c>
      <c r="BD26" t="str">
        <v>150</v>
      </c>
      <c r="BE26" t="str">
        <v>0.005</v>
      </c>
      <c r="BF26" t="str">
        <v>2.000000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0</v>
      </c>
      <c r="BO26" t="str">
        <v>mpf</v>
      </c>
      <c r="BP26" t="str">
        <v>7000</v>
      </c>
      <c r="BQ26" t="str">
        <v>500</v>
      </c>
      <c r="BR26" t="str">
        <v>5.000000</v>
      </c>
      <c r="BS26" t="str">
        <v>2.000000</v>
      </c>
      <c r="BT26" t="str">
        <v>300</v>
      </c>
      <c r="BU26" t="str">
        <v>300</v>
      </c>
      <c r="BV26" t="str">
        <v>300</v>
      </c>
      <c r="BW26" t="str">
        <v>248.908646</v>
      </c>
      <c r="BX26" t="str">
        <v>25</v>
      </c>
      <c r="BY26" t="str">
        <v>-2.648251</v>
      </c>
      <c r="BZ26" t="str">
        <v>249.587418</v>
      </c>
      <c r="CA26" t="str">
        <v>249.088425</v>
      </c>
      <c r="CB26" t="str">
        <v>0.498993</v>
      </c>
      <c r="CC26" t="str">
        <v>2.442400</v>
      </c>
      <c r="CD26" t="str">
        <v>2.457414</v>
      </c>
      <c r="CE26" t="str">
        <v>1.656417</v>
      </c>
      <c r="CF26" t="str">
        <v>0.925444</v>
      </c>
      <c r="CG26" t="str">
        <v>0.297163</v>
      </c>
      <c r="CH26" t="str">
        <v>-0.014516</v>
      </c>
      <c r="CI26" t="str">
        <v>0.170717</v>
      </c>
      <c r="CJ26" t="str">
        <v>0.336572</v>
      </c>
      <c r="CK26" t="str">
        <v>104.060051</v>
      </c>
      <c r="CL26" t="str">
        <v>0.000237</v>
      </c>
      <c r="CM26" t="str">
        <v>2.388960</v>
      </c>
      <c r="CN26" t="str">
        <v>-0.000025</v>
      </c>
      <c r="CO26" t="str">
        <v>1.000000</v>
      </c>
      <c r="CP26" t="str">
        <v>2.402765</v>
      </c>
      <c r="CQ26" t="str">
        <v>-0.000034</v>
      </c>
      <c r="CR26" t="str">
        <v>1.000000</v>
      </c>
      <c r="CS26" t="str">
        <v>0.600816</v>
      </c>
      <c r="CT26" t="str">
        <v>0.600971</v>
      </c>
      <c r="CU26" t="str">
        <v>0.107301</v>
      </c>
      <c r="CV26" t="str">
        <v>0.000000</v>
      </c>
      <c r="CW26" t="str">
        <v>PSF-00438_20251212135848_6ef</v>
      </c>
      <c r="CX26" t="str">
        <v>PFA-00474</v>
      </c>
      <c r="CY26" t="str">
        <v>PSA-00486</v>
      </c>
      <c r="CZ26" t="str">
        <v>PSF-00438</v>
      </c>
      <c r="DA26" t="str">
        <v>RHS-00603</v>
      </c>
      <c r="DB26" t="str">
        <v>3.0.0</v>
      </c>
      <c r="DC26" t="str">
        <v>2025-12-11T16:13:02.852Z</v>
      </c>
    </row>
    <row r="27">
      <c r="A27" t="str">
        <v>24</v>
      </c>
      <c r="B27" t="str">
        <v>13:59:06</v>
      </c>
      <c r="C27" t="str">
        <v>2025-12-12</v>
      </c>
      <c r="D27" t="str">
        <v>TT25_psf</v>
      </c>
      <c r="E27" t="str">
        <v>eap</v>
      </c>
      <c r="F27" t="str">
        <v/>
      </c>
      <c r="G27" t="str">
        <v>2573_Tri_pink</v>
      </c>
      <c r="H27" t="str">
        <v/>
      </c>
      <c r="I27" t="str">
        <v/>
      </c>
      <c r="J27" t="str">
        <f>1/((1/L27)-(1/K27))</f>
        <v>0.004701</v>
      </c>
      <c r="K27" t="str">
        <f>BH27+(BI27*AN27)+(BJ27*AN27*POWER(V27,2))+(BK27*AN27*V27)+(BL27*POWER(AN27,2))</f>
        <v>2.922070</v>
      </c>
      <c r="L27" t="str">
        <f>((M27/1000)*(1000-((T27+S27)/2)))/(T27-S27)</f>
        <v>0.004694</v>
      </c>
      <c r="M27" t="str">
        <f>(AN27*(S27-R27))/(100*U27*(1000-S27))*1000</f>
        <v>0.095093</v>
      </c>
      <c r="N27" t="str">
        <v>0.924108</v>
      </c>
      <c r="O27" t="str">
        <v>0.921709</v>
      </c>
      <c r="P27" t="str">
        <f>0.61365*EXP((17.502*AL27)/(240.97+AL27))</f>
        <v>2.718993</v>
      </c>
      <c r="Q27" t="str">
        <f>P27-N27</f>
        <v>1.794885</v>
      </c>
      <c r="R27" t="str">
        <v>10.194322</v>
      </c>
      <c r="S27" t="str">
        <v>10.220849</v>
      </c>
      <c r="T27" t="str">
        <f>(P27/AM27)*1000</f>
        <v>30.072699</v>
      </c>
      <c r="U27" t="str">
        <f>V27*BG27</f>
        <v>0.441786</v>
      </c>
      <c r="V27" t="str">
        <v>7.500000</v>
      </c>
      <c r="W27" t="str">
        <v>PSF-00438_20251212135906_fa3</v>
      </c>
      <c r="X27" t="str">
        <v>0.000000</v>
      </c>
      <c r="Y27" t="str">
        <v>0.000000</v>
      </c>
      <c r="Z27" t="str">
        <v>0.000000</v>
      </c>
      <c r="AA27" t="str">
        <v>88.118073</v>
      </c>
      <c r="AB27" t="str">
        <v>101.318481</v>
      </c>
      <c r="AC27" t="str">
        <v>0.130286</v>
      </c>
      <c r="AD27" t="str">
        <v>0.5</v>
      </c>
      <c r="AE27" t="str">
        <v>0.80</v>
      </c>
      <c r="AF27" t="str">
        <f>AC27*AD27*AE27*AQ27</f>
        <v>12.220545</v>
      </c>
      <c r="AG27" t="str">
        <v>1.000000</v>
      </c>
      <c r="AH27" t="str">
        <v>33.07</v>
      </c>
      <c r="AI27" t="str">
        <v>32.99</v>
      </c>
      <c r="AJ27" t="str">
        <v>22.85</v>
      </c>
      <c r="AK27" t="str">
        <v>22.40</v>
      </c>
      <c r="AL27" t="str">
        <f>(AK27-AJ27)*(AJ27*0+0)+AK27</f>
        <v>22.40</v>
      </c>
      <c r="AM27" t="str">
        <v>90.41</v>
      </c>
      <c r="AN27" t="str">
        <v>156.7</v>
      </c>
      <c r="AO27" t="str">
        <v>156.7</v>
      </c>
      <c r="AP27" t="str">
        <v>0.0</v>
      </c>
      <c r="AQ27" t="str">
        <v>234</v>
      </c>
      <c r="AR27" t="str">
        <v>4.000</v>
      </c>
      <c r="AS27" t="str">
        <v>13:50:50</v>
      </c>
      <c r="AT27" t="str">
        <v>2025-12-12</v>
      </c>
      <c r="AU27" t="str">
        <v>-0.16</v>
      </c>
      <c r="AV27" t="str">
        <v>1</v>
      </c>
      <c r="AW27" t="str">
        <v>0.001</v>
      </c>
      <c r="AX27" t="str">
        <v>-0.001</v>
      </c>
      <c r="AY27" t="str">
        <v>-9999.000</v>
      </c>
      <c r="AZ27" t="str">
        <v>0.165</v>
      </c>
      <c r="BA27" t="str">
        <v>-0.279</v>
      </c>
      <c r="BB27" t="str">
        <v>-9999.000</v>
      </c>
      <c r="BC27" t="str">
        <v>1</v>
      </c>
      <c r="BD27" t="str">
        <v>150</v>
      </c>
      <c r="BE27" t="str">
        <v>0.005</v>
      </c>
      <c r="BF27" t="str">
        <v>2.000000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0</v>
      </c>
      <c r="BO27" t="str">
        <v>mpf</v>
      </c>
      <c r="BP27" t="str">
        <v>7000</v>
      </c>
      <c r="BQ27" t="str">
        <v>500</v>
      </c>
      <c r="BR27" t="str">
        <v>5.000000</v>
      </c>
      <c r="BS27" t="str">
        <v>2.000000</v>
      </c>
      <c r="BT27" t="str">
        <v>300</v>
      </c>
      <c r="BU27" t="str">
        <v>300</v>
      </c>
      <c r="BV27" t="str">
        <v>300</v>
      </c>
      <c r="BW27" t="str">
        <v>101.318481</v>
      </c>
      <c r="BX27" t="str">
        <v>25</v>
      </c>
      <c r="BY27" t="str">
        <v>0.274303</v>
      </c>
      <c r="BZ27" t="str">
        <v>101.371407</v>
      </c>
      <c r="CA27" t="str">
        <v>101.710594</v>
      </c>
      <c r="CB27" t="str">
        <v>-0.339188</v>
      </c>
      <c r="CC27" t="str">
        <v>2.444621</v>
      </c>
      <c r="CD27" t="str">
        <v>2.458988</v>
      </c>
      <c r="CE27" t="str">
        <v>1.655878</v>
      </c>
      <c r="CF27" t="str">
        <v>0.938165</v>
      </c>
      <c r="CG27" t="str">
        <v>0.297199</v>
      </c>
      <c r="CH27" t="str">
        <v>-0.004454</v>
      </c>
      <c r="CI27" t="str">
        <v>0.172910</v>
      </c>
      <c r="CJ27" t="str">
        <v>0.318244</v>
      </c>
      <c r="CK27" t="str">
        <v>88.118073</v>
      </c>
      <c r="CL27" t="str">
        <v>0.000239</v>
      </c>
      <c r="CM27" t="str">
        <v>2.388960</v>
      </c>
      <c r="CN27" t="str">
        <v>-0.000025</v>
      </c>
      <c r="CO27" t="str">
        <v>1.000000</v>
      </c>
      <c r="CP27" t="str">
        <v>2.402765</v>
      </c>
      <c r="CQ27" t="str">
        <v>-0.000034</v>
      </c>
      <c r="CR27" t="str">
        <v>1.000000</v>
      </c>
      <c r="CS27" t="str">
        <v>0.600816</v>
      </c>
      <c r="CT27" t="str">
        <v>0.600971</v>
      </c>
      <c r="CU27" t="str">
        <v>0.107301</v>
      </c>
      <c r="CV27" t="str">
        <v>0.000000</v>
      </c>
      <c r="CW27" t="str">
        <v>PSF-00438_20251212135906_fa3</v>
      </c>
      <c r="CX27" t="str">
        <v>PFA-00474</v>
      </c>
      <c r="CY27" t="str">
        <v>PSA-00486</v>
      </c>
      <c r="CZ27" t="str">
        <v>PSF-00438</v>
      </c>
      <c r="DA27" t="str">
        <v>RHS-00603</v>
      </c>
      <c r="DB27" t="str">
        <v>3.0.0</v>
      </c>
      <c r="DC27" t="str">
        <v>2025-12-11T16:13:02.852Z</v>
      </c>
    </row>
    <row r="28">
      <c r="A28" t="str">
        <v>25</v>
      </c>
      <c r="B28" t="str">
        <v>13:59:40</v>
      </c>
      <c r="C28" t="str">
        <v>2025-12-12</v>
      </c>
      <c r="D28" t="str">
        <v>TT25_psf</v>
      </c>
      <c r="E28" t="str">
        <v>eap</v>
      </c>
      <c r="F28" t="str">
        <v/>
      </c>
      <c r="G28" t="str">
        <v>flag2_tri_Tri_pink</v>
      </c>
      <c r="H28" t="str">
        <v/>
      </c>
      <c r="I28" t="str">
        <v/>
      </c>
      <c r="J28" t="str">
        <f>1/((1/L28)-(1/K28))</f>
        <v>0.008335</v>
      </c>
      <c r="K28" t="str">
        <f>BH28+(BI28*AN28)+(BJ28*AN28*POWER(V28,2))+(BK28*AN28*V28)+(BL28*POWER(AN28,2))</f>
        <v>2.921039</v>
      </c>
      <c r="L28" t="str">
        <f>((M28/1000)*(1000-((T28+S28)/2)))/(T28-S28)</f>
        <v>0.008311</v>
      </c>
      <c r="M28" t="str">
        <f>(AN28*(S28-R28))/(100*U28*(1000-S28))*1000</f>
        <v>0.170466</v>
      </c>
      <c r="N28" t="str">
        <v>0.854931</v>
      </c>
      <c r="O28" t="str">
        <v>0.850625</v>
      </c>
      <c r="P28" t="str">
        <f>0.61365*EXP((17.502*AL28)/(240.97+AL28))</f>
        <v>2.673088</v>
      </c>
      <c r="Q28" t="str">
        <f>P28-N28</f>
        <v>1.818157</v>
      </c>
      <c r="R28" t="str">
        <v>9.408522</v>
      </c>
      <c r="S28" t="str">
        <v>9.456151</v>
      </c>
      <c r="T28" t="str">
        <f>(P28/AM28)*1000</f>
        <v>29.566286</v>
      </c>
      <c r="U28" t="str">
        <f>V28*BG28</f>
        <v>0.441786</v>
      </c>
      <c r="V28" t="str">
        <v>7.500000</v>
      </c>
      <c r="W28" t="str">
        <v>PSF-00438_20251212135940_efd</v>
      </c>
      <c r="X28" t="str">
        <v>0.000000</v>
      </c>
      <c r="Y28" t="str">
        <v>0.000000</v>
      </c>
      <c r="Z28" t="str">
        <v>0.000000</v>
      </c>
      <c r="AA28" t="str">
        <v>96.843124</v>
      </c>
      <c r="AB28" t="str">
        <v>99.902634</v>
      </c>
      <c r="AC28" t="str">
        <v>0.030625</v>
      </c>
      <c r="AD28" t="str">
        <v>0.5</v>
      </c>
      <c r="AE28" t="str">
        <v>0.80</v>
      </c>
      <c r="AF28" t="str">
        <f>AC28*AD28*AE28*AQ28</f>
        <v>2.953542</v>
      </c>
      <c r="AG28" t="str">
        <v>1.000000</v>
      </c>
      <c r="AH28" t="str">
        <v>30.61</v>
      </c>
      <c r="AI28" t="str">
        <v>30.45</v>
      </c>
      <c r="AJ28" t="str">
        <v>22.84</v>
      </c>
      <c r="AK28" t="str">
        <v>22.12</v>
      </c>
      <c r="AL28" t="str">
        <f>(AK28-AJ28)*(AJ28*0+0)+AK28</f>
        <v>22.12</v>
      </c>
      <c r="AM28" t="str">
        <v>90.41</v>
      </c>
      <c r="AN28" t="str">
        <v>156.6</v>
      </c>
      <c r="AO28" t="str">
        <v>157.6</v>
      </c>
      <c r="AP28" t="str">
        <v>-0.6</v>
      </c>
      <c r="AQ28" t="str">
        <v>241</v>
      </c>
      <c r="AR28" t="str">
        <v>4.032</v>
      </c>
      <c r="AS28" t="str">
        <v>13:50:50</v>
      </c>
      <c r="AT28" t="str">
        <v>2025-12-12</v>
      </c>
      <c r="AU28" t="str">
        <v>-0.16</v>
      </c>
      <c r="AV28" t="str">
        <v>1</v>
      </c>
      <c r="AW28" t="str">
        <v>0.000</v>
      </c>
      <c r="AX28" t="str">
        <v>-0.000</v>
      </c>
      <c r="AY28" t="str">
        <v>-9999.000</v>
      </c>
      <c r="AZ28" t="str">
        <v>-0.621</v>
      </c>
      <c r="BA28" t="str">
        <v>0.068</v>
      </c>
      <c r="BB28" t="str">
        <v>-9999.000</v>
      </c>
      <c r="BC28" t="str">
        <v>1</v>
      </c>
      <c r="BD28" t="str">
        <v>150</v>
      </c>
      <c r="BE28" t="str">
        <v>0.005</v>
      </c>
      <c r="BF28" t="str">
        <v>2.000000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0</v>
      </c>
      <c r="BO28" t="str">
        <v>mpf</v>
      </c>
      <c r="BP28" t="str">
        <v>7000</v>
      </c>
      <c r="BQ28" t="str">
        <v>500</v>
      </c>
      <c r="BR28" t="str">
        <v>5.000000</v>
      </c>
      <c r="BS28" t="str">
        <v>2.000000</v>
      </c>
      <c r="BT28" t="str">
        <v>300</v>
      </c>
      <c r="BU28" t="str">
        <v>300</v>
      </c>
      <c r="BV28" t="str">
        <v>300</v>
      </c>
      <c r="BW28" t="str">
        <v>99.902634</v>
      </c>
      <c r="BX28" t="str">
        <v>25</v>
      </c>
      <c r="BY28" t="str">
        <v>0.535847</v>
      </c>
      <c r="BZ28" t="str">
        <v>99.916580</v>
      </c>
      <c r="CA28" t="str">
        <v>100.668625</v>
      </c>
      <c r="CB28" t="str">
        <v>-0.752045</v>
      </c>
      <c r="CC28" t="str">
        <v>2.440959</v>
      </c>
      <c r="CD28" t="str">
        <v>2.455399</v>
      </c>
      <c r="CE28" t="str">
        <v>1.654799</v>
      </c>
      <c r="CF28" t="str">
        <v>0.940315</v>
      </c>
      <c r="CG28" t="str">
        <v>0.297271</v>
      </c>
      <c r="CH28" t="str">
        <v>-0.007489</v>
      </c>
      <c r="CI28" t="str">
        <v>0.176953</v>
      </c>
      <c r="CJ28" t="str">
        <v>0.324193</v>
      </c>
      <c r="CK28" t="str">
        <v>96.843124</v>
      </c>
      <c r="CL28" t="str">
        <v>0.000238</v>
      </c>
      <c r="CM28" t="str">
        <v>2.388960</v>
      </c>
      <c r="CN28" t="str">
        <v>-0.000025</v>
      </c>
      <c r="CO28" t="str">
        <v>1.000000</v>
      </c>
      <c r="CP28" t="str">
        <v>2.402765</v>
      </c>
      <c r="CQ28" t="str">
        <v>-0.000034</v>
      </c>
      <c r="CR28" t="str">
        <v>1.000000</v>
      </c>
      <c r="CS28" t="str">
        <v>0.600816</v>
      </c>
      <c r="CT28" t="str">
        <v>0.600971</v>
      </c>
      <c r="CU28" t="str">
        <v>0.107301</v>
      </c>
      <c r="CV28" t="str">
        <v>0.000000</v>
      </c>
      <c r="CW28" t="str">
        <v>PSF-00438_20251212135940_efd</v>
      </c>
      <c r="CX28" t="str">
        <v>PFA-00474</v>
      </c>
      <c r="CY28" t="str">
        <v>PSA-00486</v>
      </c>
      <c r="CZ28" t="str">
        <v>PSF-00438</v>
      </c>
      <c r="DA28" t="str">
        <v>RHS-00603</v>
      </c>
      <c r="DB28" t="str">
        <v>3.0.0</v>
      </c>
      <c r="DC28" t="str">
        <v>2025-12-11T16:13:02.852Z</v>
      </c>
    </row>
    <row r="29">
      <c r="A29" t="str">
        <v>26</v>
      </c>
      <c r="B29" t="str">
        <v>14:00:21</v>
      </c>
      <c r="C29" t="str">
        <v>2025-12-12</v>
      </c>
      <c r="D29" t="str">
        <v>TT25_psf</v>
      </c>
      <c r="E29" t="str">
        <v>eap</v>
      </c>
      <c r="F29" t="str">
        <v/>
      </c>
      <c r="G29" t="str">
        <v>7147_Tri_pink</v>
      </c>
      <c r="H29" t="str">
        <v/>
      </c>
      <c r="I29" t="str">
        <v/>
      </c>
      <c r="J29" t="str">
        <f>1/((1/L29)-(1/K29))</f>
        <v>0.007770</v>
      </c>
      <c r="K29" t="str">
        <f>BH29+(BI29*AN29)+(BJ29*AN29*POWER(V29,2))+(BK29*AN29*V29)+(BL29*POWER(AN29,2))</f>
        <v>2.921102</v>
      </c>
      <c r="L29" t="str">
        <f>((M29/1000)*(1000-((T29+S29)/2)))/(T29-S29)</f>
        <v>0.007749</v>
      </c>
      <c r="M29" t="str">
        <f>(AN29*(S29-R29))/(100*U29*(1000-S29))*1000</f>
        <v>0.156811</v>
      </c>
      <c r="N29" t="str">
        <v>0.851199</v>
      </c>
      <c r="O29" t="str">
        <v>0.847238</v>
      </c>
      <c r="P29" t="str">
        <f>0.61365*EXP((17.502*AL29)/(240.97+AL29))</f>
        <v>2.645423</v>
      </c>
      <c r="Q29" t="str">
        <f>P29-N29</f>
        <v>1.794224</v>
      </c>
      <c r="R29" t="str">
        <v>9.370283</v>
      </c>
      <c r="S29" t="str">
        <v>9.414097</v>
      </c>
      <c r="T29" t="str">
        <f>(P29/AM29)*1000</f>
        <v>29.257864</v>
      </c>
      <c r="U29" t="str">
        <f>V29*BG29</f>
        <v>0.441786</v>
      </c>
      <c r="V29" t="str">
        <v>7.500000</v>
      </c>
      <c r="W29" t="str">
        <v>PSF-00438_20251212140021_a6b</v>
      </c>
      <c r="X29" t="str">
        <v>0.000000</v>
      </c>
      <c r="Y29" t="str">
        <v>0.000000</v>
      </c>
      <c r="Z29" t="str">
        <v>0.000000</v>
      </c>
      <c r="AA29" t="str">
        <v>92.739342</v>
      </c>
      <c r="AB29" t="str">
        <v>107.842323</v>
      </c>
      <c r="AC29" t="str">
        <v>0.140047</v>
      </c>
      <c r="AD29" t="str">
        <v>0.5</v>
      </c>
      <c r="AE29" t="str">
        <v>0.80</v>
      </c>
      <c r="AF29" t="str">
        <f>AC29*AD29*AE29*AQ29</f>
        <v>11.358744</v>
      </c>
      <c r="AG29" t="str">
        <v>1.000000</v>
      </c>
      <c r="AH29" t="str">
        <v>30.48</v>
      </c>
      <c r="AI29" t="str">
        <v>30.34</v>
      </c>
      <c r="AJ29" t="str">
        <v>22.84</v>
      </c>
      <c r="AK29" t="str">
        <v>21.95</v>
      </c>
      <c r="AL29" t="str">
        <f>(AK29-AJ29)*(AJ29*0+0)+AK29</f>
        <v>21.95</v>
      </c>
      <c r="AM29" t="str">
        <v>90.42</v>
      </c>
      <c r="AN29" t="str">
        <v>156.6</v>
      </c>
      <c r="AO29" t="str">
        <v>150.6</v>
      </c>
      <c r="AP29" t="str">
        <v>3.8</v>
      </c>
      <c r="AQ29" t="str">
        <v>203</v>
      </c>
      <c r="AR29" t="str">
        <v>4.032</v>
      </c>
      <c r="AS29" t="str">
        <v>13:50:50</v>
      </c>
      <c r="AT29" t="str">
        <v>2025-12-12</v>
      </c>
      <c r="AU29" t="str">
        <v>-0.16</v>
      </c>
      <c r="AV29" t="str">
        <v>1</v>
      </c>
      <c r="AW29" t="str">
        <v>-0.001</v>
      </c>
      <c r="AX29" t="str">
        <v>-0.002</v>
      </c>
      <c r="AY29" t="str">
        <v>-9999.000</v>
      </c>
      <c r="AZ29" t="str">
        <v>0.233</v>
      </c>
      <c r="BA29" t="str">
        <v>-0.282</v>
      </c>
      <c r="BB29" t="str">
        <v>-9999.000</v>
      </c>
      <c r="BC29" t="str">
        <v>1</v>
      </c>
      <c r="BD29" t="str">
        <v>150</v>
      </c>
      <c r="BE29" t="str">
        <v>0.005</v>
      </c>
      <c r="BF29" t="str">
        <v>2.000000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0</v>
      </c>
      <c r="BO29" t="str">
        <v>mpf</v>
      </c>
      <c r="BP29" t="str">
        <v>7000</v>
      </c>
      <c r="BQ29" t="str">
        <v>500</v>
      </c>
      <c r="BR29" t="str">
        <v>5.000000</v>
      </c>
      <c r="BS29" t="str">
        <v>2.000000</v>
      </c>
      <c r="BT29" t="str">
        <v>300</v>
      </c>
      <c r="BU29" t="str">
        <v>300</v>
      </c>
      <c r="BV29" t="str">
        <v>300</v>
      </c>
      <c r="BW29" t="str">
        <v>107.842323</v>
      </c>
      <c r="BX29" t="str">
        <v>25</v>
      </c>
      <c r="BY29" t="str">
        <v>0.193197</v>
      </c>
      <c r="BZ29" t="str">
        <v>108.082291</v>
      </c>
      <c r="CA29" t="str">
        <v>108.118500</v>
      </c>
      <c r="CB29" t="str">
        <v>-0.036209</v>
      </c>
      <c r="CC29" t="str">
        <v>2.440787</v>
      </c>
      <c r="CD29" t="str">
        <v>2.455208</v>
      </c>
      <c r="CE29" t="str">
        <v>1.654865</v>
      </c>
      <c r="CF29" t="str">
        <v>0.922606</v>
      </c>
      <c r="CG29" t="str">
        <v>0.297291</v>
      </c>
      <c r="CH29" t="str">
        <v>-0.009358</v>
      </c>
      <c r="CI29" t="str">
        <v>0.181900</v>
      </c>
      <c r="CJ29" t="str">
        <v>0.289704</v>
      </c>
      <c r="CK29" t="str">
        <v>92.739342</v>
      </c>
      <c r="CL29" t="str">
        <v>0.000237</v>
      </c>
      <c r="CM29" t="str">
        <v>2.388960</v>
      </c>
      <c r="CN29" t="str">
        <v>-0.000025</v>
      </c>
      <c r="CO29" t="str">
        <v>1.000000</v>
      </c>
      <c r="CP29" t="str">
        <v>2.402765</v>
      </c>
      <c r="CQ29" t="str">
        <v>-0.000034</v>
      </c>
      <c r="CR29" t="str">
        <v>1.000000</v>
      </c>
      <c r="CS29" t="str">
        <v>0.600816</v>
      </c>
      <c r="CT29" t="str">
        <v>0.600971</v>
      </c>
      <c r="CU29" t="str">
        <v>0.107301</v>
      </c>
      <c r="CV29" t="str">
        <v>0.000000</v>
      </c>
      <c r="CW29" t="str">
        <v>PSF-00438_20251212140021_a6b</v>
      </c>
      <c r="CX29" t="str">
        <v>PFA-00474</v>
      </c>
      <c r="CY29" t="str">
        <v>PSA-00486</v>
      </c>
      <c r="CZ29" t="str">
        <v>PSF-00438</v>
      </c>
      <c r="DA29" t="str">
        <v>RHS-00603</v>
      </c>
      <c r="DB29" t="str">
        <v>3.0.0</v>
      </c>
      <c r="DC29" t="str">
        <v>2025-12-11T16:13:02.852Z</v>
      </c>
    </row>
    <row r="30">
      <c r="A30" t="str">
        <v>27</v>
      </c>
      <c r="B30" t="str">
        <v>14:00:46</v>
      </c>
      <c r="C30" t="str">
        <v>2025-12-12</v>
      </c>
      <c r="D30" t="str">
        <v>TT25_psf</v>
      </c>
      <c r="E30" t="str">
        <v>eap</v>
      </c>
      <c r="F30" t="str">
        <v/>
      </c>
      <c r="G30" t="str">
        <v>5267_Tri_pink</v>
      </c>
      <c r="H30" t="str">
        <v/>
      </c>
      <c r="I30" t="str">
        <v/>
      </c>
      <c r="J30" t="str">
        <f>1/((1/L30)-(1/K30))</f>
        <v>0.000213</v>
      </c>
      <c r="K30" t="str">
        <f>BH30+(BI30*AN30)+(BJ30*AN30*POWER(V30,2))+(BK30*AN30*V30)+(BL30*POWER(AN30,2))</f>
        <v>2.922710</v>
      </c>
      <c r="L30" t="str">
        <f>((M30/1000)*(1000-((T30+S30)/2)))/(T30-S30)</f>
        <v>0.000213</v>
      </c>
      <c r="M30" t="str">
        <f>(AN30*(S30-R30))/(100*U30*(1000-S30))*1000</f>
        <v>0.004502</v>
      </c>
      <c r="N30" t="str">
        <v>0.850048</v>
      </c>
      <c r="O30" t="str">
        <v>0.849935</v>
      </c>
      <c r="P30" t="str">
        <f>0.61365*EXP((17.502*AL30)/(240.97+AL30))</f>
        <v>2.721676</v>
      </c>
      <c r="Q30" t="str">
        <f>P30-N30</f>
        <v>1.871627</v>
      </c>
      <c r="R30" t="str">
        <v>9.399853</v>
      </c>
      <c r="S30" t="str">
        <v>9.401109</v>
      </c>
      <c r="T30" t="str">
        <f>(P30/AM30)*1000</f>
        <v>30.100372</v>
      </c>
      <c r="U30" t="str">
        <f>V30*BG30</f>
        <v>0.441786</v>
      </c>
      <c r="V30" t="str">
        <v>7.500000</v>
      </c>
      <c r="W30" t="str">
        <v>PSF-00438_20251212140046_78a</v>
      </c>
      <c r="X30" t="str">
        <v>0.000000</v>
      </c>
      <c r="Y30" t="str">
        <v>0.000000</v>
      </c>
      <c r="Z30" t="str">
        <v>0.000000</v>
      </c>
      <c r="AA30" t="str">
        <v>109.365105</v>
      </c>
      <c r="AB30" t="str">
        <v>115.611435</v>
      </c>
      <c r="AC30" t="str">
        <v>0.054029</v>
      </c>
      <c r="AD30" t="str">
        <v>0.5</v>
      </c>
      <c r="AE30" t="str">
        <v>0.80</v>
      </c>
      <c r="AF30" t="str">
        <f>AC30*AD30*AE30*AQ30</f>
        <v>3.852818</v>
      </c>
      <c r="AG30" t="str">
        <v>1.000000</v>
      </c>
      <c r="AH30" t="str">
        <v>30.44</v>
      </c>
      <c r="AI30" t="str">
        <v>30.43</v>
      </c>
      <c r="AJ30" t="str">
        <v>22.84</v>
      </c>
      <c r="AK30" t="str">
        <v>22.42</v>
      </c>
      <c r="AL30" t="str">
        <f>(AK30-AJ30)*(AJ30*0+0)+AK30</f>
        <v>22.42</v>
      </c>
      <c r="AM30" t="str">
        <v>90.42</v>
      </c>
      <c r="AN30" t="str">
        <v>156.8</v>
      </c>
      <c r="AO30" t="str">
        <v>147.5</v>
      </c>
      <c r="AP30" t="str">
        <v>5.9</v>
      </c>
      <c r="AQ30" t="str">
        <v>178</v>
      </c>
      <c r="AR30" t="str">
        <v>3.997</v>
      </c>
      <c r="AS30" t="str">
        <v>13:50:50</v>
      </c>
      <c r="AT30" t="str">
        <v>2025-12-12</v>
      </c>
      <c r="AU30" t="str">
        <v>-0.16</v>
      </c>
      <c r="AV30" t="str">
        <v>1</v>
      </c>
      <c r="AW30" t="str">
        <v>-0.001</v>
      </c>
      <c r="AX30" t="str">
        <v>-0.003</v>
      </c>
      <c r="AY30" t="str">
        <v>-9999.000</v>
      </c>
      <c r="AZ30" t="str">
        <v>1.125</v>
      </c>
      <c r="BA30" t="str">
        <v>-0.323</v>
      </c>
      <c r="BB30" t="str">
        <v>-9999.000</v>
      </c>
      <c r="BC30" t="str">
        <v>1</v>
      </c>
      <c r="BD30" t="str">
        <v>150</v>
      </c>
      <c r="BE30" t="str">
        <v>0.005</v>
      </c>
      <c r="BF30" t="str">
        <v>2.000000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0</v>
      </c>
      <c r="BO30" t="str">
        <v>mpf</v>
      </c>
      <c r="BP30" t="str">
        <v>7000</v>
      </c>
      <c r="BQ30" t="str">
        <v>500</v>
      </c>
      <c r="BR30" t="str">
        <v>5.000000</v>
      </c>
      <c r="BS30" t="str">
        <v>2.000000</v>
      </c>
      <c r="BT30" t="str">
        <v>300</v>
      </c>
      <c r="BU30" t="str">
        <v>300</v>
      </c>
      <c r="BV30" t="str">
        <v>300</v>
      </c>
      <c r="BW30" t="str">
        <v>115.611435</v>
      </c>
      <c r="BX30" t="str">
        <v>25</v>
      </c>
      <c r="BY30" t="str">
        <v>0.013670</v>
      </c>
      <c r="BZ30" t="str">
        <v>115.411522</v>
      </c>
      <c r="CA30" t="str">
        <v>115.630974</v>
      </c>
      <c r="CB30" t="str">
        <v>-0.219452</v>
      </c>
      <c r="CC30" t="str">
        <v>2.440926</v>
      </c>
      <c r="CD30" t="str">
        <v>2.455145</v>
      </c>
      <c r="CE30" t="str">
        <v>1.656549</v>
      </c>
      <c r="CF30" t="str">
        <v>0.914841</v>
      </c>
      <c r="CG30" t="str">
        <v>0.297285</v>
      </c>
      <c r="CH30" t="str">
        <v>-0.004193</v>
      </c>
      <c r="CI30" t="str">
        <v>0.184773</v>
      </c>
      <c r="CJ30" t="str">
        <v>0.267673</v>
      </c>
      <c r="CK30" t="str">
        <v>109.365105</v>
      </c>
      <c r="CL30" t="str">
        <v>0.000237</v>
      </c>
      <c r="CM30" t="str">
        <v>2.388960</v>
      </c>
      <c r="CN30" t="str">
        <v>-0.000025</v>
      </c>
      <c r="CO30" t="str">
        <v>1.000000</v>
      </c>
      <c r="CP30" t="str">
        <v>2.402765</v>
      </c>
      <c r="CQ30" t="str">
        <v>-0.000034</v>
      </c>
      <c r="CR30" t="str">
        <v>1.000000</v>
      </c>
      <c r="CS30" t="str">
        <v>0.600816</v>
      </c>
      <c r="CT30" t="str">
        <v>0.600971</v>
      </c>
      <c r="CU30" t="str">
        <v>0.107301</v>
      </c>
      <c r="CV30" t="str">
        <v>0.000000</v>
      </c>
      <c r="CW30" t="str">
        <v>PSF-00438_20251212140046_78a</v>
      </c>
      <c r="CX30" t="str">
        <v>PFA-00474</v>
      </c>
      <c r="CY30" t="str">
        <v>PSA-00486</v>
      </c>
      <c r="CZ30" t="str">
        <v>PSF-00438</v>
      </c>
      <c r="DA30" t="str">
        <v>RHS-00603</v>
      </c>
      <c r="DB30" t="str">
        <v>3.0.0</v>
      </c>
      <c r="DC30" t="str">
        <v>2025-12-11T16:13:02.852Z</v>
      </c>
    </row>
    <row r="31">
      <c r="A31" t="str">
        <v>28</v>
      </c>
      <c r="B31" t="str">
        <v>14:01:19</v>
      </c>
      <c r="C31" t="str">
        <v>2025-12-12</v>
      </c>
      <c r="D31" t="str">
        <v>TT25_psf</v>
      </c>
      <c r="E31" t="str">
        <v>eap</v>
      </c>
      <c r="F31" t="str">
        <v/>
      </c>
      <c r="G31" t="str">
        <v>2547_Tri_pink</v>
      </c>
      <c r="H31" t="str">
        <v/>
      </c>
      <c r="I31" t="str">
        <v/>
      </c>
      <c r="J31" t="str">
        <f>1/((1/L31)-(1/K31))</f>
        <v>0.008464</v>
      </c>
      <c r="K31" t="str">
        <f>BH31+(BI31*AN31)+(BJ31*AN31*POWER(V31,2))+(BK31*AN31*V31)+(BL31*POWER(AN31,2))</f>
        <v>2.920913</v>
      </c>
      <c r="L31" t="str">
        <f>((M31/1000)*(1000-((T31+S31)/2)))/(T31-S31)</f>
        <v>0.008439</v>
      </c>
      <c r="M31" t="str">
        <f>(AN31*(S31-R31))/(100*U31*(1000-S31))*1000</f>
        <v>0.154623</v>
      </c>
      <c r="N31" t="str">
        <v>0.873598</v>
      </c>
      <c r="O31" t="str">
        <v>0.869692</v>
      </c>
      <c r="P31" t="str">
        <f>0.61365*EXP((17.502*AL31)/(240.97+AL31))</f>
        <v>2.499251</v>
      </c>
      <c r="Q31" t="str">
        <f>P31-N31</f>
        <v>1.625653</v>
      </c>
      <c r="R31" t="str">
        <v>9.619130</v>
      </c>
      <c r="S31" t="str">
        <v>9.662329</v>
      </c>
      <c r="T31" t="str">
        <f>(P31/AM31)*1000</f>
        <v>27.642679</v>
      </c>
      <c r="U31" t="str">
        <f>V31*BG31</f>
        <v>0.441786</v>
      </c>
      <c r="V31" t="str">
        <v>7.500000</v>
      </c>
      <c r="W31" t="str">
        <v>PSF-00438_20251212140119_cb7</v>
      </c>
      <c r="X31" t="str">
        <v>0.000000</v>
      </c>
      <c r="Y31" t="str">
        <v>0.000000</v>
      </c>
      <c r="Z31" t="str">
        <v>0.000000</v>
      </c>
      <c r="AA31" t="str">
        <v>109.685181</v>
      </c>
      <c r="AB31" t="str">
        <v>114.794968</v>
      </c>
      <c r="AC31" t="str">
        <v>0.044512</v>
      </c>
      <c r="AD31" t="str">
        <v>0.5</v>
      </c>
      <c r="AE31" t="str">
        <v>0.80</v>
      </c>
      <c r="AF31" t="str">
        <f>AC31*AD31*AE31*AQ31</f>
        <v>2.829367</v>
      </c>
      <c r="AG31" t="str">
        <v>1.000000</v>
      </c>
      <c r="AH31" t="str">
        <v>31.24</v>
      </c>
      <c r="AI31" t="str">
        <v>31.10</v>
      </c>
      <c r="AJ31" t="str">
        <v>22.86</v>
      </c>
      <c r="AK31" t="str">
        <v>21.02</v>
      </c>
      <c r="AL31" t="str">
        <f>(AK31-AJ31)*(AJ31*0+0)+AK31</f>
        <v>21.02</v>
      </c>
      <c r="AM31" t="str">
        <v>90.41</v>
      </c>
      <c r="AN31" t="str">
        <v>156.6</v>
      </c>
      <c r="AO31" t="str">
        <v>156.0</v>
      </c>
      <c r="AP31" t="str">
        <v>0.4</v>
      </c>
      <c r="AQ31" t="str">
        <v>159</v>
      </c>
      <c r="AR31" t="str">
        <v>4.030</v>
      </c>
      <c r="AS31" t="str">
        <v>14:01:01</v>
      </c>
      <c r="AT31" t="str">
        <v>2025-12-12</v>
      </c>
      <c r="AU31" t="str">
        <v>-0.19</v>
      </c>
      <c r="AV31" t="str">
        <v>1</v>
      </c>
      <c r="AW31" t="str">
        <v>0.001</v>
      </c>
      <c r="AX31" t="str">
        <v>-0.001</v>
      </c>
      <c r="AY31" t="str">
        <v>-9999.000</v>
      </c>
      <c r="AZ31" t="str">
        <v>-0.985</v>
      </c>
      <c r="BA31" t="str">
        <v>0.142</v>
      </c>
      <c r="BB31" t="str">
        <v>-9999.000</v>
      </c>
      <c r="BC31" t="str">
        <v>1</v>
      </c>
      <c r="BD31" t="str">
        <v>150</v>
      </c>
      <c r="BE31" t="str">
        <v>0.005</v>
      </c>
      <c r="BF31" t="str">
        <v>2.000000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0</v>
      </c>
      <c r="BO31" t="str">
        <v>mpf</v>
      </c>
      <c r="BP31" t="str">
        <v>7000</v>
      </c>
      <c r="BQ31" t="str">
        <v>500</v>
      </c>
      <c r="BR31" t="str">
        <v>5.000000</v>
      </c>
      <c r="BS31" t="str">
        <v>2.000000</v>
      </c>
      <c r="BT31" t="str">
        <v>300</v>
      </c>
      <c r="BU31" t="str">
        <v>300</v>
      </c>
      <c r="BV31" t="str">
        <v>300</v>
      </c>
      <c r="BW31" t="str">
        <v>114.794968</v>
      </c>
      <c r="BX31" t="str">
        <v>25</v>
      </c>
      <c r="BY31" t="str">
        <v>0.284327</v>
      </c>
      <c r="BZ31" t="str">
        <v>114.739182</v>
      </c>
      <c r="CA31" t="str">
        <v>115.201408</v>
      </c>
      <c r="CB31" t="str">
        <v>-0.462227</v>
      </c>
      <c r="CC31" t="str">
        <v>2.441893</v>
      </c>
      <c r="CD31" t="str">
        <v>2.456358</v>
      </c>
      <c r="CE31" t="str">
        <v>1.654667</v>
      </c>
      <c r="CF31" t="str">
        <v>0.936279</v>
      </c>
      <c r="CG31" t="str">
        <v>0.297028</v>
      </c>
      <c r="CH31" t="str">
        <v>-0.019813</v>
      </c>
      <c r="CI31" t="str">
        <v>0.188595</v>
      </c>
      <c r="CJ31" t="str">
        <v>0.250251</v>
      </c>
      <c r="CK31" t="str">
        <v>109.685181</v>
      </c>
      <c r="CL31" t="str">
        <v>0.000237</v>
      </c>
      <c r="CM31" t="str">
        <v>2.388960</v>
      </c>
      <c r="CN31" t="str">
        <v>-0.000025</v>
      </c>
      <c r="CO31" t="str">
        <v>1.000000</v>
      </c>
      <c r="CP31" t="str">
        <v>2.402765</v>
      </c>
      <c r="CQ31" t="str">
        <v>-0.000034</v>
      </c>
      <c r="CR31" t="str">
        <v>1.000000</v>
      </c>
      <c r="CS31" t="str">
        <v>0.600816</v>
      </c>
      <c r="CT31" t="str">
        <v>0.600971</v>
      </c>
      <c r="CU31" t="str">
        <v>0.107301</v>
      </c>
      <c r="CV31" t="str">
        <v>0.000000</v>
      </c>
      <c r="CW31" t="str">
        <v>PSF-00438_20251212140119_cb7</v>
      </c>
      <c r="CX31" t="str">
        <v>PFA-00474</v>
      </c>
      <c r="CY31" t="str">
        <v>PSA-00486</v>
      </c>
      <c r="CZ31" t="str">
        <v>PSF-00438</v>
      </c>
      <c r="DA31" t="str">
        <v>RHS-00603</v>
      </c>
      <c r="DB31" t="str">
        <v>3.0.0</v>
      </c>
      <c r="DC31" t="str">
        <v>2025-12-11T16:13:02.852Z</v>
      </c>
    </row>
    <row r="32">
      <c r="A32" t="str">
        <v>29</v>
      </c>
      <c r="B32" t="str">
        <v>14:02:04</v>
      </c>
      <c r="C32" t="str">
        <v>2025-12-12</v>
      </c>
      <c r="D32" t="str">
        <v>TT25_psf</v>
      </c>
      <c r="E32" t="str">
        <v>eap</v>
      </c>
      <c r="F32" t="str">
        <v/>
      </c>
      <c r="G32" t="str">
        <v>614_Tri_purple</v>
      </c>
      <c r="H32" t="str">
        <v/>
      </c>
      <c r="I32" t="str">
        <v/>
      </c>
      <c r="J32" t="str">
        <f>1/((1/L32)-(1/K32))</f>
        <v>0.004340</v>
      </c>
      <c r="K32" t="str">
        <f>BH32+(BI32*AN32)+(BJ32*AN32*POWER(V32,2))+(BK32*AN32*V32)+(BL32*POWER(AN32,2))</f>
        <v>2.920351</v>
      </c>
      <c r="L32" t="str">
        <f>((M32/1000)*(1000-((T32+S32)/2)))/(T32-S32)</f>
        <v>0.004334</v>
      </c>
      <c r="M32" t="str">
        <f>(AN32*(S32-R32))/(100*U32*(1000-S32))*1000</f>
        <v>0.058448</v>
      </c>
      <c r="N32" t="str">
        <v>0.818455</v>
      </c>
      <c r="O32" t="str">
        <v>0.816977</v>
      </c>
      <c r="P32" t="str">
        <f>0.61365*EXP((17.502*AL32)/(240.97+AL32))</f>
        <v>2.018765</v>
      </c>
      <c r="Q32" t="str">
        <f>P32-N32</f>
        <v>1.200311</v>
      </c>
      <c r="R32" t="str">
        <v>9.035579</v>
      </c>
      <c r="S32" t="str">
        <v>9.051926</v>
      </c>
      <c r="T32" t="str">
        <f>(P32/AM32)*1000</f>
        <v>22.327093</v>
      </c>
      <c r="U32" t="str">
        <f>V32*BG32</f>
        <v>0.441786</v>
      </c>
      <c r="V32" t="str">
        <v>7.500000</v>
      </c>
      <c r="W32" t="str">
        <v>PSF-00438_20251212140204_01c</v>
      </c>
      <c r="X32" t="str">
        <v>0.000000</v>
      </c>
      <c r="Y32" t="str">
        <v>0.000000</v>
      </c>
      <c r="Z32" t="str">
        <v>0.000000</v>
      </c>
      <c r="AA32" t="str">
        <v>107.767227</v>
      </c>
      <c r="AB32" t="str">
        <v>238.368484</v>
      </c>
      <c r="AC32" t="str">
        <v>0.547897</v>
      </c>
      <c r="AD32" t="str">
        <v>0.5</v>
      </c>
      <c r="AE32" t="str">
        <v>0.80</v>
      </c>
      <c r="AF32" t="str">
        <f>AC32*AD32*AE32*AQ32</f>
        <v>28.461853</v>
      </c>
      <c r="AG32" t="str">
        <v>1.000000</v>
      </c>
      <c r="AH32" t="str">
        <v>29.27</v>
      </c>
      <c r="AI32" t="str">
        <v>29.22</v>
      </c>
      <c r="AJ32" t="str">
        <v>22.86</v>
      </c>
      <c r="AK32" t="str">
        <v>17.59</v>
      </c>
      <c r="AL32" t="str">
        <f>(AK32-AJ32)*(AJ32*0+0)+AK32</f>
        <v>17.59</v>
      </c>
      <c r="AM32" t="str">
        <v>90.42</v>
      </c>
      <c r="AN32" t="str">
        <v>156.5</v>
      </c>
      <c r="AO32" t="str">
        <v>158.5</v>
      </c>
      <c r="AP32" t="str">
        <v>-1.3</v>
      </c>
      <c r="AQ32" t="str">
        <v>130</v>
      </c>
      <c r="AR32" t="str">
        <v>4.029</v>
      </c>
      <c r="AS32" t="str">
        <v>14:01:01</v>
      </c>
      <c r="AT32" t="str">
        <v>2025-12-12</v>
      </c>
      <c r="AU32" t="str">
        <v>-0.19</v>
      </c>
      <c r="AV32" t="str">
        <v>1</v>
      </c>
      <c r="AW32" t="str">
        <v>0.001</v>
      </c>
      <c r="AX32" t="str">
        <v>0.003</v>
      </c>
      <c r="AY32" t="str">
        <v>-9999.000</v>
      </c>
      <c r="AZ32" t="str">
        <v>-0.192</v>
      </c>
      <c r="BA32" t="str">
        <v>1.166</v>
      </c>
      <c r="BB32" t="str">
        <v>-9999.000</v>
      </c>
      <c r="BC32" t="str">
        <v>1</v>
      </c>
      <c r="BD32" t="str">
        <v>150</v>
      </c>
      <c r="BE32" t="str">
        <v>0.005</v>
      </c>
      <c r="BF32" t="str">
        <v>2.000000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0</v>
      </c>
      <c r="BO32" t="str">
        <v>mpf</v>
      </c>
      <c r="BP32" t="str">
        <v>7000</v>
      </c>
      <c r="BQ32" t="str">
        <v>500</v>
      </c>
      <c r="BR32" t="str">
        <v>5.000000</v>
      </c>
      <c r="BS32" t="str">
        <v>2.000000</v>
      </c>
      <c r="BT32" t="str">
        <v>300</v>
      </c>
      <c r="BU32" t="str">
        <v>300</v>
      </c>
      <c r="BV32" t="str">
        <v>300</v>
      </c>
      <c r="BW32" t="str">
        <v>232.386948</v>
      </c>
      <c r="BX32" t="str">
        <v>25</v>
      </c>
      <c r="BY32" t="str">
        <v>-4.044369</v>
      </c>
      <c r="BZ32" t="str">
        <v>232.540009</v>
      </c>
      <c r="CA32" t="str">
        <v>232.587097</v>
      </c>
      <c r="CB32" t="str">
        <v>-0.047089</v>
      </c>
      <c r="CC32" t="str">
        <v>2.439151</v>
      </c>
      <c r="CD32" t="str">
        <v>2.453469</v>
      </c>
      <c r="CE32" t="str">
        <v>1.654080</v>
      </c>
      <c r="CF32" t="str">
        <v>0.942641</v>
      </c>
      <c r="CG32" t="str">
        <v>0.297083</v>
      </c>
      <c r="CH32" t="str">
        <v>-0.056579</v>
      </c>
      <c r="CI32" t="str">
        <v>0.193774</v>
      </c>
      <c r="CJ32" t="str">
        <v>0.224127</v>
      </c>
      <c r="CK32" t="str">
        <v>107.767227</v>
      </c>
      <c r="CL32" t="str">
        <v>0.000239</v>
      </c>
      <c r="CM32" t="str">
        <v>2.388960</v>
      </c>
      <c r="CN32" t="str">
        <v>-0.000025</v>
      </c>
      <c r="CO32" t="str">
        <v>1.000000</v>
      </c>
      <c r="CP32" t="str">
        <v>2.402765</v>
      </c>
      <c r="CQ32" t="str">
        <v>-0.000034</v>
      </c>
      <c r="CR32" t="str">
        <v>1.000000</v>
      </c>
      <c r="CS32" t="str">
        <v>0.600816</v>
      </c>
      <c r="CT32" t="str">
        <v>0.600971</v>
      </c>
      <c r="CU32" t="str">
        <v>0.107301</v>
      </c>
      <c r="CV32" t="str">
        <v>0.000000</v>
      </c>
      <c r="CW32" t="str">
        <v>PSF-00438_20251212140204_01c</v>
      </c>
      <c r="CX32" t="str">
        <v>PFA-00474</v>
      </c>
      <c r="CY32" t="str">
        <v>PSA-00486</v>
      </c>
      <c r="CZ32" t="str">
        <v>PSF-00438</v>
      </c>
      <c r="DA32" t="str">
        <v>RHS-00603</v>
      </c>
      <c r="DB32" t="str">
        <v>3.0.0</v>
      </c>
      <c r="DC32" t="str">
        <v>2025-12-11T16:13:02.852Z</v>
      </c>
    </row>
    <row r="33">
      <c r="A33" t="str">
        <v>30</v>
      </c>
      <c r="B33" t="str">
        <v>14:02:32</v>
      </c>
      <c r="C33" t="str">
        <v>2025-12-12</v>
      </c>
      <c r="D33" t="str">
        <v>TT25_psf</v>
      </c>
      <c r="E33" t="str">
        <v>eap</v>
      </c>
      <c r="F33" t="str">
        <v/>
      </c>
      <c r="G33" t="str">
        <v>1975_Tri_purple</v>
      </c>
      <c r="H33" t="str">
        <v/>
      </c>
      <c r="I33" t="str">
        <v/>
      </c>
      <c r="J33" t="str">
        <f>1/((1/L33)-(1/K33))</f>
        <v>0.022887</v>
      </c>
      <c r="K33" t="str">
        <f>BH33+(BI33*AN33)+(BJ33*AN33*POWER(V33,2))+(BK33*AN33*V33)+(BL33*POWER(AN33,2))</f>
        <v>2.920480</v>
      </c>
      <c r="L33" t="str">
        <f>((M33/1000)*(1000-((T33+S33)/2)))/(T33-S33)</f>
        <v>0.022709</v>
      </c>
      <c r="M33" t="str">
        <f>(AN33*(S33-R33))/(100*U33*(1000-S33))*1000</f>
        <v>0.365409</v>
      </c>
      <c r="N33" t="str">
        <v>0.811527</v>
      </c>
      <c r="O33" t="str">
        <v>0.802288</v>
      </c>
      <c r="P33" t="str">
        <f>0.61365*EXP((17.502*AL33)/(240.97+AL33))</f>
        <v>2.241791</v>
      </c>
      <c r="Q33" t="str">
        <f>P33-N33</f>
        <v>1.430264</v>
      </c>
      <c r="R33" t="str">
        <v>8.873714</v>
      </c>
      <c r="S33" t="str">
        <v>8.975907</v>
      </c>
      <c r="T33" t="str">
        <f>(P33/AM33)*1000</f>
        <v>24.795355</v>
      </c>
      <c r="U33" t="str">
        <f>V33*BG33</f>
        <v>0.441786</v>
      </c>
      <c r="V33" t="str">
        <v>7.500000</v>
      </c>
      <c r="W33" t="str">
        <v>PSF-00438_20251212140232_825</v>
      </c>
      <c r="X33" t="str">
        <v>0.000000</v>
      </c>
      <c r="Y33" t="str">
        <v>0.000000</v>
      </c>
      <c r="Z33" t="str">
        <v>0.000000</v>
      </c>
      <c r="AA33" t="str">
        <v>126.450775</v>
      </c>
      <c r="AB33" t="str">
        <v>330.830383</v>
      </c>
      <c r="AC33" t="str">
        <v>0.617778</v>
      </c>
      <c r="AD33" t="str">
        <v>0.5</v>
      </c>
      <c r="AE33" t="str">
        <v>0.80</v>
      </c>
      <c r="AF33" t="str">
        <f>AC33*AD33*AE33*AQ33</f>
        <v>51.399841</v>
      </c>
      <c r="AG33" t="str">
        <v>1.000000</v>
      </c>
      <c r="AH33" t="str">
        <v>29.13</v>
      </c>
      <c r="AI33" t="str">
        <v>28.79</v>
      </c>
      <c r="AJ33" t="str">
        <v>22.80</v>
      </c>
      <c r="AK33" t="str">
        <v>19.26</v>
      </c>
      <c r="AL33" t="str">
        <f>(AK33-AJ33)*(AJ33*0+0)+AK33</f>
        <v>19.26</v>
      </c>
      <c r="AM33" t="str">
        <v>90.41</v>
      </c>
      <c r="AN33" t="str">
        <v>156.6</v>
      </c>
      <c r="AO33" t="str">
        <v>158.7</v>
      </c>
      <c r="AP33" t="str">
        <v>-1.4</v>
      </c>
      <c r="AQ33" t="str">
        <v>208</v>
      </c>
      <c r="AR33" t="str">
        <v>4.028</v>
      </c>
      <c r="AS33" t="str">
        <v>14:01:01</v>
      </c>
      <c r="AT33" t="str">
        <v>2025-12-12</v>
      </c>
      <c r="AU33" t="str">
        <v>-0.19</v>
      </c>
      <c r="AV33" t="str">
        <v>1</v>
      </c>
      <c r="AW33" t="str">
        <v>0.000</v>
      </c>
      <c r="AX33" t="str">
        <v>-0.001</v>
      </c>
      <c r="AY33" t="str">
        <v>-9999.000</v>
      </c>
      <c r="AZ33" t="str">
        <v>1.241</v>
      </c>
      <c r="BA33" t="str">
        <v>-0.027</v>
      </c>
      <c r="BB33" t="str">
        <v>-9999.000</v>
      </c>
      <c r="BC33" t="str">
        <v>1</v>
      </c>
      <c r="BD33" t="str">
        <v>150</v>
      </c>
      <c r="BE33" t="str">
        <v>0.005</v>
      </c>
      <c r="BF33" t="str">
        <v>2.000000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0</v>
      </c>
      <c r="BO33" t="str">
        <v>mpf</v>
      </c>
      <c r="BP33" t="str">
        <v>7000</v>
      </c>
      <c r="BQ33" t="str">
        <v>500</v>
      </c>
      <c r="BR33" t="str">
        <v>5.000000</v>
      </c>
      <c r="BS33" t="str">
        <v>2.000000</v>
      </c>
      <c r="BT33" t="str">
        <v>300</v>
      </c>
      <c r="BU33" t="str">
        <v>300</v>
      </c>
      <c r="BV33" t="str">
        <v>300</v>
      </c>
      <c r="BW33" t="str">
        <v>321.989899</v>
      </c>
      <c r="BX33" t="str">
        <v>25</v>
      </c>
      <c r="BY33" t="str">
        <v>-6.318985</v>
      </c>
      <c r="BZ33" t="str">
        <v>320.882324</v>
      </c>
      <c r="CA33" t="str">
        <v>321.797455</v>
      </c>
      <c r="CB33" t="str">
        <v>-0.915131</v>
      </c>
      <c r="CC33" t="str">
        <v>2.438533</v>
      </c>
      <c r="CD33" t="str">
        <v>2.453260</v>
      </c>
      <c r="CE33" t="str">
        <v>1.654215</v>
      </c>
      <c r="CF33" t="str">
        <v>0.943197</v>
      </c>
      <c r="CG33" t="str">
        <v>0.297761</v>
      </c>
      <c r="CH33" t="str">
        <v>-0.038165</v>
      </c>
      <c r="CI33" t="str">
        <v>0.196784</v>
      </c>
      <c r="CJ33" t="str">
        <v>0.294414</v>
      </c>
      <c r="CK33" t="str">
        <v>126.450775</v>
      </c>
      <c r="CL33" t="str">
        <v>0.000239</v>
      </c>
      <c r="CM33" t="str">
        <v>2.388960</v>
      </c>
      <c r="CN33" t="str">
        <v>-0.000025</v>
      </c>
      <c r="CO33" t="str">
        <v>1.000000</v>
      </c>
      <c r="CP33" t="str">
        <v>2.402765</v>
      </c>
      <c r="CQ33" t="str">
        <v>-0.000034</v>
      </c>
      <c r="CR33" t="str">
        <v>1.000000</v>
      </c>
      <c r="CS33" t="str">
        <v>0.600816</v>
      </c>
      <c r="CT33" t="str">
        <v>0.600971</v>
      </c>
      <c r="CU33" t="str">
        <v>0.107301</v>
      </c>
      <c r="CV33" t="str">
        <v>0.000000</v>
      </c>
      <c r="CW33" t="str">
        <v>PSF-00438_20251212140232_825</v>
      </c>
      <c r="CX33" t="str">
        <v>PFA-00474</v>
      </c>
      <c r="CY33" t="str">
        <v>PSA-00486</v>
      </c>
      <c r="CZ33" t="str">
        <v>PSF-00438</v>
      </c>
      <c r="DA33" t="str">
        <v>RHS-00603</v>
      </c>
      <c r="DB33" t="str">
        <v>3.0.0</v>
      </c>
      <c r="DC33" t="str">
        <v>2025-12-11T16:13:02.852Z</v>
      </c>
    </row>
    <row r="34">
      <c r="A34" t="str">
        <v>31</v>
      </c>
      <c r="B34" t="str">
        <v>14:02:49</v>
      </c>
      <c r="C34" t="str">
        <v>2025-12-12</v>
      </c>
      <c r="D34" t="str">
        <v>TT25_psf</v>
      </c>
      <c r="E34" t="str">
        <v>eap</v>
      </c>
      <c r="F34" t="str">
        <v/>
      </c>
      <c r="G34" t="str">
        <v>1926_Tri_purple</v>
      </c>
      <c r="H34" t="str">
        <v/>
      </c>
      <c r="I34" t="str">
        <v/>
      </c>
      <c r="J34" t="str">
        <f>1/((1/L34)-(1/K34))</f>
        <v>0.038282</v>
      </c>
      <c r="K34" t="str">
        <f>BH34+(BI34*AN34)+(BJ34*AN34*POWER(V34,2))+(BK34*AN34*V34)+(BL34*POWER(AN34,2))</f>
        <v>2.920959</v>
      </c>
      <c r="L34" t="str">
        <f>((M34/1000)*(1000-((T34+S34)/2)))/(T34-S34)</f>
        <v>0.037787</v>
      </c>
      <c r="M34" t="str">
        <f>(AN34*(S34-R34))/(100*U34*(1000-S34))*1000</f>
        <v>0.587170</v>
      </c>
      <c r="N34" t="str">
        <v>0.826425</v>
      </c>
      <c r="O34" t="str">
        <v>0.811587</v>
      </c>
      <c r="P34" t="str">
        <f>0.61365*EXP((17.502*AL34)/(240.97+AL34))</f>
        <v>2.207705</v>
      </c>
      <c r="Q34" t="str">
        <f>P34-N34</f>
        <v>1.381279</v>
      </c>
      <c r="R34" t="str">
        <v>8.976916</v>
      </c>
      <c r="S34" t="str">
        <v>9.141039</v>
      </c>
      <c r="T34" t="str">
        <f>(P34/AM34)*1000</f>
        <v>24.419285</v>
      </c>
      <c r="U34" t="str">
        <f>V34*BG34</f>
        <v>0.441786</v>
      </c>
      <c r="V34" t="str">
        <v>7.500000</v>
      </c>
      <c r="W34" t="str">
        <v>PSF-00438_20251212140249_ac9</v>
      </c>
      <c r="X34" t="str">
        <v>0.000000</v>
      </c>
      <c r="Y34" t="str">
        <v>0.000000</v>
      </c>
      <c r="Z34" t="str">
        <v>0.000000</v>
      </c>
      <c r="AA34" t="str">
        <v>120.399712</v>
      </c>
      <c r="AB34" t="str">
        <v>283.198181</v>
      </c>
      <c r="AC34" t="str">
        <v>0.574857</v>
      </c>
      <c r="AD34" t="str">
        <v>0.5</v>
      </c>
      <c r="AE34" t="str">
        <v>0.80</v>
      </c>
      <c r="AF34" t="str">
        <f>AC34*AD34*AE34*AQ34</f>
        <v>54.396130</v>
      </c>
      <c r="AG34" t="str">
        <v>1.000000</v>
      </c>
      <c r="AH34" t="str">
        <v>29.74</v>
      </c>
      <c r="AI34" t="str">
        <v>29.20</v>
      </c>
      <c r="AJ34" t="str">
        <v>22.76</v>
      </c>
      <c r="AK34" t="str">
        <v>19.02</v>
      </c>
      <c r="AL34" t="str">
        <f>(AK34-AJ34)*(AJ34*0+0)+AK34</f>
        <v>19.02</v>
      </c>
      <c r="AM34" t="str">
        <v>90.41</v>
      </c>
      <c r="AN34" t="str">
        <v>156.6</v>
      </c>
      <c r="AO34" t="str">
        <v>158.6</v>
      </c>
      <c r="AP34" t="str">
        <v>-1.3</v>
      </c>
      <c r="AQ34" t="str">
        <v>237</v>
      </c>
      <c r="AR34" t="str">
        <v>4.028</v>
      </c>
      <c r="AS34" t="str">
        <v>14:01:01</v>
      </c>
      <c r="AT34" t="str">
        <v>2025-12-12</v>
      </c>
      <c r="AU34" t="str">
        <v>-0.19</v>
      </c>
      <c r="AV34" t="str">
        <v>1</v>
      </c>
      <c r="AW34" t="str">
        <v>0.002</v>
      </c>
      <c r="AX34" t="str">
        <v>-0.000</v>
      </c>
      <c r="AY34" t="str">
        <v>-9999.000</v>
      </c>
      <c r="AZ34" t="str">
        <v>1.034</v>
      </c>
      <c r="BA34" t="str">
        <v>-1.319</v>
      </c>
      <c r="BB34" t="str">
        <v>-9999.000</v>
      </c>
      <c r="BC34" t="str">
        <v>1</v>
      </c>
      <c r="BD34" t="str">
        <v>150</v>
      </c>
      <c r="BE34" t="str">
        <v>0.005</v>
      </c>
      <c r="BF34" t="str">
        <v>2.000000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0</v>
      </c>
      <c r="BO34" t="str">
        <v>mpf</v>
      </c>
      <c r="BP34" t="str">
        <v>7000</v>
      </c>
      <c r="BQ34" t="str">
        <v>500</v>
      </c>
      <c r="BR34" t="str">
        <v>5.000000</v>
      </c>
      <c r="BS34" t="str">
        <v>2.000000</v>
      </c>
      <c r="BT34" t="str">
        <v>300</v>
      </c>
      <c r="BU34" t="str">
        <v>300</v>
      </c>
      <c r="BV34" t="str">
        <v>300</v>
      </c>
      <c r="BW34" t="str">
        <v>281.724213</v>
      </c>
      <c r="BX34" t="str">
        <v>25</v>
      </c>
      <c r="BY34" t="str">
        <v>-1.022484</v>
      </c>
      <c r="BZ34" t="str">
        <v>282.588593</v>
      </c>
      <c r="CA34" t="str">
        <v>281.736542</v>
      </c>
      <c r="CB34" t="str">
        <v>0.852051</v>
      </c>
      <c r="CC34" t="str">
        <v>2.439143</v>
      </c>
      <c r="CD34" t="str">
        <v>2.454174</v>
      </c>
      <c r="CE34" t="str">
        <v>1.654715</v>
      </c>
      <c r="CF34" t="str">
        <v>0.942953</v>
      </c>
      <c r="CG34" t="str">
        <v>0.298273</v>
      </c>
      <c r="CH34" t="str">
        <v>-0.040321</v>
      </c>
      <c r="CI34" t="str">
        <v>0.198630</v>
      </c>
      <c r="CJ34" t="str">
        <v>0.320106</v>
      </c>
      <c r="CK34" t="str">
        <v>120.399712</v>
      </c>
      <c r="CL34" t="str">
        <v>0.000240</v>
      </c>
      <c r="CM34" t="str">
        <v>2.388960</v>
      </c>
      <c r="CN34" t="str">
        <v>-0.000025</v>
      </c>
      <c r="CO34" t="str">
        <v>1.000000</v>
      </c>
      <c r="CP34" t="str">
        <v>2.402765</v>
      </c>
      <c r="CQ34" t="str">
        <v>-0.000034</v>
      </c>
      <c r="CR34" t="str">
        <v>1.000000</v>
      </c>
      <c r="CS34" t="str">
        <v>0.600816</v>
      </c>
      <c r="CT34" t="str">
        <v>0.600971</v>
      </c>
      <c r="CU34" t="str">
        <v>0.107301</v>
      </c>
      <c r="CV34" t="str">
        <v>0.000000</v>
      </c>
      <c r="CW34" t="str">
        <v>PSF-00438_20251212140249_ac9</v>
      </c>
      <c r="CX34" t="str">
        <v>PFA-00474</v>
      </c>
      <c r="CY34" t="str">
        <v>PSA-00486</v>
      </c>
      <c r="CZ34" t="str">
        <v>PSF-00438</v>
      </c>
      <c r="DA34" t="str">
        <v>RHS-00603</v>
      </c>
      <c r="DB34" t="str">
        <v>3.0.0</v>
      </c>
      <c r="DC34" t="str">
        <v>2025-12-11T16:13:02.852Z</v>
      </c>
    </row>
    <row r="35">
      <c r="A35" t="str">
        <v>32</v>
      </c>
      <c r="B35" t="str">
        <v>14:03:05</v>
      </c>
      <c r="C35" t="str">
        <v>2025-12-12</v>
      </c>
      <c r="D35" t="str">
        <v>TT25_psf</v>
      </c>
      <c r="E35" t="str">
        <v>eap</v>
      </c>
      <c r="F35" t="str">
        <v/>
      </c>
      <c r="G35" t="str">
        <v>972_Tri_purple</v>
      </c>
      <c r="H35" t="str">
        <v/>
      </c>
      <c r="I35" t="str">
        <v/>
      </c>
      <c r="J35" t="str">
        <f>1/((1/L35)-(1/K35))</f>
        <v>0.008841</v>
      </c>
      <c r="K35" t="str">
        <f>BH35+(BI35*AN35)+(BJ35*AN35*POWER(V35,2))+(BK35*AN35*V35)+(BL35*POWER(AN35,2))</f>
        <v>2.922378</v>
      </c>
      <c r="L35" t="str">
        <f>((M35/1000)*(1000-((T35+S35)/2)))/(T35-S35)</f>
        <v>0.008814</v>
      </c>
      <c r="M35" t="str">
        <f>(AN35*(S35-R35))/(100*U35*(1000-S35))*1000</f>
        <v>0.153240</v>
      </c>
      <c r="N35" t="str">
        <v>0.810508</v>
      </c>
      <c r="O35" t="str">
        <v>0.806639</v>
      </c>
      <c r="P35" t="str">
        <f>0.61365*EXP((17.502*AL35)/(240.97+AL35))</f>
        <v>2.354769</v>
      </c>
      <c r="Q35" t="str">
        <f>P35-N35</f>
        <v>1.544261</v>
      </c>
      <c r="R35" t="str">
        <v>8.922310</v>
      </c>
      <c r="S35" t="str">
        <v>8.965102</v>
      </c>
      <c r="T35" t="str">
        <f>(P35/AM35)*1000</f>
        <v>26.046318</v>
      </c>
      <c r="U35" t="str">
        <f>V35*BG35</f>
        <v>0.441786</v>
      </c>
      <c r="V35" t="str">
        <v>7.500000</v>
      </c>
      <c r="W35" t="str">
        <v>PSF-00438_20251212140305_472</v>
      </c>
      <c r="X35" t="str">
        <v>0.000000</v>
      </c>
      <c r="Y35" t="str">
        <v>0.000000</v>
      </c>
      <c r="Z35" t="str">
        <v>0.000000</v>
      </c>
      <c r="AA35" t="str">
        <v>88.114502</v>
      </c>
      <c r="AB35" t="str">
        <v>93.179878</v>
      </c>
      <c r="AC35" t="str">
        <v>0.054361</v>
      </c>
      <c r="AD35" t="str">
        <v>0.5</v>
      </c>
      <c r="AE35" t="str">
        <v>0.80</v>
      </c>
      <c r="AF35" t="str">
        <f>AC35*AD35*AE35*AQ35</f>
        <v>5.296341</v>
      </c>
      <c r="AG35" t="str">
        <v>1.000000</v>
      </c>
      <c r="AH35" t="str">
        <v>29.24</v>
      </c>
      <c r="AI35" t="str">
        <v>29.10</v>
      </c>
      <c r="AJ35" t="str">
        <v>22.72</v>
      </c>
      <c r="AK35" t="str">
        <v>20.06</v>
      </c>
      <c r="AL35" t="str">
        <f>(AK35-AJ35)*(AJ35*0+0)+AK35</f>
        <v>20.06</v>
      </c>
      <c r="AM35" t="str">
        <v>90.41</v>
      </c>
      <c r="AN35" t="str">
        <v>156.8</v>
      </c>
      <c r="AO35" t="str">
        <v>158.0</v>
      </c>
      <c r="AP35" t="str">
        <v>-0.8</v>
      </c>
      <c r="AQ35" t="str">
        <v>244</v>
      </c>
      <c r="AR35" t="str">
        <v>4.027</v>
      </c>
      <c r="AS35" t="str">
        <v>14:01:01</v>
      </c>
      <c r="AT35" t="str">
        <v>2025-12-12</v>
      </c>
      <c r="AU35" t="str">
        <v>-0.19</v>
      </c>
      <c r="AV35" t="str">
        <v>1</v>
      </c>
      <c r="AW35" t="str">
        <v>0.001</v>
      </c>
      <c r="AX35" t="str">
        <v>-0.001</v>
      </c>
      <c r="AY35" t="str">
        <v>-9999.000</v>
      </c>
      <c r="AZ35" t="str">
        <v>-1.541</v>
      </c>
      <c r="BA35" t="str">
        <v>-1.050</v>
      </c>
      <c r="BB35" t="str">
        <v>-9999.000</v>
      </c>
      <c r="BC35" t="str">
        <v>1</v>
      </c>
      <c r="BD35" t="str">
        <v>150</v>
      </c>
      <c r="BE35" t="str">
        <v>0.005</v>
      </c>
      <c r="BF35" t="str">
        <v>2.000000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0</v>
      </c>
      <c r="BO35" t="str">
        <v>mpf</v>
      </c>
      <c r="BP35" t="str">
        <v>7000</v>
      </c>
      <c r="BQ35" t="str">
        <v>500</v>
      </c>
      <c r="BR35" t="str">
        <v>5.000000</v>
      </c>
      <c r="BS35" t="str">
        <v>2.000000</v>
      </c>
      <c r="BT35" t="str">
        <v>300</v>
      </c>
      <c r="BU35" t="str">
        <v>300</v>
      </c>
      <c r="BV35" t="str">
        <v>300</v>
      </c>
      <c r="BW35" t="str">
        <v>92.780113</v>
      </c>
      <c r="BX35" t="str">
        <v>25</v>
      </c>
      <c r="BY35" t="str">
        <v>-0.315311</v>
      </c>
      <c r="BZ35" t="str">
        <v>92.446091</v>
      </c>
      <c r="CA35" t="str">
        <v>92.729141</v>
      </c>
      <c r="CB35" t="str">
        <v>-0.283051</v>
      </c>
      <c r="CC35" t="str">
        <v>2.438993</v>
      </c>
      <c r="CD35" t="str">
        <v>2.453439</v>
      </c>
      <c r="CE35" t="str">
        <v>1.656201</v>
      </c>
      <c r="CF35" t="str">
        <v>0.941289</v>
      </c>
      <c r="CG35" t="str">
        <v>0.298757</v>
      </c>
      <c r="CH35" t="str">
        <v>-0.028700</v>
      </c>
      <c r="CI35" t="str">
        <v>0.200321</v>
      </c>
      <c r="CJ35" t="str">
        <v>0.326410</v>
      </c>
      <c r="CK35" t="str">
        <v>88.114502</v>
      </c>
      <c r="CL35" t="str">
        <v>0.000238</v>
      </c>
      <c r="CM35" t="str">
        <v>2.388960</v>
      </c>
      <c r="CN35" t="str">
        <v>-0.000025</v>
      </c>
      <c r="CO35" t="str">
        <v>1.000000</v>
      </c>
      <c r="CP35" t="str">
        <v>2.402765</v>
      </c>
      <c r="CQ35" t="str">
        <v>-0.000034</v>
      </c>
      <c r="CR35" t="str">
        <v>1.000000</v>
      </c>
      <c r="CS35" t="str">
        <v>0.600816</v>
      </c>
      <c r="CT35" t="str">
        <v>0.600971</v>
      </c>
      <c r="CU35" t="str">
        <v>0.107301</v>
      </c>
      <c r="CV35" t="str">
        <v>0.000000</v>
      </c>
      <c r="CW35" t="str">
        <v>PSF-00438_20251212140305_472</v>
      </c>
      <c r="CX35" t="str">
        <v>PFA-00474</v>
      </c>
      <c r="CY35" t="str">
        <v>PSA-00486</v>
      </c>
      <c r="CZ35" t="str">
        <v>PSF-00438</v>
      </c>
      <c r="DA35" t="str">
        <v>RHS-00603</v>
      </c>
      <c r="DB35" t="str">
        <v>3.0.0</v>
      </c>
      <c r="DC35" t="str">
        <v>2025-12-11T16:13:02.852Z</v>
      </c>
    </row>
    <row r="36">
      <c r="A36" t="str">
        <v>33</v>
      </c>
      <c r="B36" t="str">
        <v>14:03:29</v>
      </c>
      <c r="C36" t="str">
        <v>2025-12-12</v>
      </c>
      <c r="D36" t="str">
        <v>TT25_psf</v>
      </c>
      <c r="E36" t="str">
        <v>eap</v>
      </c>
      <c r="F36" t="str">
        <v/>
      </c>
      <c r="G36" t="str">
        <v>3043_Tri_purple</v>
      </c>
      <c r="H36" t="str">
        <v/>
      </c>
      <c r="I36" t="str">
        <v/>
      </c>
      <c r="J36" t="str">
        <f>1/((1/L36)-(1/K36))</f>
        <v>0.018818</v>
      </c>
      <c r="K36" t="str">
        <f>BH36+(BI36*AN36)+(BJ36*AN36*POWER(V36,2))+(BK36*AN36*V36)+(BL36*POWER(AN36,2))</f>
        <v>2.921678</v>
      </c>
      <c r="L36" t="str">
        <f>((M36/1000)*(1000-((T36+S36)/2)))/(T36-S36)</f>
        <v>0.018698</v>
      </c>
      <c r="M36" t="str">
        <f>(AN36*(S36-R36))/(100*U36*(1000-S36))*1000</f>
        <v>0.332116</v>
      </c>
      <c r="N36" t="str">
        <v>0.808720</v>
      </c>
      <c r="O36" t="str">
        <v>0.800330</v>
      </c>
      <c r="P36" t="str">
        <f>0.61365*EXP((17.502*AL36)/(240.97+AL36))</f>
        <v>2.386197</v>
      </c>
      <c r="Q36" t="str">
        <f>P36-N36</f>
        <v>1.577477</v>
      </c>
      <c r="R36" t="str">
        <v>8.852502</v>
      </c>
      <c r="S36" t="str">
        <v>8.945299</v>
      </c>
      <c r="T36" t="str">
        <f>(P36/AM36)*1000</f>
        <v>26.393871</v>
      </c>
      <c r="U36" t="str">
        <f>V36*BG36</f>
        <v>0.441786</v>
      </c>
      <c r="V36" t="str">
        <v>7.500000</v>
      </c>
      <c r="W36" t="str">
        <v>PSF-00438_20251212140329_e49</v>
      </c>
      <c r="X36" t="str">
        <v>0.000000</v>
      </c>
      <c r="Y36" t="str">
        <v>0.000000</v>
      </c>
      <c r="Z36" t="str">
        <v>0.000000</v>
      </c>
      <c r="AA36" t="str">
        <v>103.987099</v>
      </c>
      <c r="AB36" t="str">
        <v>175.964111</v>
      </c>
      <c r="AC36" t="str">
        <v>0.409044</v>
      </c>
      <c r="AD36" t="str">
        <v>0.5</v>
      </c>
      <c r="AE36" t="str">
        <v>0.80</v>
      </c>
      <c r="AF36" t="str">
        <f>AC36*AD36*AE36*AQ36</f>
        <v>36.480839</v>
      </c>
      <c r="AG36" t="str">
        <v>1.000000</v>
      </c>
      <c r="AH36" t="str">
        <v>29.27</v>
      </c>
      <c r="AI36" t="str">
        <v>28.97</v>
      </c>
      <c r="AJ36" t="str">
        <v>22.67</v>
      </c>
      <c r="AK36" t="str">
        <v>20.27</v>
      </c>
      <c r="AL36" t="str">
        <f>(AK36-AJ36)*(AJ36*0+0)+AK36</f>
        <v>20.27</v>
      </c>
      <c r="AM36" t="str">
        <v>90.41</v>
      </c>
      <c r="AN36" t="str">
        <v>156.7</v>
      </c>
      <c r="AO36" t="str">
        <v>158.4</v>
      </c>
      <c r="AP36" t="str">
        <v>-1.1</v>
      </c>
      <c r="AQ36" t="str">
        <v>223</v>
      </c>
      <c r="AR36" t="str">
        <v>4.027</v>
      </c>
      <c r="AS36" t="str">
        <v>14:01:01</v>
      </c>
      <c r="AT36" t="str">
        <v>2025-12-12</v>
      </c>
      <c r="AU36" t="str">
        <v>-0.19</v>
      </c>
      <c r="AV36" t="str">
        <v>1</v>
      </c>
      <c r="AW36" t="str">
        <v>0.000</v>
      </c>
      <c r="AX36" t="str">
        <v>-0.001</v>
      </c>
      <c r="AY36" t="str">
        <v>-9999.000</v>
      </c>
      <c r="AZ36" t="str">
        <v>-1.151</v>
      </c>
      <c r="BA36" t="str">
        <v>1.318</v>
      </c>
      <c r="BB36" t="str">
        <v>-9999.000</v>
      </c>
      <c r="BC36" t="str">
        <v>1</v>
      </c>
      <c r="BD36" t="str">
        <v>150</v>
      </c>
      <c r="BE36" t="str">
        <v>0.005</v>
      </c>
      <c r="BF36" t="str">
        <v>2.000000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0</v>
      </c>
      <c r="BO36" t="str">
        <v>mpf</v>
      </c>
      <c r="BP36" t="str">
        <v>7000</v>
      </c>
      <c r="BQ36" t="str">
        <v>500</v>
      </c>
      <c r="BR36" t="str">
        <v>5.000000</v>
      </c>
      <c r="BS36" t="str">
        <v>2.000000</v>
      </c>
      <c r="BT36" t="str">
        <v>300</v>
      </c>
      <c r="BU36" t="str">
        <v>300</v>
      </c>
      <c r="BV36" t="str">
        <v>300</v>
      </c>
      <c r="BW36" t="str">
        <v>175.223709</v>
      </c>
      <c r="BX36" t="str">
        <v>25</v>
      </c>
      <c r="BY36" t="str">
        <v>-0.470233</v>
      </c>
      <c r="BZ36" t="str">
        <v>175.674683</v>
      </c>
      <c r="CA36" t="str">
        <v>175.291916</v>
      </c>
      <c r="CB36" t="str">
        <v>0.382767</v>
      </c>
      <c r="CC36" t="str">
        <v>2.438807</v>
      </c>
      <c r="CD36" t="str">
        <v>2.453496</v>
      </c>
      <c r="CE36" t="str">
        <v>1.655468</v>
      </c>
      <c r="CF36" t="str">
        <v>0.942516</v>
      </c>
      <c r="CG36" t="str">
        <v>0.299406</v>
      </c>
      <c r="CH36" t="str">
        <v>-0.025772</v>
      </c>
      <c r="CI36" t="str">
        <v>0.202969</v>
      </c>
      <c r="CJ36" t="str">
        <v>0.307873</v>
      </c>
      <c r="CK36" t="str">
        <v>103.987099</v>
      </c>
      <c r="CL36" t="str">
        <v>0.000241</v>
      </c>
      <c r="CM36" t="str">
        <v>2.388960</v>
      </c>
      <c r="CN36" t="str">
        <v>-0.000025</v>
      </c>
      <c r="CO36" t="str">
        <v>1.000000</v>
      </c>
      <c r="CP36" t="str">
        <v>2.402765</v>
      </c>
      <c r="CQ36" t="str">
        <v>-0.000034</v>
      </c>
      <c r="CR36" t="str">
        <v>1.000000</v>
      </c>
      <c r="CS36" t="str">
        <v>0.600816</v>
      </c>
      <c r="CT36" t="str">
        <v>0.600971</v>
      </c>
      <c r="CU36" t="str">
        <v>0.107301</v>
      </c>
      <c r="CV36" t="str">
        <v>0.000000</v>
      </c>
      <c r="CW36" t="str">
        <v>PSF-00438_20251212140329_e49</v>
      </c>
      <c r="CX36" t="str">
        <v>PFA-00474</v>
      </c>
      <c r="CY36" t="str">
        <v>PSA-00486</v>
      </c>
      <c r="CZ36" t="str">
        <v>PSF-00438</v>
      </c>
      <c r="DA36" t="str">
        <v>RHS-00603</v>
      </c>
      <c r="DB36" t="str">
        <v>3.0.0</v>
      </c>
      <c r="DC36" t="str">
        <v>2025-12-11T16:13:02.852Z</v>
      </c>
    </row>
    <row r="37">
      <c r="A37" t="str">
        <v>34</v>
      </c>
      <c r="B37" t="str">
        <v>14:03:47</v>
      </c>
      <c r="C37" t="str">
        <v>2025-12-12</v>
      </c>
      <c r="D37" t="str">
        <v>TT25_psf</v>
      </c>
      <c r="E37" t="str">
        <v>eap</v>
      </c>
      <c r="F37" t="str">
        <v/>
      </c>
      <c r="G37" t="str">
        <v>2941_Tri_purple</v>
      </c>
      <c r="H37" t="str">
        <v/>
      </c>
      <c r="I37" t="str">
        <v/>
      </c>
      <c r="J37" t="str">
        <f>1/((1/L37)-(1/K37))</f>
        <v>0.013618</v>
      </c>
      <c r="K37" t="str">
        <f>BH37+(BI37*AN37)+(BJ37*AN37*POWER(V37,2))+(BK37*AN37*V37)+(BL37*POWER(AN37,2))</f>
        <v>2.922245</v>
      </c>
      <c r="L37" t="str">
        <f>((M37/1000)*(1000-((T37+S37)/2)))/(T37-S37)</f>
        <v>0.013555</v>
      </c>
      <c r="M37" t="str">
        <f>(AN37*(S37-R37))/(100*U37*(1000-S37))*1000</f>
        <v>0.221268</v>
      </c>
      <c r="N37" t="str">
        <v>0.813000</v>
      </c>
      <c r="O37" t="str">
        <v>0.807413</v>
      </c>
      <c r="P37" t="str">
        <f>0.61365*EXP((17.502*AL37)/(240.97+AL37))</f>
        <v>2.263807</v>
      </c>
      <c r="Q37" t="str">
        <f>P37-N37</f>
        <v>1.450806</v>
      </c>
      <c r="R37" t="str">
        <v>8.930006</v>
      </c>
      <c r="S37" t="str">
        <v>8.991800</v>
      </c>
      <c r="T37" t="str">
        <f>(P37/AM37)*1000</f>
        <v>25.037746</v>
      </c>
      <c r="U37" t="str">
        <f>V37*BG37</f>
        <v>0.441786</v>
      </c>
      <c r="V37" t="str">
        <v>7.500000</v>
      </c>
      <c r="W37" t="str">
        <v>PSF-00438_20251212140347_f1e</v>
      </c>
      <c r="X37" t="str">
        <v>0.000000</v>
      </c>
      <c r="Y37" t="str">
        <v>0.000000</v>
      </c>
      <c r="Z37" t="str">
        <v>0.000000</v>
      </c>
      <c r="AA37" t="str">
        <v>104.156967</v>
      </c>
      <c r="AB37" t="str">
        <v>222.037781</v>
      </c>
      <c r="AC37" t="str">
        <v>0.530904</v>
      </c>
      <c r="AD37" t="str">
        <v>0.5</v>
      </c>
      <c r="AE37" t="str">
        <v>0.80</v>
      </c>
      <c r="AF37" t="str">
        <f>AC37*AD37*AE37*AQ37</f>
        <v>47.771271</v>
      </c>
      <c r="AG37" t="str">
        <v>1.000000</v>
      </c>
      <c r="AH37" t="str">
        <v>29.50</v>
      </c>
      <c r="AI37" t="str">
        <v>29.29</v>
      </c>
      <c r="AJ37" t="str">
        <v>22.62</v>
      </c>
      <c r="AK37" t="str">
        <v>19.42</v>
      </c>
      <c r="AL37" t="str">
        <f>(AK37-AJ37)*(AJ37*0+0)+AK37</f>
        <v>19.42</v>
      </c>
      <c r="AM37" t="str">
        <v>90.42</v>
      </c>
      <c r="AN37" t="str">
        <v>156.8</v>
      </c>
      <c r="AO37" t="str">
        <v>158.8</v>
      </c>
      <c r="AP37" t="str">
        <v>-1.3</v>
      </c>
      <c r="AQ37" t="str">
        <v>225</v>
      </c>
      <c r="AR37" t="str">
        <v>4.026</v>
      </c>
      <c r="AS37" t="str">
        <v>14:01:01</v>
      </c>
      <c r="AT37" t="str">
        <v>2025-12-12</v>
      </c>
      <c r="AU37" t="str">
        <v>-0.19</v>
      </c>
      <c r="AV37" t="str">
        <v>1</v>
      </c>
      <c r="AW37" t="str">
        <v>0.001</v>
      </c>
      <c r="AX37" t="str">
        <v>-0.000</v>
      </c>
      <c r="AY37" t="str">
        <v>-9999.000</v>
      </c>
      <c r="AZ37" t="str">
        <v>0.150</v>
      </c>
      <c r="BA37" t="str">
        <v>0.237</v>
      </c>
      <c r="BB37" t="str">
        <v>-9999.000</v>
      </c>
      <c r="BC37" t="str">
        <v>1</v>
      </c>
      <c r="BD37" t="str">
        <v>150</v>
      </c>
      <c r="BE37" t="str">
        <v>0.005</v>
      </c>
      <c r="BF37" t="str">
        <v>2.000000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0</v>
      </c>
      <c r="BO37" t="str">
        <v>mpf</v>
      </c>
      <c r="BP37" t="str">
        <v>7000</v>
      </c>
      <c r="BQ37" t="str">
        <v>500</v>
      </c>
      <c r="BR37" t="str">
        <v>5.000000</v>
      </c>
      <c r="BS37" t="str">
        <v>2.000000</v>
      </c>
      <c r="BT37" t="str">
        <v>300</v>
      </c>
      <c r="BU37" t="str">
        <v>300</v>
      </c>
      <c r="BV37" t="str">
        <v>300</v>
      </c>
      <c r="BW37" t="str">
        <v>216.663116</v>
      </c>
      <c r="BX37" t="str">
        <v>25</v>
      </c>
      <c r="BY37" t="str">
        <v>-3.738171</v>
      </c>
      <c r="BZ37" t="str">
        <v>216.771118</v>
      </c>
      <c r="CA37" t="str">
        <v>216.694092</v>
      </c>
      <c r="CB37" t="str">
        <v>0.077026</v>
      </c>
      <c r="CC37" t="str">
        <v>2.439295</v>
      </c>
      <c r="CD37" t="str">
        <v>2.453838</v>
      </c>
      <c r="CE37" t="str">
        <v>1.656061</v>
      </c>
      <c r="CF37" t="str">
        <v>0.943300</v>
      </c>
      <c r="CG37" t="str">
        <v>0.299887</v>
      </c>
      <c r="CH37" t="str">
        <v>-0.034500</v>
      </c>
      <c r="CI37" t="str">
        <v>0.204864</v>
      </c>
      <c r="CJ37" t="str">
        <v>0.309661</v>
      </c>
      <c r="CK37" t="str">
        <v>104.156967</v>
      </c>
      <c r="CL37" t="str">
        <v>0.000239</v>
      </c>
      <c r="CM37" t="str">
        <v>2.388960</v>
      </c>
      <c r="CN37" t="str">
        <v>-0.000025</v>
      </c>
      <c r="CO37" t="str">
        <v>1.000000</v>
      </c>
      <c r="CP37" t="str">
        <v>2.402765</v>
      </c>
      <c r="CQ37" t="str">
        <v>-0.000034</v>
      </c>
      <c r="CR37" t="str">
        <v>1.000000</v>
      </c>
      <c r="CS37" t="str">
        <v>0.600816</v>
      </c>
      <c r="CT37" t="str">
        <v>0.600971</v>
      </c>
      <c r="CU37" t="str">
        <v>0.107301</v>
      </c>
      <c r="CV37" t="str">
        <v>0.000000</v>
      </c>
      <c r="CW37" t="str">
        <v>PSF-00438_20251212140347_f1e</v>
      </c>
      <c r="CX37" t="str">
        <v>PFA-00474</v>
      </c>
      <c r="CY37" t="str">
        <v>PSA-00486</v>
      </c>
      <c r="CZ37" t="str">
        <v>PSF-00438</v>
      </c>
      <c r="DA37" t="str">
        <v>RHS-00603</v>
      </c>
      <c r="DB37" t="str">
        <v>3.0.0</v>
      </c>
      <c r="DC37" t="str">
        <v>2025-12-11T16:13:02.852Z</v>
      </c>
    </row>
    <row r="38">
      <c r="A38" t="str">
        <v>35</v>
      </c>
      <c r="B38" t="str">
        <v>14:04:03</v>
      </c>
      <c r="C38" t="str">
        <v>2025-12-12</v>
      </c>
      <c r="D38" t="str">
        <v>TT25_psf</v>
      </c>
      <c r="E38" t="str">
        <v>eap</v>
      </c>
      <c r="F38" t="str">
        <v/>
      </c>
      <c r="G38" t="str">
        <v>5641_Tri_purple</v>
      </c>
      <c r="H38" t="str">
        <v/>
      </c>
      <c r="I38" t="str">
        <v/>
      </c>
      <c r="J38" t="str">
        <f>1/((1/L38)-(1/K38))</f>
        <v>0.001793</v>
      </c>
      <c r="K38" t="str">
        <f>BH38+(BI38*AN38)+(BJ38*AN38*POWER(V38,2))+(BK38*AN38*V38)+(BL38*POWER(AN38,2))</f>
        <v>2.923119</v>
      </c>
      <c r="L38" t="str">
        <f>((M38/1000)*(1000-((T38+S38)/2)))/(T38-S38)</f>
        <v>0.001792</v>
      </c>
      <c r="M38" t="str">
        <f>(AN38*(S38-R38))/(100*U38*(1000-S38))*1000</f>
        <v>0.030679</v>
      </c>
      <c r="N38" t="str">
        <v>0.804603</v>
      </c>
      <c r="O38" t="str">
        <v>0.803829</v>
      </c>
      <c r="P38" t="str">
        <f>0.61365*EXP((17.502*AL38)/(240.97+AL38))</f>
        <v>2.325349</v>
      </c>
      <c r="Q38" t="str">
        <f>P38-N38</f>
        <v>1.520746</v>
      </c>
      <c r="R38" t="str">
        <v>8.891175</v>
      </c>
      <c r="S38" t="str">
        <v>8.899738</v>
      </c>
      <c r="T38" t="str">
        <f>(P38/AM38)*1000</f>
        <v>25.720757</v>
      </c>
      <c r="U38" t="str">
        <f>V38*BG38</f>
        <v>0.441786</v>
      </c>
      <c r="V38" t="str">
        <v>7.500000</v>
      </c>
      <c r="W38" t="str">
        <v>PSF-00438_20251212140403_7fb</v>
      </c>
      <c r="X38" t="str">
        <v>0.000000</v>
      </c>
      <c r="Y38" t="str">
        <v>0.000000</v>
      </c>
      <c r="Z38" t="str">
        <v>0.000000</v>
      </c>
      <c r="AA38" t="str">
        <v>93.721748</v>
      </c>
      <c r="AB38" t="str">
        <v>134.087921</v>
      </c>
      <c r="AC38" t="str">
        <v>0.301043</v>
      </c>
      <c r="AD38" t="str">
        <v>0.5</v>
      </c>
      <c r="AE38" t="str">
        <v>0.80</v>
      </c>
      <c r="AF38" t="str">
        <f>AC38*AD38*AE38*AQ38</f>
        <v>14.162313</v>
      </c>
      <c r="AG38" t="str">
        <v>1.000000</v>
      </c>
      <c r="AH38" t="str">
        <v>29.27</v>
      </c>
      <c r="AI38" t="str">
        <v>29.24</v>
      </c>
      <c r="AJ38" t="str">
        <v>22.58</v>
      </c>
      <c r="AK38" t="str">
        <v>19.85</v>
      </c>
      <c r="AL38" t="str">
        <f>(AK38-AJ38)*(AJ38*0+0)+AK38</f>
        <v>19.85</v>
      </c>
      <c r="AM38" t="str">
        <v>90.41</v>
      </c>
      <c r="AN38" t="str">
        <v>156.9</v>
      </c>
      <c r="AO38" t="str">
        <v>159.0</v>
      </c>
      <c r="AP38" t="str">
        <v>-1.4</v>
      </c>
      <c r="AQ38" t="str">
        <v>118</v>
      </c>
      <c r="AR38" t="str">
        <v>4.026</v>
      </c>
      <c r="AS38" t="str">
        <v>14:01:01</v>
      </c>
      <c r="AT38" t="str">
        <v>2025-12-12</v>
      </c>
      <c r="AU38" t="str">
        <v>-0.19</v>
      </c>
      <c r="AV38" t="str">
        <v>1</v>
      </c>
      <c r="AW38" t="str">
        <v>0.001</v>
      </c>
      <c r="AX38" t="str">
        <v>0.000</v>
      </c>
      <c r="AY38" t="str">
        <v>-9999.000</v>
      </c>
      <c r="AZ38" t="str">
        <v>0.236</v>
      </c>
      <c r="BA38" t="str">
        <v>-0.318</v>
      </c>
      <c r="BB38" t="str">
        <v>-9999.000</v>
      </c>
      <c r="BC38" t="str">
        <v>1</v>
      </c>
      <c r="BD38" t="str">
        <v>150</v>
      </c>
      <c r="BE38" t="str">
        <v>0.005</v>
      </c>
      <c r="BF38" t="str">
        <v>2.000000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0</v>
      </c>
      <c r="BO38" t="str">
        <v>mpf</v>
      </c>
      <c r="BP38" t="str">
        <v>7000</v>
      </c>
      <c r="BQ38" t="str">
        <v>500</v>
      </c>
      <c r="BR38" t="str">
        <v>5.000000</v>
      </c>
      <c r="BS38" t="str">
        <v>2.000000</v>
      </c>
      <c r="BT38" t="str">
        <v>300</v>
      </c>
      <c r="BU38" t="str">
        <v>300</v>
      </c>
      <c r="BV38" t="str">
        <v>300</v>
      </c>
      <c r="BW38" t="str">
        <v>134.087921</v>
      </c>
      <c r="BX38" t="str">
        <v>25</v>
      </c>
      <c r="BY38" t="str">
        <v>0.603284</v>
      </c>
      <c r="BZ38" t="str">
        <v>134.626511</v>
      </c>
      <c r="CA38" t="str">
        <v>134.950302</v>
      </c>
      <c r="CB38" t="str">
        <v>-0.323792</v>
      </c>
      <c r="CC38" t="str">
        <v>2.439220</v>
      </c>
      <c r="CD38" t="str">
        <v>2.453504</v>
      </c>
      <c r="CE38" t="str">
        <v>1.656978</v>
      </c>
      <c r="CF38" t="str">
        <v>0.944044</v>
      </c>
      <c r="CG38" t="str">
        <v>0.300390</v>
      </c>
      <c r="CH38" t="str">
        <v>-0.029378</v>
      </c>
      <c r="CI38" t="str">
        <v>0.206563</v>
      </c>
      <c r="CJ38" t="str">
        <v>0.213100</v>
      </c>
      <c r="CK38" t="str">
        <v>93.721748</v>
      </c>
      <c r="CL38" t="str">
        <v>0.000239</v>
      </c>
      <c r="CM38" t="str">
        <v>2.388960</v>
      </c>
      <c r="CN38" t="str">
        <v>-0.000025</v>
      </c>
      <c r="CO38" t="str">
        <v>1.000000</v>
      </c>
      <c r="CP38" t="str">
        <v>2.402765</v>
      </c>
      <c r="CQ38" t="str">
        <v>-0.000034</v>
      </c>
      <c r="CR38" t="str">
        <v>1.000000</v>
      </c>
      <c r="CS38" t="str">
        <v>0.600816</v>
      </c>
      <c r="CT38" t="str">
        <v>0.600971</v>
      </c>
      <c r="CU38" t="str">
        <v>0.107301</v>
      </c>
      <c r="CV38" t="str">
        <v>0.000000</v>
      </c>
      <c r="CW38" t="str">
        <v>PSF-00438_20251212140403_7fb</v>
      </c>
      <c r="CX38" t="str">
        <v>PFA-00474</v>
      </c>
      <c r="CY38" t="str">
        <v>PSA-00486</v>
      </c>
      <c r="CZ38" t="str">
        <v>PSF-00438</v>
      </c>
      <c r="DA38" t="str">
        <v>RHS-00603</v>
      </c>
      <c r="DB38" t="str">
        <v>3.0.0</v>
      </c>
      <c r="DC38" t="str">
        <v>2025-12-11T16:13:02.852Z</v>
      </c>
    </row>
    <row r="39">
      <c r="A39" t="str">
        <v>36</v>
      </c>
      <c r="B39" t="str">
        <v>14:04:20</v>
      </c>
      <c r="C39" t="str">
        <v>2025-12-12</v>
      </c>
      <c r="D39" t="str">
        <v>TT25_psf</v>
      </c>
      <c r="E39" t="str">
        <v>eap</v>
      </c>
      <c r="F39" t="str">
        <v/>
      </c>
      <c r="G39" t="str">
        <v>4414_Tri_purple</v>
      </c>
      <c r="H39" t="str">
        <v/>
      </c>
      <c r="I39" t="str">
        <v/>
      </c>
      <c r="J39" t="str">
        <f>1/((1/L39)-(1/K39))</f>
        <v>-0.003443</v>
      </c>
      <c r="K39" t="str">
        <f>BH39+(BI39*AN39)+(BJ39*AN39*POWER(V39,2))+(BK39*AN39*V39)+(BL39*POWER(AN39,2))</f>
        <v>2.921697</v>
      </c>
      <c r="L39" t="str">
        <f>((M39/1000)*(1000-((T39+S39)/2)))/(T39-S39)</f>
        <v>-0.003447</v>
      </c>
      <c r="M39" t="str">
        <f>(AN39*(S39-R39))/(100*U39*(1000-S39))*1000</f>
        <v>-0.058564</v>
      </c>
      <c r="N39" t="str">
        <v>0.802914</v>
      </c>
      <c r="O39" t="str">
        <v>0.804394</v>
      </c>
      <c r="P39" t="str">
        <f>0.61365*EXP((17.502*AL39)/(240.97+AL39))</f>
        <v>2.312219</v>
      </c>
      <c r="Q39" t="str">
        <f>P39-N39</f>
        <v>1.509305</v>
      </c>
      <c r="R39" t="str">
        <v>8.897743</v>
      </c>
      <c r="S39" t="str">
        <v>8.881379</v>
      </c>
      <c r="T39" t="str">
        <f>(P39/AM39)*1000</f>
        <v>25.576441</v>
      </c>
      <c r="U39" t="str">
        <f>V39*BG39</f>
        <v>0.441786</v>
      </c>
      <c r="V39" t="str">
        <v>7.500000</v>
      </c>
      <c r="W39" t="str">
        <v>PSF-00438_20251212140420_0c3</v>
      </c>
      <c r="X39" t="str">
        <v>0.000000</v>
      </c>
      <c r="Y39" t="str">
        <v>0.000000</v>
      </c>
      <c r="Z39" t="str">
        <v>0.000000</v>
      </c>
      <c r="AA39" t="str">
        <v>98.942757</v>
      </c>
      <c r="AB39" t="str">
        <v>113.921150</v>
      </c>
      <c r="AC39" t="str">
        <v>0.131480</v>
      </c>
      <c r="AD39" t="str">
        <v>0.5</v>
      </c>
      <c r="AE39" t="str">
        <v>0.80</v>
      </c>
      <c r="AF39" t="str">
        <f>AC39*AD39*AE39*AQ39</f>
        <v>8.391003</v>
      </c>
      <c r="AG39" t="str">
        <v>1.000000</v>
      </c>
      <c r="AH39" t="str">
        <v>29.28</v>
      </c>
      <c r="AI39" t="str">
        <v>29.34</v>
      </c>
      <c r="AJ39" t="str">
        <v>22.54</v>
      </c>
      <c r="AK39" t="str">
        <v>19.76</v>
      </c>
      <c r="AL39" t="str">
        <f>(AK39-AJ39)*(AJ39*0+0)+AK39</f>
        <v>19.76</v>
      </c>
      <c r="AM39" t="str">
        <v>90.40</v>
      </c>
      <c r="AN39" t="str">
        <v>156.7</v>
      </c>
      <c r="AO39" t="str">
        <v>158.6</v>
      </c>
      <c r="AP39" t="str">
        <v>-1.2</v>
      </c>
      <c r="AQ39" t="str">
        <v>160</v>
      </c>
      <c r="AR39" t="str">
        <v>4.025</v>
      </c>
      <c r="AS39" t="str">
        <v>14:01:01</v>
      </c>
      <c r="AT39" t="str">
        <v>2025-12-12</v>
      </c>
      <c r="AU39" t="str">
        <v>-0.19</v>
      </c>
      <c r="AV39" t="str">
        <v>1</v>
      </c>
      <c r="AW39" t="str">
        <v>0.001</v>
      </c>
      <c r="AX39" t="str">
        <v>0.001</v>
      </c>
      <c r="AY39" t="str">
        <v>-9999.000</v>
      </c>
      <c r="AZ39" t="str">
        <v>0.634</v>
      </c>
      <c r="BA39" t="str">
        <v>0.373</v>
      </c>
      <c r="BB39" t="str">
        <v>-9999.000</v>
      </c>
      <c r="BC39" t="str">
        <v>1</v>
      </c>
      <c r="BD39" t="str">
        <v>150</v>
      </c>
      <c r="BE39" t="str">
        <v>0.005</v>
      </c>
      <c r="BF39" t="str">
        <v>2.000000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0</v>
      </c>
      <c r="BO39" t="str">
        <v>mpf</v>
      </c>
      <c r="BP39" t="str">
        <v>7000</v>
      </c>
      <c r="BQ39" t="str">
        <v>500</v>
      </c>
      <c r="BR39" t="str">
        <v>5.000000</v>
      </c>
      <c r="BS39" t="str">
        <v>2.000000</v>
      </c>
      <c r="BT39" t="str">
        <v>300</v>
      </c>
      <c r="BU39" t="str">
        <v>300</v>
      </c>
      <c r="BV39" t="str">
        <v>300</v>
      </c>
      <c r="BW39" t="str">
        <v>113.719223</v>
      </c>
      <c r="BX39" t="str">
        <v>25</v>
      </c>
      <c r="BY39" t="str">
        <v>-0.083840</v>
      </c>
      <c r="BZ39" t="str">
        <v>113.802193</v>
      </c>
      <c r="CA39" t="str">
        <v>113.801300</v>
      </c>
      <c r="CB39" t="str">
        <v>0.000893</v>
      </c>
      <c r="CC39" t="str">
        <v>2.439376</v>
      </c>
      <c r="CD39" t="str">
        <v>2.453539</v>
      </c>
      <c r="CE39" t="str">
        <v>1.655488</v>
      </c>
      <c r="CF39" t="str">
        <v>0.942900</v>
      </c>
      <c r="CG39" t="str">
        <v>0.300934</v>
      </c>
      <c r="CH39" t="str">
        <v>-0.029861</v>
      </c>
      <c r="CI39" t="str">
        <v>0.208306</v>
      </c>
      <c r="CJ39" t="str">
        <v>0.250826</v>
      </c>
      <c r="CK39" t="str">
        <v>98.942757</v>
      </c>
      <c r="CL39" t="str">
        <v>0.000236</v>
      </c>
      <c r="CM39" t="str">
        <v>2.388960</v>
      </c>
      <c r="CN39" t="str">
        <v>-0.000025</v>
      </c>
      <c r="CO39" t="str">
        <v>1.000000</v>
      </c>
      <c r="CP39" t="str">
        <v>2.402765</v>
      </c>
      <c r="CQ39" t="str">
        <v>-0.000034</v>
      </c>
      <c r="CR39" t="str">
        <v>1.000000</v>
      </c>
      <c r="CS39" t="str">
        <v>0.600816</v>
      </c>
      <c r="CT39" t="str">
        <v>0.600971</v>
      </c>
      <c r="CU39" t="str">
        <v>0.107301</v>
      </c>
      <c r="CV39" t="str">
        <v>0.000000</v>
      </c>
      <c r="CW39" t="str">
        <v>PSF-00438_20251212140420_0c3</v>
      </c>
      <c r="CX39" t="str">
        <v>PFA-00474</v>
      </c>
      <c r="CY39" t="str">
        <v>PSA-00486</v>
      </c>
      <c r="CZ39" t="str">
        <v>PSF-00438</v>
      </c>
      <c r="DA39" t="str">
        <v>RHS-00603</v>
      </c>
      <c r="DB39" t="str">
        <v>3.0.0</v>
      </c>
      <c r="DC39" t="str">
        <v>2025-12-11T16:13:02.852Z</v>
      </c>
    </row>
    <row r="40">
      <c r="A40" t="str">
        <v>37</v>
      </c>
      <c r="B40" t="str">
        <v>14:04:37</v>
      </c>
      <c r="C40" t="str">
        <v>2025-12-12</v>
      </c>
      <c r="D40" t="str">
        <v>TT25_psf</v>
      </c>
      <c r="E40" t="str">
        <v>eap</v>
      </c>
      <c r="F40" t="str">
        <v/>
      </c>
      <c r="G40" t="str">
        <v>3563_Tri_purple</v>
      </c>
      <c r="H40" t="str">
        <v/>
      </c>
      <c r="I40" t="str">
        <v/>
      </c>
      <c r="J40" t="str">
        <f>1/((1/L40)-(1/K40))</f>
        <v>-0.001818</v>
      </c>
      <c r="K40" t="str">
        <f>BH40+(BI40*AN40)+(BJ40*AN40*POWER(V40,2))+(BK40*AN40*V40)+(BL40*POWER(AN40,2))</f>
        <v>2.921376</v>
      </c>
      <c r="L40" t="str">
        <f>((M40/1000)*(1000-((T40+S40)/2)))/(T40-S40)</f>
        <v>-0.001819</v>
      </c>
      <c r="M40" t="str">
        <f>(AN40*(S40-R40))/(100*U40*(1000-S40))*1000</f>
        <v>-0.033111</v>
      </c>
      <c r="N40" t="str">
        <v>0.801987</v>
      </c>
      <c r="O40" t="str">
        <v>0.802823</v>
      </c>
      <c r="P40" t="str">
        <f>0.61365*EXP((17.502*AL40)/(240.97+AL40))</f>
        <v>2.418213</v>
      </c>
      <c r="Q40" t="str">
        <f>P40-N40</f>
        <v>1.616226</v>
      </c>
      <c r="R40" t="str">
        <v>8.880273</v>
      </c>
      <c r="S40" t="str">
        <v>8.871018</v>
      </c>
      <c r="T40" t="str">
        <f>(P40/AM40)*1000</f>
        <v>26.748589</v>
      </c>
      <c r="U40" t="str">
        <f>V40*BG40</f>
        <v>0.441786</v>
      </c>
      <c r="V40" t="str">
        <v>7.500000</v>
      </c>
      <c r="W40" t="str">
        <v>PSF-00438_20251212140437_ec4</v>
      </c>
      <c r="X40" t="str">
        <v>0.000000</v>
      </c>
      <c r="Y40" t="str">
        <v>0.000000</v>
      </c>
      <c r="Z40" t="str">
        <v>0.000000</v>
      </c>
      <c r="AA40" t="str">
        <v>91.472626</v>
      </c>
      <c r="AB40" t="str">
        <v>149.615051</v>
      </c>
      <c r="AC40" t="str">
        <v>0.388613</v>
      </c>
      <c r="AD40" t="str">
        <v>0.5</v>
      </c>
      <c r="AE40" t="str">
        <v>0.80</v>
      </c>
      <c r="AF40" t="str">
        <f>AC40*AD40*AE40*AQ40</f>
        <v>15.674446</v>
      </c>
      <c r="AG40" t="str">
        <v>1.000000</v>
      </c>
      <c r="AH40" t="str">
        <v>29.33</v>
      </c>
      <c r="AI40" t="str">
        <v>29.36</v>
      </c>
      <c r="AJ40" t="str">
        <v>22.49</v>
      </c>
      <c r="AK40" t="str">
        <v>20.49</v>
      </c>
      <c r="AL40" t="str">
        <f>(AK40-AJ40)*(AJ40*0+0)+AK40</f>
        <v>20.49</v>
      </c>
      <c r="AM40" t="str">
        <v>90.41</v>
      </c>
      <c r="AN40" t="str">
        <v>156.7</v>
      </c>
      <c r="AO40" t="str">
        <v>158.7</v>
      </c>
      <c r="AP40" t="str">
        <v>-1.3</v>
      </c>
      <c r="AQ40" t="str">
        <v>101</v>
      </c>
      <c r="AR40" t="str">
        <v>4.024</v>
      </c>
      <c r="AS40" t="str">
        <v>14:01:01</v>
      </c>
      <c r="AT40" t="str">
        <v>2025-12-12</v>
      </c>
      <c r="AU40" t="str">
        <v>-0.19</v>
      </c>
      <c r="AV40" t="str">
        <v>1</v>
      </c>
      <c r="AW40" t="str">
        <v>0.000</v>
      </c>
      <c r="AX40" t="str">
        <v>0.001</v>
      </c>
      <c r="AY40" t="str">
        <v>-9999.000</v>
      </c>
      <c r="AZ40" t="str">
        <v>-0.090</v>
      </c>
      <c r="BA40" t="str">
        <v>0.641</v>
      </c>
      <c r="BB40" t="str">
        <v>-9999.000</v>
      </c>
      <c r="BC40" t="str">
        <v>1</v>
      </c>
      <c r="BD40" t="str">
        <v>150</v>
      </c>
      <c r="BE40" t="str">
        <v>0.005</v>
      </c>
      <c r="BF40" t="str">
        <v>2.000000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0</v>
      </c>
      <c r="BO40" t="str">
        <v>mpf</v>
      </c>
      <c r="BP40" t="str">
        <v>7000</v>
      </c>
      <c r="BQ40" t="str">
        <v>500</v>
      </c>
      <c r="BR40" t="str">
        <v>5.000000</v>
      </c>
      <c r="BS40" t="str">
        <v>2.000000</v>
      </c>
      <c r="BT40" t="str">
        <v>300</v>
      </c>
      <c r="BU40" t="str">
        <v>300</v>
      </c>
      <c r="BV40" t="str">
        <v>300</v>
      </c>
      <c r="BW40" t="str">
        <v>149.615051</v>
      </c>
      <c r="BX40" t="str">
        <v>25</v>
      </c>
      <c r="BY40" t="str">
        <v>0.233294</v>
      </c>
      <c r="BZ40" t="str">
        <v>150.065308</v>
      </c>
      <c r="CA40" t="str">
        <v>149.948547</v>
      </c>
      <c r="CB40" t="str">
        <v>0.116760</v>
      </c>
      <c r="CC40" t="str">
        <v>2.439413</v>
      </c>
      <c r="CD40" t="str">
        <v>2.453612</v>
      </c>
      <c r="CE40" t="str">
        <v>1.655151</v>
      </c>
      <c r="CF40" t="str">
        <v>0.943115</v>
      </c>
      <c r="CG40" t="str">
        <v>0.301461</v>
      </c>
      <c r="CH40" t="str">
        <v>-0.021522</v>
      </c>
      <c r="CI40" t="str">
        <v>0.210063</v>
      </c>
      <c r="CJ40" t="str">
        <v>0.198010</v>
      </c>
      <c r="CK40" t="str">
        <v>91.472626</v>
      </c>
      <c r="CL40" t="str">
        <v>0.000239</v>
      </c>
      <c r="CM40" t="str">
        <v>2.388960</v>
      </c>
      <c r="CN40" t="str">
        <v>-0.000025</v>
      </c>
      <c r="CO40" t="str">
        <v>1.000000</v>
      </c>
      <c r="CP40" t="str">
        <v>2.402765</v>
      </c>
      <c r="CQ40" t="str">
        <v>-0.000034</v>
      </c>
      <c r="CR40" t="str">
        <v>1.000000</v>
      </c>
      <c r="CS40" t="str">
        <v>0.600816</v>
      </c>
      <c r="CT40" t="str">
        <v>0.600971</v>
      </c>
      <c r="CU40" t="str">
        <v>0.107301</v>
      </c>
      <c r="CV40" t="str">
        <v>0.000000</v>
      </c>
      <c r="CW40" t="str">
        <v>PSF-00438_20251212140437_ec4</v>
      </c>
      <c r="CX40" t="str">
        <v>PFA-00474</v>
      </c>
      <c r="CY40" t="str">
        <v>PSA-00486</v>
      </c>
      <c r="CZ40" t="str">
        <v>PSF-00438</v>
      </c>
      <c r="DA40" t="str">
        <v>RHS-00603</v>
      </c>
      <c r="DB40" t="str">
        <v>3.0.0</v>
      </c>
      <c r="DC40" t="str">
        <v>2025-12-11T16:13:02.852Z</v>
      </c>
    </row>
    <row r="41">
      <c r="A41" t="str">
        <v>38</v>
      </c>
      <c r="B41" t="str">
        <v>14:04:52</v>
      </c>
      <c r="C41" t="str">
        <v>2025-12-12</v>
      </c>
      <c r="D41" t="str">
        <v>TT25_psf</v>
      </c>
      <c r="E41" t="str">
        <v>eap</v>
      </c>
      <c r="F41" t="str">
        <v/>
      </c>
      <c r="G41" t="str">
        <v>4105_Tri_purple</v>
      </c>
      <c r="H41" t="str">
        <v/>
      </c>
      <c r="I41" t="str">
        <v/>
      </c>
      <c r="J41" t="str">
        <f>1/((1/L41)-(1/K41))</f>
        <v>-0.004842</v>
      </c>
      <c r="K41" t="str">
        <f>BH41+(BI41*AN41)+(BJ41*AN41*POWER(V41,2))+(BK41*AN41*V41)+(BL41*POWER(AN41,2))</f>
        <v>2.920453</v>
      </c>
      <c r="L41" t="str">
        <f>((M41/1000)*(1000-((T41+S41)/2)))/(T41-S41)</f>
        <v>-0.004850</v>
      </c>
      <c r="M41" t="str">
        <f>(AN41*(S41-R41))/(100*U41*(1000-S41))*1000</f>
        <v>-0.088125</v>
      </c>
      <c r="N41" t="str">
        <v>0.813660</v>
      </c>
      <c r="O41" t="str">
        <v>0.815888</v>
      </c>
      <c r="P41" t="str">
        <f>0.61365*EXP((17.502*AL41)/(240.97+AL41))</f>
        <v>2.426838</v>
      </c>
      <c r="Q41" t="str">
        <f>P41-N41</f>
        <v>1.613178</v>
      </c>
      <c r="R41" t="str">
        <v>9.025212</v>
      </c>
      <c r="S41" t="str">
        <v>9.000566</v>
      </c>
      <c r="T41" t="str">
        <f>(P41/AM41)*1000</f>
        <v>26.845259</v>
      </c>
      <c r="U41" t="str">
        <f>V41*BG41</f>
        <v>0.441786</v>
      </c>
      <c r="V41" t="str">
        <v>7.500000</v>
      </c>
      <c r="W41" t="str">
        <v>PSF-00438_20251212140452_94a</v>
      </c>
      <c r="X41" t="str">
        <v>0.000000</v>
      </c>
      <c r="Y41" t="str">
        <v>0.000000</v>
      </c>
      <c r="Z41" t="str">
        <v>0.000000</v>
      </c>
      <c r="AA41" t="str">
        <v>124.171974</v>
      </c>
      <c r="AB41" t="str">
        <v>172.127335</v>
      </c>
      <c r="AC41" t="str">
        <v>0.278604</v>
      </c>
      <c r="AD41" t="str">
        <v>0.5</v>
      </c>
      <c r="AE41" t="str">
        <v>0.80</v>
      </c>
      <c r="AF41" t="str">
        <f>AC41*AD41*AE41*AQ41</f>
        <v>14.959372</v>
      </c>
      <c r="AG41" t="str">
        <v>1.000000</v>
      </c>
      <c r="AH41" t="str">
        <v>29.82</v>
      </c>
      <c r="AI41" t="str">
        <v>29.90</v>
      </c>
      <c r="AJ41" t="str">
        <v>22.46</v>
      </c>
      <c r="AK41" t="str">
        <v>20.54</v>
      </c>
      <c r="AL41" t="str">
        <f>(AK41-AJ41)*(AJ41*0+0)+AK41</f>
        <v>20.54</v>
      </c>
      <c r="AM41" t="str">
        <v>90.40</v>
      </c>
      <c r="AN41" t="str">
        <v>156.5</v>
      </c>
      <c r="AO41" t="str">
        <v>158.6</v>
      </c>
      <c r="AP41" t="str">
        <v>-1.3</v>
      </c>
      <c r="AQ41" t="str">
        <v>134</v>
      </c>
      <c r="AR41" t="str">
        <v>4.024</v>
      </c>
      <c r="AS41" t="str">
        <v>14:01:01</v>
      </c>
      <c r="AT41" t="str">
        <v>2025-12-12</v>
      </c>
      <c r="AU41" t="str">
        <v>-0.19</v>
      </c>
      <c r="AV41" t="str">
        <v>1</v>
      </c>
      <c r="AW41" t="str">
        <v>0.001</v>
      </c>
      <c r="AX41" t="str">
        <v>-0.002</v>
      </c>
      <c r="AY41" t="str">
        <v>-9999.000</v>
      </c>
      <c r="AZ41" t="str">
        <v>-0.430</v>
      </c>
      <c r="BA41" t="str">
        <v>0.292</v>
      </c>
      <c r="BB41" t="str">
        <v>-9999.000</v>
      </c>
      <c r="BC41" t="str">
        <v>1</v>
      </c>
      <c r="BD41" t="str">
        <v>150</v>
      </c>
      <c r="BE41" t="str">
        <v>0.005</v>
      </c>
      <c r="BF41" t="str">
        <v>2.000000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0</v>
      </c>
      <c r="BO41" t="str">
        <v>mpf</v>
      </c>
      <c r="BP41" t="str">
        <v>7000</v>
      </c>
      <c r="BQ41" t="str">
        <v>500</v>
      </c>
      <c r="BR41" t="str">
        <v>5.000000</v>
      </c>
      <c r="BS41" t="str">
        <v>2.000000</v>
      </c>
      <c r="BT41" t="str">
        <v>300</v>
      </c>
      <c r="BU41" t="str">
        <v>300</v>
      </c>
      <c r="BV41" t="str">
        <v>300</v>
      </c>
      <c r="BW41" t="str">
        <v>171.757217</v>
      </c>
      <c r="BX41" t="str">
        <v>25</v>
      </c>
      <c r="BY41" t="str">
        <v>-0.244230</v>
      </c>
      <c r="BZ41" t="str">
        <v>171.572327</v>
      </c>
      <c r="CA41" t="str">
        <v>171.778214</v>
      </c>
      <c r="CB41" t="str">
        <v>-0.205887</v>
      </c>
      <c r="CC41" t="str">
        <v>2.440219</v>
      </c>
      <c r="CD41" t="str">
        <v>2.454349</v>
      </c>
      <c r="CE41" t="str">
        <v>1.654187</v>
      </c>
      <c r="CF41" t="str">
        <v>0.942864</v>
      </c>
      <c r="CG41" t="str">
        <v>0.301908</v>
      </c>
      <c r="CH41" t="str">
        <v>-0.020481</v>
      </c>
      <c r="CI41" t="str">
        <v>0.211581</v>
      </c>
      <c r="CJ41" t="str">
        <v>0.228055</v>
      </c>
      <c r="CK41" t="str">
        <v>124.171974</v>
      </c>
      <c r="CL41" t="str">
        <v>0.000237</v>
      </c>
      <c r="CM41" t="str">
        <v>2.388960</v>
      </c>
      <c r="CN41" t="str">
        <v>-0.000025</v>
      </c>
      <c r="CO41" t="str">
        <v>1.000000</v>
      </c>
      <c r="CP41" t="str">
        <v>2.402765</v>
      </c>
      <c r="CQ41" t="str">
        <v>-0.000034</v>
      </c>
      <c r="CR41" t="str">
        <v>1.000000</v>
      </c>
      <c r="CS41" t="str">
        <v>0.600816</v>
      </c>
      <c r="CT41" t="str">
        <v>0.600971</v>
      </c>
      <c r="CU41" t="str">
        <v>0.107301</v>
      </c>
      <c r="CV41" t="str">
        <v>0.000000</v>
      </c>
      <c r="CW41" t="str">
        <v>PSF-00438_20251212140452_94a</v>
      </c>
      <c r="CX41" t="str">
        <v>PFA-00474</v>
      </c>
      <c r="CY41" t="str">
        <v>PSA-00486</v>
      </c>
      <c r="CZ41" t="str">
        <v>PSF-00438</v>
      </c>
      <c r="DA41" t="str">
        <v>RHS-00603</v>
      </c>
      <c r="DB41" t="str">
        <v>3.0.0</v>
      </c>
      <c r="DC41" t="str">
        <v>2025-12-11T16:13:02.852Z</v>
      </c>
    </row>
    <row r="42">
      <c r="A42" t="str">
        <v>39</v>
      </c>
      <c r="B42" t="str">
        <v>14:05:08</v>
      </c>
      <c r="C42" t="str">
        <v>2025-12-12</v>
      </c>
      <c r="D42" t="str">
        <v>TT25_psf</v>
      </c>
      <c r="E42" t="str">
        <v>eap</v>
      </c>
      <c r="F42" t="str">
        <v/>
      </c>
      <c r="G42" t="str">
        <v>2131_Tri_purple</v>
      </c>
      <c r="H42" t="str">
        <v/>
      </c>
      <c r="I42" t="str">
        <v/>
      </c>
      <c r="J42" t="str">
        <f>1/((1/L42)-(1/K42))</f>
        <v>-0.002261</v>
      </c>
      <c r="K42" t="str">
        <f>BH42+(BI42*AN42)+(BJ42*AN42*POWER(V42,2))+(BK42*AN42*V42)+(BL42*POWER(AN42,2))</f>
        <v>2.922015</v>
      </c>
      <c r="L42" t="str">
        <f>((M42/1000)*(1000-((T42+S42)/2)))/(T42-S42)</f>
        <v>-0.002263</v>
      </c>
      <c r="M42" t="str">
        <f>(AN42*(S42-R42))/(100*U42*(1000-S42))*1000</f>
        <v>-0.041191</v>
      </c>
      <c r="N42" t="str">
        <v>0.812437</v>
      </c>
      <c r="O42" t="str">
        <v>0.813477</v>
      </c>
      <c r="P42" t="str">
        <f>0.61365*EXP((17.502*AL42)/(240.97+AL42))</f>
        <v>2.428598</v>
      </c>
      <c r="Q42" t="str">
        <f>P42-N42</f>
        <v>1.616161</v>
      </c>
      <c r="R42" t="str">
        <v>8.998164</v>
      </c>
      <c r="S42" t="str">
        <v>8.986658</v>
      </c>
      <c r="T42" t="str">
        <f>(P42/AM42)*1000</f>
        <v>26.863611</v>
      </c>
      <c r="U42" t="str">
        <f>V42*BG42</f>
        <v>0.441786</v>
      </c>
      <c r="V42" t="str">
        <v>7.500000</v>
      </c>
      <c r="W42" t="str">
        <v>PSF-00438_20251212140508_e4d</v>
      </c>
      <c r="X42" t="str">
        <v>0.000000</v>
      </c>
      <c r="Y42" t="str">
        <v>0.000000</v>
      </c>
      <c r="Z42" t="str">
        <v>0.000000</v>
      </c>
      <c r="AA42" t="str">
        <v>93.569397</v>
      </c>
      <c r="AB42" t="str">
        <v>120.600395</v>
      </c>
      <c r="AC42" t="str">
        <v>0.224137</v>
      </c>
      <c r="AD42" t="str">
        <v>0.5</v>
      </c>
      <c r="AE42" t="str">
        <v>0.80</v>
      </c>
      <c r="AF42" t="str">
        <f>AC42*AD42*AE42*AQ42</f>
        <v>18.853010</v>
      </c>
      <c r="AG42" t="str">
        <v>1.000000</v>
      </c>
      <c r="AH42" t="str">
        <v>29.84</v>
      </c>
      <c r="AI42" t="str">
        <v>29.88</v>
      </c>
      <c r="AJ42" t="str">
        <v>22.42</v>
      </c>
      <c r="AK42" t="str">
        <v>20.56</v>
      </c>
      <c r="AL42" t="str">
        <f>(AK42-AJ42)*(AJ42*0+0)+AK42</f>
        <v>20.56</v>
      </c>
      <c r="AM42" t="str">
        <v>90.40</v>
      </c>
      <c r="AN42" t="str">
        <v>156.7</v>
      </c>
      <c r="AO42" t="str">
        <v>158.5</v>
      </c>
      <c r="AP42" t="str">
        <v>-1.1</v>
      </c>
      <c r="AQ42" t="str">
        <v>210</v>
      </c>
      <c r="AR42" t="str">
        <v>3.992</v>
      </c>
      <c r="AS42" t="str">
        <v>14:01:01</v>
      </c>
      <c r="AT42" t="str">
        <v>2025-12-12</v>
      </c>
      <c r="AU42" t="str">
        <v>-0.19</v>
      </c>
      <c r="AV42" t="str">
        <v>1</v>
      </c>
      <c r="AW42" t="str">
        <v>0.000</v>
      </c>
      <c r="AX42" t="str">
        <v>-0.002</v>
      </c>
      <c r="AY42" t="str">
        <v>-9999.000</v>
      </c>
      <c r="AZ42" t="str">
        <v>0.820</v>
      </c>
      <c r="BA42" t="str">
        <v>-0.875</v>
      </c>
      <c r="BB42" t="str">
        <v>-9999.000</v>
      </c>
      <c r="BC42" t="str">
        <v>1</v>
      </c>
      <c r="BD42" t="str">
        <v>150</v>
      </c>
      <c r="BE42" t="str">
        <v>0.005</v>
      </c>
      <c r="BF42" t="str">
        <v>2.000000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0</v>
      </c>
      <c r="BO42" t="str">
        <v>mpf</v>
      </c>
      <c r="BP42" t="str">
        <v>7000</v>
      </c>
      <c r="BQ42" t="str">
        <v>500</v>
      </c>
      <c r="BR42" t="str">
        <v>5.000000</v>
      </c>
      <c r="BS42" t="str">
        <v>2.000000</v>
      </c>
      <c r="BT42" t="str">
        <v>300</v>
      </c>
      <c r="BU42" t="str">
        <v>300</v>
      </c>
      <c r="BV42" t="str">
        <v>300</v>
      </c>
      <c r="BW42" t="str">
        <v>119.222763</v>
      </c>
      <c r="BX42" t="str">
        <v>25</v>
      </c>
      <c r="BY42" t="str">
        <v>-0.983298</v>
      </c>
      <c r="BZ42" t="str">
        <v>118.953468</v>
      </c>
      <c r="CA42" t="str">
        <v>119.194778</v>
      </c>
      <c r="CB42" t="str">
        <v>-0.241310</v>
      </c>
      <c r="CC42" t="str">
        <v>2.440196</v>
      </c>
      <c r="CD42" t="str">
        <v>2.454390</v>
      </c>
      <c r="CE42" t="str">
        <v>1.655820</v>
      </c>
      <c r="CF42" t="str">
        <v>0.942566</v>
      </c>
      <c r="CG42" t="str">
        <v>0.302362</v>
      </c>
      <c r="CH42" t="str">
        <v>-0.019935</v>
      </c>
      <c r="CI42" t="str">
        <v>0.213141</v>
      </c>
      <c r="CJ42" t="str">
        <v>0.296466</v>
      </c>
      <c r="CK42" t="str">
        <v>93.569397</v>
      </c>
      <c r="CL42" t="str">
        <v>0.000237</v>
      </c>
      <c r="CM42" t="str">
        <v>2.388960</v>
      </c>
      <c r="CN42" t="str">
        <v>-0.000025</v>
      </c>
      <c r="CO42" t="str">
        <v>1.000000</v>
      </c>
      <c r="CP42" t="str">
        <v>2.402765</v>
      </c>
      <c r="CQ42" t="str">
        <v>-0.000034</v>
      </c>
      <c r="CR42" t="str">
        <v>1.000000</v>
      </c>
      <c r="CS42" t="str">
        <v>0.600816</v>
      </c>
      <c r="CT42" t="str">
        <v>0.600971</v>
      </c>
      <c r="CU42" t="str">
        <v>0.107301</v>
      </c>
      <c r="CV42" t="str">
        <v>0.000000</v>
      </c>
      <c r="CW42" t="str">
        <v>PSF-00438_20251212140508_e4d</v>
      </c>
      <c r="CX42" t="str">
        <v>PFA-00474</v>
      </c>
      <c r="CY42" t="str">
        <v>PSA-00486</v>
      </c>
      <c r="CZ42" t="str">
        <v>PSF-00438</v>
      </c>
      <c r="DA42" t="str">
        <v>RHS-00603</v>
      </c>
      <c r="DB42" t="str">
        <v>3.0.0</v>
      </c>
      <c r="DC42" t="str">
        <v>2025-12-11T16:13:02.852Z</v>
      </c>
    </row>
    <row r="43">
      <c r="A43" t="str">
        <v>40</v>
      </c>
      <c r="B43" t="str">
        <v>14:05:45</v>
      </c>
      <c r="C43" t="str">
        <v>2025-12-12</v>
      </c>
      <c r="D43" t="str">
        <v>TT25_psf</v>
      </c>
      <c r="E43" t="str">
        <v>eap</v>
      </c>
      <c r="F43" t="str">
        <v/>
      </c>
      <c r="G43" t="str">
        <v>2379_Tri_purple</v>
      </c>
      <c r="H43" t="str">
        <v/>
      </c>
      <c r="I43" t="str">
        <v/>
      </c>
      <c r="J43" t="str">
        <f>1/((1/L43)-(1/K43))</f>
        <v>0.001562</v>
      </c>
      <c r="K43" t="str">
        <f>BH43+(BI43*AN43)+(BJ43*AN43*POWER(V43,2))+(BK43*AN43*V43)+(BL43*POWER(AN43,2))</f>
        <v>2.921623</v>
      </c>
      <c r="L43" t="str">
        <f>((M43/1000)*(1000-((T43+S43)/2)))/(T43-S43)</f>
        <v>0.001562</v>
      </c>
      <c r="M43" t="str">
        <f>(AN43*(S43-R43))/(100*U43*(1000-S43))*1000</f>
        <v>0.030348</v>
      </c>
      <c r="N43" t="str">
        <v>0.801100</v>
      </c>
      <c r="O43" t="str">
        <v>0.800334</v>
      </c>
      <c r="P43" t="str">
        <f>0.61365*EXP((17.502*AL43)/(240.97+AL43))</f>
        <v>2.525532</v>
      </c>
      <c r="Q43" t="str">
        <f>P43-N43</f>
        <v>1.724432</v>
      </c>
      <c r="R43" t="str">
        <v>8.853274</v>
      </c>
      <c r="S43" t="str">
        <v>8.861755</v>
      </c>
      <c r="T43" t="str">
        <f>(P43/AM43)*1000</f>
        <v>27.937384</v>
      </c>
      <c r="U43" t="str">
        <f>V43*BG43</f>
        <v>0.441786</v>
      </c>
      <c r="V43" t="str">
        <v>7.500000</v>
      </c>
      <c r="W43" t="str">
        <v>PSF-00438_20251212140545_eb4</v>
      </c>
      <c r="X43" t="str">
        <v>0.000000</v>
      </c>
      <c r="Y43" t="str">
        <v>0.000000</v>
      </c>
      <c r="Z43" t="str">
        <v>0.000000</v>
      </c>
      <c r="AA43" t="str">
        <v>227.045776</v>
      </c>
      <c r="AB43" t="str">
        <v>296.300812</v>
      </c>
      <c r="AC43" t="str">
        <v>0.233732</v>
      </c>
      <c r="AD43" t="str">
        <v>0.5</v>
      </c>
      <c r="AE43" t="str">
        <v>0.80</v>
      </c>
      <c r="AF43" t="str">
        <f>AC43*AD43*AE43*AQ43</f>
        <v>18.287436</v>
      </c>
      <c r="AG43" t="str">
        <v>1.000000</v>
      </c>
      <c r="AH43" t="str">
        <v>29.57</v>
      </c>
      <c r="AI43" t="str">
        <v>29.54</v>
      </c>
      <c r="AJ43" t="str">
        <v>22.34</v>
      </c>
      <c r="AK43" t="str">
        <v>21.19</v>
      </c>
      <c r="AL43" t="str">
        <f>(AK43-AJ43)*(AJ43*0+0)+AK43</f>
        <v>21.19</v>
      </c>
      <c r="AM43" t="str">
        <v>90.40</v>
      </c>
      <c r="AN43" t="str">
        <v>156.7</v>
      </c>
      <c r="AO43" t="str">
        <v>158.6</v>
      </c>
      <c r="AP43" t="str">
        <v>-1.2</v>
      </c>
      <c r="AQ43" t="str">
        <v>196</v>
      </c>
      <c r="AR43" t="str">
        <v>4.023</v>
      </c>
      <c r="AS43" t="str">
        <v>14:01:01</v>
      </c>
      <c r="AT43" t="str">
        <v>2025-12-12</v>
      </c>
      <c r="AU43" t="str">
        <v>-0.19</v>
      </c>
      <c r="AV43" t="str">
        <v>1</v>
      </c>
      <c r="AW43" t="str">
        <v>0.001</v>
      </c>
      <c r="AX43" t="str">
        <v>0.000</v>
      </c>
      <c r="AY43" t="str">
        <v>-0.001</v>
      </c>
      <c r="AZ43" t="str">
        <v>-2.565</v>
      </c>
      <c r="BA43" t="str">
        <v>-4.057</v>
      </c>
      <c r="BB43" t="str">
        <v>-11.393</v>
      </c>
      <c r="BC43" t="str">
        <v>1</v>
      </c>
      <c r="BD43" t="str">
        <v>150</v>
      </c>
      <c r="BE43" t="str">
        <v>0.005</v>
      </c>
      <c r="BF43" t="str">
        <v>2.000000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0</v>
      </c>
      <c r="BO43" t="str">
        <v>mpf</v>
      </c>
      <c r="BP43" t="str">
        <v>7000</v>
      </c>
      <c r="BQ43" t="str">
        <v>500</v>
      </c>
      <c r="BR43" t="str">
        <v>5.000000</v>
      </c>
      <c r="BS43" t="str">
        <v>2.000000</v>
      </c>
      <c r="BT43" t="str">
        <v>300</v>
      </c>
      <c r="BU43" t="str">
        <v>300</v>
      </c>
      <c r="BV43" t="str">
        <v>300</v>
      </c>
      <c r="BW43" t="str">
        <v>294.846283</v>
      </c>
      <c r="BX43" t="str">
        <v>25</v>
      </c>
      <c r="BY43" t="str">
        <v>-1.113614</v>
      </c>
      <c r="BZ43" t="str">
        <v>293.585297</v>
      </c>
      <c r="CA43" t="str">
        <v>294.708923</v>
      </c>
      <c r="CB43" t="str">
        <v>-1.123627</v>
      </c>
      <c r="CC43" t="str">
        <v>2.439711</v>
      </c>
      <c r="CD43" t="str">
        <v>2.454000</v>
      </c>
      <c r="CE43" t="str">
        <v>1.655410</v>
      </c>
      <c r="CF43" t="str">
        <v>0.942909</v>
      </c>
      <c r="CG43" t="str">
        <v>0.303332</v>
      </c>
      <c r="CH43" t="str">
        <v>-0.012088</v>
      </c>
      <c r="CI43" t="str">
        <v>0.217191</v>
      </c>
      <c r="CJ43" t="str">
        <v>0.283259</v>
      </c>
      <c r="CK43" t="str">
        <v>227.045776</v>
      </c>
      <c r="CL43" t="str">
        <v>0.000237</v>
      </c>
      <c r="CM43" t="str">
        <v>2.388960</v>
      </c>
      <c r="CN43" t="str">
        <v>-0.000025</v>
      </c>
      <c r="CO43" t="str">
        <v>1.000000</v>
      </c>
      <c r="CP43" t="str">
        <v>2.402765</v>
      </c>
      <c r="CQ43" t="str">
        <v>-0.000034</v>
      </c>
      <c r="CR43" t="str">
        <v>1.000000</v>
      </c>
      <c r="CS43" t="str">
        <v>0.600816</v>
      </c>
      <c r="CT43" t="str">
        <v>0.600971</v>
      </c>
      <c r="CU43" t="str">
        <v>0.107301</v>
      </c>
      <c r="CV43" t="str">
        <v>0.000000</v>
      </c>
      <c r="CW43" t="str">
        <v>PSF-00438_20251212140545_eb4</v>
      </c>
      <c r="CX43" t="str">
        <v>PFA-00474</v>
      </c>
      <c r="CY43" t="str">
        <v>PSA-00486</v>
      </c>
      <c r="CZ43" t="str">
        <v>PSF-00438</v>
      </c>
      <c r="DA43" t="str">
        <v>RHS-00603</v>
      </c>
      <c r="DB43" t="str">
        <v>3.0.0</v>
      </c>
      <c r="DC43" t="str">
        <v>2025-12-11T16:13:02.852Z</v>
      </c>
    </row>
    <row r="44">
      <c r="A44" t="str">
        <v>41</v>
      </c>
      <c r="B44" t="str">
        <v>14:06:06</v>
      </c>
      <c r="C44" t="str">
        <v>2025-12-12</v>
      </c>
      <c r="D44" t="str">
        <v>TT25_psf</v>
      </c>
      <c r="E44" t="str">
        <v>eap</v>
      </c>
      <c r="F44" t="str">
        <v/>
      </c>
      <c r="G44" t="str">
        <v>4547_Tri_purple</v>
      </c>
      <c r="H44" t="str">
        <v/>
      </c>
      <c r="I44" t="str">
        <v/>
      </c>
      <c r="J44" t="str">
        <f>1/((1/L44)-(1/K44))</f>
        <v>-0.002681</v>
      </c>
      <c r="K44" t="str">
        <f>BH44+(BI44*AN44)+(BJ44*AN44*POWER(V44,2))+(BK44*AN44*V44)+(BL44*POWER(AN44,2))</f>
        <v>2.921970</v>
      </c>
      <c r="L44" t="str">
        <f>((M44/1000)*(1000-((T44+S44)/2)))/(T44-S44)</f>
        <v>-0.002683</v>
      </c>
      <c r="M44" t="str">
        <f>(AN44*(S44-R44))/(100*U44*(1000-S44))*1000</f>
        <v>-0.050192</v>
      </c>
      <c r="N44" t="str">
        <v>0.783979</v>
      </c>
      <c r="O44" t="str">
        <v>0.785247</v>
      </c>
      <c r="P44" t="str">
        <f>0.61365*EXP((17.502*AL44)/(240.97+AL44))</f>
        <v>2.444705</v>
      </c>
      <c r="Q44" t="str">
        <f>P44-N44</f>
        <v>1.660726</v>
      </c>
      <c r="R44" t="str">
        <v>8.686361</v>
      </c>
      <c r="S44" t="str">
        <v>8.672337</v>
      </c>
      <c r="T44" t="str">
        <f>(P44/AM44)*1000</f>
        <v>27.043201</v>
      </c>
      <c r="U44" t="str">
        <f>V44*BG44</f>
        <v>0.441786</v>
      </c>
      <c r="V44" t="str">
        <v>7.500000</v>
      </c>
      <c r="W44" t="str">
        <v>PSF-00438_20251212140606_f63</v>
      </c>
      <c r="X44" t="str">
        <v>0.000000</v>
      </c>
      <c r="Y44" t="str">
        <v>0.000000</v>
      </c>
      <c r="Z44" t="str">
        <v>0.000000</v>
      </c>
      <c r="AA44" t="str">
        <v>165.798065</v>
      </c>
      <c r="AB44" t="str">
        <v>284.693726</v>
      </c>
      <c r="AC44" t="str">
        <v>0.417627</v>
      </c>
      <c r="AD44" t="str">
        <v>0.5</v>
      </c>
      <c r="AE44" t="str">
        <v>0.80</v>
      </c>
      <c r="AF44" t="str">
        <f>AC44*AD44*AE44*AQ44</f>
        <v>27.486492</v>
      </c>
      <c r="AG44" t="str">
        <v>1.000000</v>
      </c>
      <c r="AH44" t="str">
        <v>29.00</v>
      </c>
      <c r="AI44" t="str">
        <v>29.04</v>
      </c>
      <c r="AJ44" t="str">
        <v>22.31</v>
      </c>
      <c r="AK44" t="str">
        <v>20.66</v>
      </c>
      <c r="AL44" t="str">
        <f>(AK44-AJ44)*(AJ44*0+0)+AK44</f>
        <v>20.66</v>
      </c>
      <c r="AM44" t="str">
        <v>90.40</v>
      </c>
      <c r="AN44" t="str">
        <v>156.7</v>
      </c>
      <c r="AO44" t="str">
        <v>158.4</v>
      </c>
      <c r="AP44" t="str">
        <v>-1.1</v>
      </c>
      <c r="AQ44" t="str">
        <v>165</v>
      </c>
      <c r="AR44" t="str">
        <v>4.022</v>
      </c>
      <c r="AS44" t="str">
        <v>14:01:01</v>
      </c>
      <c r="AT44" t="str">
        <v>2025-12-12</v>
      </c>
      <c r="AU44" t="str">
        <v>-0.19</v>
      </c>
      <c r="AV44" t="str">
        <v>1</v>
      </c>
      <c r="AW44" t="str">
        <v>-0.001</v>
      </c>
      <c r="AX44" t="str">
        <v>-0.000</v>
      </c>
      <c r="AY44" t="str">
        <v>0.001</v>
      </c>
      <c r="AZ44" t="str">
        <v>1.704</v>
      </c>
      <c r="BA44" t="str">
        <v>3.491</v>
      </c>
      <c r="BB44" t="str">
        <v>10.501</v>
      </c>
      <c r="BC44" t="str">
        <v>1</v>
      </c>
      <c r="BD44" t="str">
        <v>150</v>
      </c>
      <c r="BE44" t="str">
        <v>0.005</v>
      </c>
      <c r="BF44" t="str">
        <v>2.000000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0</v>
      </c>
      <c r="BO44" t="str">
        <v>mpf</v>
      </c>
      <c r="BP44" t="str">
        <v>7000</v>
      </c>
      <c r="BQ44" t="str">
        <v>500</v>
      </c>
      <c r="BR44" t="str">
        <v>5.000000</v>
      </c>
      <c r="BS44" t="str">
        <v>2.000000</v>
      </c>
      <c r="BT44" t="str">
        <v>300</v>
      </c>
      <c r="BU44" t="str">
        <v>300</v>
      </c>
      <c r="BV44" t="str">
        <v>300</v>
      </c>
      <c r="BW44" t="str">
        <v>283.013458</v>
      </c>
      <c r="BX44" t="str">
        <v>25</v>
      </c>
      <c r="BY44" t="str">
        <v>-1.124550</v>
      </c>
      <c r="BZ44" t="str">
        <v>282.495972</v>
      </c>
      <c r="CA44" t="str">
        <v>283.086182</v>
      </c>
      <c r="CB44" t="str">
        <v>-0.590210</v>
      </c>
      <c r="CC44" t="str">
        <v>2.438981</v>
      </c>
      <c r="CD44" t="str">
        <v>2.453153</v>
      </c>
      <c r="CE44" t="str">
        <v>1.655773</v>
      </c>
      <c r="CF44" t="str">
        <v>0.942353</v>
      </c>
      <c r="CG44" t="str">
        <v>0.303729</v>
      </c>
      <c r="CH44" t="str">
        <v>-0.017512</v>
      </c>
      <c r="CI44" t="str">
        <v>0.219293</v>
      </c>
      <c r="CJ44" t="str">
        <v>0.255316</v>
      </c>
      <c r="CK44" t="str">
        <v>165.798065</v>
      </c>
      <c r="CL44" t="str">
        <v>0.000237</v>
      </c>
      <c r="CM44" t="str">
        <v>2.388960</v>
      </c>
      <c r="CN44" t="str">
        <v>-0.000025</v>
      </c>
      <c r="CO44" t="str">
        <v>1.000000</v>
      </c>
      <c r="CP44" t="str">
        <v>2.402765</v>
      </c>
      <c r="CQ44" t="str">
        <v>-0.000034</v>
      </c>
      <c r="CR44" t="str">
        <v>1.000000</v>
      </c>
      <c r="CS44" t="str">
        <v>0.600816</v>
      </c>
      <c r="CT44" t="str">
        <v>0.600971</v>
      </c>
      <c r="CU44" t="str">
        <v>0.107301</v>
      </c>
      <c r="CV44" t="str">
        <v>0.000000</v>
      </c>
      <c r="CW44" t="str">
        <v>PSF-00438_20251212140606_f63</v>
      </c>
      <c r="CX44" t="str">
        <v>PFA-00474</v>
      </c>
      <c r="CY44" t="str">
        <v>PSA-00486</v>
      </c>
      <c r="CZ44" t="str">
        <v>PSF-00438</v>
      </c>
      <c r="DA44" t="str">
        <v>RHS-00603</v>
      </c>
      <c r="DB44" t="str">
        <v>3.0.0</v>
      </c>
      <c r="DC44" t="str">
        <v>2025-12-11T16:13:02.852Z</v>
      </c>
    </row>
    <row r="45">
      <c r="A45" t="str">
        <v>42</v>
      </c>
      <c r="B45" t="str">
        <v>14:06:27</v>
      </c>
      <c r="C45" t="str">
        <v>2025-12-12</v>
      </c>
      <c r="D45" t="str">
        <v>TT25_psf</v>
      </c>
      <c r="E45" t="str">
        <v>eap</v>
      </c>
      <c r="F45" t="str">
        <v/>
      </c>
      <c r="G45" t="str">
        <v>7574_Tri_green</v>
      </c>
      <c r="H45" t="str">
        <v/>
      </c>
      <c r="I45" t="str">
        <v/>
      </c>
      <c r="J45" t="str">
        <f>1/((1/L45)-(1/K45))</f>
        <v>0.001516</v>
      </c>
      <c r="K45" t="str">
        <f>BH45+(BI45*AN45)+(BJ45*AN45*POWER(V45,2))+(BK45*AN45*V45)+(BL45*POWER(AN45,2))</f>
        <v>2.921103</v>
      </c>
      <c r="L45" t="str">
        <f>((M45/1000)*(1000-((T45+S45)/2)))/(T45-S45)</f>
        <v>0.001515</v>
      </c>
      <c r="M45" t="str">
        <f>(AN45*(S45-R45))/(100*U45*(1000-S45))*1000</f>
        <v>0.022373</v>
      </c>
      <c r="N45" t="str">
        <v>0.788024</v>
      </c>
      <c r="O45" t="str">
        <v>0.787458</v>
      </c>
      <c r="P45" t="str">
        <f>0.61365*EXP((17.502*AL45)/(240.97+AL45))</f>
        <v>2.101816</v>
      </c>
      <c r="Q45" t="str">
        <f>P45-N45</f>
        <v>1.313792</v>
      </c>
      <c r="R45" t="str">
        <v>8.710027</v>
      </c>
      <c r="S45" t="str">
        <v>8.716283</v>
      </c>
      <c r="T45" t="str">
        <f>(P45/AM45)*1000</f>
        <v>23.248055</v>
      </c>
      <c r="U45" t="str">
        <f>V45*BG45</f>
        <v>0.441786</v>
      </c>
      <c r="V45" t="str">
        <v>7.500000</v>
      </c>
      <c r="W45" t="str">
        <v>PSF-00438_20251212140627_da7</v>
      </c>
      <c r="X45" t="str">
        <v>0.000000</v>
      </c>
      <c r="Y45" t="str">
        <v>0.000000</v>
      </c>
      <c r="Z45" t="str">
        <v>0.000000</v>
      </c>
      <c r="AA45" t="str">
        <v>93.615173</v>
      </c>
      <c r="AB45" t="str">
        <v>144.760513</v>
      </c>
      <c r="AC45" t="str">
        <v>0.353310</v>
      </c>
      <c r="AD45" t="str">
        <v>0.5</v>
      </c>
      <c r="AE45" t="str">
        <v>0.80</v>
      </c>
      <c r="AF45" t="str">
        <f>AC45*AD45*AE45*AQ45</f>
        <v>32.633648</v>
      </c>
      <c r="AG45" t="str">
        <v>1.000000</v>
      </c>
      <c r="AH45" t="str">
        <v>29.22</v>
      </c>
      <c r="AI45" t="str">
        <v>29.20</v>
      </c>
      <c r="AJ45" t="str">
        <v>22.27</v>
      </c>
      <c r="AK45" t="str">
        <v>18.23</v>
      </c>
      <c r="AL45" t="str">
        <f>(AK45-AJ45)*(AJ45*0+0)+AK45</f>
        <v>18.23</v>
      </c>
      <c r="AM45" t="str">
        <v>90.41</v>
      </c>
      <c r="AN45" t="str">
        <v>156.6</v>
      </c>
      <c r="AO45" t="str">
        <v>157.3</v>
      </c>
      <c r="AP45" t="str">
        <v>-0.4</v>
      </c>
      <c r="AQ45" t="str">
        <v>231</v>
      </c>
      <c r="AR45" t="str">
        <v>4.022</v>
      </c>
      <c r="AS45" t="str">
        <v>14:01:01</v>
      </c>
      <c r="AT45" t="str">
        <v>2025-12-12</v>
      </c>
      <c r="AU45" t="str">
        <v>-0.19</v>
      </c>
      <c r="AV45" t="str">
        <v>1</v>
      </c>
      <c r="AW45" t="str">
        <v>0.003</v>
      </c>
      <c r="AX45" t="str">
        <v>0.000</v>
      </c>
      <c r="AY45" t="str">
        <v>-9999.000</v>
      </c>
      <c r="AZ45" t="str">
        <v>2.129</v>
      </c>
      <c r="BA45" t="str">
        <v>0.473</v>
      </c>
      <c r="BB45" t="str">
        <v>-9999.000</v>
      </c>
      <c r="BC45" t="str">
        <v>1</v>
      </c>
      <c r="BD45" t="str">
        <v>150</v>
      </c>
      <c r="BE45" t="str">
        <v>0.005</v>
      </c>
      <c r="BF45" t="str">
        <v>2.000000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0</v>
      </c>
      <c r="BO45" t="str">
        <v>mpf</v>
      </c>
      <c r="BP45" t="str">
        <v>7000</v>
      </c>
      <c r="BQ45" t="str">
        <v>500</v>
      </c>
      <c r="BR45" t="str">
        <v>5.000000</v>
      </c>
      <c r="BS45" t="str">
        <v>2.000000</v>
      </c>
      <c r="BT45" t="str">
        <v>300</v>
      </c>
      <c r="BU45" t="str">
        <v>300</v>
      </c>
      <c r="BV45" t="str">
        <v>300</v>
      </c>
      <c r="BW45" t="str">
        <v>142.468567</v>
      </c>
      <c r="BX45" t="str">
        <v>25</v>
      </c>
      <c r="BY45" t="str">
        <v>-1.572000</v>
      </c>
      <c r="BZ45" t="str">
        <v>142.709610</v>
      </c>
      <c r="CA45" t="str">
        <v>142.513351</v>
      </c>
      <c r="CB45" t="str">
        <v>0.196259</v>
      </c>
      <c r="CC45" t="str">
        <v>2.439213</v>
      </c>
      <c r="CD45" t="str">
        <v>2.453488</v>
      </c>
      <c r="CE45" t="str">
        <v>1.654866</v>
      </c>
      <c r="CF45" t="str">
        <v>0.939532</v>
      </c>
      <c r="CG45" t="str">
        <v>0.304216</v>
      </c>
      <c r="CH45" t="str">
        <v>-0.043227</v>
      </c>
      <c r="CI45" t="str">
        <v>0.221441</v>
      </c>
      <c r="CJ45" t="str">
        <v>0.315024</v>
      </c>
      <c r="CK45" t="str">
        <v>93.615173</v>
      </c>
      <c r="CL45" t="str">
        <v>0.000240</v>
      </c>
      <c r="CM45" t="str">
        <v>2.388960</v>
      </c>
      <c r="CN45" t="str">
        <v>-0.000025</v>
      </c>
      <c r="CO45" t="str">
        <v>1.000000</v>
      </c>
      <c r="CP45" t="str">
        <v>2.402765</v>
      </c>
      <c r="CQ45" t="str">
        <v>-0.000034</v>
      </c>
      <c r="CR45" t="str">
        <v>1.000000</v>
      </c>
      <c r="CS45" t="str">
        <v>0.600816</v>
      </c>
      <c r="CT45" t="str">
        <v>0.600971</v>
      </c>
      <c r="CU45" t="str">
        <v>0.107301</v>
      </c>
      <c r="CV45" t="str">
        <v>0.000000</v>
      </c>
      <c r="CW45" t="str">
        <v>PSF-00438_20251212140627_da7</v>
      </c>
      <c r="CX45" t="str">
        <v>PFA-00474</v>
      </c>
      <c r="CY45" t="str">
        <v>PSA-00486</v>
      </c>
      <c r="CZ45" t="str">
        <v>PSF-00438</v>
      </c>
      <c r="DA45" t="str">
        <v>RHS-00603</v>
      </c>
      <c r="DB45" t="str">
        <v>3.0.0</v>
      </c>
      <c r="DC45" t="str">
        <v>2025-12-11T16:13:02.852Z</v>
      </c>
    </row>
    <row r="46">
      <c r="A46" t="str">
        <v>43</v>
      </c>
      <c r="B46" t="str">
        <v>14:07:33</v>
      </c>
      <c r="C46" t="str">
        <v>2025-12-12</v>
      </c>
      <c r="D46" t="str">
        <v>TT25_psf</v>
      </c>
      <c r="E46" t="str">
        <v>eap</v>
      </c>
      <c r="F46" t="str">
        <v/>
      </c>
      <c r="G46" t="str">
        <v>4934_Tri_green</v>
      </c>
      <c r="H46" t="str">
        <v/>
      </c>
      <c r="I46" t="str">
        <v/>
      </c>
      <c r="J46" t="str">
        <f>1/((1/L46)-(1/K46))</f>
        <v>-0.000783</v>
      </c>
      <c r="K46" t="str">
        <f>BH46+(BI46*AN46)+(BJ46*AN46*POWER(V46,2))+(BK46*AN46*V46)+(BL46*POWER(AN46,2))</f>
        <v>2.921425</v>
      </c>
      <c r="L46" t="str">
        <f>((M46/1000)*(1000-((T46+S46)/2)))/(T46-S46)</f>
        <v>-0.000783</v>
      </c>
      <c r="M46" t="str">
        <f>(AN46*(S46-R46))/(100*U46*(1000-S46))*1000</f>
        <v>-0.012335</v>
      </c>
      <c r="N46" t="str">
        <v>0.771284</v>
      </c>
      <c r="O46" t="str">
        <v>0.771596</v>
      </c>
      <c r="P46" t="str">
        <f>0.61365*EXP((17.502*AL46)/(240.97+AL46))</f>
        <v>2.172580</v>
      </c>
      <c r="Q46" t="str">
        <f>P46-N46</f>
        <v>1.401296</v>
      </c>
      <c r="R46" t="str">
        <v>8.534547</v>
      </c>
      <c r="S46" t="str">
        <v>8.531098</v>
      </c>
      <c r="T46" t="str">
        <f>(P46/AM46)*1000</f>
        <v>24.030708</v>
      </c>
      <c r="U46" t="str">
        <f>V46*BG46</f>
        <v>0.441786</v>
      </c>
      <c r="V46" t="str">
        <v>7.500000</v>
      </c>
      <c r="W46" t="str">
        <v>PSF-00438_20251212140733_30b</v>
      </c>
      <c r="X46" t="str">
        <v>0.000000</v>
      </c>
      <c r="Y46" t="str">
        <v>0.000000</v>
      </c>
      <c r="Z46" t="str">
        <v>0.000000</v>
      </c>
      <c r="AA46" t="str">
        <v>90.125084</v>
      </c>
      <c r="AB46" t="str">
        <v>94.487785</v>
      </c>
      <c r="AC46" t="str">
        <v>0.046172</v>
      </c>
      <c r="AD46" t="str">
        <v>0.5</v>
      </c>
      <c r="AE46" t="str">
        <v>0.80</v>
      </c>
      <c r="AF46" t="str">
        <f>AC46*AD46*AE46*AQ46</f>
        <v>3.506073</v>
      </c>
      <c r="AG46" t="str">
        <v>1.000000</v>
      </c>
      <c r="AH46" t="str">
        <v>28.92</v>
      </c>
      <c r="AI46" t="str">
        <v>28.93</v>
      </c>
      <c r="AJ46" t="str">
        <v>22.08</v>
      </c>
      <c r="AK46" t="str">
        <v>18.76</v>
      </c>
      <c r="AL46" t="str">
        <f>(AK46-AJ46)*(AJ46*0+0)+AK46</f>
        <v>18.76</v>
      </c>
      <c r="AM46" t="str">
        <v>90.41</v>
      </c>
      <c r="AN46" t="str">
        <v>156.7</v>
      </c>
      <c r="AO46" t="str">
        <v>155.2</v>
      </c>
      <c r="AP46" t="str">
        <v>0.9</v>
      </c>
      <c r="AQ46" t="str">
        <v>190</v>
      </c>
      <c r="AR46" t="str">
        <v>4.017</v>
      </c>
      <c r="AS46" t="str">
        <v>14:01:01</v>
      </c>
      <c r="AT46" t="str">
        <v>2025-12-12</v>
      </c>
      <c r="AU46" t="str">
        <v>-0.19</v>
      </c>
      <c r="AV46" t="str">
        <v>1</v>
      </c>
      <c r="AW46" t="str">
        <v>0.001</v>
      </c>
      <c r="AX46" t="str">
        <v>-0.000</v>
      </c>
      <c r="AY46" t="str">
        <v>-9999.000</v>
      </c>
      <c r="AZ46" t="str">
        <v>0.105</v>
      </c>
      <c r="BA46" t="str">
        <v>-0.384</v>
      </c>
      <c r="BB46" t="str">
        <v>-9999.000</v>
      </c>
      <c r="BC46" t="str">
        <v>1</v>
      </c>
      <c r="BD46" t="str">
        <v>150</v>
      </c>
      <c r="BE46" t="str">
        <v>0.005</v>
      </c>
      <c r="BF46" t="str">
        <v>2.000000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0</v>
      </c>
      <c r="BO46" t="str">
        <v>mpf</v>
      </c>
      <c r="BP46" t="str">
        <v>7000</v>
      </c>
      <c r="BQ46" t="str">
        <v>500</v>
      </c>
      <c r="BR46" t="str">
        <v>5.000000</v>
      </c>
      <c r="BS46" t="str">
        <v>2.000000</v>
      </c>
      <c r="BT46" t="str">
        <v>300</v>
      </c>
      <c r="BU46" t="str">
        <v>300</v>
      </c>
      <c r="BV46" t="str">
        <v>300</v>
      </c>
      <c r="BW46" t="str">
        <v>94.487785</v>
      </c>
      <c r="BX46" t="str">
        <v>25</v>
      </c>
      <c r="BY46" t="str">
        <v>0.014581</v>
      </c>
      <c r="BZ46" t="str">
        <v>94.356178</v>
      </c>
      <c r="CA46" t="str">
        <v>94.508629</v>
      </c>
      <c r="CB46" t="str">
        <v>-0.152451</v>
      </c>
      <c r="CC46" t="str">
        <v>2.438854</v>
      </c>
      <c r="CD46" t="str">
        <v>2.453079</v>
      </c>
      <c r="CE46" t="str">
        <v>1.655203</v>
      </c>
      <c r="CF46" t="str">
        <v>0.934303</v>
      </c>
      <c r="CG46" t="str">
        <v>0.306482</v>
      </c>
      <c r="CH46" t="str">
        <v>-0.035542</v>
      </c>
      <c r="CI46" t="str">
        <v>0.227677</v>
      </c>
      <c r="CJ46" t="str">
        <v>0.278072</v>
      </c>
      <c r="CK46" t="str">
        <v>90.125084</v>
      </c>
      <c r="CL46" t="str">
        <v>0.000239</v>
      </c>
      <c r="CM46" t="str">
        <v>2.388960</v>
      </c>
      <c r="CN46" t="str">
        <v>-0.000025</v>
      </c>
      <c r="CO46" t="str">
        <v>1.000000</v>
      </c>
      <c r="CP46" t="str">
        <v>2.402765</v>
      </c>
      <c r="CQ46" t="str">
        <v>-0.000034</v>
      </c>
      <c r="CR46" t="str">
        <v>1.000000</v>
      </c>
      <c r="CS46" t="str">
        <v>0.600816</v>
      </c>
      <c r="CT46" t="str">
        <v>0.600971</v>
      </c>
      <c r="CU46" t="str">
        <v>0.107301</v>
      </c>
      <c r="CV46" t="str">
        <v>0.000000</v>
      </c>
      <c r="CW46" t="str">
        <v>PSF-00438_20251212140733_30b</v>
      </c>
      <c r="CX46" t="str">
        <v>PFA-00474</v>
      </c>
      <c r="CY46" t="str">
        <v>PSA-00486</v>
      </c>
      <c r="CZ46" t="str">
        <v>PSF-00438</v>
      </c>
      <c r="DA46" t="str">
        <v>RHS-00603</v>
      </c>
      <c r="DB46" t="str">
        <v>3.0.0</v>
      </c>
      <c r="DC46" t="str">
        <v>2025-12-11T16:13:02.852Z</v>
      </c>
    </row>
    <row r="47">
      <c r="A47" t="str">
        <v>44</v>
      </c>
      <c r="B47" t="str">
        <v>14:08:12</v>
      </c>
      <c r="C47" t="str">
        <v>2025-12-12</v>
      </c>
      <c r="D47" t="str">
        <v>TT25_psf</v>
      </c>
      <c r="E47" t="str">
        <v>eap</v>
      </c>
      <c r="F47" t="str">
        <v/>
      </c>
      <c r="G47" t="str">
        <v>1686_Tri_green</v>
      </c>
      <c r="H47" t="str">
        <v/>
      </c>
      <c r="I47" t="str">
        <v/>
      </c>
      <c r="J47" t="str">
        <f>1/((1/L47)-(1/K47))</f>
        <v>0.000266</v>
      </c>
      <c r="K47" t="str">
        <f>BH47+(BI47*AN47)+(BJ47*AN47*POWER(V47,2))+(BK47*AN47*V47)+(BL47*POWER(AN47,2))</f>
        <v>2.922262</v>
      </c>
      <c r="L47" t="str">
        <f>((M47/1000)*(1000-((T47+S47)/2)))/(T47-S47)</f>
        <v>0.000266</v>
      </c>
      <c r="M47" t="str">
        <f>(AN47*(S47-R47))/(100*U47*(1000-S47))*1000</f>
        <v>0.003954</v>
      </c>
      <c r="N47" t="str">
        <v>0.777784</v>
      </c>
      <c r="O47" t="str">
        <v>0.777685</v>
      </c>
      <c r="P47" t="str">
        <f>0.61365*EXP((17.502*AL47)/(240.97+AL47))</f>
        <v>2.098290</v>
      </c>
      <c r="Q47" t="str">
        <f>P47-N47</f>
        <v>1.320505</v>
      </c>
      <c r="R47" t="str">
        <v>8.602302</v>
      </c>
      <c r="S47" t="str">
        <v>8.603406</v>
      </c>
      <c r="T47" t="str">
        <f>(P47/AM47)*1000</f>
        <v>23.210079</v>
      </c>
      <c r="U47" t="str">
        <f>V47*BG47</f>
        <v>0.441786</v>
      </c>
      <c r="V47" t="str">
        <v>7.500000</v>
      </c>
      <c r="W47" t="str">
        <v>PSF-00438_20251212140812_a65</v>
      </c>
      <c r="X47" t="str">
        <v>0.000000</v>
      </c>
      <c r="Y47" t="str">
        <v>0.000000</v>
      </c>
      <c r="Z47" t="str">
        <v>0.000000</v>
      </c>
      <c r="AA47" t="str">
        <v>114.648346</v>
      </c>
      <c r="AB47" t="str">
        <v>128.067612</v>
      </c>
      <c r="AC47" t="str">
        <v>0.104783</v>
      </c>
      <c r="AD47" t="str">
        <v>0.5</v>
      </c>
      <c r="AE47" t="str">
        <v>0.80</v>
      </c>
      <c r="AF47" t="str">
        <f>AC47*AD47*AE47*AQ47</f>
        <v>8.581675</v>
      </c>
      <c r="AG47" t="str">
        <v>1.000000</v>
      </c>
      <c r="AH47" t="str">
        <v>29.43</v>
      </c>
      <c r="AI47" t="str">
        <v>29.42</v>
      </c>
      <c r="AJ47" t="str">
        <v>21.94</v>
      </c>
      <c r="AK47" t="str">
        <v>18.21</v>
      </c>
      <c r="AL47" t="str">
        <f>(AK47-AJ47)*(AJ47*0+0)+AK47</f>
        <v>18.21</v>
      </c>
      <c r="AM47" t="str">
        <v>90.40</v>
      </c>
      <c r="AN47" t="str">
        <v>156.8</v>
      </c>
      <c r="AO47" t="str">
        <v>156.7</v>
      </c>
      <c r="AP47" t="str">
        <v>0.0</v>
      </c>
      <c r="AQ47" t="str">
        <v>205</v>
      </c>
      <c r="AR47" t="str">
        <v>4.020</v>
      </c>
      <c r="AS47" t="str">
        <v>14:01:01</v>
      </c>
      <c r="AT47" t="str">
        <v>2025-12-12</v>
      </c>
      <c r="AU47" t="str">
        <v>-0.19</v>
      </c>
      <c r="AV47" t="str">
        <v>1</v>
      </c>
      <c r="AW47" t="str">
        <v>0.000</v>
      </c>
      <c r="AX47" t="str">
        <v>0.002</v>
      </c>
      <c r="AY47" t="str">
        <v>-9999.000</v>
      </c>
      <c r="AZ47" t="str">
        <v>0.408</v>
      </c>
      <c r="BA47" t="str">
        <v>-0.755</v>
      </c>
      <c r="BB47" t="str">
        <v>-9999.000</v>
      </c>
      <c r="BC47" t="str">
        <v>1</v>
      </c>
      <c r="BD47" t="str">
        <v>150</v>
      </c>
      <c r="BE47" t="str">
        <v>0.005</v>
      </c>
      <c r="BF47" t="str">
        <v>2.000000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0</v>
      </c>
      <c r="BO47" t="str">
        <v>mpf</v>
      </c>
      <c r="BP47" t="str">
        <v>7000</v>
      </c>
      <c r="BQ47" t="str">
        <v>500</v>
      </c>
      <c r="BR47" t="str">
        <v>5.000000</v>
      </c>
      <c r="BS47" t="str">
        <v>2.000000</v>
      </c>
      <c r="BT47" t="str">
        <v>300</v>
      </c>
      <c r="BU47" t="str">
        <v>300</v>
      </c>
      <c r="BV47" t="str">
        <v>300</v>
      </c>
      <c r="BW47" t="str">
        <v>128.067612</v>
      </c>
      <c r="BX47" t="str">
        <v>25</v>
      </c>
      <c r="BY47" t="str">
        <v>-0.778254</v>
      </c>
      <c r="BZ47" t="str">
        <v>114.449501</v>
      </c>
      <c r="CA47" t="str">
        <v>126.955101</v>
      </c>
      <c r="CB47" t="str">
        <v>-12.505600</v>
      </c>
      <c r="CC47" t="str">
        <v>2.439602</v>
      </c>
      <c r="CD47" t="str">
        <v>2.453857</v>
      </c>
      <c r="CE47" t="str">
        <v>1.656080</v>
      </c>
      <c r="CF47" t="str">
        <v>0.938100</v>
      </c>
      <c r="CG47" t="str">
        <v>0.308292</v>
      </c>
      <c r="CH47" t="str">
        <v>-0.039837</v>
      </c>
      <c r="CI47" t="str">
        <v>0.231220</v>
      </c>
      <c r="CJ47" t="str">
        <v>0.291487</v>
      </c>
      <c r="CK47" t="str">
        <v>114.648346</v>
      </c>
      <c r="CL47" t="str">
        <v>0.000237</v>
      </c>
      <c r="CM47" t="str">
        <v>2.388960</v>
      </c>
      <c r="CN47" t="str">
        <v>-0.000025</v>
      </c>
      <c r="CO47" t="str">
        <v>1.000000</v>
      </c>
      <c r="CP47" t="str">
        <v>2.402765</v>
      </c>
      <c r="CQ47" t="str">
        <v>-0.000034</v>
      </c>
      <c r="CR47" t="str">
        <v>1.000000</v>
      </c>
      <c r="CS47" t="str">
        <v>0.600816</v>
      </c>
      <c r="CT47" t="str">
        <v>0.600971</v>
      </c>
      <c r="CU47" t="str">
        <v>0.107301</v>
      </c>
      <c r="CV47" t="str">
        <v>0.000000</v>
      </c>
      <c r="CW47" t="str">
        <v>PSF-00438_20251212140812_a65</v>
      </c>
      <c r="CX47" t="str">
        <v>PFA-00474</v>
      </c>
      <c r="CY47" t="str">
        <v>PSA-00486</v>
      </c>
      <c r="CZ47" t="str">
        <v>PSF-00438</v>
      </c>
      <c r="DA47" t="str">
        <v>RHS-00603</v>
      </c>
      <c r="DB47" t="str">
        <v>3.0.0</v>
      </c>
      <c r="DC47" t="str">
        <v>2025-12-11T16:13:02.852Z</v>
      </c>
    </row>
    <row r="48">
      <c r="A48" t="str">
        <v>45</v>
      </c>
      <c r="B48" t="str">
        <v>14:08:31</v>
      </c>
      <c r="C48" t="str">
        <v>2025-12-12</v>
      </c>
      <c r="D48" t="str">
        <v>TT25_psf</v>
      </c>
      <c r="E48" t="str">
        <v>eap</v>
      </c>
      <c r="F48" t="str">
        <v/>
      </c>
      <c r="G48" t="str">
        <v>3526_Tri_green</v>
      </c>
      <c r="H48" t="str">
        <v/>
      </c>
      <c r="I48" t="str">
        <v/>
      </c>
      <c r="J48" t="str">
        <f>1/((1/L48)-(1/K48))</f>
        <v>0.021269</v>
      </c>
      <c r="K48" t="str">
        <f>BH48+(BI48*AN48)+(BJ48*AN48*POWER(V48,2))+(BK48*AN48*V48)+(BL48*POWER(AN48,2))</f>
        <v>2.921116</v>
      </c>
      <c r="L48" t="str">
        <f>((M48/1000)*(1000-((T48+S48)/2)))/(T48-S48)</f>
        <v>0.021115</v>
      </c>
      <c r="M48" t="str">
        <f>(AN48*(S48-R48))/(100*U48*(1000-S48))*1000</f>
        <v>0.300778</v>
      </c>
      <c r="N48" t="str">
        <v>0.778262</v>
      </c>
      <c r="O48" t="str">
        <v>0.770659</v>
      </c>
      <c r="P48" t="str">
        <f>0.61365*EXP((17.502*AL48)/(240.97+AL48))</f>
        <v>2.045771</v>
      </c>
      <c r="Q48" t="str">
        <f>P48-N48</f>
        <v>1.267509</v>
      </c>
      <c r="R48" t="str">
        <v>8.525482</v>
      </c>
      <c r="S48" t="str">
        <v>8.609590</v>
      </c>
      <c r="T48" t="str">
        <f>(P48/AM48)*1000</f>
        <v>22.631521</v>
      </c>
      <c r="U48" t="str">
        <f>V48*BG48</f>
        <v>0.441786</v>
      </c>
      <c r="V48" t="str">
        <v>7.500000</v>
      </c>
      <c r="W48" t="str">
        <v>PSF-00438_20251212140831_753</v>
      </c>
      <c r="X48" t="str">
        <v>0.000000</v>
      </c>
      <c r="Y48" t="str">
        <v>0.000000</v>
      </c>
      <c r="Z48" t="str">
        <v>0.000000</v>
      </c>
      <c r="AA48" t="str">
        <v>112.393860</v>
      </c>
      <c r="AB48" t="str">
        <v>121.333076</v>
      </c>
      <c r="AC48" t="str">
        <v>0.073675</v>
      </c>
      <c r="AD48" t="str">
        <v>0.5</v>
      </c>
      <c r="AE48" t="str">
        <v>0.80</v>
      </c>
      <c r="AF48" t="str">
        <f>AC48*AD48*AE48*AQ48</f>
        <v>7.448890</v>
      </c>
      <c r="AG48" t="str">
        <v>1.000000</v>
      </c>
      <c r="AH48" t="str">
        <v>29.61</v>
      </c>
      <c r="AI48" t="str">
        <v>29.32</v>
      </c>
      <c r="AJ48" t="str">
        <v>21.84</v>
      </c>
      <c r="AK48" t="str">
        <v>17.80</v>
      </c>
      <c r="AL48" t="str">
        <f>(AK48-AJ48)*(AJ48*0+0)+AK48</f>
        <v>17.80</v>
      </c>
      <c r="AM48" t="str">
        <v>90.39</v>
      </c>
      <c r="AN48" t="str">
        <v>156.6</v>
      </c>
      <c r="AO48" t="str">
        <v>153.0</v>
      </c>
      <c r="AP48" t="str">
        <v>2.3</v>
      </c>
      <c r="AQ48" t="str">
        <v>253</v>
      </c>
      <c r="AR48" t="str">
        <v>4.015</v>
      </c>
      <c r="AS48" t="str">
        <v>14:01:01</v>
      </c>
      <c r="AT48" t="str">
        <v>2025-12-12</v>
      </c>
      <c r="AU48" t="str">
        <v>-0.19</v>
      </c>
      <c r="AV48" t="str">
        <v>1</v>
      </c>
      <c r="AW48" t="str">
        <v>-0.001</v>
      </c>
      <c r="AX48" t="str">
        <v>-0.005</v>
      </c>
      <c r="AY48" t="str">
        <v>-9999.000</v>
      </c>
      <c r="AZ48" t="str">
        <v>0.754</v>
      </c>
      <c r="BA48" t="str">
        <v>-0.330</v>
      </c>
      <c r="BB48" t="str">
        <v>-9999.000</v>
      </c>
      <c r="BC48" t="str">
        <v>1</v>
      </c>
      <c r="BD48" t="str">
        <v>150</v>
      </c>
      <c r="BE48" t="str">
        <v>0.005</v>
      </c>
      <c r="BF48" t="str">
        <v>2.000000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0</v>
      </c>
      <c r="BO48" t="str">
        <v>mpf</v>
      </c>
      <c r="BP48" t="str">
        <v>7000</v>
      </c>
      <c r="BQ48" t="str">
        <v>500</v>
      </c>
      <c r="BR48" t="str">
        <v>5.000000</v>
      </c>
      <c r="BS48" t="str">
        <v>2.000000</v>
      </c>
      <c r="BT48" t="str">
        <v>300</v>
      </c>
      <c r="BU48" t="str">
        <v>300</v>
      </c>
      <c r="BV48" t="str">
        <v>300</v>
      </c>
      <c r="BW48" t="str">
        <v>120.803116</v>
      </c>
      <c r="BX48" t="str">
        <v>25</v>
      </c>
      <c r="BY48" t="str">
        <v>-0.351764</v>
      </c>
      <c r="BZ48" t="str">
        <v>120.503067</v>
      </c>
      <c r="CA48" t="str">
        <v>120.830231</v>
      </c>
      <c r="CB48" t="str">
        <v>-0.327164</v>
      </c>
      <c r="CC48" t="str">
        <v>2.439468</v>
      </c>
      <c r="CD48" t="str">
        <v>2.454146</v>
      </c>
      <c r="CE48" t="str">
        <v>1.654880</v>
      </c>
      <c r="CF48" t="str">
        <v>0.928683</v>
      </c>
      <c r="CG48" t="str">
        <v>0.309435</v>
      </c>
      <c r="CH48" t="str">
        <v>-0.043093</v>
      </c>
      <c r="CI48" t="str">
        <v>0.232954</v>
      </c>
      <c r="CJ48" t="str">
        <v>0.334677</v>
      </c>
      <c r="CK48" t="str">
        <v>112.393860</v>
      </c>
      <c r="CL48" t="str">
        <v>0.000240</v>
      </c>
      <c r="CM48" t="str">
        <v>2.388960</v>
      </c>
      <c r="CN48" t="str">
        <v>-0.000025</v>
      </c>
      <c r="CO48" t="str">
        <v>1.000000</v>
      </c>
      <c r="CP48" t="str">
        <v>2.402765</v>
      </c>
      <c r="CQ48" t="str">
        <v>-0.000034</v>
      </c>
      <c r="CR48" t="str">
        <v>1.000000</v>
      </c>
      <c r="CS48" t="str">
        <v>0.600816</v>
      </c>
      <c r="CT48" t="str">
        <v>0.600971</v>
      </c>
      <c r="CU48" t="str">
        <v>0.107301</v>
      </c>
      <c r="CV48" t="str">
        <v>0.000000</v>
      </c>
      <c r="CW48" t="str">
        <v>PSF-00438_20251212140831_753</v>
      </c>
      <c r="CX48" t="str">
        <v>PFA-00474</v>
      </c>
      <c r="CY48" t="str">
        <v>PSA-00486</v>
      </c>
      <c r="CZ48" t="str">
        <v>PSF-00438</v>
      </c>
      <c r="DA48" t="str">
        <v>RHS-00603</v>
      </c>
      <c r="DB48" t="str">
        <v>3.0.0</v>
      </c>
      <c r="DC48" t="str">
        <v>2025-12-11T16:13:02.852Z</v>
      </c>
    </row>
    <row r="49">
      <c r="A49" t="str">
        <v>46</v>
      </c>
      <c r="B49" t="str">
        <v>14:08:50</v>
      </c>
      <c r="C49" t="str">
        <v>2025-12-12</v>
      </c>
      <c r="D49" t="str">
        <v>TT25_psf</v>
      </c>
      <c r="E49" t="str">
        <v>eap</v>
      </c>
      <c r="F49" t="str">
        <v/>
      </c>
      <c r="G49" t="str">
        <v>4745_Tri_green</v>
      </c>
      <c r="H49" t="str">
        <v/>
      </c>
      <c r="I49" t="str">
        <v/>
      </c>
      <c r="J49" t="str">
        <f>1/((1/L49)-(1/K49))</f>
        <v>0.026936</v>
      </c>
      <c r="K49" t="str">
        <f>BH49+(BI49*AN49)+(BJ49*AN49*POWER(V49,2))+(BK49*AN49*V49)+(BL49*POWER(AN49,2))</f>
        <v>2.921371</v>
      </c>
      <c r="L49" t="str">
        <f>((M49/1000)*(1000-((T49+S49)/2)))/(T49-S49)</f>
        <v>0.026690</v>
      </c>
      <c r="M49" t="str">
        <f>(AN49*(S49-R49))/(100*U49*(1000-S49))*1000</f>
        <v>0.367127</v>
      </c>
      <c r="N49" t="str">
        <v>0.792840</v>
      </c>
      <c r="O49" t="str">
        <v>0.783564</v>
      </c>
      <c r="P49" t="str">
        <f>0.61365*EXP((17.502*AL49)/(240.97+AL49))</f>
        <v>2.016853</v>
      </c>
      <c r="Q49" t="str">
        <f>P49-N49</f>
        <v>1.224013</v>
      </c>
      <c r="R49" t="str">
        <v>8.668823</v>
      </c>
      <c r="S49" t="str">
        <v>8.771445</v>
      </c>
      <c r="T49" t="str">
        <f>(P49/AM49)*1000</f>
        <v>22.313099</v>
      </c>
      <c r="U49" t="str">
        <f>V49*BG49</f>
        <v>0.441786</v>
      </c>
      <c r="V49" t="str">
        <v>7.500000</v>
      </c>
      <c r="W49" t="str">
        <v>PSF-00438_20251212140850_a26</v>
      </c>
      <c r="X49" t="str">
        <v>0.000000</v>
      </c>
      <c r="Y49" t="str">
        <v>0.000000</v>
      </c>
      <c r="Z49" t="str">
        <v>0.000000</v>
      </c>
      <c r="AA49" t="str">
        <v>95.745209</v>
      </c>
      <c r="AB49" t="str">
        <v>162.772537</v>
      </c>
      <c r="AC49" t="str">
        <v>0.411785</v>
      </c>
      <c r="AD49" t="str">
        <v>0.5</v>
      </c>
      <c r="AE49" t="str">
        <v>0.80</v>
      </c>
      <c r="AF49" t="str">
        <f>AC49*AD49*AE49*AQ49</f>
        <v>36.515144</v>
      </c>
      <c r="AG49" t="str">
        <v>1.000000</v>
      </c>
      <c r="AH49" t="str">
        <v>30.34</v>
      </c>
      <c r="AI49" t="str">
        <v>29.98</v>
      </c>
      <c r="AJ49" t="str">
        <v>21.75</v>
      </c>
      <c r="AK49" t="str">
        <v>17.58</v>
      </c>
      <c r="AL49" t="str">
        <f>(AK49-AJ49)*(AJ49*0+0)+AK49</f>
        <v>17.58</v>
      </c>
      <c r="AM49" t="str">
        <v>90.39</v>
      </c>
      <c r="AN49" t="str">
        <v>156.7</v>
      </c>
      <c r="AO49" t="str">
        <v>158.6</v>
      </c>
      <c r="AP49" t="str">
        <v>-1.2</v>
      </c>
      <c r="AQ49" t="str">
        <v>222</v>
      </c>
      <c r="AR49" t="str">
        <v>4.019</v>
      </c>
      <c r="AS49" t="str">
        <v>14:01:01</v>
      </c>
      <c r="AT49" t="str">
        <v>2025-12-12</v>
      </c>
      <c r="AU49" t="str">
        <v>-0.19</v>
      </c>
      <c r="AV49" t="str">
        <v>1</v>
      </c>
      <c r="AW49" t="str">
        <v>0.002</v>
      </c>
      <c r="AX49" t="str">
        <v>0.000</v>
      </c>
      <c r="AY49" t="str">
        <v>-9999.000</v>
      </c>
      <c r="AZ49" t="str">
        <v>0.208</v>
      </c>
      <c r="BA49" t="str">
        <v>-0.509</v>
      </c>
      <c r="BB49" t="str">
        <v>-9999.000</v>
      </c>
      <c r="BC49" t="str">
        <v>1</v>
      </c>
      <c r="BD49" t="str">
        <v>150</v>
      </c>
      <c r="BE49" t="str">
        <v>0.005</v>
      </c>
      <c r="BF49" t="str">
        <v>2.000000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0</v>
      </c>
      <c r="BO49" t="str">
        <v>mpf</v>
      </c>
      <c r="BP49" t="str">
        <v>7000</v>
      </c>
      <c r="BQ49" t="str">
        <v>500</v>
      </c>
      <c r="BR49" t="str">
        <v>5.000000</v>
      </c>
      <c r="BS49" t="str">
        <v>2.000000</v>
      </c>
      <c r="BT49" t="str">
        <v>300</v>
      </c>
      <c r="BU49" t="str">
        <v>300</v>
      </c>
      <c r="BV49" t="str">
        <v>300</v>
      </c>
      <c r="BW49" t="str">
        <v>162.772537</v>
      </c>
      <c r="BX49" t="str">
        <v>25</v>
      </c>
      <c r="BY49" t="str">
        <v>0.893990</v>
      </c>
      <c r="BZ49" t="str">
        <v>163.260345</v>
      </c>
      <c r="CA49" t="str">
        <v>164.050491</v>
      </c>
      <c r="CB49" t="str">
        <v>-0.790146</v>
      </c>
      <c r="CC49" t="str">
        <v>2.440457</v>
      </c>
      <c r="CD49" t="str">
        <v>2.455239</v>
      </c>
      <c r="CE49" t="str">
        <v>1.655146</v>
      </c>
      <c r="CF49" t="str">
        <v>0.942798</v>
      </c>
      <c r="CG49" t="str">
        <v>0.310597</v>
      </c>
      <c r="CH49" t="str">
        <v>-0.044450</v>
      </c>
      <c r="CI49" t="str">
        <v>0.234674</v>
      </c>
      <c r="CJ49" t="str">
        <v>0.306725</v>
      </c>
      <c r="CK49" t="str">
        <v>95.745209</v>
      </c>
      <c r="CL49" t="str">
        <v>0.000235</v>
      </c>
      <c r="CM49" t="str">
        <v>2.388960</v>
      </c>
      <c r="CN49" t="str">
        <v>-0.000025</v>
      </c>
      <c r="CO49" t="str">
        <v>1.000000</v>
      </c>
      <c r="CP49" t="str">
        <v>2.402765</v>
      </c>
      <c r="CQ49" t="str">
        <v>-0.000034</v>
      </c>
      <c r="CR49" t="str">
        <v>1.000000</v>
      </c>
      <c r="CS49" t="str">
        <v>0.600816</v>
      </c>
      <c r="CT49" t="str">
        <v>0.600971</v>
      </c>
      <c r="CU49" t="str">
        <v>0.107301</v>
      </c>
      <c r="CV49" t="str">
        <v>0.000000</v>
      </c>
      <c r="CW49" t="str">
        <v>PSF-00438_20251212140850_a26</v>
      </c>
      <c r="CX49" t="str">
        <v>PFA-00474</v>
      </c>
      <c r="CY49" t="str">
        <v>PSA-00486</v>
      </c>
      <c r="CZ49" t="str">
        <v>PSF-00438</v>
      </c>
      <c r="DA49" t="str">
        <v>RHS-00603</v>
      </c>
      <c r="DB49" t="str">
        <v>3.0.0</v>
      </c>
      <c r="DC49" t="str">
        <v>2025-12-11T16:13:02.852Z</v>
      </c>
    </row>
    <row r="50">
      <c r="A50" t="str">
        <v>47</v>
      </c>
      <c r="B50" t="str">
        <v>14:09:05</v>
      </c>
      <c r="C50" t="str">
        <v>2025-12-12</v>
      </c>
      <c r="D50" t="str">
        <v>TT25_psf</v>
      </c>
      <c r="E50" t="str">
        <v>eap</v>
      </c>
      <c r="F50" t="str">
        <v/>
      </c>
      <c r="G50" t="str">
        <v>5626_Tri_green</v>
      </c>
      <c r="H50" t="str">
        <v/>
      </c>
      <c r="I50" t="str">
        <v/>
      </c>
      <c r="J50" t="str">
        <f>1/((1/L50)-(1/K50))</f>
        <v>0.012271</v>
      </c>
      <c r="K50" t="str">
        <f>BH50+(BI50*AN50)+(BJ50*AN50*POWER(V50,2))+(BK50*AN50*V50)+(BL50*POWER(AN50,2))</f>
        <v>2.921501</v>
      </c>
      <c r="L50" t="str">
        <f>((M50/1000)*(1000-((T50+S50)/2)))/(T50-S50)</f>
        <v>0.012220</v>
      </c>
      <c r="M50" t="str">
        <f>(AN50*(S50-R50))/(100*U50*(1000-S50))*1000</f>
        <v>0.168787</v>
      </c>
      <c r="N50" t="str">
        <v>0.783515</v>
      </c>
      <c r="O50" t="str">
        <v>0.779251</v>
      </c>
      <c r="P50" t="str">
        <f>0.61365*EXP((17.502*AL50)/(240.97+AL50))</f>
        <v>2.012684</v>
      </c>
      <c r="Q50" t="str">
        <f>P50-N50</f>
        <v>1.229169</v>
      </c>
      <c r="R50" t="str">
        <v>8.621293</v>
      </c>
      <c r="S50" t="str">
        <v>8.668474</v>
      </c>
      <c r="T50" t="str">
        <f>(P50/AM50)*1000</f>
        <v>22.267471</v>
      </c>
      <c r="U50" t="str">
        <f>V50*BG50</f>
        <v>0.441786</v>
      </c>
      <c r="V50" t="str">
        <v>7.500000</v>
      </c>
      <c r="W50" t="str">
        <v>PSF-00438_20251212140905_0ba</v>
      </c>
      <c r="X50" t="str">
        <v>0.000000</v>
      </c>
      <c r="Y50" t="str">
        <v>0.000000</v>
      </c>
      <c r="Z50" t="str">
        <v>0.000000</v>
      </c>
      <c r="AA50" t="str">
        <v>86.183670</v>
      </c>
      <c r="AB50" t="str">
        <v>90.146194</v>
      </c>
      <c r="AC50" t="str">
        <v>0.043957</v>
      </c>
      <c r="AD50" t="str">
        <v>0.5</v>
      </c>
      <c r="AE50" t="str">
        <v>0.80</v>
      </c>
      <c r="AF50" t="str">
        <f>AC50*AD50*AE50*AQ50</f>
        <v>4.050773</v>
      </c>
      <c r="AG50" t="str">
        <v>1.000000</v>
      </c>
      <c r="AH50" t="str">
        <v>30.13</v>
      </c>
      <c r="AI50" t="str">
        <v>29.96</v>
      </c>
      <c r="AJ50" t="str">
        <v>21.67</v>
      </c>
      <c r="AK50" t="str">
        <v>17.54</v>
      </c>
      <c r="AL50" t="str">
        <f>(AK50-AJ50)*(AJ50*0+0)+AK50</f>
        <v>17.54</v>
      </c>
      <c r="AM50" t="str">
        <v>90.39</v>
      </c>
      <c r="AN50" t="str">
        <v>156.7</v>
      </c>
      <c r="AO50" t="str">
        <v>144.7</v>
      </c>
      <c r="AP50" t="str">
        <v>7.7</v>
      </c>
      <c r="AQ50" t="str">
        <v>230</v>
      </c>
      <c r="AR50" t="str">
        <v>4.019</v>
      </c>
      <c r="AS50" t="str">
        <v>14:01:01</v>
      </c>
      <c r="AT50" t="str">
        <v>2025-12-12</v>
      </c>
      <c r="AU50" t="str">
        <v>-0.19</v>
      </c>
      <c r="AV50" t="str">
        <v>1</v>
      </c>
      <c r="AW50" t="str">
        <v>0.000</v>
      </c>
      <c r="AX50" t="str">
        <v>0.001</v>
      </c>
      <c r="AY50" t="str">
        <v>-9999.000</v>
      </c>
      <c r="AZ50" t="str">
        <v>0.030</v>
      </c>
      <c r="BA50" t="str">
        <v>-0.060</v>
      </c>
      <c r="BB50" t="str">
        <v>-9999.000</v>
      </c>
      <c r="BC50" t="str">
        <v>1</v>
      </c>
      <c r="BD50" t="str">
        <v>150</v>
      </c>
      <c r="BE50" t="str">
        <v>0.005</v>
      </c>
      <c r="BF50" t="str">
        <v>2.000000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0</v>
      </c>
      <c r="BO50" t="str">
        <v>mpf</v>
      </c>
      <c r="BP50" t="str">
        <v>7000</v>
      </c>
      <c r="BQ50" t="str">
        <v>500</v>
      </c>
      <c r="BR50" t="str">
        <v>5.000000</v>
      </c>
      <c r="BS50" t="str">
        <v>2.000000</v>
      </c>
      <c r="BT50" t="str">
        <v>300</v>
      </c>
      <c r="BU50" t="str">
        <v>300</v>
      </c>
      <c r="BV50" t="str">
        <v>300</v>
      </c>
      <c r="BW50" t="str">
        <v>90.061783</v>
      </c>
      <c r="BX50" t="str">
        <v>25</v>
      </c>
      <c r="BY50" t="str">
        <v>-0.076550</v>
      </c>
      <c r="BZ50" t="str">
        <v>89.870094</v>
      </c>
      <c r="CA50" t="str">
        <v>90.036766</v>
      </c>
      <c r="CB50" t="str">
        <v>-0.166672</v>
      </c>
      <c r="CC50" t="str">
        <v>2.440440</v>
      </c>
      <c r="CD50" t="str">
        <v>2.454940</v>
      </c>
      <c r="CE50" t="str">
        <v>1.655283</v>
      </c>
      <c r="CF50" t="str">
        <v>0.907668</v>
      </c>
      <c r="CG50" t="str">
        <v>0.311582</v>
      </c>
      <c r="CH50" t="str">
        <v>-0.043926</v>
      </c>
      <c r="CI50" t="str">
        <v>0.235926</v>
      </c>
      <c r="CJ50" t="str">
        <v>0.314548</v>
      </c>
      <c r="CK50" t="str">
        <v>86.183670</v>
      </c>
      <c r="CL50" t="str">
        <v>0.000240</v>
      </c>
      <c r="CM50" t="str">
        <v>2.388960</v>
      </c>
      <c r="CN50" t="str">
        <v>-0.000025</v>
      </c>
      <c r="CO50" t="str">
        <v>1.000000</v>
      </c>
      <c r="CP50" t="str">
        <v>2.402765</v>
      </c>
      <c r="CQ50" t="str">
        <v>-0.000034</v>
      </c>
      <c r="CR50" t="str">
        <v>1.000000</v>
      </c>
      <c r="CS50" t="str">
        <v>0.600816</v>
      </c>
      <c r="CT50" t="str">
        <v>0.600971</v>
      </c>
      <c r="CU50" t="str">
        <v>0.107301</v>
      </c>
      <c r="CV50" t="str">
        <v>0.000000</v>
      </c>
      <c r="CW50" t="str">
        <v>PSF-00438_20251212140905_0ba</v>
      </c>
      <c r="CX50" t="str">
        <v>PFA-00474</v>
      </c>
      <c r="CY50" t="str">
        <v>PSA-00486</v>
      </c>
      <c r="CZ50" t="str">
        <v>PSF-00438</v>
      </c>
      <c r="DA50" t="str">
        <v>RHS-00603</v>
      </c>
      <c r="DB50" t="str">
        <v>3.0.0</v>
      </c>
      <c r="DC50" t="str">
        <v>2025-12-11T16:13:02.852Z</v>
      </c>
    </row>
    <row r="51">
      <c r="A51" t="str">
        <v>48</v>
      </c>
      <c r="B51" t="str">
        <v>14:09:22</v>
      </c>
      <c r="C51" t="str">
        <v>2025-12-12</v>
      </c>
      <c r="D51" t="str">
        <v>TT25_psf</v>
      </c>
      <c r="E51" t="str">
        <v>eap</v>
      </c>
      <c r="F51" t="str">
        <v/>
      </c>
      <c r="G51" t="str">
        <v>2289_Tri_green</v>
      </c>
      <c r="H51" t="str">
        <v/>
      </c>
      <c r="I51" t="str">
        <v/>
      </c>
      <c r="J51" t="str">
        <f>1/((1/L51)-(1/K51))</f>
        <v>0.037767</v>
      </c>
      <c r="K51" t="str">
        <f>BH51+(BI51*AN51)+(BJ51*AN51*POWER(V51,2))+(BK51*AN51*V51)+(BL51*POWER(AN51,2))</f>
        <v>2.922603</v>
      </c>
      <c r="L51" t="str">
        <f>((M51/1000)*(1000-((T51+S51)/2)))/(T51-S51)</f>
        <v>0.037285</v>
      </c>
      <c r="M51" t="str">
        <f>(AN51*(S51-R51))/(100*U51*(1000-S51))*1000</f>
        <v>0.492079</v>
      </c>
      <c r="N51" t="str">
        <v>0.847099</v>
      </c>
      <c r="O51" t="str">
        <v>0.834685</v>
      </c>
      <c r="P51" t="str">
        <f>0.61365*EXP((17.502*AL51)/(240.97+AL51))</f>
        <v>2.021111</v>
      </c>
      <c r="Q51" t="str">
        <f>P51-N51</f>
        <v>1.174012</v>
      </c>
      <c r="R51" t="str">
        <v>9.234316</v>
      </c>
      <c r="S51" t="str">
        <v>9.371649</v>
      </c>
      <c r="T51" t="str">
        <f>(P51/AM51)*1000</f>
        <v>22.360014</v>
      </c>
      <c r="U51" t="str">
        <f>V51*BG51</f>
        <v>0.441786</v>
      </c>
      <c r="V51" t="str">
        <v>7.500000</v>
      </c>
      <c r="W51" t="str">
        <v>PSF-00438_20251212140922_dd6</v>
      </c>
      <c r="X51" t="str">
        <v>0.000000</v>
      </c>
      <c r="Y51" t="str">
        <v>0.000000</v>
      </c>
      <c r="Z51" t="str">
        <v>0.000000</v>
      </c>
      <c r="AA51" t="str">
        <v>149.080750</v>
      </c>
      <c r="AB51" t="str">
        <v>389.110382</v>
      </c>
      <c r="AC51" t="str">
        <v>0.616868</v>
      </c>
      <c r="AD51" t="str">
        <v>0.5</v>
      </c>
      <c r="AE51" t="str">
        <v>0.80</v>
      </c>
      <c r="AF51" t="str">
        <f>AC51*AD51*AE51*AQ51</f>
        <v>32.318520</v>
      </c>
      <c r="AG51" t="str">
        <v>1.000000</v>
      </c>
      <c r="AH51" t="str">
        <v>32.75</v>
      </c>
      <c r="AI51" t="str">
        <v>32.27</v>
      </c>
      <c r="AJ51" t="str">
        <v>21.58</v>
      </c>
      <c r="AK51" t="str">
        <v>17.61</v>
      </c>
      <c r="AL51" t="str">
        <f>(AK51-AJ51)*(AJ51*0+0)+AK51</f>
        <v>17.61</v>
      </c>
      <c r="AM51" t="str">
        <v>90.39</v>
      </c>
      <c r="AN51" t="str">
        <v>156.8</v>
      </c>
      <c r="AO51" t="str">
        <v>158.7</v>
      </c>
      <c r="AP51" t="str">
        <v>-1.2</v>
      </c>
      <c r="AQ51" t="str">
        <v>131</v>
      </c>
      <c r="AR51" t="str">
        <v>4.018</v>
      </c>
      <c r="AS51" t="str">
        <v>14:01:01</v>
      </c>
      <c r="AT51" t="str">
        <v>2025-12-12</v>
      </c>
      <c r="AU51" t="str">
        <v>-0.19</v>
      </c>
      <c r="AV51" t="str">
        <v>1</v>
      </c>
      <c r="AW51" t="str">
        <v>0.002</v>
      </c>
      <c r="AX51" t="str">
        <v>0.002</v>
      </c>
      <c r="AY51" t="str">
        <v>-9999.000</v>
      </c>
      <c r="AZ51" t="str">
        <v>-0.080</v>
      </c>
      <c r="BA51" t="str">
        <v>-1.409</v>
      </c>
      <c r="BB51" t="str">
        <v>-9999.000</v>
      </c>
      <c r="BC51" t="str">
        <v>1</v>
      </c>
      <c r="BD51" t="str">
        <v>150</v>
      </c>
      <c r="BE51" t="str">
        <v>0.005</v>
      </c>
      <c r="BF51" t="str">
        <v>2.000000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0</v>
      </c>
      <c r="BO51" t="str">
        <v>mpf</v>
      </c>
      <c r="BP51" t="str">
        <v>7000</v>
      </c>
      <c r="BQ51" t="str">
        <v>500</v>
      </c>
      <c r="BR51" t="str">
        <v>5.000000</v>
      </c>
      <c r="BS51" t="str">
        <v>2.000000</v>
      </c>
      <c r="BT51" t="str">
        <v>300</v>
      </c>
      <c r="BU51" t="str">
        <v>300</v>
      </c>
      <c r="BV51" t="str">
        <v>300</v>
      </c>
      <c r="BW51" t="str">
        <v>387.721893</v>
      </c>
      <c r="BX51" t="str">
        <v>25</v>
      </c>
      <c r="BY51" t="str">
        <v>-0.896724</v>
      </c>
      <c r="BZ51" t="str">
        <v>389.291168</v>
      </c>
      <c r="CA51" t="str">
        <v>387.828522</v>
      </c>
      <c r="CB51" t="str">
        <v>1.462646</v>
      </c>
      <c r="CC51" t="str">
        <v>2.443814</v>
      </c>
      <c r="CD51" t="str">
        <v>2.458797</v>
      </c>
      <c r="CE51" t="str">
        <v>1.656438</v>
      </c>
      <c r="CF51" t="str">
        <v>0.943090</v>
      </c>
      <c r="CG51" t="str">
        <v>0.312677</v>
      </c>
      <c r="CH51" t="str">
        <v>-0.042262</v>
      </c>
      <c r="CI51" t="str">
        <v>0.237354</v>
      </c>
      <c r="CJ51" t="str">
        <v>0.225125</v>
      </c>
      <c r="CK51" t="str">
        <v>149.080750</v>
      </c>
      <c r="CL51" t="str">
        <v>0.000236</v>
      </c>
      <c r="CM51" t="str">
        <v>2.388960</v>
      </c>
      <c r="CN51" t="str">
        <v>-0.000025</v>
      </c>
      <c r="CO51" t="str">
        <v>1.000000</v>
      </c>
      <c r="CP51" t="str">
        <v>2.402765</v>
      </c>
      <c r="CQ51" t="str">
        <v>-0.000034</v>
      </c>
      <c r="CR51" t="str">
        <v>1.000000</v>
      </c>
      <c r="CS51" t="str">
        <v>0.600816</v>
      </c>
      <c r="CT51" t="str">
        <v>0.600971</v>
      </c>
      <c r="CU51" t="str">
        <v>0.107301</v>
      </c>
      <c r="CV51" t="str">
        <v>0.000000</v>
      </c>
      <c r="CW51" t="str">
        <v>PSF-00438_20251212140922_dd6</v>
      </c>
      <c r="CX51" t="str">
        <v>PFA-00474</v>
      </c>
      <c r="CY51" t="str">
        <v>PSA-00486</v>
      </c>
      <c r="CZ51" t="str">
        <v>PSF-00438</v>
      </c>
      <c r="DA51" t="str">
        <v>RHS-00603</v>
      </c>
      <c r="DB51" t="str">
        <v>3.0.0</v>
      </c>
      <c r="DC51" t="str">
        <v>2025-12-11T16:13:02.852Z</v>
      </c>
    </row>
    <row r="52">
      <c r="A52" t="str">
        <v>49</v>
      </c>
      <c r="B52" t="str">
        <v>14:09:37</v>
      </c>
      <c r="C52" t="str">
        <v>2025-12-12</v>
      </c>
      <c r="D52" t="str">
        <v>TT25_psf</v>
      </c>
      <c r="E52" t="str">
        <v>eap</v>
      </c>
      <c r="F52" t="str">
        <v/>
      </c>
      <c r="G52" t="str">
        <v>4582_Tri_green</v>
      </c>
      <c r="H52" t="str">
        <v/>
      </c>
      <c r="I52" t="str">
        <v/>
      </c>
      <c r="J52" t="str">
        <f>1/((1/L52)-(1/K52))</f>
        <v>0.002174</v>
      </c>
      <c r="K52" t="str">
        <f>BH52+(BI52*AN52)+(BJ52*AN52*POWER(V52,2))+(BK52*AN52*V52)+(BL52*POWER(AN52,2))</f>
        <v>2.919917</v>
      </c>
      <c r="L52" t="str">
        <f>((M52/1000)*(1000-((T52+S52)/2)))/(T52-S52)</f>
        <v>0.002172</v>
      </c>
      <c r="M52" t="str">
        <f>(AN52*(S52-R52))/(100*U52*(1000-S52))*1000</f>
        <v>0.027456</v>
      </c>
      <c r="N52" t="str">
        <v>0.796035</v>
      </c>
      <c r="O52" t="str">
        <v>0.795341</v>
      </c>
      <c r="P52" t="str">
        <f>0.61365*EXP((17.502*AL52)/(240.97+AL52))</f>
        <v>1.921278</v>
      </c>
      <c r="Q52" t="str">
        <f>P52-N52</f>
        <v>1.125243</v>
      </c>
      <c r="R52" t="str">
        <v>8.799914</v>
      </c>
      <c r="S52" t="str">
        <v>8.807598</v>
      </c>
      <c r="T52" t="str">
        <f>(P52/AM52)*1000</f>
        <v>21.257658</v>
      </c>
      <c r="U52" t="str">
        <f>V52*BG52</f>
        <v>0.441786</v>
      </c>
      <c r="V52" t="str">
        <v>7.500000</v>
      </c>
      <c r="W52" t="str">
        <v>PSF-00438_20251212140937_a46</v>
      </c>
      <c r="X52" t="str">
        <v>0.000000</v>
      </c>
      <c r="Y52" t="str">
        <v>0.000000</v>
      </c>
      <c r="Z52" t="str">
        <v>0.000000</v>
      </c>
      <c r="AA52" t="str">
        <v>82.961082</v>
      </c>
      <c r="AB52" t="str">
        <v>82.974640</v>
      </c>
      <c r="AC52" t="str">
        <v>0.000163</v>
      </c>
      <c r="AD52" t="str">
        <v>0.5</v>
      </c>
      <c r="AE52" t="str">
        <v>0.80</v>
      </c>
      <c r="AF52" t="str">
        <f>AC52*AD52*AE52*AQ52</f>
        <v>0.013626</v>
      </c>
      <c r="AG52" t="str">
        <v>1.000000</v>
      </c>
      <c r="AH52" t="str">
        <v>30.93</v>
      </c>
      <c r="AI52" t="str">
        <v>30.91</v>
      </c>
      <c r="AJ52" t="str">
        <v>21.50</v>
      </c>
      <c r="AK52" t="str">
        <v>16.81</v>
      </c>
      <c r="AL52" t="str">
        <f>(AK52-AJ52)*(AJ52*0+0)+AK52</f>
        <v>16.81</v>
      </c>
      <c r="AM52" t="str">
        <v>90.38</v>
      </c>
      <c r="AN52" t="str">
        <v>156.5</v>
      </c>
      <c r="AO52" t="str">
        <v>157.3</v>
      </c>
      <c r="AP52" t="str">
        <v>-0.5</v>
      </c>
      <c r="AQ52" t="str">
        <v>208</v>
      </c>
      <c r="AR52" t="str">
        <v>4.014</v>
      </c>
      <c r="AS52" t="str">
        <v>14:01:01</v>
      </c>
      <c r="AT52" t="str">
        <v>2025-12-12</v>
      </c>
      <c r="AU52" t="str">
        <v>-0.19</v>
      </c>
      <c r="AV52" t="str">
        <v>1</v>
      </c>
      <c r="AW52" t="str">
        <v>-0.000</v>
      </c>
      <c r="AX52" t="str">
        <v>-0.002</v>
      </c>
      <c r="AY52" t="str">
        <v>-9999.000</v>
      </c>
      <c r="AZ52" t="str">
        <v>-0.869</v>
      </c>
      <c r="BA52" t="str">
        <v>-0.202</v>
      </c>
      <c r="BB52" t="str">
        <v>-9999.000</v>
      </c>
      <c r="BC52" t="str">
        <v>1</v>
      </c>
      <c r="BD52" t="str">
        <v>150</v>
      </c>
      <c r="BE52" t="str">
        <v>0.005</v>
      </c>
      <c r="BF52" t="str">
        <v>2.000000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0</v>
      </c>
      <c r="BO52" t="str">
        <v>mpf</v>
      </c>
      <c r="BP52" t="str">
        <v>7000</v>
      </c>
      <c r="BQ52" t="str">
        <v>500</v>
      </c>
      <c r="BR52" t="str">
        <v>5.000000</v>
      </c>
      <c r="BS52" t="str">
        <v>2.000000</v>
      </c>
      <c r="BT52" t="str">
        <v>300</v>
      </c>
      <c r="BU52" t="str">
        <v>300</v>
      </c>
      <c r="BV52" t="str">
        <v>300</v>
      </c>
      <c r="BW52" t="str">
        <v>82.795502</v>
      </c>
      <c r="BX52" t="str">
        <v>25</v>
      </c>
      <c r="BY52" t="str">
        <v>-0.306198</v>
      </c>
      <c r="BZ52" t="str">
        <v>82.253334</v>
      </c>
      <c r="CA52" t="str">
        <v>82.536934</v>
      </c>
      <c r="CB52" t="str">
        <v>-0.283600</v>
      </c>
      <c r="CC52" t="str">
        <v>2.441851</v>
      </c>
      <c r="CD52" t="str">
        <v>2.456160</v>
      </c>
      <c r="CE52" t="str">
        <v>1.653628</v>
      </c>
      <c r="CF52" t="str">
        <v>0.939556</v>
      </c>
      <c r="CG52" t="str">
        <v>0.313743</v>
      </c>
      <c r="CH52" t="str">
        <v>-0.049756</v>
      </c>
      <c r="CI52" t="str">
        <v>0.238595</v>
      </c>
      <c r="CJ52" t="str">
        <v>0.294843</v>
      </c>
      <c r="CK52" t="str">
        <v>82.961082</v>
      </c>
      <c r="CL52" t="str">
        <v>0.000236</v>
      </c>
      <c r="CM52" t="str">
        <v>2.388960</v>
      </c>
      <c r="CN52" t="str">
        <v>-0.000025</v>
      </c>
      <c r="CO52" t="str">
        <v>1.000000</v>
      </c>
      <c r="CP52" t="str">
        <v>2.402765</v>
      </c>
      <c r="CQ52" t="str">
        <v>-0.000034</v>
      </c>
      <c r="CR52" t="str">
        <v>1.000000</v>
      </c>
      <c r="CS52" t="str">
        <v>0.600816</v>
      </c>
      <c r="CT52" t="str">
        <v>0.600971</v>
      </c>
      <c r="CU52" t="str">
        <v>0.107301</v>
      </c>
      <c r="CV52" t="str">
        <v>0.000000</v>
      </c>
      <c r="CW52" t="str">
        <v>PSF-00438_20251212140937_a46</v>
      </c>
      <c r="CX52" t="str">
        <v>PFA-00474</v>
      </c>
      <c r="CY52" t="str">
        <v>PSA-00486</v>
      </c>
      <c r="CZ52" t="str">
        <v>PSF-00438</v>
      </c>
      <c r="DA52" t="str">
        <v>RHS-00603</v>
      </c>
      <c r="DB52" t="str">
        <v>3.0.0</v>
      </c>
      <c r="DC52" t="str">
        <v>2025-12-11T16:13:02.852Z</v>
      </c>
    </row>
    <row r="53">
      <c r="A53" t="str">
        <v>50</v>
      </c>
      <c r="B53" t="str">
        <v>14:09:56</v>
      </c>
      <c r="C53" t="str">
        <v>2025-12-12</v>
      </c>
      <c r="D53" t="str">
        <v>TT25_psf</v>
      </c>
      <c r="E53" t="str">
        <v>eap</v>
      </c>
      <c r="F53" t="str">
        <v/>
      </c>
      <c r="G53" t="str">
        <v>4959_Tri_green</v>
      </c>
      <c r="H53" t="str">
        <v/>
      </c>
      <c r="I53" t="str">
        <v/>
      </c>
      <c r="J53" t="str">
        <f>1/((1/L53)-(1/K53))</f>
        <v>0.013738</v>
      </c>
      <c r="K53" t="str">
        <f>BH53+(BI53*AN53)+(BJ53*AN53*POWER(V53,2))+(BK53*AN53*V53)+(BL53*POWER(AN53,2))</f>
        <v>2.921519</v>
      </c>
      <c r="L53" t="str">
        <f>((M53/1000)*(1000-((T53+S53)/2)))/(T53-S53)</f>
        <v>0.013674</v>
      </c>
      <c r="M53" t="str">
        <f>(AN53*(S53-R53))/(100*U53*(1000-S53))*1000</f>
        <v>0.194856</v>
      </c>
      <c r="N53" t="str">
        <v>0.811908</v>
      </c>
      <c r="O53" t="str">
        <v>0.806987</v>
      </c>
      <c r="P53" t="str">
        <f>0.61365*EXP((17.502*AL53)/(240.97+AL53))</f>
        <v>2.079279</v>
      </c>
      <c r="Q53" t="str">
        <f>P53-N53</f>
        <v>1.267371</v>
      </c>
      <c r="R53" t="str">
        <v>8.928672</v>
      </c>
      <c r="S53" t="str">
        <v>8.983121</v>
      </c>
      <c r="T53" t="str">
        <f>(P53/AM53)*1000</f>
        <v>23.005585</v>
      </c>
      <c r="U53" t="str">
        <f>V53*BG53</f>
        <v>0.441786</v>
      </c>
      <c r="V53" t="str">
        <v>7.500000</v>
      </c>
      <c r="W53" t="str">
        <v>PSF-00438_20251212140956_0b1</v>
      </c>
      <c r="X53" t="str">
        <v>0.000000</v>
      </c>
      <c r="Y53" t="str">
        <v>0.000000</v>
      </c>
      <c r="Z53" t="str">
        <v>0.000000</v>
      </c>
      <c r="AA53" t="str">
        <v>86.099625</v>
      </c>
      <c r="AB53" t="str">
        <v>87.493202</v>
      </c>
      <c r="AC53" t="str">
        <v>0.015928</v>
      </c>
      <c r="AD53" t="str">
        <v>0.5</v>
      </c>
      <c r="AE53" t="str">
        <v>0.80</v>
      </c>
      <c r="AF53" t="str">
        <f>AC53*AD53*AE53*AQ53</f>
        <v>1.039099</v>
      </c>
      <c r="AG53" t="str">
        <v>1.000000</v>
      </c>
      <c r="AH53" t="str">
        <v>31.76</v>
      </c>
      <c r="AI53" t="str">
        <v>31.57</v>
      </c>
      <c r="AJ53" t="str">
        <v>21.39</v>
      </c>
      <c r="AK53" t="str">
        <v>18.06</v>
      </c>
      <c r="AL53" t="str">
        <f>(AK53-AJ53)*(AJ53*0+0)+AK53</f>
        <v>18.06</v>
      </c>
      <c r="AM53" t="str">
        <v>90.38</v>
      </c>
      <c r="AN53" t="str">
        <v>156.7</v>
      </c>
      <c r="AO53" t="str">
        <v>158.4</v>
      </c>
      <c r="AP53" t="str">
        <v>-1.1</v>
      </c>
      <c r="AQ53" t="str">
        <v>163</v>
      </c>
      <c r="AR53" t="str">
        <v>4.018</v>
      </c>
      <c r="AS53" t="str">
        <v>14:01:01</v>
      </c>
      <c r="AT53" t="str">
        <v>2025-12-12</v>
      </c>
      <c r="AU53" t="str">
        <v>-0.19</v>
      </c>
      <c r="AV53" t="str">
        <v>1</v>
      </c>
      <c r="AW53" t="str">
        <v>0.002</v>
      </c>
      <c r="AX53" t="str">
        <v>0.000</v>
      </c>
      <c r="AY53" t="str">
        <v>-9999.000</v>
      </c>
      <c r="AZ53" t="str">
        <v>-0.115</v>
      </c>
      <c r="BA53" t="str">
        <v>-0.106</v>
      </c>
      <c r="BB53" t="str">
        <v>-9999.000</v>
      </c>
      <c r="BC53" t="str">
        <v>1</v>
      </c>
      <c r="BD53" t="str">
        <v>150</v>
      </c>
      <c r="BE53" t="str">
        <v>0.005</v>
      </c>
      <c r="BF53" t="str">
        <v>2.000000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0</v>
      </c>
      <c r="BO53" t="str">
        <v>mpf</v>
      </c>
      <c r="BP53" t="str">
        <v>7000</v>
      </c>
      <c r="BQ53" t="str">
        <v>500</v>
      </c>
      <c r="BR53" t="str">
        <v>5.000000</v>
      </c>
      <c r="BS53" t="str">
        <v>2.000000</v>
      </c>
      <c r="BT53" t="str">
        <v>300</v>
      </c>
      <c r="BU53" t="str">
        <v>300</v>
      </c>
      <c r="BV53" t="str">
        <v>300</v>
      </c>
      <c r="BW53" t="str">
        <v>87.240456</v>
      </c>
      <c r="BX53" t="str">
        <v>25</v>
      </c>
      <c r="BY53" t="str">
        <v>-0.267468</v>
      </c>
      <c r="BZ53" t="str">
        <v>86.834549</v>
      </c>
      <c r="CA53" t="str">
        <v>87.110863</v>
      </c>
      <c r="CB53" t="str">
        <v>-0.276314</v>
      </c>
      <c r="CC53" t="str">
        <v>2.442831</v>
      </c>
      <c r="CD53" t="str">
        <v>2.457391</v>
      </c>
      <c r="CE53" t="str">
        <v>1.655301</v>
      </c>
      <c r="CF53" t="str">
        <v>0.942437</v>
      </c>
      <c r="CG53" t="str">
        <v>0.315101</v>
      </c>
      <c r="CH53" t="str">
        <v>-0.035367</v>
      </c>
      <c r="CI53" t="str">
        <v>0.240148</v>
      </c>
      <c r="CJ53" t="str">
        <v>0.254016</v>
      </c>
      <c r="CK53" t="str">
        <v>86.099625</v>
      </c>
      <c r="CL53" t="str">
        <v>0.000237</v>
      </c>
      <c r="CM53" t="str">
        <v>2.388960</v>
      </c>
      <c r="CN53" t="str">
        <v>-0.000025</v>
      </c>
      <c r="CO53" t="str">
        <v>1.000000</v>
      </c>
      <c r="CP53" t="str">
        <v>2.402765</v>
      </c>
      <c r="CQ53" t="str">
        <v>-0.000034</v>
      </c>
      <c r="CR53" t="str">
        <v>1.000000</v>
      </c>
      <c r="CS53" t="str">
        <v>0.600816</v>
      </c>
      <c r="CT53" t="str">
        <v>0.600971</v>
      </c>
      <c r="CU53" t="str">
        <v>0.107301</v>
      </c>
      <c r="CV53" t="str">
        <v>0.000000</v>
      </c>
      <c r="CW53" t="str">
        <v>PSF-00438_20251212140956_0b1</v>
      </c>
      <c r="CX53" t="str">
        <v>PFA-00474</v>
      </c>
      <c r="CY53" t="str">
        <v>PSA-00486</v>
      </c>
      <c r="CZ53" t="str">
        <v>PSF-00438</v>
      </c>
      <c r="DA53" t="str">
        <v>RHS-00603</v>
      </c>
      <c r="DB53" t="str">
        <v>3.0.0</v>
      </c>
      <c r="DC53" t="str">
        <v>2025-12-11T16:13:02.852Z</v>
      </c>
    </row>
    <row r="54">
      <c r="A54" t="str">
        <v>51</v>
      </c>
      <c r="B54" t="str">
        <v>14:10:13</v>
      </c>
      <c r="C54" t="str">
        <v>2025-12-12</v>
      </c>
      <c r="D54" t="str">
        <v>TT25_psf</v>
      </c>
      <c r="E54" t="str">
        <v>eap</v>
      </c>
      <c r="F54" t="str">
        <v/>
      </c>
      <c r="G54" t="str">
        <v>4081_Tri_green</v>
      </c>
      <c r="H54" t="str">
        <v/>
      </c>
      <c r="I54" t="str">
        <v/>
      </c>
      <c r="J54" t="str">
        <f>1/((1/L54)-(1/K54))</f>
        <v>0.003757</v>
      </c>
      <c r="K54" t="str">
        <f>BH54+(BI54*AN54)+(BJ54*AN54*POWER(V54,2))+(BK54*AN54*V54)+(BL54*POWER(AN54,2))</f>
        <v>2.922935</v>
      </c>
      <c r="L54" t="str">
        <f>((M54/1000)*(1000-((T54+S54)/2)))/(T54-S54)</f>
        <v>0.003752</v>
      </c>
      <c r="M54" t="str">
        <f>(AN54*(S54-R54))/(100*U54*(1000-S54))*1000</f>
        <v>0.052500</v>
      </c>
      <c r="N54" t="str">
        <v>0.792795</v>
      </c>
      <c r="O54" t="str">
        <v>0.791470</v>
      </c>
      <c r="P54" t="str">
        <f>0.61365*EXP((17.502*AL54)/(240.97+AL54))</f>
        <v>2.037901</v>
      </c>
      <c r="Q54" t="str">
        <f>P54-N54</f>
        <v>1.245106</v>
      </c>
      <c r="R54" t="str">
        <v>8.755421</v>
      </c>
      <c r="S54" t="str">
        <v>8.770078</v>
      </c>
      <c r="T54" t="str">
        <f>(P54/AM54)*1000</f>
        <v>22.543715</v>
      </c>
      <c r="U54" t="str">
        <f>V54*BG54</f>
        <v>0.441786</v>
      </c>
      <c r="V54" t="str">
        <v>7.500000</v>
      </c>
      <c r="W54" t="str">
        <v>PSF-00438_20251212141013_014</v>
      </c>
      <c r="X54" t="str">
        <v>0.000000</v>
      </c>
      <c r="Y54" t="str">
        <v>0.000000</v>
      </c>
      <c r="Z54" t="str">
        <v>0.000000</v>
      </c>
      <c r="AA54" t="str">
        <v>89.688782</v>
      </c>
      <c r="AB54" t="str">
        <v>93.815086</v>
      </c>
      <c r="AC54" t="str">
        <v>0.043983</v>
      </c>
      <c r="AD54" t="str">
        <v>0.5</v>
      </c>
      <c r="AE54" t="str">
        <v>0.80</v>
      </c>
      <c r="AF54" t="str">
        <f>AC54*AD54*AE54*AQ54</f>
        <v>2.639817</v>
      </c>
      <c r="AG54" t="str">
        <v>1.000000</v>
      </c>
      <c r="AH54" t="str">
        <v>31.20</v>
      </c>
      <c r="AI54" t="str">
        <v>31.14</v>
      </c>
      <c r="AJ54" t="str">
        <v>21.29</v>
      </c>
      <c r="AK54" t="str">
        <v>17.74</v>
      </c>
      <c r="AL54" t="str">
        <f>(AK54-AJ54)*(AJ54*0+0)+AK54</f>
        <v>17.74</v>
      </c>
      <c r="AM54" t="str">
        <v>90.40</v>
      </c>
      <c r="AN54" t="str">
        <v>156.9</v>
      </c>
      <c r="AO54" t="str">
        <v>157.8</v>
      </c>
      <c r="AP54" t="str">
        <v>-0.6</v>
      </c>
      <c r="AQ54" t="str">
        <v>150</v>
      </c>
      <c r="AR54" t="str">
        <v>4.017</v>
      </c>
      <c r="AS54" t="str">
        <v>14:01:01</v>
      </c>
      <c r="AT54" t="str">
        <v>2025-12-12</v>
      </c>
      <c r="AU54" t="str">
        <v>-0.19</v>
      </c>
      <c r="AV54" t="str">
        <v>1</v>
      </c>
      <c r="AW54" t="str">
        <v>0.001</v>
      </c>
      <c r="AX54" t="str">
        <v>-0.000</v>
      </c>
      <c r="AY54" t="str">
        <v>-9999.000</v>
      </c>
      <c r="AZ54" t="str">
        <v>-0.631</v>
      </c>
      <c r="BA54" t="str">
        <v>-0.026</v>
      </c>
      <c r="BB54" t="str">
        <v>-9999.000</v>
      </c>
      <c r="BC54" t="str">
        <v>1</v>
      </c>
      <c r="BD54" t="str">
        <v>150</v>
      </c>
      <c r="BE54" t="str">
        <v>0.005</v>
      </c>
      <c r="BF54" t="str">
        <v>2.000000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0</v>
      </c>
      <c r="BO54" t="str">
        <v>mpf</v>
      </c>
      <c r="BP54" t="str">
        <v>7000</v>
      </c>
      <c r="BQ54" t="str">
        <v>500</v>
      </c>
      <c r="BR54" t="str">
        <v>5.000000</v>
      </c>
      <c r="BS54" t="str">
        <v>2.000000</v>
      </c>
      <c r="BT54" t="str">
        <v>300</v>
      </c>
      <c r="BU54" t="str">
        <v>300</v>
      </c>
      <c r="BV54" t="str">
        <v>300</v>
      </c>
      <c r="BW54" t="str">
        <v>93.815086</v>
      </c>
      <c r="BX54" t="str">
        <v>25</v>
      </c>
      <c r="BY54" t="str">
        <v>0.268835</v>
      </c>
      <c r="BZ54" t="str">
        <v>93.753937</v>
      </c>
      <c r="CA54" t="str">
        <v>94.199387</v>
      </c>
      <c r="CB54" t="str">
        <v>-0.445450</v>
      </c>
      <c r="CC54" t="str">
        <v>2.442233</v>
      </c>
      <c r="CD54" t="str">
        <v>2.456583</v>
      </c>
      <c r="CE54" t="str">
        <v>1.656785</v>
      </c>
      <c r="CF54" t="str">
        <v>0.940944</v>
      </c>
      <c r="CG54" t="str">
        <v>0.316329</v>
      </c>
      <c r="CH54" t="str">
        <v>-0.037687</v>
      </c>
      <c r="CI54" t="str">
        <v>0.241594</v>
      </c>
      <c r="CJ54" t="str">
        <v>0.242278</v>
      </c>
      <c r="CK54" t="str">
        <v>89.688782</v>
      </c>
      <c r="CL54" t="str">
        <v>0.000238</v>
      </c>
      <c r="CM54" t="str">
        <v>2.388960</v>
      </c>
      <c r="CN54" t="str">
        <v>-0.000025</v>
      </c>
      <c r="CO54" t="str">
        <v>1.000000</v>
      </c>
      <c r="CP54" t="str">
        <v>2.402765</v>
      </c>
      <c r="CQ54" t="str">
        <v>-0.000034</v>
      </c>
      <c r="CR54" t="str">
        <v>1.000000</v>
      </c>
      <c r="CS54" t="str">
        <v>0.600816</v>
      </c>
      <c r="CT54" t="str">
        <v>0.600971</v>
      </c>
      <c r="CU54" t="str">
        <v>0.107301</v>
      </c>
      <c r="CV54" t="str">
        <v>0.000000</v>
      </c>
      <c r="CW54" t="str">
        <v>PSF-00438_20251212141013_014</v>
      </c>
      <c r="CX54" t="str">
        <v>PFA-00474</v>
      </c>
      <c r="CY54" t="str">
        <v>PSA-00486</v>
      </c>
      <c r="CZ54" t="str">
        <v>PSF-00438</v>
      </c>
      <c r="DA54" t="str">
        <v>RHS-00603</v>
      </c>
      <c r="DB54" t="str">
        <v>3.0.0</v>
      </c>
      <c r="DC54" t="str">
        <v>2025-12-11T16:13:02.852Z</v>
      </c>
    </row>
    <row r="55">
      <c r="A55" t="str">
        <v>52</v>
      </c>
      <c r="B55" t="str">
        <v>14:10:30</v>
      </c>
      <c r="C55" t="str">
        <v>2025-12-12</v>
      </c>
      <c r="D55" t="str">
        <v>TT25_psf</v>
      </c>
      <c r="E55" t="str">
        <v>eap</v>
      </c>
      <c r="F55" t="str">
        <v/>
      </c>
      <c r="G55" t="str">
        <v>6881_Tri_green</v>
      </c>
      <c r="H55" t="str">
        <v/>
      </c>
      <c r="I55" t="str">
        <v/>
      </c>
      <c r="J55" t="str">
        <f>1/((1/L55)-(1/K55))</f>
        <v>-0.001953</v>
      </c>
      <c r="K55" t="str">
        <f>BH55+(BI55*AN55)+(BJ55*AN55*POWER(V55,2))+(BK55*AN55*V55)+(BL55*POWER(AN55,2))</f>
        <v>2.921434</v>
      </c>
      <c r="L55" t="str">
        <f>((M55/1000)*(1000-((T55+S55)/2)))/(T55-S55)</f>
        <v>-0.001955</v>
      </c>
      <c r="M55" t="str">
        <f>(AN55*(S55-R55))/(100*U55*(1000-S55))*1000</f>
        <v>-0.027728</v>
      </c>
      <c r="N55" t="str">
        <v>0.813050</v>
      </c>
      <c r="O55" t="str">
        <v>0.813751</v>
      </c>
      <c r="P55" t="str">
        <f>0.61365*EXP((17.502*AL55)/(240.97+AL55))</f>
        <v>2.074999</v>
      </c>
      <c r="Q55" t="str">
        <f>P55-N55</f>
        <v>1.261949</v>
      </c>
      <c r="R55" t="str">
        <v>9.001941</v>
      </c>
      <c r="S55" t="str">
        <v>8.994192</v>
      </c>
      <c r="T55" t="str">
        <f>(P55/AM55)*1000</f>
        <v>22.954231</v>
      </c>
      <c r="U55" t="str">
        <f>V55*BG55</f>
        <v>0.441786</v>
      </c>
      <c r="V55" t="str">
        <v>7.500000</v>
      </c>
      <c r="W55" t="str">
        <v>PSF-00438_20251212141030_7e5</v>
      </c>
      <c r="X55" t="str">
        <v>0.000000</v>
      </c>
      <c r="Y55" t="str">
        <v>0.000000</v>
      </c>
      <c r="Z55" t="str">
        <v>0.000000</v>
      </c>
      <c r="AA55" t="str">
        <v>94.180939</v>
      </c>
      <c r="AB55" t="str">
        <v>99.466797</v>
      </c>
      <c r="AC55" t="str">
        <v>0.053142</v>
      </c>
      <c r="AD55" t="str">
        <v>0.5</v>
      </c>
      <c r="AE55" t="str">
        <v>0.80</v>
      </c>
      <c r="AF55" t="str">
        <f>AC55*AD55*AE55*AQ55</f>
        <v>1.728173</v>
      </c>
      <c r="AG55" t="str">
        <v>1.000000</v>
      </c>
      <c r="AH55" t="str">
        <v>32.19</v>
      </c>
      <c r="AI55" t="str">
        <v>32.22</v>
      </c>
      <c r="AJ55" t="str">
        <v>21.19</v>
      </c>
      <c r="AK55" t="str">
        <v>18.03</v>
      </c>
      <c r="AL55" t="str">
        <f>(AK55-AJ55)*(AJ55*0+0)+AK55</f>
        <v>18.03</v>
      </c>
      <c r="AM55" t="str">
        <v>90.40</v>
      </c>
      <c r="AN55" t="str">
        <v>156.7</v>
      </c>
      <c r="AO55" t="str">
        <v>158.7</v>
      </c>
      <c r="AP55" t="str">
        <v>-1.3</v>
      </c>
      <c r="AQ55" t="str">
        <v>81</v>
      </c>
      <c r="AR55" t="str">
        <v>4.017</v>
      </c>
      <c r="AS55" t="str">
        <v>14:01:01</v>
      </c>
      <c r="AT55" t="str">
        <v>2025-12-12</v>
      </c>
      <c r="AU55" t="str">
        <v>-0.19</v>
      </c>
      <c r="AV55" t="str">
        <v>1</v>
      </c>
      <c r="AW55" t="str">
        <v>0.001</v>
      </c>
      <c r="AX55" t="str">
        <v>0.000</v>
      </c>
      <c r="AY55" t="str">
        <v>-0.020</v>
      </c>
      <c r="AZ55" t="str">
        <v>0.055</v>
      </c>
      <c r="BA55" t="str">
        <v>-0.733</v>
      </c>
      <c r="BB55" t="str">
        <v>-0.670</v>
      </c>
      <c r="BC55" t="str">
        <v>1</v>
      </c>
      <c r="BD55" t="str">
        <v>150</v>
      </c>
      <c r="BE55" t="str">
        <v>0.005</v>
      </c>
      <c r="BF55" t="str">
        <v>2.000000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0</v>
      </c>
      <c r="BO55" t="str">
        <v>mpf</v>
      </c>
      <c r="BP55" t="str">
        <v>7000</v>
      </c>
      <c r="BQ55" t="str">
        <v>500</v>
      </c>
      <c r="BR55" t="str">
        <v>5.000000</v>
      </c>
      <c r="BS55" t="str">
        <v>2.000000</v>
      </c>
      <c r="BT55" t="str">
        <v>300</v>
      </c>
      <c r="BU55" t="str">
        <v>300</v>
      </c>
      <c r="BV55" t="str">
        <v>300</v>
      </c>
      <c r="BW55" t="str">
        <v>97.933174</v>
      </c>
      <c r="BX55" t="str">
        <v>25</v>
      </c>
      <c r="BY55" t="str">
        <v>-1.161002</v>
      </c>
      <c r="BZ55" t="str">
        <v>97.092033</v>
      </c>
      <c r="CA55" t="str">
        <v>97.807152</v>
      </c>
      <c r="CB55" t="str">
        <v>-0.715118</v>
      </c>
      <c r="CC55" t="str">
        <v>2.443809</v>
      </c>
      <c r="CD55" t="str">
        <v>2.458055</v>
      </c>
      <c r="CE55" t="str">
        <v>1.655213</v>
      </c>
      <c r="CF55" t="str">
        <v>0.943115</v>
      </c>
      <c r="CG55" t="str">
        <v>0.317586</v>
      </c>
      <c r="CH55" t="str">
        <v>-0.033559</v>
      </c>
      <c r="CI55" t="str">
        <v>0.242948</v>
      </c>
      <c r="CJ55" t="str">
        <v>0.180436</v>
      </c>
      <c r="CK55" t="str">
        <v>94.180939</v>
      </c>
      <c r="CL55" t="str">
        <v>0.000237</v>
      </c>
      <c r="CM55" t="str">
        <v>2.388960</v>
      </c>
      <c r="CN55" t="str">
        <v>-0.000025</v>
      </c>
      <c r="CO55" t="str">
        <v>1.000000</v>
      </c>
      <c r="CP55" t="str">
        <v>2.402765</v>
      </c>
      <c r="CQ55" t="str">
        <v>-0.000034</v>
      </c>
      <c r="CR55" t="str">
        <v>1.000000</v>
      </c>
      <c r="CS55" t="str">
        <v>0.600816</v>
      </c>
      <c r="CT55" t="str">
        <v>0.600971</v>
      </c>
      <c r="CU55" t="str">
        <v>0.107301</v>
      </c>
      <c r="CV55" t="str">
        <v>0.000000</v>
      </c>
      <c r="CW55" t="str">
        <v>PSF-00438_20251212141030_7e5</v>
      </c>
      <c r="CX55" t="str">
        <v>PFA-00474</v>
      </c>
      <c r="CY55" t="str">
        <v>PSA-00486</v>
      </c>
      <c r="CZ55" t="str">
        <v>PSF-00438</v>
      </c>
      <c r="DA55" t="str">
        <v>RHS-00603</v>
      </c>
      <c r="DB55" t="str">
        <v>3.0.0</v>
      </c>
      <c r="DC55" t="str">
        <v>2025-12-11T16:13:02.852Z</v>
      </c>
    </row>
  </sheetData>
  <ignoredErrors>
    <ignoredError numberStoredAsText="1" sqref="A1:DC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TT25_psf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