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T25_p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26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>id</v>
      </c>
      <c r="H2" t="str">
        <v/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14:12:33</v>
      </c>
      <c r="C4" t="str">
        <v>2025-12-11</v>
      </c>
      <c r="D4" t="str">
        <v>TT25_psf</v>
      </c>
      <c r="E4" t="str">
        <v>eap</v>
      </c>
      <c r="F4" t="str">
        <v/>
      </c>
      <c r="G4" t="str">
        <v>1827_Tri_yellow</v>
      </c>
      <c r="H4" t="str">
        <v/>
      </c>
      <c r="I4" t="str">
        <v/>
      </c>
      <c r="J4" t="str">
        <f>1/((1/L4)-(1/K4))</f>
        <v>0.013595</v>
      </c>
      <c r="K4" t="str">
        <f>BH4+(BI4*AN4)+(BJ4*AN4*POWER(V4,2))+(BK4*AN4*V4)+(BL4*POWER(AN4,2))</f>
        <v>2.920684</v>
      </c>
      <c r="L4" t="str">
        <f>((M4/1000)*(1000-((T4+S4)/2)))/(T4-S4)</f>
        <v>0.013532</v>
      </c>
      <c r="M4" t="str">
        <f>(AN4*(S4-R4))/(100*U4*(1000-S4))*1000</f>
        <v>0.282996</v>
      </c>
      <c r="N4" t="str">
        <v>0.733328</v>
      </c>
      <c r="O4" t="str">
        <v>0.726203</v>
      </c>
      <c r="P4" t="str">
        <f>0.61365*EXP((17.502*AL4)/(240.97+AL4))</f>
        <v>2.579940</v>
      </c>
      <c r="Q4" t="str">
        <f>P4-N4</f>
        <v>1.846612</v>
      </c>
      <c r="R4" t="str">
        <v>8.072987</v>
      </c>
      <c r="S4" t="str">
        <v>8.152184</v>
      </c>
      <c r="T4" t="str">
        <f>(P4/AM4)*1000</f>
        <v>28.680418</v>
      </c>
      <c r="U4" t="str">
        <f>V4*BG4</f>
        <v>0.441786</v>
      </c>
      <c r="V4" t="str">
        <v>7.500000</v>
      </c>
      <c r="W4" t="str">
        <v>PSF-00438_20251211141233_7c4</v>
      </c>
      <c r="X4" t="str">
        <v>0.000000</v>
      </c>
      <c r="Y4" t="str">
        <v>0.000000</v>
      </c>
      <c r="Z4" t="str">
        <v>0.000000</v>
      </c>
      <c r="AA4" t="str">
        <v>96.428993</v>
      </c>
      <c r="AB4" t="str">
        <v>132.897415</v>
      </c>
      <c r="AC4" t="str">
        <v>0.274410</v>
      </c>
      <c r="AD4" t="str">
        <v>0.5</v>
      </c>
      <c r="AE4" t="str">
        <v>0.80</v>
      </c>
      <c r="AF4" t="str">
        <f>AC4*AD4*AE4*AQ4</f>
        <v>16.210054</v>
      </c>
      <c r="AG4" t="str">
        <v>1.000000</v>
      </c>
      <c r="AH4" t="str">
        <v>24.69</v>
      </c>
      <c r="AI4" t="str">
        <v>24.45</v>
      </c>
      <c r="AJ4" t="str">
        <v>23.86</v>
      </c>
      <c r="AK4" t="str">
        <v>21.54</v>
      </c>
      <c r="AL4" t="str">
        <f>(AK4-AJ4)*(AJ4*0+0)+AK4</f>
        <v>21.54</v>
      </c>
      <c r="AM4" t="str">
        <v>89.95</v>
      </c>
      <c r="AN4" t="str">
        <v>156.6</v>
      </c>
      <c r="AO4" t="str">
        <v>158.4</v>
      </c>
      <c r="AP4" t="str">
        <v>-1.2</v>
      </c>
      <c r="AQ4" t="str">
        <v>148</v>
      </c>
      <c r="AR4" t="str">
        <v>4.065</v>
      </c>
      <c r="AS4" t="str">
        <v>14:12:23</v>
      </c>
      <c r="AT4" t="str">
        <v>2025-12-11</v>
      </c>
      <c r="AU4" t="str">
        <v>-0.07</v>
      </c>
      <c r="AV4" t="str">
        <v>1</v>
      </c>
      <c r="AW4" t="str">
        <v>0.004</v>
      </c>
      <c r="AX4" t="str">
        <v>0.004</v>
      </c>
      <c r="AY4" t="str">
        <v>-9999.000</v>
      </c>
      <c r="AZ4" t="str">
        <v>0.408</v>
      </c>
      <c r="BA4" t="str">
        <v>0.166</v>
      </c>
      <c r="BB4" t="str">
        <v>-9999.000</v>
      </c>
      <c r="BC4" t="str">
        <v>1</v>
      </c>
      <c r="BD4" t="str">
        <v>150</v>
      </c>
      <c r="BE4" t="str">
        <v>0.005</v>
      </c>
      <c r="BF4" t="str">
        <v>2.000000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0</v>
      </c>
      <c r="BO4" t="str">
        <v>mpf</v>
      </c>
      <c r="BP4" t="str">
        <v>7000</v>
      </c>
      <c r="BQ4" t="str">
        <v>500</v>
      </c>
      <c r="BR4" t="str">
        <v>5.000000</v>
      </c>
      <c r="BS4" t="str">
        <v>2.000000</v>
      </c>
      <c r="BT4" t="str">
        <v>300</v>
      </c>
      <c r="BU4" t="str">
        <v>300</v>
      </c>
      <c r="BV4" t="str">
        <v>300</v>
      </c>
      <c r="BW4" t="str">
        <v>132.554047</v>
      </c>
      <c r="BX4" t="str">
        <v>25</v>
      </c>
      <c r="BY4" t="str">
        <v>-0.196842</v>
      </c>
      <c r="BZ4" t="str">
        <v>132.809036</v>
      </c>
      <c r="CA4" t="str">
        <v>132.616028</v>
      </c>
      <c r="CB4" t="str">
        <v>0.193008</v>
      </c>
      <c r="CC4" t="str">
        <v>2.431870</v>
      </c>
      <c r="CD4" t="str">
        <v>2.446238</v>
      </c>
      <c r="CE4" t="str">
        <v>1.654429</v>
      </c>
      <c r="CF4" t="str">
        <v>0.942431</v>
      </c>
      <c r="CG4" t="str">
        <v>0.285401</v>
      </c>
      <c r="CH4" t="str">
        <v>-0.025343</v>
      </c>
      <c r="CI4" t="str">
        <v>0.159293</v>
      </c>
      <c r="CJ4" t="str">
        <v>0.240150</v>
      </c>
      <c r="CK4" t="str">
        <v>96.428993</v>
      </c>
      <c r="CL4" t="str">
        <v>0.000240</v>
      </c>
      <c r="CM4" t="str">
        <v>2.388960</v>
      </c>
      <c r="CN4" t="str">
        <v>-0.000025</v>
      </c>
      <c r="CO4" t="str">
        <v>1.000000</v>
      </c>
      <c r="CP4" t="str">
        <v>2.402765</v>
      </c>
      <c r="CQ4" t="str">
        <v>-0.000034</v>
      </c>
      <c r="CR4" t="str">
        <v>1.000000</v>
      </c>
      <c r="CS4" t="str">
        <v>0.600816</v>
      </c>
      <c r="CT4" t="str">
        <v>0.600971</v>
      </c>
      <c r="CU4" t="str">
        <v>0.107301</v>
      </c>
      <c r="CV4" t="str">
        <v>0.000000</v>
      </c>
      <c r="CW4" t="str">
        <v>PSF-00438_20251211141233_7c4</v>
      </c>
      <c r="CX4" t="str">
        <v>PFA-00474</v>
      </c>
      <c r="CY4" t="str">
        <v>PSA-00486</v>
      </c>
      <c r="CZ4" t="str">
        <v>PSF-00438</v>
      </c>
      <c r="DA4" t="str">
        <v>RHS-00603</v>
      </c>
      <c r="DB4" t="str">
        <v>3.0.0</v>
      </c>
      <c r="DC4" t="str">
        <v>2025-12-11T16:13:02.852Z</v>
      </c>
    </row>
    <row r="5">
      <c r="A5" t="str">
        <v>2</v>
      </c>
      <c r="B5" t="str">
        <v>14:12:56</v>
      </c>
      <c r="C5" t="str">
        <v>2025-12-11</v>
      </c>
      <c r="D5" t="str">
        <v>TT25_psf</v>
      </c>
      <c r="E5" t="str">
        <v>eap</v>
      </c>
      <c r="F5" t="str">
        <v/>
      </c>
      <c r="G5" t="str">
        <v>774_Tri_yellow</v>
      </c>
      <c r="H5" t="str">
        <v/>
      </c>
      <c r="I5" t="str">
        <v/>
      </c>
      <c r="J5" t="str">
        <f>1/((1/L5)-(1/K5))</f>
        <v>0.034043</v>
      </c>
      <c r="K5" t="str">
        <f>BH5+(BI5*AN5)+(BJ5*AN5*POWER(V5,2))+(BK5*AN5*V5)+(BL5*POWER(AN5,2))</f>
        <v>2.922202</v>
      </c>
      <c r="L5" t="str">
        <f>((M5/1000)*(1000-((T5+S5)/2)))/(T5-S5)</f>
        <v>0.033651</v>
      </c>
      <c r="M5" t="str">
        <f>(AN5*(S5-R5))/(100*U5*(1000-S5))*1000</f>
        <v>0.700956</v>
      </c>
      <c r="N5" t="str">
        <v>0.718940</v>
      </c>
      <c r="O5" t="str">
        <v>0.701312</v>
      </c>
      <c r="P5" t="str">
        <f>0.61365*EXP((17.502*AL5)/(240.97+AL5))</f>
        <v>2.558635</v>
      </c>
      <c r="Q5" t="str">
        <f>P5-N5</f>
        <v>1.839695</v>
      </c>
      <c r="R5" t="str">
        <v>7.795990</v>
      </c>
      <c r="S5" t="str">
        <v>7.991953</v>
      </c>
      <c r="T5" t="str">
        <f>(P5/AM5)*1000</f>
        <v>28.442551</v>
      </c>
      <c r="U5" t="str">
        <f>V5*BG5</f>
        <v>0.441786</v>
      </c>
      <c r="V5" t="str">
        <v>7.500000</v>
      </c>
      <c r="W5" t="str">
        <v>PSF-00438_20251211141256_bc2</v>
      </c>
      <c r="X5" t="str">
        <v>0.000000</v>
      </c>
      <c r="Y5" t="str">
        <v>0.000000</v>
      </c>
      <c r="Z5" t="str">
        <v>0.000000</v>
      </c>
      <c r="AA5" t="str">
        <v>112.486481</v>
      </c>
      <c r="AB5" t="str">
        <v>264.470032</v>
      </c>
      <c r="AC5" t="str">
        <v>0.574672</v>
      </c>
      <c r="AD5" t="str">
        <v>0.5</v>
      </c>
      <c r="AE5" t="str">
        <v>0.80</v>
      </c>
      <c r="AF5" t="str">
        <f>AC5*AD5*AE5*AQ5</f>
        <v>48.165974</v>
      </c>
      <c r="AG5" t="str">
        <v>1.000000</v>
      </c>
      <c r="AH5" t="str">
        <v>24.16</v>
      </c>
      <c r="AI5" t="str">
        <v>23.57</v>
      </c>
      <c r="AJ5" t="str">
        <v>23.89</v>
      </c>
      <c r="AK5" t="str">
        <v>21.40</v>
      </c>
      <c r="AL5" t="str">
        <f>(AK5-AJ5)*(AJ5*0+0)+AK5</f>
        <v>21.40</v>
      </c>
      <c r="AM5" t="str">
        <v>89.96</v>
      </c>
      <c r="AN5" t="str">
        <v>156.8</v>
      </c>
      <c r="AO5" t="str">
        <v>152.2</v>
      </c>
      <c r="AP5" t="str">
        <v>2.9</v>
      </c>
      <c r="AQ5" t="str">
        <v>210</v>
      </c>
      <c r="AR5" t="str">
        <v>4.065</v>
      </c>
      <c r="AS5" t="str">
        <v>14:12:23</v>
      </c>
      <c r="AT5" t="str">
        <v>2025-12-11</v>
      </c>
      <c r="AU5" t="str">
        <v>-0.07</v>
      </c>
      <c r="AV5" t="str">
        <v>1</v>
      </c>
      <c r="AW5" t="str">
        <v>0.000</v>
      </c>
      <c r="AX5" t="str">
        <v>0.001</v>
      </c>
      <c r="AY5" t="str">
        <v>-9999.000</v>
      </c>
      <c r="AZ5" t="str">
        <v>-1.320</v>
      </c>
      <c r="BA5" t="str">
        <v>-0.287</v>
      </c>
      <c r="BB5" t="str">
        <v>-9999.000</v>
      </c>
      <c r="BC5" t="str">
        <v>1</v>
      </c>
      <c r="BD5" t="str">
        <v>150</v>
      </c>
      <c r="BE5" t="str">
        <v>0.005</v>
      </c>
      <c r="BF5" t="str">
        <v>2.000000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0</v>
      </c>
      <c r="BO5" t="str">
        <v>mpf</v>
      </c>
      <c r="BP5" t="str">
        <v>7000</v>
      </c>
      <c r="BQ5" t="str">
        <v>500</v>
      </c>
      <c r="BR5" t="str">
        <v>5.000000</v>
      </c>
      <c r="BS5" t="str">
        <v>2.000000</v>
      </c>
      <c r="BT5" t="str">
        <v>300</v>
      </c>
      <c r="BU5" t="str">
        <v>300</v>
      </c>
      <c r="BV5" t="str">
        <v>300</v>
      </c>
      <c r="BW5" t="str">
        <v>262.542847</v>
      </c>
      <c r="BX5" t="str">
        <v>25</v>
      </c>
      <c r="BY5" t="str">
        <v>-1.246665</v>
      </c>
      <c r="BZ5" t="str">
        <v>262.575043</v>
      </c>
      <c r="CA5" t="str">
        <v>262.687927</v>
      </c>
      <c r="CB5" t="str">
        <v>-0.112885</v>
      </c>
      <c r="CC5" t="str">
        <v>2.430518</v>
      </c>
      <c r="CD5" t="str">
        <v>2.445420</v>
      </c>
      <c r="CE5" t="str">
        <v>1.656016</v>
      </c>
      <c r="CF5" t="str">
        <v>0.926491</v>
      </c>
      <c r="CG5" t="str">
        <v>0.285037</v>
      </c>
      <c r="CH5" t="str">
        <v>-0.027188</v>
      </c>
      <c r="CI5" t="str">
        <v>0.162191</v>
      </c>
      <c r="CJ5" t="str">
        <v>0.295794</v>
      </c>
      <c r="CK5" t="str">
        <v>112.486481</v>
      </c>
      <c r="CL5" t="str">
        <v>0.000238</v>
      </c>
      <c r="CM5" t="str">
        <v>2.388960</v>
      </c>
      <c r="CN5" t="str">
        <v>-0.000025</v>
      </c>
      <c r="CO5" t="str">
        <v>1.000000</v>
      </c>
      <c r="CP5" t="str">
        <v>2.402765</v>
      </c>
      <c r="CQ5" t="str">
        <v>-0.000034</v>
      </c>
      <c r="CR5" t="str">
        <v>1.000000</v>
      </c>
      <c r="CS5" t="str">
        <v>0.600816</v>
      </c>
      <c r="CT5" t="str">
        <v>0.600971</v>
      </c>
      <c r="CU5" t="str">
        <v>0.107301</v>
      </c>
      <c r="CV5" t="str">
        <v>0.000000</v>
      </c>
      <c r="CW5" t="str">
        <v>PSF-00438_20251211141256_bc2</v>
      </c>
      <c r="CX5" t="str">
        <v>PFA-00474</v>
      </c>
      <c r="CY5" t="str">
        <v>PSA-00486</v>
      </c>
      <c r="CZ5" t="str">
        <v>PSF-00438</v>
      </c>
      <c r="DA5" t="str">
        <v>RHS-00603</v>
      </c>
      <c r="DB5" t="str">
        <v>3.0.0</v>
      </c>
      <c r="DC5" t="str">
        <v>2025-12-11T16:13:02.852Z</v>
      </c>
    </row>
    <row r="6">
      <c r="A6" t="str">
        <v>3</v>
      </c>
      <c r="B6" t="str">
        <v>14:13:14</v>
      </c>
      <c r="C6" t="str">
        <v>2025-12-11</v>
      </c>
      <c r="D6" t="str">
        <v>TT25_psf</v>
      </c>
      <c r="E6" t="str">
        <v>eap</v>
      </c>
      <c r="F6" t="str">
        <v/>
      </c>
      <c r="G6" t="str">
        <v>4777-C_Tri_yellow</v>
      </c>
      <c r="H6" t="str">
        <v/>
      </c>
      <c r="I6" t="str">
        <v/>
      </c>
      <c r="J6" t="str">
        <f>1/((1/L6)-(1/K6))</f>
        <v>0.024568</v>
      </c>
      <c r="K6" t="str">
        <f>BH6+(BI6*AN6)+(BJ6*AN6*POWER(V6,2))+(BK6*AN6*V6)+(BL6*POWER(AN6,2))</f>
        <v>2.921241</v>
      </c>
      <c r="L6" t="str">
        <f>((M6/1000)*(1000-((T6+S6)/2)))/(T6-S6)</f>
        <v>0.024363</v>
      </c>
      <c r="M6" t="str">
        <f>(AN6*(S6-R6))/(100*U6*(1000-S6))*1000</f>
        <v>0.525663</v>
      </c>
      <c r="N6" t="str">
        <v>0.732248</v>
      </c>
      <c r="O6" t="str">
        <v>0.719019</v>
      </c>
      <c r="P6" t="str">
        <f>0.61365*EXP((17.502*AL6)/(240.97+AL6))</f>
        <v>2.637005</v>
      </c>
      <c r="Q6" t="str">
        <f>P6-N6</f>
        <v>1.904758</v>
      </c>
      <c r="R6" t="str">
        <v>7.992293</v>
      </c>
      <c r="S6" t="str">
        <v>8.139339</v>
      </c>
      <c r="T6" t="str">
        <f>(P6/AM6)*1000</f>
        <v>29.311785</v>
      </c>
      <c r="U6" t="str">
        <f>V6*BG6</f>
        <v>0.441786</v>
      </c>
      <c r="V6" t="str">
        <v>7.500000</v>
      </c>
      <c r="W6" t="str">
        <v>PSF-00438_20251211141314_c5e</v>
      </c>
      <c r="X6" t="str">
        <v>0.000000</v>
      </c>
      <c r="Y6" t="str">
        <v>0.000000</v>
      </c>
      <c r="Z6" t="str">
        <v>0.000000</v>
      </c>
      <c r="AA6" t="str">
        <v>94.243172</v>
      </c>
      <c r="AB6" t="str">
        <v>138.597855</v>
      </c>
      <c r="AC6" t="str">
        <v>0.320024</v>
      </c>
      <c r="AD6" t="str">
        <v>0.5</v>
      </c>
      <c r="AE6" t="str">
        <v>0.80</v>
      </c>
      <c r="AF6" t="str">
        <f>AC6*AD6*AE6*AQ6</f>
        <v>25.975666</v>
      </c>
      <c r="AG6" t="str">
        <v>1.000000</v>
      </c>
      <c r="AH6" t="str">
        <v>24.60</v>
      </c>
      <c r="AI6" t="str">
        <v>24.15</v>
      </c>
      <c r="AJ6" t="str">
        <v>23.90</v>
      </c>
      <c r="AK6" t="str">
        <v>21.90</v>
      </c>
      <c r="AL6" t="str">
        <f>(AK6-AJ6)*(AJ6*0+0)+AK6</f>
        <v>21.90</v>
      </c>
      <c r="AM6" t="str">
        <v>89.96</v>
      </c>
      <c r="AN6" t="str">
        <v>156.6</v>
      </c>
      <c r="AO6" t="str">
        <v>158.2</v>
      </c>
      <c r="AP6" t="str">
        <v>-1.0</v>
      </c>
      <c r="AQ6" t="str">
        <v>203</v>
      </c>
      <c r="AR6" t="str">
        <v>4.064</v>
      </c>
      <c r="AS6" t="str">
        <v>14:12:23</v>
      </c>
      <c r="AT6" t="str">
        <v>2025-12-11</v>
      </c>
      <c r="AU6" t="str">
        <v>-0.07</v>
      </c>
      <c r="AV6" t="str">
        <v>1</v>
      </c>
      <c r="AW6" t="str">
        <v>-0.001</v>
      </c>
      <c r="AX6" t="str">
        <v>0.001</v>
      </c>
      <c r="AY6" t="str">
        <v>-0.018</v>
      </c>
      <c r="AZ6" t="str">
        <v>0.376</v>
      </c>
      <c r="BA6" t="str">
        <v>0.816</v>
      </c>
      <c r="BB6" t="str">
        <v>-0.692</v>
      </c>
      <c r="BC6" t="str">
        <v>1</v>
      </c>
      <c r="BD6" t="str">
        <v>150</v>
      </c>
      <c r="BE6" t="str">
        <v>0.005</v>
      </c>
      <c r="BF6" t="str">
        <v>2.000000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0</v>
      </c>
      <c r="BO6" t="str">
        <v>mpf</v>
      </c>
      <c r="BP6" t="str">
        <v>7000</v>
      </c>
      <c r="BQ6" t="str">
        <v>500</v>
      </c>
      <c r="BR6" t="str">
        <v>5.000000</v>
      </c>
      <c r="BS6" t="str">
        <v>2.000000</v>
      </c>
      <c r="BT6" t="str">
        <v>300</v>
      </c>
      <c r="BU6" t="str">
        <v>300</v>
      </c>
      <c r="BV6" t="str">
        <v>300</v>
      </c>
      <c r="BW6" t="str">
        <v>136.856674</v>
      </c>
      <c r="BX6" t="str">
        <v>25</v>
      </c>
      <c r="BY6" t="str">
        <v>-1.171937</v>
      </c>
      <c r="BZ6" t="str">
        <v>136.849884</v>
      </c>
      <c r="CA6" t="str">
        <v>136.922577</v>
      </c>
      <c r="CB6" t="str">
        <v>-0.072693</v>
      </c>
      <c r="CC6" t="str">
        <v>2.431414</v>
      </c>
      <c r="CD6" t="str">
        <v>2.446093</v>
      </c>
      <c r="CE6" t="str">
        <v>1.655011</v>
      </c>
      <c r="CF6" t="str">
        <v>0.941967</v>
      </c>
      <c r="CG6" t="str">
        <v>0.284977</v>
      </c>
      <c r="CH6" t="str">
        <v>-0.021826</v>
      </c>
      <c r="CI6" t="str">
        <v>0.164317</v>
      </c>
      <c r="CJ6" t="str">
        <v>0.289841</v>
      </c>
      <c r="CK6" t="str">
        <v>94.243172</v>
      </c>
      <c r="CL6" t="str">
        <v>0.000239</v>
      </c>
      <c r="CM6" t="str">
        <v>2.388960</v>
      </c>
      <c r="CN6" t="str">
        <v>-0.000025</v>
      </c>
      <c r="CO6" t="str">
        <v>1.000000</v>
      </c>
      <c r="CP6" t="str">
        <v>2.402765</v>
      </c>
      <c r="CQ6" t="str">
        <v>-0.000034</v>
      </c>
      <c r="CR6" t="str">
        <v>1.000000</v>
      </c>
      <c r="CS6" t="str">
        <v>0.600816</v>
      </c>
      <c r="CT6" t="str">
        <v>0.600971</v>
      </c>
      <c r="CU6" t="str">
        <v>0.107301</v>
      </c>
      <c r="CV6" t="str">
        <v>0.000000</v>
      </c>
      <c r="CW6" t="str">
        <v>PSF-00438_20251211141314_c5e</v>
      </c>
      <c r="CX6" t="str">
        <v>PFA-00474</v>
      </c>
      <c r="CY6" t="str">
        <v>PSA-00486</v>
      </c>
      <c r="CZ6" t="str">
        <v>PSF-00438</v>
      </c>
      <c r="DA6" t="str">
        <v>RHS-00603</v>
      </c>
      <c r="DB6" t="str">
        <v>3.0.0</v>
      </c>
      <c r="DC6" t="str">
        <v>2025-12-11T16:13:02.852Z</v>
      </c>
    </row>
    <row r="7">
      <c r="A7" t="str">
        <v>4</v>
      </c>
      <c r="B7" t="str">
        <v>14:13:39</v>
      </c>
      <c r="C7" t="str">
        <v>2025-12-11</v>
      </c>
      <c r="D7" t="str">
        <v>TT25_psf</v>
      </c>
      <c r="E7" t="str">
        <v>eap</v>
      </c>
      <c r="F7" t="str">
        <v/>
      </c>
      <c r="G7" t="str">
        <v>4714_Tri_yellow</v>
      </c>
      <c r="H7" t="str">
        <v/>
      </c>
      <c r="I7" t="str">
        <v/>
      </c>
      <c r="J7" t="str">
        <f>1/((1/L7)-(1/K7))</f>
        <v>0.010324</v>
      </c>
      <c r="K7" t="str">
        <f>BH7+(BI7*AN7)+(BJ7*AN7*POWER(V7,2))+(BK7*AN7*V7)+(BL7*POWER(AN7,2))</f>
        <v>2.921205</v>
      </c>
      <c r="L7" t="str">
        <f>((M7/1000)*(1000-((T7+S7)/2)))/(T7-S7)</f>
        <v>0.010287</v>
      </c>
      <c r="M7" t="str">
        <f>(AN7*(S7-R7))/(100*U7*(1000-S7))*1000</f>
        <v>0.221763</v>
      </c>
      <c r="N7" t="str">
        <v>0.734298</v>
      </c>
      <c r="O7" t="str">
        <v>0.728717</v>
      </c>
      <c r="P7" t="str">
        <f>0.61365*EXP((17.502*AL7)/(240.97+AL7))</f>
        <v>2.637187</v>
      </c>
      <c r="Q7" t="str">
        <f>P7-N7</f>
        <v>1.902890</v>
      </c>
      <c r="R7" t="str">
        <v>8.100590</v>
      </c>
      <c r="S7" t="str">
        <v>8.162625</v>
      </c>
      <c r="T7" t="str">
        <f>(P7/AM7)*1000</f>
        <v>29.315596</v>
      </c>
      <c r="U7" t="str">
        <f>V7*BG7</f>
        <v>0.441786</v>
      </c>
      <c r="V7" t="str">
        <v>7.500000</v>
      </c>
      <c r="W7" t="str">
        <v>PSF-00438_20251211141339_92b</v>
      </c>
      <c r="X7" t="str">
        <v>0.000000</v>
      </c>
      <c r="Y7" t="str">
        <v>0.000000</v>
      </c>
      <c r="Z7" t="str">
        <v>0.000000</v>
      </c>
      <c r="AA7" t="str">
        <v>118.756775</v>
      </c>
      <c r="AB7" t="str">
        <v>251.088776</v>
      </c>
      <c r="AC7" t="str">
        <v>0.527033</v>
      </c>
      <c r="AD7" t="str">
        <v>0.5</v>
      </c>
      <c r="AE7" t="str">
        <v>0.80</v>
      </c>
      <c r="AF7" t="str">
        <f>AC7*AD7*AE7*AQ7</f>
        <v>41.471737</v>
      </c>
      <c r="AG7" t="str">
        <v>1.000000</v>
      </c>
      <c r="AH7" t="str">
        <v>24.67</v>
      </c>
      <c r="AI7" t="str">
        <v>24.49</v>
      </c>
      <c r="AJ7" t="str">
        <v>23.89</v>
      </c>
      <c r="AK7" t="str">
        <v>21.90</v>
      </c>
      <c r="AL7" t="str">
        <f>(AK7-AJ7)*(AJ7*0+0)+AK7</f>
        <v>21.90</v>
      </c>
      <c r="AM7" t="str">
        <v>89.96</v>
      </c>
      <c r="AN7" t="str">
        <v>156.6</v>
      </c>
      <c r="AO7" t="str">
        <v>158.1</v>
      </c>
      <c r="AP7" t="str">
        <v>-0.9</v>
      </c>
      <c r="AQ7" t="str">
        <v>197</v>
      </c>
      <c r="AR7" t="str">
        <v>4.063</v>
      </c>
      <c r="AS7" t="str">
        <v>14:12:23</v>
      </c>
      <c r="AT7" t="str">
        <v>2025-12-11</v>
      </c>
      <c r="AU7" t="str">
        <v>-0.07</v>
      </c>
      <c r="AV7" t="str">
        <v>1</v>
      </c>
      <c r="AW7" t="str">
        <v>-0.000</v>
      </c>
      <c r="AX7" t="str">
        <v>-0.001</v>
      </c>
      <c r="AY7" t="str">
        <v>-9999.000</v>
      </c>
      <c r="AZ7" t="str">
        <v>0.348</v>
      </c>
      <c r="BA7" t="str">
        <v>1.316</v>
      </c>
      <c r="BB7" t="str">
        <v>-9999.000</v>
      </c>
      <c r="BC7" t="str">
        <v>1</v>
      </c>
      <c r="BD7" t="str">
        <v>150</v>
      </c>
      <c r="BE7" t="str">
        <v>0.005</v>
      </c>
      <c r="BF7" t="str">
        <v>2.000000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0</v>
      </c>
      <c r="BO7" t="str">
        <v>mpf</v>
      </c>
      <c r="BP7" t="str">
        <v>7000</v>
      </c>
      <c r="BQ7" t="str">
        <v>500</v>
      </c>
      <c r="BR7" t="str">
        <v>5.000000</v>
      </c>
      <c r="BS7" t="str">
        <v>2.000000</v>
      </c>
      <c r="BT7" t="str">
        <v>300</v>
      </c>
      <c r="BU7" t="str">
        <v>300</v>
      </c>
      <c r="BV7" t="str">
        <v>300</v>
      </c>
      <c r="BW7" t="str">
        <v>241.604446</v>
      </c>
      <c r="BX7" t="str">
        <v>25</v>
      </c>
      <c r="BY7" t="str">
        <v>-6.554101</v>
      </c>
      <c r="BZ7" t="str">
        <v>241.610168</v>
      </c>
      <c r="CA7" t="str">
        <v>241.719742</v>
      </c>
      <c r="CB7" t="str">
        <v>-0.109573</v>
      </c>
      <c r="CC7" t="str">
        <v>2.431923</v>
      </c>
      <c r="CD7" t="str">
        <v>2.446212</v>
      </c>
      <c r="CE7" t="str">
        <v>1.654973</v>
      </c>
      <c r="CF7" t="str">
        <v>0.941583</v>
      </c>
      <c r="CG7" t="str">
        <v>0.285040</v>
      </c>
      <c r="CH7" t="str">
        <v>-0.021752</v>
      </c>
      <c r="CI7" t="str">
        <v>0.167398</v>
      </c>
      <c r="CJ7" t="str">
        <v>0.284267</v>
      </c>
      <c r="CK7" t="str">
        <v>118.756775</v>
      </c>
      <c r="CL7" t="str">
        <v>0.000239</v>
      </c>
      <c r="CM7" t="str">
        <v>2.388960</v>
      </c>
      <c r="CN7" t="str">
        <v>-0.000025</v>
      </c>
      <c r="CO7" t="str">
        <v>1.000000</v>
      </c>
      <c r="CP7" t="str">
        <v>2.402765</v>
      </c>
      <c r="CQ7" t="str">
        <v>-0.000034</v>
      </c>
      <c r="CR7" t="str">
        <v>1.000000</v>
      </c>
      <c r="CS7" t="str">
        <v>0.600816</v>
      </c>
      <c r="CT7" t="str">
        <v>0.600971</v>
      </c>
      <c r="CU7" t="str">
        <v>0.107301</v>
      </c>
      <c r="CV7" t="str">
        <v>0.000000</v>
      </c>
      <c r="CW7" t="str">
        <v>PSF-00438_20251211141339_92b</v>
      </c>
      <c r="CX7" t="str">
        <v>PFA-00474</v>
      </c>
      <c r="CY7" t="str">
        <v>PSA-00486</v>
      </c>
      <c r="CZ7" t="str">
        <v>PSF-00438</v>
      </c>
      <c r="DA7" t="str">
        <v>RHS-00603</v>
      </c>
      <c r="DB7" t="str">
        <v>3.0.0</v>
      </c>
      <c r="DC7" t="str">
        <v>2025-12-11T16:13:02.852Z</v>
      </c>
    </row>
    <row r="8">
      <c r="A8" t="str">
        <v>5</v>
      </c>
      <c r="B8" t="str">
        <v>14:14:00</v>
      </c>
      <c r="C8" t="str">
        <v>2025-12-11</v>
      </c>
      <c r="D8" t="str">
        <v>TT25_psf</v>
      </c>
      <c r="E8" t="str">
        <v>eap</v>
      </c>
      <c r="F8" t="str">
        <v/>
      </c>
      <c r="G8" t="str">
        <v>3829_Tri_yellow</v>
      </c>
      <c r="H8" t="str">
        <v/>
      </c>
      <c r="I8" t="str">
        <v/>
      </c>
      <c r="J8" t="str">
        <f>1/((1/L8)-(1/K8))</f>
        <v>0.002612</v>
      </c>
      <c r="K8" t="str">
        <f>BH8+(BI8*AN8)+(BJ8*AN8*POWER(V8,2))+(BK8*AN8*V8)+(BL8*POWER(AN8,2))</f>
        <v>2.923266</v>
      </c>
      <c r="L8" t="str">
        <f>((M8/1000)*(1000-((T8+S8)/2)))/(T8-S8)</f>
        <v>0.002610</v>
      </c>
      <c r="M8" t="str">
        <f>(AN8*(S8-R8))/(100*U8*(1000-S8))*1000</f>
        <v>0.053970</v>
      </c>
      <c r="N8" t="str">
        <v>0.718877</v>
      </c>
      <c r="O8" t="str">
        <v>0.717521</v>
      </c>
      <c r="P8" t="str">
        <f>0.61365*EXP((17.502*AL8)/(240.97+AL8))</f>
        <v>2.545545</v>
      </c>
      <c r="Q8" t="str">
        <f>P8-N8</f>
        <v>1.826668</v>
      </c>
      <c r="R8" t="str">
        <v>7.975953</v>
      </c>
      <c r="S8" t="str">
        <v>7.991028</v>
      </c>
      <c r="T8" t="str">
        <f>(P8/AM8)*1000</f>
        <v>28.296247</v>
      </c>
      <c r="U8" t="str">
        <f>V8*BG8</f>
        <v>0.441786</v>
      </c>
      <c r="V8" t="str">
        <v>7.500000</v>
      </c>
      <c r="W8" t="str">
        <v>PSF-00438_20251211141400_aaa</v>
      </c>
      <c r="X8" t="str">
        <v>0.000000</v>
      </c>
      <c r="Y8" t="str">
        <v>0.000000</v>
      </c>
      <c r="Z8" t="str">
        <v>0.000000</v>
      </c>
      <c r="AA8" t="str">
        <v>73.816177</v>
      </c>
      <c r="AB8" t="str">
        <v>77.235069</v>
      </c>
      <c r="AC8" t="str">
        <v>0.044266</v>
      </c>
      <c r="AD8" t="str">
        <v>0.5</v>
      </c>
      <c r="AE8" t="str">
        <v>0.80</v>
      </c>
      <c r="AF8" t="str">
        <f>AC8*AD8*AE8*AQ8</f>
        <v>3.228787</v>
      </c>
      <c r="AG8" t="str">
        <v>1.000000</v>
      </c>
      <c r="AH8" t="str">
        <v>24.17</v>
      </c>
      <c r="AI8" t="str">
        <v>24.13</v>
      </c>
      <c r="AJ8" t="str">
        <v>23.88</v>
      </c>
      <c r="AK8" t="str">
        <v>21.32</v>
      </c>
      <c r="AL8" t="str">
        <f>(AK8-AJ8)*(AJ8*0+0)+AK8</f>
        <v>21.32</v>
      </c>
      <c r="AM8" t="str">
        <v>89.96</v>
      </c>
      <c r="AN8" t="str">
        <v>156.9</v>
      </c>
      <c r="AO8" t="str">
        <v>158.2</v>
      </c>
      <c r="AP8" t="str">
        <v>-0.8</v>
      </c>
      <c r="AQ8" t="str">
        <v>182</v>
      </c>
      <c r="AR8" t="str">
        <v>4.063</v>
      </c>
      <c r="AS8" t="str">
        <v>14:12:23</v>
      </c>
      <c r="AT8" t="str">
        <v>2025-12-11</v>
      </c>
      <c r="AU8" t="str">
        <v>-0.07</v>
      </c>
      <c r="AV8" t="str">
        <v>1</v>
      </c>
      <c r="AW8" t="str">
        <v>-0.000</v>
      </c>
      <c r="AX8" t="str">
        <v>-0.001</v>
      </c>
      <c r="AY8" t="str">
        <v>-9999.000</v>
      </c>
      <c r="AZ8" t="str">
        <v>-0.432</v>
      </c>
      <c r="BA8" t="str">
        <v>-0.077</v>
      </c>
      <c r="BB8" t="str">
        <v>-9999.000</v>
      </c>
      <c r="BC8" t="str">
        <v>1</v>
      </c>
      <c r="BD8" t="str">
        <v>150</v>
      </c>
      <c r="BE8" t="str">
        <v>0.005</v>
      </c>
      <c r="BF8" t="str">
        <v>2.000000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0</v>
      </c>
      <c r="BO8" t="str">
        <v>mpf</v>
      </c>
      <c r="BP8" t="str">
        <v>7000</v>
      </c>
      <c r="BQ8" t="str">
        <v>500</v>
      </c>
      <c r="BR8" t="str">
        <v>5.000000</v>
      </c>
      <c r="BS8" t="str">
        <v>2.000000</v>
      </c>
      <c r="BT8" t="str">
        <v>300</v>
      </c>
      <c r="BU8" t="str">
        <v>300</v>
      </c>
      <c r="BV8" t="str">
        <v>300</v>
      </c>
      <c r="BW8" t="str">
        <v>77.190041</v>
      </c>
      <c r="BX8" t="str">
        <v>25</v>
      </c>
      <c r="BY8" t="str">
        <v>-0.056045</v>
      </c>
      <c r="BZ8" t="str">
        <v>77.038406</v>
      </c>
      <c r="CA8" t="str">
        <v>77.154953</v>
      </c>
      <c r="CB8" t="str">
        <v>-0.116547</v>
      </c>
      <c r="CC8" t="str">
        <v>2.431375</v>
      </c>
      <c r="CD8" t="str">
        <v>2.445443</v>
      </c>
      <c r="CE8" t="str">
        <v>1.657133</v>
      </c>
      <c r="CF8" t="str">
        <v>0.941936</v>
      </c>
      <c r="CG8" t="str">
        <v>0.285161</v>
      </c>
      <c r="CH8" t="str">
        <v>-0.027983</v>
      </c>
      <c r="CI8" t="str">
        <v>0.169950</v>
      </c>
      <c r="CJ8" t="str">
        <v>0.271338</v>
      </c>
      <c r="CK8" t="str">
        <v>73.816177</v>
      </c>
      <c r="CL8" t="str">
        <v>0.000239</v>
      </c>
      <c r="CM8" t="str">
        <v>2.388960</v>
      </c>
      <c r="CN8" t="str">
        <v>-0.000025</v>
      </c>
      <c r="CO8" t="str">
        <v>1.000000</v>
      </c>
      <c r="CP8" t="str">
        <v>2.402765</v>
      </c>
      <c r="CQ8" t="str">
        <v>-0.000034</v>
      </c>
      <c r="CR8" t="str">
        <v>1.000000</v>
      </c>
      <c r="CS8" t="str">
        <v>0.600816</v>
      </c>
      <c r="CT8" t="str">
        <v>0.600971</v>
      </c>
      <c r="CU8" t="str">
        <v>0.107301</v>
      </c>
      <c r="CV8" t="str">
        <v>0.000000</v>
      </c>
      <c r="CW8" t="str">
        <v>PSF-00438_20251211141400_aaa</v>
      </c>
      <c r="CX8" t="str">
        <v>PFA-00474</v>
      </c>
      <c r="CY8" t="str">
        <v>PSA-00486</v>
      </c>
      <c r="CZ8" t="str">
        <v>PSF-00438</v>
      </c>
      <c r="DA8" t="str">
        <v>RHS-00603</v>
      </c>
      <c r="DB8" t="str">
        <v>3.0.0</v>
      </c>
      <c r="DC8" t="str">
        <v>2025-12-11T16:13:02.852Z</v>
      </c>
    </row>
    <row r="9">
      <c r="A9" t="str">
        <v>6</v>
      </c>
      <c r="B9" t="str">
        <v>14:14:24</v>
      </c>
      <c r="C9" t="str">
        <v>2025-12-11</v>
      </c>
      <c r="D9" t="str">
        <v>TT25_psf</v>
      </c>
      <c r="E9" t="str">
        <v>eap</v>
      </c>
      <c r="F9" t="str">
        <v/>
      </c>
      <c r="G9" t="str">
        <v>6894_Tri_yellow</v>
      </c>
      <c r="H9" t="str">
        <v/>
      </c>
      <c r="I9" t="str">
        <v/>
      </c>
      <c r="J9" t="str">
        <f>1/((1/L9)-(1/K9))</f>
        <v>0.039306</v>
      </c>
      <c r="K9" t="str">
        <f>BH9+(BI9*AN9)+(BJ9*AN9*POWER(V9,2))+(BK9*AN9*V9)+(BL9*POWER(AN9,2))</f>
        <v>2.922545</v>
      </c>
      <c r="L9" t="str">
        <f>((M9/1000)*(1000-((T9+S9)/2)))/(T9-S9)</f>
        <v>0.038784</v>
      </c>
      <c r="M9" t="str">
        <f>(AN9*(S9-R9))/(100*U9*(1000-S9))*1000</f>
        <v>0.868183</v>
      </c>
      <c r="N9" t="str">
        <v>0.733100</v>
      </c>
      <c r="O9" t="str">
        <v>0.711274</v>
      </c>
      <c r="P9" t="str">
        <f>0.61365*EXP((17.502*AL9)/(240.97+AL9))</f>
        <v>2.708406</v>
      </c>
      <c r="Q9" t="str">
        <f>P9-N9</f>
        <v>1.975307</v>
      </c>
      <c r="R9" t="str">
        <v>7.906250</v>
      </c>
      <c r="S9" t="str">
        <v>8.148859</v>
      </c>
      <c r="T9" t="str">
        <f>(P9/AM9)*1000</f>
        <v>30.105616</v>
      </c>
      <c r="U9" t="str">
        <f>V9*BG9</f>
        <v>0.441786</v>
      </c>
      <c r="V9" t="str">
        <v>7.500000</v>
      </c>
      <c r="W9" t="str">
        <v>PSF-00438_20251211141424_808</v>
      </c>
      <c r="X9" t="str">
        <v>0.000000</v>
      </c>
      <c r="Y9" t="str">
        <v>0.000000</v>
      </c>
      <c r="Z9" t="str">
        <v>0.000000</v>
      </c>
      <c r="AA9" t="str">
        <v>123.678444</v>
      </c>
      <c r="AB9" t="str">
        <v>327.167969</v>
      </c>
      <c r="AC9" t="str">
        <v>0.621973</v>
      </c>
      <c r="AD9" t="str">
        <v>0.5</v>
      </c>
      <c r="AE9" t="str">
        <v>0.80</v>
      </c>
      <c r="AF9" t="str">
        <f>AC9*AD9*AE9*AQ9</f>
        <v>48.143997</v>
      </c>
      <c r="AG9" t="str">
        <v>1.000000</v>
      </c>
      <c r="AH9" t="str">
        <v>24.67</v>
      </c>
      <c r="AI9" t="str">
        <v>23.93</v>
      </c>
      <c r="AJ9" t="str">
        <v>23.87</v>
      </c>
      <c r="AK9" t="str">
        <v>22.34</v>
      </c>
      <c r="AL9" t="str">
        <f>(AK9-AJ9)*(AJ9*0+0)+AK9</f>
        <v>22.34</v>
      </c>
      <c r="AM9" t="str">
        <v>89.96</v>
      </c>
      <c r="AN9" t="str">
        <v>156.8</v>
      </c>
      <c r="AO9" t="str">
        <v>158.3</v>
      </c>
      <c r="AP9" t="str">
        <v>-0.9</v>
      </c>
      <c r="AQ9" t="str">
        <v>194</v>
      </c>
      <c r="AR9" t="str">
        <v>4.061</v>
      </c>
      <c r="AS9" t="str">
        <v>14:12:23</v>
      </c>
      <c r="AT9" t="str">
        <v>2025-12-11</v>
      </c>
      <c r="AU9" t="str">
        <v>-0.07</v>
      </c>
      <c r="AV9" t="str">
        <v>1</v>
      </c>
      <c r="AW9" t="str">
        <v>-0.001</v>
      </c>
      <c r="AX9" t="str">
        <v>-0.000</v>
      </c>
      <c r="AY9" t="str">
        <v>-9999.000</v>
      </c>
      <c r="AZ9" t="str">
        <v>1.749</v>
      </c>
      <c r="BA9" t="str">
        <v>0.534</v>
      </c>
      <c r="BB9" t="str">
        <v>-9999.000</v>
      </c>
      <c r="BC9" t="str">
        <v>1</v>
      </c>
      <c r="BD9" t="str">
        <v>150</v>
      </c>
      <c r="BE9" t="str">
        <v>0.005</v>
      </c>
      <c r="BF9" t="str">
        <v>2.000000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0</v>
      </c>
      <c r="BO9" t="str">
        <v>mpf</v>
      </c>
      <c r="BP9" t="str">
        <v>7000</v>
      </c>
      <c r="BQ9" t="str">
        <v>500</v>
      </c>
      <c r="BR9" t="str">
        <v>5.000000</v>
      </c>
      <c r="BS9" t="str">
        <v>2.000000</v>
      </c>
      <c r="BT9" t="str">
        <v>300</v>
      </c>
      <c r="BU9" t="str">
        <v>300</v>
      </c>
      <c r="BV9" t="str">
        <v>300</v>
      </c>
      <c r="BW9" t="str">
        <v>322.363983</v>
      </c>
      <c r="BX9" t="str">
        <v>25</v>
      </c>
      <c r="BY9" t="str">
        <v>-3.216905</v>
      </c>
      <c r="BZ9" t="str">
        <v>322.513824</v>
      </c>
      <c r="CA9" t="str">
        <v>322.569427</v>
      </c>
      <c r="CB9" t="str">
        <v>-0.055603</v>
      </c>
      <c r="CC9" t="str">
        <v>2.431079</v>
      </c>
      <c r="CD9" t="str">
        <v>2.446201</v>
      </c>
      <c r="CE9" t="str">
        <v>1.656376</v>
      </c>
      <c r="CF9" t="str">
        <v>0.942093</v>
      </c>
      <c r="CG9" t="str">
        <v>0.285280</v>
      </c>
      <c r="CH9" t="str">
        <v>-0.016684</v>
      </c>
      <c r="CI9" t="str">
        <v>0.172954</v>
      </c>
      <c r="CJ9" t="str">
        <v>0.281379</v>
      </c>
      <c r="CK9" t="str">
        <v>123.678444</v>
      </c>
      <c r="CL9" t="str">
        <v>0.000238</v>
      </c>
      <c r="CM9" t="str">
        <v>2.388960</v>
      </c>
      <c r="CN9" t="str">
        <v>-0.000025</v>
      </c>
      <c r="CO9" t="str">
        <v>1.000000</v>
      </c>
      <c r="CP9" t="str">
        <v>2.402765</v>
      </c>
      <c r="CQ9" t="str">
        <v>-0.000034</v>
      </c>
      <c r="CR9" t="str">
        <v>1.000000</v>
      </c>
      <c r="CS9" t="str">
        <v>0.600816</v>
      </c>
      <c r="CT9" t="str">
        <v>0.600971</v>
      </c>
      <c r="CU9" t="str">
        <v>0.107301</v>
      </c>
      <c r="CV9" t="str">
        <v>0.000000</v>
      </c>
      <c r="CW9" t="str">
        <v>PSF-00438_20251211141424_808</v>
      </c>
      <c r="CX9" t="str">
        <v>PFA-00474</v>
      </c>
      <c r="CY9" t="str">
        <v>PSA-00486</v>
      </c>
      <c r="CZ9" t="str">
        <v>PSF-00438</v>
      </c>
      <c r="DA9" t="str">
        <v>RHS-00603</v>
      </c>
      <c r="DB9" t="str">
        <v>3.0.0</v>
      </c>
      <c r="DC9" t="str">
        <v>2025-12-11T16:13:02.852Z</v>
      </c>
    </row>
    <row r="10">
      <c r="A10" t="str">
        <v>7</v>
      </c>
      <c r="B10" t="str">
        <v>14:14:53</v>
      </c>
      <c r="C10" t="str">
        <v>2025-12-11</v>
      </c>
      <c r="D10" t="str">
        <v>TT25_psf</v>
      </c>
      <c r="E10" t="str">
        <v>eap</v>
      </c>
      <c r="F10" t="str">
        <v/>
      </c>
      <c r="G10" t="str">
        <v>2988_Tri_yellow</v>
      </c>
      <c r="H10" t="str">
        <v/>
      </c>
      <c r="I10" t="str">
        <v/>
      </c>
      <c r="J10" t="str">
        <f>1/((1/L10)-(1/K10))</f>
        <v>0.015852</v>
      </c>
      <c r="K10" t="str">
        <f>BH10+(BI10*AN10)+(BJ10*AN10*POWER(V10,2))+(BK10*AN10*V10)+(BL10*POWER(AN10,2))</f>
        <v>2.923041</v>
      </c>
      <c r="L10" t="str">
        <f>((M10/1000)*(1000-((T10+S10)/2)))/(T10-S10)</f>
        <v>0.015767</v>
      </c>
      <c r="M10" t="str">
        <f>(AN10*(S10-R10))/(100*U10*(1000-S10))*1000</f>
        <v>0.341372</v>
      </c>
      <c r="N10" t="str">
        <v>0.777377</v>
      </c>
      <c r="O10" t="str">
        <v>0.768803</v>
      </c>
      <c r="P10" t="str">
        <f>0.61365*EXP((17.502*AL10)/(240.97+AL10))</f>
        <v>2.687713</v>
      </c>
      <c r="Q10" t="str">
        <f>P10-N10</f>
        <v>1.910336</v>
      </c>
      <c r="R10" t="str">
        <v>8.545764</v>
      </c>
      <c r="S10" t="str">
        <v>8.641073</v>
      </c>
      <c r="T10" t="str">
        <f>(P10/AM10)*1000</f>
        <v>29.875757</v>
      </c>
      <c r="U10" t="str">
        <f>V10*BG10</f>
        <v>0.441786</v>
      </c>
      <c r="V10" t="str">
        <v>7.500000</v>
      </c>
      <c r="W10" t="str">
        <v>PSF-00438_20251211141453_71d</v>
      </c>
      <c r="X10" t="str">
        <v>0.000000</v>
      </c>
      <c r="Y10" t="str">
        <v>0.000000</v>
      </c>
      <c r="Z10" t="str">
        <v>0.000000</v>
      </c>
      <c r="AA10" t="str">
        <v>95.945480</v>
      </c>
      <c r="AB10" t="str">
        <v>134.919937</v>
      </c>
      <c r="AC10" t="str">
        <v>0.288871</v>
      </c>
      <c r="AD10" t="str">
        <v>0.5</v>
      </c>
      <c r="AE10" t="str">
        <v>0.80</v>
      </c>
      <c r="AF10" t="str">
        <f>AC10*AD10*AE10*AQ10</f>
        <v>26.697323</v>
      </c>
      <c r="AG10" t="str">
        <v>1.000000</v>
      </c>
      <c r="AH10" t="str">
        <v>26.17</v>
      </c>
      <c r="AI10" t="str">
        <v>25.88</v>
      </c>
      <c r="AJ10" t="str">
        <v>23.87</v>
      </c>
      <c r="AK10" t="str">
        <v>22.21</v>
      </c>
      <c r="AL10" t="str">
        <f>(AK10-AJ10)*(AJ10*0+0)+AK10</f>
        <v>22.21</v>
      </c>
      <c r="AM10" t="str">
        <v>89.96</v>
      </c>
      <c r="AN10" t="str">
        <v>156.9</v>
      </c>
      <c r="AO10" t="str">
        <v>138.0</v>
      </c>
      <c r="AP10" t="str">
        <v>12.0</v>
      </c>
      <c r="AQ10" t="str">
        <v>231</v>
      </c>
      <c r="AR10" t="str">
        <v>4.035</v>
      </c>
      <c r="AS10" t="str">
        <v>14:12:23</v>
      </c>
      <c r="AT10" t="str">
        <v>2025-12-11</v>
      </c>
      <c r="AU10" t="str">
        <v>-0.07</v>
      </c>
      <c r="AV10" t="str">
        <v>1</v>
      </c>
      <c r="AW10" t="str">
        <v>0.000</v>
      </c>
      <c r="AX10" t="str">
        <v>0.000</v>
      </c>
      <c r="AY10" t="str">
        <v>-9999.000</v>
      </c>
      <c r="AZ10" t="str">
        <v>-0.582</v>
      </c>
      <c r="BA10" t="str">
        <v>0.536</v>
      </c>
      <c r="BB10" t="str">
        <v>-9999.000</v>
      </c>
      <c r="BC10" t="str">
        <v>1</v>
      </c>
      <c r="BD10" t="str">
        <v>150</v>
      </c>
      <c r="BE10" t="str">
        <v>0.005</v>
      </c>
      <c r="BF10" t="str">
        <v>2.000000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0</v>
      </c>
      <c r="BO10" t="str">
        <v>mpf</v>
      </c>
      <c r="BP10" t="str">
        <v>7000</v>
      </c>
      <c r="BQ10" t="str">
        <v>500</v>
      </c>
      <c r="BR10" t="str">
        <v>5.000000</v>
      </c>
      <c r="BS10" t="str">
        <v>2.000000</v>
      </c>
      <c r="BT10" t="str">
        <v>300</v>
      </c>
      <c r="BU10" t="str">
        <v>300</v>
      </c>
      <c r="BV10" t="str">
        <v>300</v>
      </c>
      <c r="BW10" t="str">
        <v>133.546478</v>
      </c>
      <c r="BX10" t="str">
        <v>25</v>
      </c>
      <c r="BY10" t="str">
        <v>-0.934087</v>
      </c>
      <c r="BZ10" t="str">
        <v>133.332611</v>
      </c>
      <c r="CA10" t="str">
        <v>133.584671</v>
      </c>
      <c r="CB10" t="str">
        <v>-0.252060</v>
      </c>
      <c r="CC10" t="str">
        <v>2.434029</v>
      </c>
      <c r="CD10" t="str">
        <v>2.448485</v>
      </c>
      <c r="CE10" t="str">
        <v>1.656897</v>
      </c>
      <c r="CF10" t="str">
        <v>0.891267</v>
      </c>
      <c r="CG10" t="str">
        <v>0.285368</v>
      </c>
      <c r="CH10" t="str">
        <v>-0.017992</v>
      </c>
      <c r="CI10" t="str">
        <v>0.176490</v>
      </c>
      <c r="CJ10" t="str">
        <v>0.315145</v>
      </c>
      <c r="CK10" t="str">
        <v>95.945480</v>
      </c>
      <c r="CL10" t="str">
        <v>0.000238</v>
      </c>
      <c r="CM10" t="str">
        <v>2.388960</v>
      </c>
      <c r="CN10" t="str">
        <v>-0.000025</v>
      </c>
      <c r="CO10" t="str">
        <v>1.000000</v>
      </c>
      <c r="CP10" t="str">
        <v>2.402765</v>
      </c>
      <c r="CQ10" t="str">
        <v>-0.000034</v>
      </c>
      <c r="CR10" t="str">
        <v>1.000000</v>
      </c>
      <c r="CS10" t="str">
        <v>0.600816</v>
      </c>
      <c r="CT10" t="str">
        <v>0.600971</v>
      </c>
      <c r="CU10" t="str">
        <v>0.107301</v>
      </c>
      <c r="CV10" t="str">
        <v>0.000000</v>
      </c>
      <c r="CW10" t="str">
        <v>PSF-00438_20251211141453_71d</v>
      </c>
      <c r="CX10" t="str">
        <v>PFA-00474</v>
      </c>
      <c r="CY10" t="str">
        <v>PSA-00486</v>
      </c>
      <c r="CZ10" t="str">
        <v>PSF-00438</v>
      </c>
      <c r="DA10" t="str">
        <v>RHS-00603</v>
      </c>
      <c r="DB10" t="str">
        <v>3.0.0</v>
      </c>
      <c r="DC10" t="str">
        <v>2025-12-11T16:13:02.852Z</v>
      </c>
    </row>
    <row r="11">
      <c r="A11" t="str">
        <v>8</v>
      </c>
      <c r="B11" t="str">
        <v>14:15:22</v>
      </c>
      <c r="C11" t="str">
        <v>2025-12-11</v>
      </c>
      <c r="D11" t="str">
        <v>TT25_psf</v>
      </c>
      <c r="E11" t="str">
        <v>eap</v>
      </c>
      <c r="F11" t="str">
        <v/>
      </c>
      <c r="G11" t="str">
        <v>4576_Tri_yellow</v>
      </c>
      <c r="H11" t="str">
        <v/>
      </c>
      <c r="I11" t="str">
        <v/>
      </c>
      <c r="J11" t="str">
        <f>1/((1/L11)-(1/K11))</f>
        <v>0.024256</v>
      </c>
      <c r="K11" t="str">
        <f>BH11+(BI11*AN11)+(BJ11*AN11*POWER(V11,2))+(BK11*AN11*V11)+(BL11*POWER(AN11,2))</f>
        <v>2.922572</v>
      </c>
      <c r="L11" t="str">
        <f>((M11/1000)*(1000-((T11+S11)/2)))/(T11-S11)</f>
        <v>0.024056</v>
      </c>
      <c r="M11" t="str">
        <f>(AN11*(S11-R11))/(100*U11*(1000-S11))*1000</f>
        <v>0.516213</v>
      </c>
      <c r="N11" t="str">
        <v>0.807405</v>
      </c>
      <c r="O11" t="str">
        <v>0.794438</v>
      </c>
      <c r="P11" t="str">
        <f>0.61365*EXP((17.502*AL11)/(240.97+AL11))</f>
        <v>2.700316</v>
      </c>
      <c r="Q11" t="str">
        <f>P11-N11</f>
        <v>1.892911</v>
      </c>
      <c r="R11" t="str">
        <v>8.830374</v>
      </c>
      <c r="S11" t="str">
        <v>8.974504</v>
      </c>
      <c r="T11" t="str">
        <f>(P11/AM11)*1000</f>
        <v>30.014683</v>
      </c>
      <c r="U11" t="str">
        <f>V11*BG11</f>
        <v>0.441786</v>
      </c>
      <c r="V11" t="str">
        <v>7.500000</v>
      </c>
      <c r="W11" t="str">
        <v>PSF-00438_20251211141522_2ba</v>
      </c>
      <c r="X11" t="str">
        <v>0.000000</v>
      </c>
      <c r="Y11" t="str">
        <v>0.000000</v>
      </c>
      <c r="Z11" t="str">
        <v>0.000000</v>
      </c>
      <c r="AA11" t="str">
        <v>105.193375</v>
      </c>
      <c r="AB11" t="str">
        <v>175.030502</v>
      </c>
      <c r="AC11" t="str">
        <v>0.399000</v>
      </c>
      <c r="AD11" t="str">
        <v>0.5</v>
      </c>
      <c r="AE11" t="str">
        <v>0.80</v>
      </c>
      <c r="AF11" t="str">
        <f>AC11*AD11*AE11*AQ11</f>
        <v>29.779348</v>
      </c>
      <c r="AG11" t="str">
        <v>1.000000</v>
      </c>
      <c r="AH11" t="str">
        <v>27.18</v>
      </c>
      <c r="AI11" t="str">
        <v>26.75</v>
      </c>
      <c r="AJ11" t="str">
        <v>23.86</v>
      </c>
      <c r="AK11" t="str">
        <v>22.29</v>
      </c>
      <c r="AL11" t="str">
        <f>(AK11-AJ11)*(AJ11*0+0)+AK11</f>
        <v>22.29</v>
      </c>
      <c r="AM11" t="str">
        <v>89.97</v>
      </c>
      <c r="AN11" t="str">
        <v>156.8</v>
      </c>
      <c r="AO11" t="str">
        <v>158.4</v>
      </c>
      <c r="AP11" t="str">
        <v>-1.0</v>
      </c>
      <c r="AQ11" t="str">
        <v>187</v>
      </c>
      <c r="AR11" t="str">
        <v>4.056</v>
      </c>
      <c r="AS11" t="str">
        <v>14:12:23</v>
      </c>
      <c r="AT11" t="str">
        <v>2025-12-11</v>
      </c>
      <c r="AU11" t="str">
        <v>-0.07</v>
      </c>
      <c r="AV11" t="str">
        <v>1</v>
      </c>
      <c r="AW11" t="str">
        <v>-0.001</v>
      </c>
      <c r="AX11" t="str">
        <v>-0.002</v>
      </c>
      <c r="AY11" t="str">
        <v>-9999.000</v>
      </c>
      <c r="AZ11" t="str">
        <v>-0.126</v>
      </c>
      <c r="BA11" t="str">
        <v>-0.234</v>
      </c>
      <c r="BB11" t="str">
        <v>-9999.000</v>
      </c>
      <c r="BC11" t="str">
        <v>1</v>
      </c>
      <c r="BD11" t="str">
        <v>150</v>
      </c>
      <c r="BE11" t="str">
        <v>0.005</v>
      </c>
      <c r="BF11" t="str">
        <v>2.000000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0</v>
      </c>
      <c r="BO11" t="str">
        <v>mpf</v>
      </c>
      <c r="BP11" t="str">
        <v>7000</v>
      </c>
      <c r="BQ11" t="str">
        <v>500</v>
      </c>
      <c r="BR11" t="str">
        <v>5.000000</v>
      </c>
      <c r="BS11" t="str">
        <v>2.000000</v>
      </c>
      <c r="BT11" t="str">
        <v>300</v>
      </c>
      <c r="BU11" t="str">
        <v>300</v>
      </c>
      <c r="BV11" t="str">
        <v>300</v>
      </c>
      <c r="BW11" t="str">
        <v>172.870163</v>
      </c>
      <c r="BX11" t="str">
        <v>25</v>
      </c>
      <c r="BY11" t="str">
        <v>-1.467200</v>
      </c>
      <c r="BZ11" t="str">
        <v>173.173782</v>
      </c>
      <c r="CA11" t="str">
        <v>172.933151</v>
      </c>
      <c r="CB11" t="str">
        <v>0.240631</v>
      </c>
      <c r="CC11" t="str">
        <v>2.435331</v>
      </c>
      <c r="CD11" t="str">
        <v>2.450018</v>
      </c>
      <c r="CE11" t="str">
        <v>1.656405</v>
      </c>
      <c r="CF11" t="str">
        <v>0.942417</v>
      </c>
      <c r="CG11" t="str">
        <v>0.285415</v>
      </c>
      <c r="CH11" t="str">
        <v>-0.017095</v>
      </c>
      <c r="CI11" t="str">
        <v>0.179940</v>
      </c>
      <c r="CJ11" t="str">
        <v>0.275149</v>
      </c>
      <c r="CK11" t="str">
        <v>105.193375</v>
      </c>
      <c r="CL11" t="str">
        <v>0.000240</v>
      </c>
      <c r="CM11" t="str">
        <v>2.388960</v>
      </c>
      <c r="CN11" t="str">
        <v>-0.000025</v>
      </c>
      <c r="CO11" t="str">
        <v>1.000000</v>
      </c>
      <c r="CP11" t="str">
        <v>2.402765</v>
      </c>
      <c r="CQ11" t="str">
        <v>-0.000034</v>
      </c>
      <c r="CR11" t="str">
        <v>1.000000</v>
      </c>
      <c r="CS11" t="str">
        <v>0.600816</v>
      </c>
      <c r="CT11" t="str">
        <v>0.600971</v>
      </c>
      <c r="CU11" t="str">
        <v>0.107301</v>
      </c>
      <c r="CV11" t="str">
        <v>0.000000</v>
      </c>
      <c r="CW11" t="str">
        <v>PSF-00438_20251211141522_2ba</v>
      </c>
      <c r="CX11" t="str">
        <v>PFA-00474</v>
      </c>
      <c r="CY11" t="str">
        <v>PSA-00486</v>
      </c>
      <c r="CZ11" t="str">
        <v>PSF-00438</v>
      </c>
      <c r="DA11" t="str">
        <v>RHS-00603</v>
      </c>
      <c r="DB11" t="str">
        <v>3.0.0</v>
      </c>
      <c r="DC11" t="str">
        <v>2025-12-11T16:13:02.852Z</v>
      </c>
    </row>
    <row r="12">
      <c r="A12" t="str">
        <v>9</v>
      </c>
      <c r="B12" t="str">
        <v>14:15:38</v>
      </c>
      <c r="C12" t="str">
        <v>2025-12-11</v>
      </c>
      <c r="D12" t="str">
        <v>TT25_psf</v>
      </c>
      <c r="E12" t="str">
        <v>eap</v>
      </c>
      <c r="F12" t="str">
        <v/>
      </c>
      <c r="G12" t="str">
        <v>6894_Tri_yellow</v>
      </c>
      <c r="H12" t="str">
        <v/>
      </c>
      <c r="I12" t="str">
        <v/>
      </c>
      <c r="J12" t="str">
        <f>1/((1/L12)-(1/K12))</f>
        <v>0.036510</v>
      </c>
      <c r="K12" t="str">
        <f>BH12+(BI12*AN12)+(BJ12*AN12*POWER(V12,2))+(BK12*AN12*V12)+(BL12*POWER(AN12,2))</f>
        <v>2.922291</v>
      </c>
      <c r="L12" t="str">
        <f>((M12/1000)*(1000-((T12+S12)/2)))/(T12-S12)</f>
        <v>0.036059</v>
      </c>
      <c r="M12" t="str">
        <f>(AN12*(S12-R12))/(100*U12*(1000-S12))*1000</f>
        <v>0.754930</v>
      </c>
      <c r="N12" t="str">
        <v>0.779999</v>
      </c>
      <c r="O12" t="str">
        <v>0.761027</v>
      </c>
      <c r="P12" t="str">
        <f>0.61365*EXP((17.502*AL12)/(240.97+AL12))</f>
        <v>2.627727</v>
      </c>
      <c r="Q12" t="str">
        <f>P12-N12</f>
        <v>1.847729</v>
      </c>
      <c r="R12" t="str">
        <v>8.459564</v>
      </c>
      <c r="S12" t="str">
        <v>8.670457</v>
      </c>
      <c r="T12" t="str">
        <f>(P12/AM12)*1000</f>
        <v>29.209789</v>
      </c>
      <c r="U12" t="str">
        <f>V12*BG12</f>
        <v>0.441786</v>
      </c>
      <c r="V12" t="str">
        <v>7.500000</v>
      </c>
      <c r="W12" t="str">
        <v>PSF-00438_20251211141538_762</v>
      </c>
      <c r="X12" t="str">
        <v>0.000000</v>
      </c>
      <c r="Y12" t="str">
        <v>0.000000</v>
      </c>
      <c r="Z12" t="str">
        <v>0.000000</v>
      </c>
      <c r="AA12" t="str">
        <v>121.477600</v>
      </c>
      <c r="AB12" t="str">
        <v>306.580872</v>
      </c>
      <c r="AC12" t="str">
        <v>0.603767</v>
      </c>
      <c r="AD12" t="str">
        <v>0.5</v>
      </c>
      <c r="AE12" t="str">
        <v>0.80</v>
      </c>
      <c r="AF12" t="str">
        <f>AC12*AD12*AE12*AQ12</f>
        <v>49.687313</v>
      </c>
      <c r="AG12" t="str">
        <v>1.000000</v>
      </c>
      <c r="AH12" t="str">
        <v>26.27</v>
      </c>
      <c r="AI12" t="str">
        <v>25.63</v>
      </c>
      <c r="AJ12" t="str">
        <v>23.86</v>
      </c>
      <c r="AK12" t="str">
        <v>21.84</v>
      </c>
      <c r="AL12" t="str">
        <f>(AK12-AJ12)*(AJ12*0+0)+AK12</f>
        <v>21.84</v>
      </c>
      <c r="AM12" t="str">
        <v>89.96</v>
      </c>
      <c r="AN12" t="str">
        <v>156.8</v>
      </c>
      <c r="AO12" t="str">
        <v>158.3</v>
      </c>
      <c r="AP12" t="str">
        <v>-1.0</v>
      </c>
      <c r="AQ12" t="str">
        <v>206</v>
      </c>
      <c r="AR12" t="str">
        <v>4.060</v>
      </c>
      <c r="AS12" t="str">
        <v>14:12:23</v>
      </c>
      <c r="AT12" t="str">
        <v>2025-12-11</v>
      </c>
      <c r="AU12" t="str">
        <v>-0.07</v>
      </c>
      <c r="AV12" t="str">
        <v>1</v>
      </c>
      <c r="AW12" t="str">
        <v>0.001</v>
      </c>
      <c r="AX12" t="str">
        <v>-0.001</v>
      </c>
      <c r="AY12" t="str">
        <v>-9999.000</v>
      </c>
      <c r="AZ12" t="str">
        <v>1.255</v>
      </c>
      <c r="BA12" t="str">
        <v>0.420</v>
      </c>
      <c r="BB12" t="str">
        <v>-9999.000</v>
      </c>
      <c r="BC12" t="str">
        <v>1</v>
      </c>
      <c r="BD12" t="str">
        <v>150</v>
      </c>
      <c r="BE12" t="str">
        <v>0.005</v>
      </c>
      <c r="BF12" t="str">
        <v>2.000000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0</v>
      </c>
      <c r="BO12" t="str">
        <v>mpf</v>
      </c>
      <c r="BP12" t="str">
        <v>7000</v>
      </c>
      <c r="BQ12" t="str">
        <v>500</v>
      </c>
      <c r="BR12" t="str">
        <v>5.000000</v>
      </c>
      <c r="BS12" t="str">
        <v>2.000000</v>
      </c>
      <c r="BT12" t="str">
        <v>300</v>
      </c>
      <c r="BU12" t="str">
        <v>300</v>
      </c>
      <c r="BV12" t="str">
        <v>300</v>
      </c>
      <c r="BW12" t="str">
        <v>299.796234</v>
      </c>
      <c r="BX12" t="str">
        <v>25</v>
      </c>
      <c r="BY12" t="str">
        <v>-4.762477</v>
      </c>
      <c r="BZ12" t="str">
        <v>298.292755</v>
      </c>
      <c r="CA12" t="str">
        <v>299.772949</v>
      </c>
      <c r="CB12" t="str">
        <v>-1.480194</v>
      </c>
      <c r="CC12" t="str">
        <v>2.433653</v>
      </c>
      <c r="CD12" t="str">
        <v>2.448637</v>
      </c>
      <c r="CE12" t="str">
        <v>1.656109</v>
      </c>
      <c r="CF12" t="str">
        <v>0.942263</v>
      </c>
      <c r="CG12" t="str">
        <v>0.285447</v>
      </c>
      <c r="CH12" t="str">
        <v>-0.021997</v>
      </c>
      <c r="CI12" t="str">
        <v>0.181865</v>
      </c>
      <c r="CJ12" t="str">
        <v>0.292377</v>
      </c>
      <c r="CK12" t="str">
        <v>121.477600</v>
      </c>
      <c r="CL12" t="str">
        <v>0.000240</v>
      </c>
      <c r="CM12" t="str">
        <v>2.388960</v>
      </c>
      <c r="CN12" t="str">
        <v>-0.000025</v>
      </c>
      <c r="CO12" t="str">
        <v>1.000000</v>
      </c>
      <c r="CP12" t="str">
        <v>2.402765</v>
      </c>
      <c r="CQ12" t="str">
        <v>-0.000034</v>
      </c>
      <c r="CR12" t="str">
        <v>1.000000</v>
      </c>
      <c r="CS12" t="str">
        <v>0.600816</v>
      </c>
      <c r="CT12" t="str">
        <v>0.600971</v>
      </c>
      <c r="CU12" t="str">
        <v>0.107301</v>
      </c>
      <c r="CV12" t="str">
        <v>0.000000</v>
      </c>
      <c r="CW12" t="str">
        <v>PSF-00438_20251211141538_762</v>
      </c>
      <c r="CX12" t="str">
        <v>PFA-00474</v>
      </c>
      <c r="CY12" t="str">
        <v>PSA-00486</v>
      </c>
      <c r="CZ12" t="str">
        <v>PSF-00438</v>
      </c>
      <c r="DA12" t="str">
        <v>RHS-00603</v>
      </c>
      <c r="DB12" t="str">
        <v>3.0.0</v>
      </c>
      <c r="DC12" t="str">
        <v>2025-12-11T16:13:02.852Z</v>
      </c>
    </row>
    <row r="13">
      <c r="A13" t="str">
        <v>10</v>
      </c>
      <c r="B13" t="str">
        <v>14:16:01</v>
      </c>
      <c r="C13" t="str">
        <v>2025-12-11</v>
      </c>
      <c r="D13" t="str">
        <v>TT25_psf</v>
      </c>
      <c r="E13" t="str">
        <v>eap</v>
      </c>
      <c r="F13" t="str">
        <v/>
      </c>
      <c r="G13" t="str">
        <v>5742_Tri_yellow</v>
      </c>
      <c r="H13" t="str">
        <v/>
      </c>
      <c r="I13" t="str">
        <v/>
      </c>
      <c r="J13" t="str">
        <f>1/((1/L13)-(1/K13))</f>
        <v>0.006869</v>
      </c>
      <c r="K13" t="str">
        <f>BH13+(BI13*AN13)+(BJ13*AN13*POWER(V13,2))+(BK13*AN13*V13)+(BL13*POWER(AN13,2))</f>
        <v>2.922120</v>
      </c>
      <c r="L13" t="str">
        <f>((M13/1000)*(1000-((T13+S13)/2)))/(T13-S13)</f>
        <v>0.006852</v>
      </c>
      <c r="M13" t="str">
        <f>(AN13*(S13-R13))/(100*U13*(1000-S13))*1000</f>
        <v>0.151610</v>
      </c>
      <c r="N13" t="str">
        <v>0.760373</v>
      </c>
      <c r="O13" t="str">
        <v>0.756561</v>
      </c>
      <c r="P13" t="str">
        <f>0.61365*EXP((17.502*AL13)/(240.97+AL13))</f>
        <v>2.712263</v>
      </c>
      <c r="Q13" t="str">
        <f>P13-N13</f>
        <v>1.951891</v>
      </c>
      <c r="R13" t="str">
        <v>8.410184</v>
      </c>
      <c r="S13" t="str">
        <v>8.452552</v>
      </c>
      <c r="T13" t="str">
        <f>(P13/AM13)*1000</f>
        <v>30.150414</v>
      </c>
      <c r="U13" t="str">
        <f>V13*BG13</f>
        <v>0.441786</v>
      </c>
      <c r="V13" t="str">
        <v>7.500000</v>
      </c>
      <c r="W13" t="str">
        <v>PSF-00438_20251211141601_a9c</v>
      </c>
      <c r="X13" t="str">
        <v>0.000000</v>
      </c>
      <c r="Y13" t="str">
        <v>0.000000</v>
      </c>
      <c r="Z13" t="str">
        <v>0.000000</v>
      </c>
      <c r="AA13" t="str">
        <v>105.023506</v>
      </c>
      <c r="AB13" t="str">
        <v>135.173615</v>
      </c>
      <c r="AC13" t="str">
        <v>0.223047</v>
      </c>
      <c r="AD13" t="str">
        <v>0.5</v>
      </c>
      <c r="AE13" t="str">
        <v>0.80</v>
      </c>
      <c r="AF13" t="str">
        <f>AC13*AD13*AE13*AQ13</f>
        <v>13.015173</v>
      </c>
      <c r="AG13" t="str">
        <v>1.000000</v>
      </c>
      <c r="AH13" t="str">
        <v>25.61</v>
      </c>
      <c r="AI13" t="str">
        <v>25.48</v>
      </c>
      <c r="AJ13" t="str">
        <v>23.86</v>
      </c>
      <c r="AK13" t="str">
        <v>22.36</v>
      </c>
      <c r="AL13" t="str">
        <f>(AK13-AJ13)*(AJ13*0+0)+AK13</f>
        <v>22.36</v>
      </c>
      <c r="AM13" t="str">
        <v>89.96</v>
      </c>
      <c r="AN13" t="str">
        <v>156.8</v>
      </c>
      <c r="AO13" t="str">
        <v>158.4</v>
      </c>
      <c r="AP13" t="str">
        <v>-1.1</v>
      </c>
      <c r="AQ13" t="str">
        <v>146</v>
      </c>
      <c r="AR13" t="str">
        <v>4.030</v>
      </c>
      <c r="AS13" t="str">
        <v>14:12:23</v>
      </c>
      <c r="AT13" t="str">
        <v>2025-12-11</v>
      </c>
      <c r="AU13" t="str">
        <v>-0.07</v>
      </c>
      <c r="AV13" t="str">
        <v>1</v>
      </c>
      <c r="AW13" t="str">
        <v>0.000</v>
      </c>
      <c r="AX13" t="str">
        <v>-0.001</v>
      </c>
      <c r="AY13" t="str">
        <v>-9999.000</v>
      </c>
      <c r="AZ13" t="str">
        <v>-2.208</v>
      </c>
      <c r="BA13" t="str">
        <v>1.297</v>
      </c>
      <c r="BB13" t="str">
        <v>-9999.000</v>
      </c>
      <c r="BC13" t="str">
        <v>1</v>
      </c>
      <c r="BD13" t="str">
        <v>150</v>
      </c>
      <c r="BE13" t="str">
        <v>0.005</v>
      </c>
      <c r="BF13" t="str">
        <v>2.000000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0</v>
      </c>
      <c r="BO13" t="str">
        <v>mpf</v>
      </c>
      <c r="BP13" t="str">
        <v>7000</v>
      </c>
      <c r="BQ13" t="str">
        <v>500</v>
      </c>
      <c r="BR13" t="str">
        <v>5.000000</v>
      </c>
      <c r="BS13" t="str">
        <v>2.000000</v>
      </c>
      <c r="BT13" t="str">
        <v>300</v>
      </c>
      <c r="BU13" t="str">
        <v>300</v>
      </c>
      <c r="BV13" t="str">
        <v>300</v>
      </c>
      <c r="BW13" t="str">
        <v>134.984848</v>
      </c>
      <c r="BX13" t="str">
        <v>25</v>
      </c>
      <c r="BY13" t="str">
        <v>-0.124849</v>
      </c>
      <c r="BZ13" t="str">
        <v>134.986282</v>
      </c>
      <c r="CA13" t="str">
        <v>134.995148</v>
      </c>
      <c r="CB13" t="str">
        <v>-0.008865</v>
      </c>
      <c r="CC13" t="str">
        <v>2.433430</v>
      </c>
      <c r="CD13" t="str">
        <v>2.447639</v>
      </c>
      <c r="CE13" t="str">
        <v>1.655930</v>
      </c>
      <c r="CF13" t="str">
        <v>0.942458</v>
      </c>
      <c r="CG13" t="str">
        <v>0.285465</v>
      </c>
      <c r="CH13" t="str">
        <v>-0.016242</v>
      </c>
      <c r="CI13" t="str">
        <v>0.184631</v>
      </c>
      <c r="CJ13" t="str">
        <v>0.238529</v>
      </c>
      <c r="CK13" t="str">
        <v>105.023506</v>
      </c>
      <c r="CL13" t="str">
        <v>0.000240</v>
      </c>
      <c r="CM13" t="str">
        <v>2.388960</v>
      </c>
      <c r="CN13" t="str">
        <v>-0.000025</v>
      </c>
      <c r="CO13" t="str">
        <v>1.000000</v>
      </c>
      <c r="CP13" t="str">
        <v>2.402765</v>
      </c>
      <c r="CQ13" t="str">
        <v>-0.000034</v>
      </c>
      <c r="CR13" t="str">
        <v>1.000000</v>
      </c>
      <c r="CS13" t="str">
        <v>0.600816</v>
      </c>
      <c r="CT13" t="str">
        <v>0.600971</v>
      </c>
      <c r="CU13" t="str">
        <v>0.107301</v>
      </c>
      <c r="CV13" t="str">
        <v>0.000000</v>
      </c>
      <c r="CW13" t="str">
        <v>PSF-00438_20251211141601_a9c</v>
      </c>
      <c r="CX13" t="str">
        <v>PFA-00474</v>
      </c>
      <c r="CY13" t="str">
        <v>PSA-00486</v>
      </c>
      <c r="CZ13" t="str">
        <v>PSF-00438</v>
      </c>
      <c r="DA13" t="str">
        <v>RHS-00603</v>
      </c>
      <c r="DB13" t="str">
        <v>3.0.0</v>
      </c>
      <c r="DC13" t="str">
        <v>2025-12-11T16:13:02.852Z</v>
      </c>
    </row>
    <row r="14">
      <c r="A14" t="str">
        <v>11</v>
      </c>
      <c r="B14" t="str">
        <v>14:16:59</v>
      </c>
      <c r="C14" t="str">
        <v>2025-12-11</v>
      </c>
      <c r="D14" t="str">
        <v>TT25_psf</v>
      </c>
      <c r="E14" t="str">
        <v>eap</v>
      </c>
      <c r="F14" t="str">
        <v/>
      </c>
      <c r="G14" t="str">
        <v>5229_Tri_blue</v>
      </c>
      <c r="H14" t="str">
        <v/>
      </c>
      <c r="I14" t="str">
        <v/>
      </c>
      <c r="J14" t="str">
        <f>1/((1/L14)-(1/K14))</f>
        <v>0.003950</v>
      </c>
      <c r="K14" t="str">
        <f>BH14+(BI14*AN14)+(BJ14*AN14*POWER(V14,2))+(BK14*AN14*V14)+(BL14*POWER(AN14,2))</f>
        <v>2.922623</v>
      </c>
      <c r="L14" t="str">
        <f>((M14/1000)*(1000-((T14+S14)/2)))/(T14-S14)</f>
        <v>0.003945</v>
      </c>
      <c r="M14" t="str">
        <f>(AN14*(S14-R14))/(100*U14*(1000-S14))*1000</f>
        <v>0.086152</v>
      </c>
      <c r="N14" t="str">
        <v>0.737725</v>
      </c>
      <c r="O14" t="str">
        <v>0.735559</v>
      </c>
      <c r="P14" t="str">
        <f>0.61365*EXP((17.502*AL14)/(240.97+AL14))</f>
        <v>2.665484</v>
      </c>
      <c r="Q14" t="str">
        <f>P14-N14</f>
        <v>1.927760</v>
      </c>
      <c r="R14" t="str">
        <v>8.175806</v>
      </c>
      <c r="S14" t="str">
        <v>8.199878</v>
      </c>
      <c r="T14" t="str">
        <f>(P14/AM14)*1000</f>
        <v>29.627108</v>
      </c>
      <c r="U14" t="str">
        <f>V14*BG14</f>
        <v>0.441786</v>
      </c>
      <c r="V14" t="str">
        <v>7.500000</v>
      </c>
      <c r="W14" t="str">
        <v>PSF-00438_20251211141659_901</v>
      </c>
      <c r="X14" t="str">
        <v>0.000000</v>
      </c>
      <c r="Y14" t="str">
        <v>0.000000</v>
      </c>
      <c r="Z14" t="str">
        <v>0.000000</v>
      </c>
      <c r="AA14" t="str">
        <v>98.546150</v>
      </c>
      <c r="AB14" t="str">
        <v>102.064491</v>
      </c>
      <c r="AC14" t="str">
        <v>0.034472</v>
      </c>
      <c r="AD14" t="str">
        <v>0.5</v>
      </c>
      <c r="AE14" t="str">
        <v>0.80</v>
      </c>
      <c r="AF14" t="str">
        <f>AC14*AD14*AE14*AQ14</f>
        <v>1.876845</v>
      </c>
      <c r="AG14" t="str">
        <v>1.000000</v>
      </c>
      <c r="AH14" t="str">
        <v>24.85</v>
      </c>
      <c r="AI14" t="str">
        <v>24.78</v>
      </c>
      <c r="AJ14" t="str">
        <v>23.85</v>
      </c>
      <c r="AK14" t="str">
        <v>22.07</v>
      </c>
      <c r="AL14" t="str">
        <f>(AK14-AJ14)*(AJ14*0+0)+AK14</f>
        <v>22.07</v>
      </c>
      <c r="AM14" t="str">
        <v>89.97</v>
      </c>
      <c r="AN14" t="str">
        <v>156.8</v>
      </c>
      <c r="AO14" t="str">
        <v>157.4</v>
      </c>
      <c r="AP14" t="str">
        <v>-0.4</v>
      </c>
      <c r="AQ14" t="str">
        <v>136</v>
      </c>
      <c r="AR14" t="str">
        <v>4.058</v>
      </c>
      <c r="AS14" t="str">
        <v>14:12:23</v>
      </c>
      <c r="AT14" t="str">
        <v>2025-12-11</v>
      </c>
      <c r="AU14" t="str">
        <v>-0.07</v>
      </c>
      <c r="AV14" t="str">
        <v>1</v>
      </c>
      <c r="AW14" t="str">
        <v>0.001</v>
      </c>
      <c r="AX14" t="str">
        <v>0.001</v>
      </c>
      <c r="AY14" t="str">
        <v>-9999.000</v>
      </c>
      <c r="AZ14" t="str">
        <v>-0.906</v>
      </c>
      <c r="BA14" t="str">
        <v>-0.042</v>
      </c>
      <c r="BB14" t="str">
        <v>-9999.000</v>
      </c>
      <c r="BC14" t="str">
        <v>1</v>
      </c>
      <c r="BD14" t="str">
        <v>150</v>
      </c>
      <c r="BE14" t="str">
        <v>0.005</v>
      </c>
      <c r="BF14" t="str">
        <v>2.000000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0</v>
      </c>
      <c r="BO14" t="str">
        <v>mpf</v>
      </c>
      <c r="BP14" t="str">
        <v>7000</v>
      </c>
      <c r="BQ14" t="str">
        <v>500</v>
      </c>
      <c r="BR14" t="str">
        <v>5.000000</v>
      </c>
      <c r="BS14" t="str">
        <v>2.000000</v>
      </c>
      <c r="BT14" t="str">
        <v>300</v>
      </c>
      <c r="BU14" t="str">
        <v>300</v>
      </c>
      <c r="BV14" t="str">
        <v>300</v>
      </c>
      <c r="BW14" t="str">
        <v>102.064491</v>
      </c>
      <c r="BX14" t="str">
        <v>25</v>
      </c>
      <c r="BY14" t="str">
        <v>0.035541</v>
      </c>
      <c r="BZ14" t="str">
        <v>101.821663</v>
      </c>
      <c r="CA14" t="str">
        <v>102.115295</v>
      </c>
      <c r="CB14" t="str">
        <v>-0.293633</v>
      </c>
      <c r="CC14" t="str">
        <v>2.432375</v>
      </c>
      <c r="CD14" t="str">
        <v>2.446493</v>
      </c>
      <c r="CE14" t="str">
        <v>1.656458</v>
      </c>
      <c r="CF14" t="str">
        <v>0.939784</v>
      </c>
      <c r="CG14" t="str">
        <v>0.285534</v>
      </c>
      <c r="CH14" t="str">
        <v>-0.019333</v>
      </c>
      <c r="CI14" t="str">
        <v>0.191374</v>
      </c>
      <c r="CJ14" t="str">
        <v>0.229746</v>
      </c>
      <c r="CK14" t="str">
        <v>98.546150</v>
      </c>
      <c r="CL14" t="str">
        <v>0.000237</v>
      </c>
      <c r="CM14" t="str">
        <v>2.388960</v>
      </c>
      <c r="CN14" t="str">
        <v>-0.000025</v>
      </c>
      <c r="CO14" t="str">
        <v>1.000000</v>
      </c>
      <c r="CP14" t="str">
        <v>2.402765</v>
      </c>
      <c r="CQ14" t="str">
        <v>-0.000034</v>
      </c>
      <c r="CR14" t="str">
        <v>1.000000</v>
      </c>
      <c r="CS14" t="str">
        <v>0.600816</v>
      </c>
      <c r="CT14" t="str">
        <v>0.600971</v>
      </c>
      <c r="CU14" t="str">
        <v>0.107301</v>
      </c>
      <c r="CV14" t="str">
        <v>0.000000</v>
      </c>
      <c r="CW14" t="str">
        <v>PSF-00438_20251211141659_901</v>
      </c>
      <c r="CX14" t="str">
        <v>PFA-00474</v>
      </c>
      <c r="CY14" t="str">
        <v>PSA-00486</v>
      </c>
      <c r="CZ14" t="str">
        <v>PSF-00438</v>
      </c>
      <c r="DA14" t="str">
        <v>RHS-00603</v>
      </c>
      <c r="DB14" t="str">
        <v>3.0.0</v>
      </c>
      <c r="DC14" t="str">
        <v>2025-12-11T16:13:02.852Z</v>
      </c>
    </row>
    <row r="15">
      <c r="A15" t="str">
        <v>12</v>
      </c>
      <c r="B15" t="str">
        <v>14:17:41</v>
      </c>
      <c r="C15" t="str">
        <v>2025-12-11</v>
      </c>
      <c r="D15" t="str">
        <v>TT25_psf</v>
      </c>
      <c r="E15" t="str">
        <v>eap</v>
      </c>
      <c r="F15" t="str">
        <v/>
      </c>
      <c r="G15" t="str">
        <v>392_Tri_blue</v>
      </c>
      <c r="H15" t="str">
        <v/>
      </c>
      <c r="I15" t="str">
        <v/>
      </c>
      <c r="J15" t="str">
        <f>1/((1/L15)-(1/K15))</f>
        <v>0.000929</v>
      </c>
      <c r="K15" t="str">
        <f>BH15+(BI15*AN15)+(BJ15*AN15*POWER(V15,2))+(BK15*AN15*V15)+(BL15*POWER(AN15,2))</f>
        <v>2.920581</v>
      </c>
      <c r="L15" t="str">
        <f>((M15/1000)*(1000-((T15+S15)/2)))/(T15-S15)</f>
        <v>0.000929</v>
      </c>
      <c r="M15" t="str">
        <f>(AN15*(S15-R15))/(100*U15*(1000-S15))*1000</f>
        <v>0.021049</v>
      </c>
      <c r="N15" t="str">
        <v>0.754934</v>
      </c>
      <c r="O15" t="str">
        <v>0.754404</v>
      </c>
      <c r="P15" t="str">
        <f>0.61365*EXP((17.502*AL15)/(240.97+AL15))</f>
        <v>2.753844</v>
      </c>
      <c r="Q15" t="str">
        <f>P15-N15</f>
        <v>1.998910</v>
      </c>
      <c r="R15" t="str">
        <v>8.385250</v>
      </c>
      <c r="S15" t="str">
        <v>8.391140</v>
      </c>
      <c r="T15" t="str">
        <f>(P15/AM15)*1000</f>
        <v>30.609152</v>
      </c>
      <c r="U15" t="str">
        <f>V15*BG15</f>
        <v>0.441786</v>
      </c>
      <c r="V15" t="str">
        <v>7.500000</v>
      </c>
      <c r="W15" t="str">
        <v>PSF-00438_20251211141741_39b</v>
      </c>
      <c r="X15" t="str">
        <v>0.000000</v>
      </c>
      <c r="Y15" t="str">
        <v>0.000000</v>
      </c>
      <c r="Z15" t="str">
        <v>0.000000</v>
      </c>
      <c r="AA15" t="str">
        <v>97.247955</v>
      </c>
      <c r="AB15" t="str">
        <v>99.554298</v>
      </c>
      <c r="AC15" t="str">
        <v>0.023167</v>
      </c>
      <c r="AD15" t="str">
        <v>0.5</v>
      </c>
      <c r="AE15" t="str">
        <v>0.80</v>
      </c>
      <c r="AF15" t="str">
        <f>AC15*AD15*AE15*AQ15</f>
        <v>1.958143</v>
      </c>
      <c r="AG15" t="str">
        <v>1.000000</v>
      </c>
      <c r="AH15" t="str">
        <v>25.50</v>
      </c>
      <c r="AI15" t="str">
        <v>25.48</v>
      </c>
      <c r="AJ15" t="str">
        <v>23.81</v>
      </c>
      <c r="AK15" t="str">
        <v>22.61</v>
      </c>
      <c r="AL15" t="str">
        <f>(AK15-AJ15)*(AJ15*0+0)+AK15</f>
        <v>22.61</v>
      </c>
      <c r="AM15" t="str">
        <v>89.97</v>
      </c>
      <c r="AN15" t="str">
        <v>156.6</v>
      </c>
      <c r="AO15" t="str">
        <v>158.4</v>
      </c>
      <c r="AP15" t="str">
        <v>-1.2</v>
      </c>
      <c r="AQ15" t="str">
        <v>211</v>
      </c>
      <c r="AR15" t="str">
        <v>4.027</v>
      </c>
      <c r="AS15" t="str">
        <v>14:12:23</v>
      </c>
      <c r="AT15" t="str">
        <v>2025-12-11</v>
      </c>
      <c r="AU15" t="str">
        <v>-0.07</v>
      </c>
      <c r="AV15" t="str">
        <v>1</v>
      </c>
      <c r="AW15" t="str">
        <v>-0.001</v>
      </c>
      <c r="AX15" t="str">
        <v>-0.003</v>
      </c>
      <c r="AY15" t="str">
        <v>-9999.000</v>
      </c>
      <c r="AZ15" t="str">
        <v>-0.667</v>
      </c>
      <c r="BA15" t="str">
        <v>0.125</v>
      </c>
      <c r="BB15" t="str">
        <v>-9999.000</v>
      </c>
      <c r="BC15" t="str">
        <v>1</v>
      </c>
      <c r="BD15" t="str">
        <v>150</v>
      </c>
      <c r="BE15" t="str">
        <v>0.005</v>
      </c>
      <c r="BF15" t="str">
        <v>2.000000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0</v>
      </c>
      <c r="BO15" t="str">
        <v>mpf</v>
      </c>
      <c r="BP15" t="str">
        <v>7000</v>
      </c>
      <c r="BQ15" t="str">
        <v>500</v>
      </c>
      <c r="BR15" t="str">
        <v>5.000000</v>
      </c>
      <c r="BS15" t="str">
        <v>2.000000</v>
      </c>
      <c r="BT15" t="str">
        <v>300</v>
      </c>
      <c r="BU15" t="str">
        <v>300</v>
      </c>
      <c r="BV15" t="str">
        <v>300</v>
      </c>
      <c r="BW15" t="str">
        <v>99.554298</v>
      </c>
      <c r="BX15" t="str">
        <v>25</v>
      </c>
      <c r="BY15" t="str">
        <v>0.039186</v>
      </c>
      <c r="BZ15" t="str">
        <v>99.286438</v>
      </c>
      <c r="CA15" t="str">
        <v>99.610313</v>
      </c>
      <c r="CB15" t="str">
        <v>-0.323875</v>
      </c>
      <c r="CC15" t="str">
        <v>2.433434</v>
      </c>
      <c r="CD15" t="str">
        <v>2.447476</v>
      </c>
      <c r="CE15" t="str">
        <v>1.654321</v>
      </c>
      <c r="CF15" t="str">
        <v>0.942333</v>
      </c>
      <c r="CG15" t="str">
        <v>0.285994</v>
      </c>
      <c r="CH15" t="str">
        <v>-0.012942</v>
      </c>
      <c r="CI15" t="str">
        <v>0.196249</v>
      </c>
      <c r="CJ15" t="str">
        <v>0.297389</v>
      </c>
      <c r="CK15" t="str">
        <v>97.247955</v>
      </c>
      <c r="CL15" t="str">
        <v>0.000239</v>
      </c>
      <c r="CM15" t="str">
        <v>2.388960</v>
      </c>
      <c r="CN15" t="str">
        <v>-0.000025</v>
      </c>
      <c r="CO15" t="str">
        <v>1.000000</v>
      </c>
      <c r="CP15" t="str">
        <v>2.402765</v>
      </c>
      <c r="CQ15" t="str">
        <v>-0.000034</v>
      </c>
      <c r="CR15" t="str">
        <v>1.000000</v>
      </c>
      <c r="CS15" t="str">
        <v>0.600816</v>
      </c>
      <c r="CT15" t="str">
        <v>0.600971</v>
      </c>
      <c r="CU15" t="str">
        <v>0.107301</v>
      </c>
      <c r="CV15" t="str">
        <v>0.000000</v>
      </c>
      <c r="CW15" t="str">
        <v>PSF-00438_20251211141741_39b</v>
      </c>
      <c r="CX15" t="str">
        <v>PFA-00474</v>
      </c>
      <c r="CY15" t="str">
        <v>PSA-00486</v>
      </c>
      <c r="CZ15" t="str">
        <v>PSF-00438</v>
      </c>
      <c r="DA15" t="str">
        <v>RHS-00603</v>
      </c>
      <c r="DB15" t="str">
        <v>3.0.0</v>
      </c>
      <c r="DC15" t="str">
        <v>2025-12-11T16:13:02.852Z</v>
      </c>
    </row>
    <row r="16">
      <c r="A16" t="str">
        <v>13</v>
      </c>
      <c r="B16" t="str">
        <v>14:18:30</v>
      </c>
      <c r="C16" t="str">
        <v>2025-12-11</v>
      </c>
      <c r="D16" t="str">
        <v>TT25_psf</v>
      </c>
      <c r="E16" t="str">
        <v>eap</v>
      </c>
      <c r="F16" t="str">
        <v/>
      </c>
      <c r="G16" t="str">
        <v>4511_Tri_blue</v>
      </c>
      <c r="H16" t="str">
        <v/>
      </c>
      <c r="I16" t="str">
        <v/>
      </c>
      <c r="J16" t="str">
        <f>1/((1/L16)-(1/K16))</f>
        <v>0.015265</v>
      </c>
      <c r="K16" t="str">
        <f>BH16+(BI16*AN16)+(BJ16*AN16*POWER(V16,2))+(BK16*AN16*V16)+(BL16*POWER(AN16,2))</f>
        <v>2.921833</v>
      </c>
      <c r="L16" t="str">
        <f>((M16/1000)*(1000-((T16+S16)/2)))/(T16-S16)</f>
        <v>0.015186</v>
      </c>
      <c r="M16" t="str">
        <f>(AN16*(S16-R16))/(100*U16*(1000-S16))*1000</f>
        <v>0.331494</v>
      </c>
      <c r="N16" t="str">
        <v>0.763695</v>
      </c>
      <c r="O16" t="str">
        <v>0.755359</v>
      </c>
      <c r="P16" t="str">
        <f>0.61365*EXP((17.502*AL16)/(240.97+AL16))</f>
        <v>2.689869</v>
      </c>
      <c r="Q16" t="str">
        <f>P16-N16</f>
        <v>1.926174</v>
      </c>
      <c r="R16" t="str">
        <v>8.396170</v>
      </c>
      <c r="S16" t="str">
        <v>8.488825</v>
      </c>
      <c r="T16" t="str">
        <f>(P16/AM16)*1000</f>
        <v>29.899149</v>
      </c>
      <c r="U16" t="str">
        <f>V16*BG16</f>
        <v>0.441786</v>
      </c>
      <c r="V16" t="str">
        <v>7.500000</v>
      </c>
      <c r="W16" t="str">
        <v>PSF-00438_20251211141830_69c</v>
      </c>
      <c r="X16" t="str">
        <v>0.000000</v>
      </c>
      <c r="Y16" t="str">
        <v>0.000000</v>
      </c>
      <c r="Z16" t="str">
        <v>0.000000</v>
      </c>
      <c r="AA16" t="str">
        <v>85.745934</v>
      </c>
      <c r="AB16" t="str">
        <v>106.904770</v>
      </c>
      <c r="AC16" t="str">
        <v>0.197922</v>
      </c>
      <c r="AD16" t="str">
        <v>0.5</v>
      </c>
      <c r="AE16" t="str">
        <v>0.80</v>
      </c>
      <c r="AF16" t="str">
        <f>AC16*AD16*AE16*AQ16</f>
        <v>19.280203</v>
      </c>
      <c r="AG16" t="str">
        <v>1.000000</v>
      </c>
      <c r="AH16" t="str">
        <v>25.92</v>
      </c>
      <c r="AI16" t="str">
        <v>25.63</v>
      </c>
      <c r="AJ16" t="str">
        <v>23.73</v>
      </c>
      <c r="AK16" t="str">
        <v>22.22</v>
      </c>
      <c r="AL16" t="str">
        <f>(AK16-AJ16)*(AJ16*0+0)+AK16</f>
        <v>22.22</v>
      </c>
      <c r="AM16" t="str">
        <v>89.96</v>
      </c>
      <c r="AN16" t="str">
        <v>156.7</v>
      </c>
      <c r="AO16" t="str">
        <v>158.3</v>
      </c>
      <c r="AP16" t="str">
        <v>-1.0</v>
      </c>
      <c r="AQ16" t="str">
        <v>244</v>
      </c>
      <c r="AR16" t="str">
        <v>4.027</v>
      </c>
      <c r="AS16" t="str">
        <v>14:12:23</v>
      </c>
      <c r="AT16" t="str">
        <v>2025-12-11</v>
      </c>
      <c r="AU16" t="str">
        <v>-0.07</v>
      </c>
      <c r="AV16" t="str">
        <v>1</v>
      </c>
      <c r="AW16" t="str">
        <v>0.001</v>
      </c>
      <c r="AX16" t="str">
        <v>0.002</v>
      </c>
      <c r="AY16" t="str">
        <v>-9999.000</v>
      </c>
      <c r="AZ16" t="str">
        <v>-0.986</v>
      </c>
      <c r="BA16" t="str">
        <v>1.297</v>
      </c>
      <c r="BB16" t="str">
        <v>-9999.000</v>
      </c>
      <c r="BC16" t="str">
        <v>1</v>
      </c>
      <c r="BD16" t="str">
        <v>150</v>
      </c>
      <c r="BE16" t="str">
        <v>0.005</v>
      </c>
      <c r="BF16" t="str">
        <v>2.000000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0</v>
      </c>
      <c r="BO16" t="str">
        <v>mpf</v>
      </c>
      <c r="BP16" t="str">
        <v>7000</v>
      </c>
      <c r="BQ16" t="str">
        <v>500</v>
      </c>
      <c r="BR16" t="str">
        <v>5.000000</v>
      </c>
      <c r="BS16" t="str">
        <v>2.000000</v>
      </c>
      <c r="BT16" t="str">
        <v>300</v>
      </c>
      <c r="BU16" t="str">
        <v>300</v>
      </c>
      <c r="BV16" t="str">
        <v>300</v>
      </c>
      <c r="BW16" t="str">
        <v>106.545929</v>
      </c>
      <c r="BX16" t="str">
        <v>25</v>
      </c>
      <c r="BY16" t="str">
        <v>-0.249697</v>
      </c>
      <c r="BZ16" t="str">
        <v>106.452583</v>
      </c>
      <c r="CA16" t="str">
        <v>106.547829</v>
      </c>
      <c r="CB16" t="str">
        <v>-0.095245</v>
      </c>
      <c r="CC16" t="str">
        <v>2.433679</v>
      </c>
      <c r="CD16" t="str">
        <v>2.448125</v>
      </c>
      <c r="CE16" t="str">
        <v>1.655630</v>
      </c>
      <c r="CF16" t="str">
        <v>0.942253</v>
      </c>
      <c r="CG16" t="str">
        <v>0.286906</v>
      </c>
      <c r="CH16" t="str">
        <v>-0.016329</v>
      </c>
      <c r="CI16" t="str">
        <v>0.201851</v>
      </c>
      <c r="CJ16" t="str">
        <v>0.326375</v>
      </c>
      <c r="CK16" t="str">
        <v>85.745934</v>
      </c>
      <c r="CL16" t="str">
        <v>0.000238</v>
      </c>
      <c r="CM16" t="str">
        <v>2.388960</v>
      </c>
      <c r="CN16" t="str">
        <v>-0.000025</v>
      </c>
      <c r="CO16" t="str">
        <v>1.000000</v>
      </c>
      <c r="CP16" t="str">
        <v>2.402765</v>
      </c>
      <c r="CQ16" t="str">
        <v>-0.000034</v>
      </c>
      <c r="CR16" t="str">
        <v>1.000000</v>
      </c>
      <c r="CS16" t="str">
        <v>0.600816</v>
      </c>
      <c r="CT16" t="str">
        <v>0.600971</v>
      </c>
      <c r="CU16" t="str">
        <v>0.107301</v>
      </c>
      <c r="CV16" t="str">
        <v>0.000000</v>
      </c>
      <c r="CW16" t="str">
        <v>PSF-00438_20251211141830_69c</v>
      </c>
      <c r="CX16" t="str">
        <v>PFA-00474</v>
      </c>
      <c r="CY16" t="str">
        <v>PSA-00486</v>
      </c>
      <c r="CZ16" t="str">
        <v>PSF-00438</v>
      </c>
      <c r="DA16" t="str">
        <v>RHS-00603</v>
      </c>
      <c r="DB16" t="str">
        <v>3.0.0</v>
      </c>
      <c r="DC16" t="str">
        <v>2025-12-11T16:13:02.852Z</v>
      </c>
    </row>
    <row r="17">
      <c r="A17" t="str">
        <v>14</v>
      </c>
      <c r="B17" t="str">
        <v>14:18:52</v>
      </c>
      <c r="C17" t="str">
        <v>2025-12-11</v>
      </c>
      <c r="D17" t="str">
        <v>TT25_psf</v>
      </c>
      <c r="E17" t="str">
        <v>eap</v>
      </c>
      <c r="F17" t="str">
        <v/>
      </c>
      <c r="G17" t="str">
        <v>482_Tri_blue</v>
      </c>
      <c r="H17" t="str">
        <v/>
      </c>
      <c r="I17" t="str">
        <v/>
      </c>
      <c r="J17" t="str">
        <f>1/((1/L17)-(1/K17))</f>
        <v>0.003670</v>
      </c>
      <c r="K17" t="str">
        <f>BH17+(BI17*AN17)+(BJ17*AN17*POWER(V17,2))+(BK17*AN17*V17)+(BL17*POWER(AN17,2))</f>
        <v>2.922766</v>
      </c>
      <c r="L17" t="str">
        <f>((M17/1000)*(1000-((T17+S17)/2)))/(T17-S17)</f>
        <v>0.003666</v>
      </c>
      <c r="M17" t="str">
        <f>(AN17*(S17-R17))/(100*U17*(1000-S17))*1000</f>
        <v>0.073487</v>
      </c>
      <c r="N17" t="str">
        <v>0.740722</v>
      </c>
      <c r="O17" t="str">
        <v>0.738875</v>
      </c>
      <c r="P17" t="str">
        <f>0.61365*EXP((17.502*AL17)/(240.97+AL17))</f>
        <v>2.511895</v>
      </c>
      <c r="Q17" t="str">
        <f>P17-N17</f>
        <v>1.771173</v>
      </c>
      <c r="R17" t="str">
        <v>8.211777</v>
      </c>
      <c r="S17" t="str">
        <v>8.232306</v>
      </c>
      <c r="T17" t="str">
        <f>(P17/AM17)*1000</f>
        <v>27.916924</v>
      </c>
      <c r="U17" t="str">
        <f>V17*BG17</f>
        <v>0.441786</v>
      </c>
      <c r="V17" t="str">
        <v>7.500000</v>
      </c>
      <c r="W17" t="str">
        <v>PSF-00438_20251211141852_d75</v>
      </c>
      <c r="X17" t="str">
        <v>0.000000</v>
      </c>
      <c r="Y17" t="str">
        <v>0.000000</v>
      </c>
      <c r="Z17" t="str">
        <v>0.000000</v>
      </c>
      <c r="AA17" t="str">
        <v>102.505806</v>
      </c>
      <c r="AB17" t="str">
        <v>104.777817</v>
      </c>
      <c r="AC17" t="str">
        <v>0.021684</v>
      </c>
      <c r="AD17" t="str">
        <v>0.5</v>
      </c>
      <c r="AE17" t="str">
        <v>0.80</v>
      </c>
      <c r="AF17" t="str">
        <f>AC17*AD17*AE17*AQ17</f>
        <v>1.953427</v>
      </c>
      <c r="AG17" t="str">
        <v>1.000000</v>
      </c>
      <c r="AH17" t="str">
        <v>25.22</v>
      </c>
      <c r="AI17" t="str">
        <v>25.15</v>
      </c>
      <c r="AJ17" t="str">
        <v>23.68</v>
      </c>
      <c r="AK17" t="str">
        <v>21.10</v>
      </c>
      <c r="AL17" t="str">
        <f>(AK17-AJ17)*(AJ17*0+0)+AK17</f>
        <v>21.10</v>
      </c>
      <c r="AM17" t="str">
        <v>89.98</v>
      </c>
      <c r="AN17" t="str">
        <v>156.8</v>
      </c>
      <c r="AO17" t="str">
        <v>158.4</v>
      </c>
      <c r="AP17" t="str">
        <v>-1.0</v>
      </c>
      <c r="AQ17" t="str">
        <v>225</v>
      </c>
      <c r="AR17" t="str">
        <v>4.055</v>
      </c>
      <c r="AS17" t="str">
        <v>14:12:23</v>
      </c>
      <c r="AT17" t="str">
        <v>2025-12-11</v>
      </c>
      <c r="AU17" t="str">
        <v>-0.07</v>
      </c>
      <c r="AV17" t="str">
        <v>1</v>
      </c>
      <c r="AW17" t="str">
        <v>-0.001</v>
      </c>
      <c r="AX17" t="str">
        <v>-0.002</v>
      </c>
      <c r="AY17" t="str">
        <v>-9999.000</v>
      </c>
      <c r="AZ17" t="str">
        <v>-0.127</v>
      </c>
      <c r="BA17" t="str">
        <v>0.057</v>
      </c>
      <c r="BB17" t="str">
        <v>-9999.000</v>
      </c>
      <c r="BC17" t="str">
        <v>1</v>
      </c>
      <c r="BD17" t="str">
        <v>150</v>
      </c>
      <c r="BE17" t="str">
        <v>0.005</v>
      </c>
      <c r="BF17" t="str">
        <v>2.000000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0</v>
      </c>
      <c r="BO17" t="str">
        <v>mpf</v>
      </c>
      <c r="BP17" t="str">
        <v>7000</v>
      </c>
      <c r="BQ17" t="str">
        <v>500</v>
      </c>
      <c r="BR17" t="str">
        <v>5.000000</v>
      </c>
      <c r="BS17" t="str">
        <v>2.000000</v>
      </c>
      <c r="BT17" t="str">
        <v>300</v>
      </c>
      <c r="BU17" t="str">
        <v>300</v>
      </c>
      <c r="BV17" t="str">
        <v>300</v>
      </c>
      <c r="BW17" t="str">
        <v>104.777817</v>
      </c>
      <c r="BX17" t="str">
        <v>25</v>
      </c>
      <c r="BY17" t="str">
        <v>0.017315</v>
      </c>
      <c r="BZ17" t="str">
        <v>104.460236</v>
      </c>
      <c r="CA17" t="str">
        <v>104.802567</v>
      </c>
      <c r="CB17" t="str">
        <v>-0.342331</v>
      </c>
      <c r="CC17" t="str">
        <v>2.432962</v>
      </c>
      <c r="CD17" t="str">
        <v>2.447069</v>
      </c>
      <c r="CE17" t="str">
        <v>1.656608</v>
      </c>
      <c r="CF17" t="str">
        <v>0.942371</v>
      </c>
      <c r="CG17" t="str">
        <v>0.287508</v>
      </c>
      <c r="CH17" t="str">
        <v>-0.028046</v>
      </c>
      <c r="CI17" t="str">
        <v>0.204134</v>
      </c>
      <c r="CJ17" t="str">
        <v>0.309897</v>
      </c>
      <c r="CK17" t="str">
        <v>102.505806</v>
      </c>
      <c r="CL17" t="str">
        <v>0.000238</v>
      </c>
      <c r="CM17" t="str">
        <v>2.388960</v>
      </c>
      <c r="CN17" t="str">
        <v>-0.000025</v>
      </c>
      <c r="CO17" t="str">
        <v>1.000000</v>
      </c>
      <c r="CP17" t="str">
        <v>2.402765</v>
      </c>
      <c r="CQ17" t="str">
        <v>-0.000034</v>
      </c>
      <c r="CR17" t="str">
        <v>1.000000</v>
      </c>
      <c r="CS17" t="str">
        <v>0.600816</v>
      </c>
      <c r="CT17" t="str">
        <v>0.600971</v>
      </c>
      <c r="CU17" t="str">
        <v>0.107301</v>
      </c>
      <c r="CV17" t="str">
        <v>0.000000</v>
      </c>
      <c r="CW17" t="str">
        <v>PSF-00438_20251211141852_d75</v>
      </c>
      <c r="CX17" t="str">
        <v>PFA-00474</v>
      </c>
      <c r="CY17" t="str">
        <v>PSA-00486</v>
      </c>
      <c r="CZ17" t="str">
        <v>PSF-00438</v>
      </c>
      <c r="DA17" t="str">
        <v>RHS-00603</v>
      </c>
      <c r="DB17" t="str">
        <v>3.0.0</v>
      </c>
      <c r="DC17" t="str">
        <v>2025-12-11T16:13:02.852Z</v>
      </c>
    </row>
    <row r="18">
      <c r="A18" t="str">
        <v>15</v>
      </c>
      <c r="B18" t="str">
        <v>14:19:21</v>
      </c>
      <c r="C18" t="str">
        <v>2025-12-11</v>
      </c>
      <c r="D18" t="str">
        <v>TT25_psf</v>
      </c>
      <c r="E18" t="str">
        <v>eap</v>
      </c>
      <c r="F18" t="str">
        <v/>
      </c>
      <c r="G18" t="str">
        <v>2382_Tri_blue</v>
      </c>
      <c r="H18" t="str">
        <v/>
      </c>
      <c r="I18" t="str">
        <v/>
      </c>
      <c r="J18" t="str">
        <f>1/((1/L18)-(1/K18))</f>
        <v>0.009722</v>
      </c>
      <c r="K18" t="str">
        <f>BH18+(BI18*AN18)+(BJ18*AN18*POWER(V18,2))+(BK18*AN18*V18)+(BL18*POWER(AN18,2))</f>
        <v>2.922446</v>
      </c>
      <c r="L18" t="str">
        <f>((M18/1000)*(1000-((T18+S18)/2)))/(T18-S18)</f>
        <v>0.009690</v>
      </c>
      <c r="M18" t="str">
        <f>(AN18*(S18-R18))/(100*U18*(1000-S18))*1000</f>
        <v>0.198883</v>
      </c>
      <c r="N18" t="str">
        <v>0.737175</v>
      </c>
      <c r="O18" t="str">
        <v>0.732174</v>
      </c>
      <c r="P18" t="str">
        <f>0.61365*EXP((17.502*AL18)/(240.97+AL18))</f>
        <v>2.550139</v>
      </c>
      <c r="Q18" t="str">
        <f>P18-N18</f>
        <v>1.812964</v>
      </c>
      <c r="R18" t="str">
        <v>8.137417</v>
      </c>
      <c r="S18" t="str">
        <v>8.192996</v>
      </c>
      <c r="T18" t="str">
        <f>(P18/AM18)*1000</f>
        <v>28.342358</v>
      </c>
      <c r="U18" t="str">
        <f>V18*BG18</f>
        <v>0.441786</v>
      </c>
      <c r="V18" t="str">
        <v>7.500000</v>
      </c>
      <c r="W18" t="str">
        <v>PSF-00438_20251211141921_399</v>
      </c>
      <c r="X18" t="str">
        <v>0.000000</v>
      </c>
      <c r="Y18" t="str">
        <v>0.000000</v>
      </c>
      <c r="Z18" t="str">
        <v>0.000000</v>
      </c>
      <c r="AA18" t="str">
        <v>109.057549</v>
      </c>
      <c r="AB18" t="str">
        <v>148.228882</v>
      </c>
      <c r="AC18" t="str">
        <v>0.264262</v>
      </c>
      <c r="AD18" t="str">
        <v>0.5</v>
      </c>
      <c r="AE18" t="str">
        <v>0.80</v>
      </c>
      <c r="AF18" t="str">
        <f>AC18*AD18*AE18*AQ18</f>
        <v>23.939371</v>
      </c>
      <c r="AG18" t="str">
        <v>1.000000</v>
      </c>
      <c r="AH18" t="str">
        <v>25.20</v>
      </c>
      <c r="AI18" t="str">
        <v>25.03</v>
      </c>
      <c r="AJ18" t="str">
        <v>23.61</v>
      </c>
      <c r="AK18" t="str">
        <v>21.35</v>
      </c>
      <c r="AL18" t="str">
        <f>(AK18-AJ18)*(AJ18*0+0)+AK18</f>
        <v>21.35</v>
      </c>
      <c r="AM18" t="str">
        <v>89.98</v>
      </c>
      <c r="AN18" t="str">
        <v>156.8</v>
      </c>
      <c r="AO18" t="str">
        <v>157.5</v>
      </c>
      <c r="AP18" t="str">
        <v>-0.4</v>
      </c>
      <c r="AQ18" t="str">
        <v>226</v>
      </c>
      <c r="AR18" t="str">
        <v>4.054</v>
      </c>
      <c r="AS18" t="str">
        <v>14:12:23</v>
      </c>
      <c r="AT18" t="str">
        <v>2025-12-11</v>
      </c>
      <c r="AU18" t="str">
        <v>-0.07</v>
      </c>
      <c r="AV18" t="str">
        <v>1</v>
      </c>
      <c r="AW18" t="str">
        <v>0.000</v>
      </c>
      <c r="AX18" t="str">
        <v>-0.003</v>
      </c>
      <c r="AY18" t="str">
        <v>-9999.000</v>
      </c>
      <c r="AZ18" t="str">
        <v>0.172</v>
      </c>
      <c r="BA18" t="str">
        <v>0.642</v>
      </c>
      <c r="BB18" t="str">
        <v>-9999.000</v>
      </c>
      <c r="BC18" t="str">
        <v>1</v>
      </c>
      <c r="BD18" t="str">
        <v>150</v>
      </c>
      <c r="BE18" t="str">
        <v>0.005</v>
      </c>
      <c r="BF18" t="str">
        <v>2.000000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0</v>
      </c>
      <c r="BO18" t="str">
        <v>mpf</v>
      </c>
      <c r="BP18" t="str">
        <v>7000</v>
      </c>
      <c r="BQ18" t="str">
        <v>500</v>
      </c>
      <c r="BR18" t="str">
        <v>5.000000</v>
      </c>
      <c r="BS18" t="str">
        <v>2.000000</v>
      </c>
      <c r="BT18" t="str">
        <v>300</v>
      </c>
      <c r="BU18" t="str">
        <v>300</v>
      </c>
      <c r="BV18" t="str">
        <v>300</v>
      </c>
      <c r="BW18" t="str">
        <v>148.228882</v>
      </c>
      <c r="BX18" t="str">
        <v>25</v>
      </c>
      <c r="BY18" t="str">
        <v>0.536758</v>
      </c>
      <c r="BZ18" t="str">
        <v>148.602249</v>
      </c>
      <c r="CA18" t="str">
        <v>148.996170</v>
      </c>
      <c r="CB18" t="str">
        <v>-0.393921</v>
      </c>
      <c r="CC18" t="str">
        <v>2.432790</v>
      </c>
      <c r="CD18" t="str">
        <v>2.447062</v>
      </c>
      <c r="CE18" t="str">
        <v>1.656272</v>
      </c>
      <c r="CF18" t="str">
        <v>0.940058</v>
      </c>
      <c r="CG18" t="str">
        <v>0.288335</v>
      </c>
      <c r="CH18" t="str">
        <v>-0.024544</v>
      </c>
      <c r="CI18" t="str">
        <v>0.207271</v>
      </c>
      <c r="CJ18" t="str">
        <v>0.311029</v>
      </c>
      <c r="CK18" t="str">
        <v>109.057549</v>
      </c>
      <c r="CL18" t="str">
        <v>0.000238</v>
      </c>
      <c r="CM18" t="str">
        <v>2.388960</v>
      </c>
      <c r="CN18" t="str">
        <v>-0.000025</v>
      </c>
      <c r="CO18" t="str">
        <v>1.000000</v>
      </c>
      <c r="CP18" t="str">
        <v>2.402765</v>
      </c>
      <c r="CQ18" t="str">
        <v>-0.000034</v>
      </c>
      <c r="CR18" t="str">
        <v>1.000000</v>
      </c>
      <c r="CS18" t="str">
        <v>0.600816</v>
      </c>
      <c r="CT18" t="str">
        <v>0.600971</v>
      </c>
      <c r="CU18" t="str">
        <v>0.107301</v>
      </c>
      <c r="CV18" t="str">
        <v>0.000000</v>
      </c>
      <c r="CW18" t="str">
        <v>PSF-00438_20251211141921_399</v>
      </c>
      <c r="CX18" t="str">
        <v>PFA-00474</v>
      </c>
      <c r="CY18" t="str">
        <v>PSA-00486</v>
      </c>
      <c r="CZ18" t="str">
        <v>PSF-00438</v>
      </c>
      <c r="DA18" t="str">
        <v>RHS-00603</v>
      </c>
      <c r="DB18" t="str">
        <v>3.0.0</v>
      </c>
      <c r="DC18" t="str">
        <v>2025-12-11T16:13:02.852Z</v>
      </c>
    </row>
    <row r="19">
      <c r="A19" t="str">
        <v>16</v>
      </c>
      <c r="B19" t="str">
        <v>14:19:43</v>
      </c>
      <c r="C19" t="str">
        <v>2025-12-11</v>
      </c>
      <c r="D19" t="str">
        <v>TT25_psf</v>
      </c>
      <c r="E19" t="str">
        <v>eap</v>
      </c>
      <c r="F19" t="str">
        <v/>
      </c>
      <c r="G19" t="str">
        <v>978_Tri_blue</v>
      </c>
      <c r="H19" t="str">
        <v/>
      </c>
      <c r="I19" t="str">
        <v/>
      </c>
      <c r="J19" t="str">
        <f>1/((1/L19)-(1/K19))</f>
        <v>0.005832</v>
      </c>
      <c r="K19" t="str">
        <f>BH19+(BI19*AN19)+(BJ19*AN19*POWER(V19,2))+(BK19*AN19*V19)+(BL19*POWER(AN19,2))</f>
        <v>2.923542</v>
      </c>
      <c r="L19" t="str">
        <f>((M19/1000)*(1000-((T19+S19)/2)))/(T19-S19)</f>
        <v>0.005820</v>
      </c>
      <c r="M19" t="str">
        <f>(AN19*(S19-R19))/(100*U19*(1000-S19))*1000</f>
        <v>0.118588</v>
      </c>
      <c r="N19" t="str">
        <v>0.743729</v>
      </c>
      <c r="O19" t="str">
        <v>0.740750</v>
      </c>
      <c r="P19" t="str">
        <f>0.61365*EXP((17.502*AL19)/(240.97+AL19))</f>
        <v>2.543414</v>
      </c>
      <c r="Q19" t="str">
        <f>P19-N19</f>
        <v>1.799685</v>
      </c>
      <c r="R19" t="str">
        <v>8.232985</v>
      </c>
      <c r="S19" t="str">
        <v>8.266093</v>
      </c>
      <c r="T19" t="str">
        <f>(P19/AM19)*1000</f>
        <v>28.268478</v>
      </c>
      <c r="U19" t="str">
        <f>V19*BG19</f>
        <v>0.441786</v>
      </c>
      <c r="V19" t="str">
        <v>7.500000</v>
      </c>
      <c r="W19" t="str">
        <v>PSF-00438_20251211141943_f32</v>
      </c>
      <c r="X19" t="str">
        <v>0.000000</v>
      </c>
      <c r="Y19" t="str">
        <v>0.000000</v>
      </c>
      <c r="Z19" t="str">
        <v>0.000000</v>
      </c>
      <c r="AA19" t="str">
        <v>112.513306</v>
      </c>
      <c r="AB19" t="str">
        <v>135.510925</v>
      </c>
      <c r="AC19" t="str">
        <v>0.169710</v>
      </c>
      <c r="AD19" t="str">
        <v>0.5</v>
      </c>
      <c r="AE19" t="str">
        <v>0.80</v>
      </c>
      <c r="AF19" t="str">
        <f>AC19*AD19*AE19*AQ19</f>
        <v>12.981718</v>
      </c>
      <c r="AG19" t="str">
        <v>1.000000</v>
      </c>
      <c r="AH19" t="str">
        <v>25.50</v>
      </c>
      <c r="AI19" t="str">
        <v>25.40</v>
      </c>
      <c r="AJ19" t="str">
        <v>23.56</v>
      </c>
      <c r="AK19" t="str">
        <v>21.31</v>
      </c>
      <c r="AL19" t="str">
        <f>(AK19-AJ19)*(AJ19*0+0)+AK19</f>
        <v>21.31</v>
      </c>
      <c r="AM19" t="str">
        <v>89.97</v>
      </c>
      <c r="AN19" t="str">
        <v>156.9</v>
      </c>
      <c r="AO19" t="str">
        <v>158.5</v>
      </c>
      <c r="AP19" t="str">
        <v>-1.0</v>
      </c>
      <c r="AQ19" t="str">
        <v>191</v>
      </c>
      <c r="AR19" t="str">
        <v>4.053</v>
      </c>
      <c r="AS19" t="str">
        <v>14:12:23</v>
      </c>
      <c r="AT19" t="str">
        <v>2025-12-11</v>
      </c>
      <c r="AU19" t="str">
        <v>-0.07</v>
      </c>
      <c r="AV19" t="str">
        <v>1</v>
      </c>
      <c r="AW19" t="str">
        <v>0.000</v>
      </c>
      <c r="AX19" t="str">
        <v>-0.000</v>
      </c>
      <c r="AY19" t="str">
        <v>-9999.000</v>
      </c>
      <c r="AZ19" t="str">
        <v>-0.067</v>
      </c>
      <c r="BA19" t="str">
        <v>0.659</v>
      </c>
      <c r="BB19" t="str">
        <v>-9999.000</v>
      </c>
      <c r="BC19" t="str">
        <v>1</v>
      </c>
      <c r="BD19" t="str">
        <v>150</v>
      </c>
      <c r="BE19" t="str">
        <v>0.005</v>
      </c>
      <c r="BF19" t="str">
        <v>2.000000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0</v>
      </c>
      <c r="BO19" t="str">
        <v>mpf</v>
      </c>
      <c r="BP19" t="str">
        <v>7000</v>
      </c>
      <c r="BQ19" t="str">
        <v>500</v>
      </c>
      <c r="BR19" t="str">
        <v>5.000000</v>
      </c>
      <c r="BS19" t="str">
        <v>2.000000</v>
      </c>
      <c r="BT19" t="str">
        <v>300</v>
      </c>
      <c r="BU19" t="str">
        <v>300</v>
      </c>
      <c r="BV19" t="str">
        <v>300</v>
      </c>
      <c r="BW19" t="str">
        <v>135.510925</v>
      </c>
      <c r="BX19" t="str">
        <v>25</v>
      </c>
      <c r="BY19" t="str">
        <v>1.267624</v>
      </c>
      <c r="BZ19" t="str">
        <v>136.259796</v>
      </c>
      <c r="CA19" t="str">
        <v>137.322983</v>
      </c>
      <c r="CB19" t="str">
        <v>-1.063187</v>
      </c>
      <c r="CC19" t="str">
        <v>2.433351</v>
      </c>
      <c r="CD19" t="str">
        <v>2.447522</v>
      </c>
      <c r="CE19" t="str">
        <v>1.657423</v>
      </c>
      <c r="CF19" t="str">
        <v>0.942585</v>
      </c>
      <c r="CG19" t="str">
        <v>0.288885</v>
      </c>
      <c r="CH19" t="str">
        <v>-0.024479</v>
      </c>
      <c r="CI19" t="str">
        <v>0.209549</v>
      </c>
      <c r="CJ19" t="str">
        <v>0.279328</v>
      </c>
      <c r="CK19" t="str">
        <v>112.513306</v>
      </c>
      <c r="CL19" t="str">
        <v>0.000240</v>
      </c>
      <c r="CM19" t="str">
        <v>2.388960</v>
      </c>
      <c r="CN19" t="str">
        <v>-0.000025</v>
      </c>
      <c r="CO19" t="str">
        <v>1.000000</v>
      </c>
      <c r="CP19" t="str">
        <v>2.402765</v>
      </c>
      <c r="CQ19" t="str">
        <v>-0.000034</v>
      </c>
      <c r="CR19" t="str">
        <v>1.000000</v>
      </c>
      <c r="CS19" t="str">
        <v>0.600816</v>
      </c>
      <c r="CT19" t="str">
        <v>0.600971</v>
      </c>
      <c r="CU19" t="str">
        <v>0.107301</v>
      </c>
      <c r="CV19" t="str">
        <v>0.000000</v>
      </c>
      <c r="CW19" t="str">
        <v>PSF-00438_20251211141943_f32</v>
      </c>
      <c r="CX19" t="str">
        <v>PFA-00474</v>
      </c>
      <c r="CY19" t="str">
        <v>PSA-00486</v>
      </c>
      <c r="CZ19" t="str">
        <v>PSF-00438</v>
      </c>
      <c r="DA19" t="str">
        <v>RHS-00603</v>
      </c>
      <c r="DB19" t="str">
        <v>3.0.0</v>
      </c>
      <c r="DC19" t="str">
        <v>2025-12-11T16:13:02.852Z</v>
      </c>
    </row>
    <row r="20">
      <c r="A20" t="str">
        <v>17</v>
      </c>
      <c r="B20" t="str">
        <v>14:20:01</v>
      </c>
      <c r="C20" t="str">
        <v>2025-12-11</v>
      </c>
      <c r="D20" t="str">
        <v>TT25_psf</v>
      </c>
      <c r="E20" t="str">
        <v>eap</v>
      </c>
      <c r="F20" t="str">
        <v/>
      </c>
      <c r="G20" t="str">
        <v>1669_Tri_blue</v>
      </c>
      <c r="H20" t="str">
        <v/>
      </c>
      <c r="I20" t="str">
        <v/>
      </c>
      <c r="J20" t="str">
        <f>1/((1/L20)-(1/K20))</f>
        <v>0.006198</v>
      </c>
      <c r="K20" t="str">
        <f>BH20+(BI20*AN20)+(BJ20*AN20*POWER(V20,2))+(BK20*AN20*V20)+(BL20*POWER(AN20,2))</f>
        <v>2.922219</v>
      </c>
      <c r="L20" t="str">
        <f>((M20/1000)*(1000-((T20+S20)/2)))/(T20-S20)</f>
        <v>0.006185</v>
      </c>
      <c r="M20" t="str">
        <f>(AN20*(S20-R20))/(100*U20*(1000-S20))*1000</f>
        <v>0.131523</v>
      </c>
      <c r="N20" t="str">
        <v>0.770911</v>
      </c>
      <c r="O20" t="str">
        <v>0.767605</v>
      </c>
      <c r="P20" t="str">
        <f>0.61365*EXP((17.502*AL20)/(240.97+AL20))</f>
        <v>2.647591</v>
      </c>
      <c r="Q20" t="str">
        <f>P20-N20</f>
        <v>1.876680</v>
      </c>
      <c r="R20" t="str">
        <v>8.532044</v>
      </c>
      <c r="S20" t="str">
        <v>8.568791</v>
      </c>
      <c r="T20" t="str">
        <f>(P20/AM20)*1000</f>
        <v>29.428383</v>
      </c>
      <c r="U20" t="str">
        <f>V20*BG20</f>
        <v>0.441786</v>
      </c>
      <c r="V20" t="str">
        <v>7.500000</v>
      </c>
      <c r="W20" t="str">
        <v>PSF-00438_20251211142001_b28</v>
      </c>
      <c r="X20" t="str">
        <v>0.000000</v>
      </c>
      <c r="Y20" t="str">
        <v>0.000000</v>
      </c>
      <c r="Z20" t="str">
        <v>0.000000</v>
      </c>
      <c r="AA20" t="str">
        <v>92.007637</v>
      </c>
      <c r="AB20" t="str">
        <v>105.738403</v>
      </c>
      <c r="AC20" t="str">
        <v>0.129856</v>
      </c>
      <c r="AD20" t="str">
        <v>0.5</v>
      </c>
      <c r="AE20" t="str">
        <v>0.80</v>
      </c>
      <c r="AF20" t="str">
        <f>AC20*AD20*AE20*AQ20</f>
        <v>9.992446</v>
      </c>
      <c r="AG20" t="str">
        <v>1.000000</v>
      </c>
      <c r="AH20" t="str">
        <v>26.50</v>
      </c>
      <c r="AI20" t="str">
        <v>26.39</v>
      </c>
      <c r="AJ20" t="str">
        <v>23.51</v>
      </c>
      <c r="AK20" t="str">
        <v>21.96</v>
      </c>
      <c r="AL20" t="str">
        <f>(AK20-AJ20)*(AJ20*0+0)+AK20</f>
        <v>21.96</v>
      </c>
      <c r="AM20" t="str">
        <v>89.97</v>
      </c>
      <c r="AN20" t="str">
        <v>156.8</v>
      </c>
      <c r="AO20" t="str">
        <v>156.4</v>
      </c>
      <c r="AP20" t="str">
        <v>0.2</v>
      </c>
      <c r="AQ20" t="str">
        <v>192</v>
      </c>
      <c r="AR20" t="str">
        <v>4.038</v>
      </c>
      <c r="AS20" t="str">
        <v>14:12:23</v>
      </c>
      <c r="AT20" t="str">
        <v>2025-12-11</v>
      </c>
      <c r="AU20" t="str">
        <v>-0.07</v>
      </c>
      <c r="AV20" t="str">
        <v>1</v>
      </c>
      <c r="AW20" t="str">
        <v>-0.000</v>
      </c>
      <c r="AX20" t="str">
        <v>-0.001</v>
      </c>
      <c r="AY20" t="str">
        <v>-9999.000</v>
      </c>
      <c r="AZ20" t="str">
        <v>0.347</v>
      </c>
      <c r="BA20" t="str">
        <v>-0.003</v>
      </c>
      <c r="BB20" t="str">
        <v>-9999.000</v>
      </c>
      <c r="BC20" t="str">
        <v>1</v>
      </c>
      <c r="BD20" t="str">
        <v>150</v>
      </c>
      <c r="BE20" t="str">
        <v>0.005</v>
      </c>
      <c r="BF20" t="str">
        <v>2.000000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0</v>
      </c>
      <c r="BO20" t="str">
        <v>mpf</v>
      </c>
      <c r="BP20" t="str">
        <v>7000</v>
      </c>
      <c r="BQ20" t="str">
        <v>500</v>
      </c>
      <c r="BR20" t="str">
        <v>5.000000</v>
      </c>
      <c r="BS20" t="str">
        <v>2.000000</v>
      </c>
      <c r="BT20" t="str">
        <v>300</v>
      </c>
      <c r="BU20" t="str">
        <v>300</v>
      </c>
      <c r="BV20" t="str">
        <v>300</v>
      </c>
      <c r="BW20" t="str">
        <v>105.738403</v>
      </c>
      <c r="BX20" t="str">
        <v>25</v>
      </c>
      <c r="BY20" t="str">
        <v>0.531290</v>
      </c>
      <c r="BZ20" t="str">
        <v>105.836746</v>
      </c>
      <c r="CA20" t="str">
        <v>106.497879</v>
      </c>
      <c r="CB20" t="str">
        <v>-0.661133</v>
      </c>
      <c r="CC20" t="str">
        <v>2.434849</v>
      </c>
      <c r="CD20" t="str">
        <v>2.449049</v>
      </c>
      <c r="CE20" t="str">
        <v>1.656034</v>
      </c>
      <c r="CF20" t="str">
        <v>0.937405</v>
      </c>
      <c r="CG20" t="str">
        <v>0.289404</v>
      </c>
      <c r="CH20" t="str">
        <v>-0.016758</v>
      </c>
      <c r="CI20" t="str">
        <v>0.211472</v>
      </c>
      <c r="CJ20" t="str">
        <v>0.280356</v>
      </c>
      <c r="CK20" t="str">
        <v>92.007637</v>
      </c>
      <c r="CL20" t="str">
        <v>0.000239</v>
      </c>
      <c r="CM20" t="str">
        <v>2.388960</v>
      </c>
      <c r="CN20" t="str">
        <v>-0.000025</v>
      </c>
      <c r="CO20" t="str">
        <v>1.000000</v>
      </c>
      <c r="CP20" t="str">
        <v>2.402765</v>
      </c>
      <c r="CQ20" t="str">
        <v>-0.000034</v>
      </c>
      <c r="CR20" t="str">
        <v>1.000000</v>
      </c>
      <c r="CS20" t="str">
        <v>0.600816</v>
      </c>
      <c r="CT20" t="str">
        <v>0.600971</v>
      </c>
      <c r="CU20" t="str">
        <v>0.107301</v>
      </c>
      <c r="CV20" t="str">
        <v>0.000000</v>
      </c>
      <c r="CW20" t="str">
        <v>PSF-00438_20251211142001_b28</v>
      </c>
      <c r="CX20" t="str">
        <v>PFA-00474</v>
      </c>
      <c r="CY20" t="str">
        <v>PSA-00486</v>
      </c>
      <c r="CZ20" t="str">
        <v>PSF-00438</v>
      </c>
      <c r="DA20" t="str">
        <v>RHS-00603</v>
      </c>
      <c r="DB20" t="str">
        <v>3.0.0</v>
      </c>
      <c r="DC20" t="str">
        <v>2025-12-11T16:13:02.852Z</v>
      </c>
    </row>
    <row r="21">
      <c r="A21" t="str">
        <v>18</v>
      </c>
      <c r="B21" t="str">
        <v>14:20:18</v>
      </c>
      <c r="C21" t="str">
        <v>2025-12-11</v>
      </c>
      <c r="D21" t="str">
        <v>TT25_psf</v>
      </c>
      <c r="E21" t="str">
        <v>eap</v>
      </c>
      <c r="F21" t="str">
        <v/>
      </c>
      <c r="G21" t="str">
        <v>3371_Tri_blue</v>
      </c>
      <c r="H21" t="str">
        <v/>
      </c>
      <c r="I21" t="str">
        <v/>
      </c>
      <c r="J21" t="str">
        <f>1/((1/L21)-(1/K21))</f>
        <v>0.003020</v>
      </c>
      <c r="K21" t="str">
        <f>BH21+(BI21*AN21)+(BJ21*AN21*POWER(V21,2))+(BK21*AN21*V21)+(BL21*POWER(AN21,2))</f>
        <v>2.919917</v>
      </c>
      <c r="L21" t="str">
        <f>((M21/1000)*(1000-((T21+S21)/2)))/(T21-S21)</f>
        <v>0.003017</v>
      </c>
      <c r="M21" t="str">
        <f>(AN21*(S21-R21))/(100*U21*(1000-S21))*1000</f>
        <v>0.060913</v>
      </c>
      <c r="N21" t="str">
        <v>0.766907</v>
      </c>
      <c r="O21" t="str">
        <v>0.765373</v>
      </c>
      <c r="P21" t="str">
        <f>0.61365*EXP((17.502*AL21)/(240.97+AL21))</f>
        <v>2.549747</v>
      </c>
      <c r="Q21" t="str">
        <f>P21-N21</f>
        <v>1.782839</v>
      </c>
      <c r="R21" t="str">
        <v>8.506866</v>
      </c>
      <c r="S21" t="str">
        <v>8.523916</v>
      </c>
      <c r="T21" t="str">
        <f>(P21/AM21)*1000</f>
        <v>28.339569</v>
      </c>
      <c r="U21" t="str">
        <f>V21*BG21</f>
        <v>0.441786</v>
      </c>
      <c r="V21" t="str">
        <v>7.500000</v>
      </c>
      <c r="W21" t="str">
        <v>PSF-00438_20251211142018_80d</v>
      </c>
      <c r="X21" t="str">
        <v>0.000000</v>
      </c>
      <c r="Y21" t="str">
        <v>0.000000</v>
      </c>
      <c r="Z21" t="str">
        <v>0.000000</v>
      </c>
      <c r="AA21" t="str">
        <v>121.303436</v>
      </c>
      <c r="AB21" t="str">
        <v>121.220749</v>
      </c>
      <c r="AC21" t="str">
        <v>-0.000682</v>
      </c>
      <c r="AD21" t="str">
        <v>0.5</v>
      </c>
      <c r="AE21" t="str">
        <v>0.80</v>
      </c>
      <c r="AF21" t="str">
        <f>AC21*AD21*AE21*AQ21</f>
        <v>-0.048968</v>
      </c>
      <c r="AG21" t="str">
        <v>1.000000</v>
      </c>
      <c r="AH21" t="str">
        <v>26.43</v>
      </c>
      <c r="AI21" t="str">
        <v>26.37</v>
      </c>
      <c r="AJ21" t="str">
        <v>23.48</v>
      </c>
      <c r="AK21" t="str">
        <v>21.35</v>
      </c>
      <c r="AL21" t="str">
        <f>(AK21-AJ21)*(AJ21*0+0)+AK21</f>
        <v>21.35</v>
      </c>
      <c r="AM21" t="str">
        <v>89.97</v>
      </c>
      <c r="AN21" t="str">
        <v>156.5</v>
      </c>
      <c r="AO21" t="str">
        <v>158.3</v>
      </c>
      <c r="AP21" t="str">
        <v>-1.2</v>
      </c>
      <c r="AQ21" t="str">
        <v>179</v>
      </c>
      <c r="AR21" t="str">
        <v>4.052</v>
      </c>
      <c r="AS21" t="str">
        <v>14:12:23</v>
      </c>
      <c r="AT21" t="str">
        <v>2025-12-11</v>
      </c>
      <c r="AU21" t="str">
        <v>-0.07</v>
      </c>
      <c r="AV21" t="str">
        <v>1</v>
      </c>
      <c r="AW21" t="str">
        <v>-0.000</v>
      </c>
      <c r="AX21" t="str">
        <v>-0.001</v>
      </c>
      <c r="AY21" t="str">
        <v>-9999.000</v>
      </c>
      <c r="AZ21" t="str">
        <v>0.028</v>
      </c>
      <c r="BA21" t="str">
        <v>0.096</v>
      </c>
      <c r="BB21" t="str">
        <v>-9999.000</v>
      </c>
      <c r="BC21" t="str">
        <v>1</v>
      </c>
      <c r="BD21" t="str">
        <v>150</v>
      </c>
      <c r="BE21" t="str">
        <v>0.005</v>
      </c>
      <c r="BF21" t="str">
        <v>2.000000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0</v>
      </c>
      <c r="BO21" t="str">
        <v>mpf</v>
      </c>
      <c r="BP21" t="str">
        <v>7000</v>
      </c>
      <c r="BQ21" t="str">
        <v>500</v>
      </c>
      <c r="BR21" t="str">
        <v>5.000000</v>
      </c>
      <c r="BS21" t="str">
        <v>2.000000</v>
      </c>
      <c r="BT21" t="str">
        <v>300</v>
      </c>
      <c r="BU21" t="str">
        <v>300</v>
      </c>
      <c r="BV21" t="str">
        <v>300</v>
      </c>
      <c r="BW21" t="str">
        <v>120.895744</v>
      </c>
      <c r="BX21" t="str">
        <v>25</v>
      </c>
      <c r="BY21" t="str">
        <v>-0.272480</v>
      </c>
      <c r="BZ21" t="str">
        <v>120.521667</v>
      </c>
      <c r="CA21" t="str">
        <v>120.831238</v>
      </c>
      <c r="CB21" t="str">
        <v>-0.309570</v>
      </c>
      <c r="CC21" t="str">
        <v>2.434829</v>
      </c>
      <c r="CD21" t="str">
        <v>2.448938</v>
      </c>
      <c r="CE21" t="str">
        <v>1.653628</v>
      </c>
      <c r="CF21" t="str">
        <v>0.942253</v>
      </c>
      <c r="CG21" t="str">
        <v>0.289842</v>
      </c>
      <c r="CH21" t="str">
        <v>-0.023106</v>
      </c>
      <c r="CI21" t="str">
        <v>0.213187</v>
      </c>
      <c r="CJ21" t="str">
        <v>0.268745</v>
      </c>
      <c r="CK21" t="str">
        <v>121.303436</v>
      </c>
      <c r="CL21" t="str">
        <v>0.000239</v>
      </c>
      <c r="CM21" t="str">
        <v>2.388960</v>
      </c>
      <c r="CN21" t="str">
        <v>-0.000025</v>
      </c>
      <c r="CO21" t="str">
        <v>1.000000</v>
      </c>
      <c r="CP21" t="str">
        <v>2.402765</v>
      </c>
      <c r="CQ21" t="str">
        <v>-0.000034</v>
      </c>
      <c r="CR21" t="str">
        <v>1.000000</v>
      </c>
      <c r="CS21" t="str">
        <v>0.600816</v>
      </c>
      <c r="CT21" t="str">
        <v>0.600971</v>
      </c>
      <c r="CU21" t="str">
        <v>0.107301</v>
      </c>
      <c r="CV21" t="str">
        <v>0.000000</v>
      </c>
      <c r="CW21" t="str">
        <v>PSF-00438_20251211142018_80d</v>
      </c>
      <c r="CX21" t="str">
        <v>PFA-00474</v>
      </c>
      <c r="CY21" t="str">
        <v>PSA-00486</v>
      </c>
      <c r="CZ21" t="str">
        <v>PSF-00438</v>
      </c>
      <c r="DA21" t="str">
        <v>RHS-00603</v>
      </c>
      <c r="DB21" t="str">
        <v>3.0.0</v>
      </c>
      <c r="DC21" t="str">
        <v>2025-12-11T16:13:02.852Z</v>
      </c>
    </row>
    <row r="22">
      <c r="A22" t="str">
        <v>19</v>
      </c>
      <c r="B22" t="str">
        <v>14:20:48</v>
      </c>
      <c r="C22" t="str">
        <v>2025-12-11</v>
      </c>
      <c r="D22" t="str">
        <v>TT25_psf</v>
      </c>
      <c r="E22" t="str">
        <v>eap</v>
      </c>
      <c r="F22" t="str">
        <v/>
      </c>
      <c r="G22" t="str">
        <v>3708_Tri_blue</v>
      </c>
      <c r="H22" t="str">
        <v/>
      </c>
      <c r="I22" t="str">
        <v/>
      </c>
      <c r="J22" t="str">
        <f>1/((1/L22)-(1/K22))</f>
        <v>0.035631</v>
      </c>
      <c r="K22" t="str">
        <f>BH22+(BI22*AN22)+(BJ22*AN22*POWER(V22,2))+(BK22*AN22*V22)+(BL22*POWER(AN22,2))</f>
        <v>2.921252</v>
      </c>
      <c r="L22" t="str">
        <f>((M22/1000)*(1000-((T22+S22)/2)))/(T22-S22)</f>
        <v>0.035202</v>
      </c>
      <c r="M22" t="str">
        <f>(AN22*(S22-R22))/(100*U22*(1000-S22))*1000</f>
        <v>0.708259</v>
      </c>
      <c r="N22" t="str">
        <v>0.830240</v>
      </c>
      <c r="O22" t="str">
        <v>0.812434</v>
      </c>
      <c r="P22" t="str">
        <f>0.61365*EXP((17.502*AL22)/(240.97+AL22))</f>
        <v>2.605837</v>
      </c>
      <c r="Q22" t="str">
        <f>P22-N22</f>
        <v>1.775597</v>
      </c>
      <c r="R22" t="str">
        <v>9.030210</v>
      </c>
      <c r="S22" t="str">
        <v>9.228117</v>
      </c>
      <c r="T22" t="str">
        <f>(P22/AM22)*1000</f>
        <v>28.963884</v>
      </c>
      <c r="U22" t="str">
        <f>V22*BG22</f>
        <v>0.441786</v>
      </c>
      <c r="V22" t="str">
        <v>7.500000</v>
      </c>
      <c r="W22" t="str">
        <v>PSF-00438_20251211142048_bee</v>
      </c>
      <c r="X22" t="str">
        <v>0.000000</v>
      </c>
      <c r="Y22" t="str">
        <v>0.000000</v>
      </c>
      <c r="Z22" t="str">
        <v>0.000000</v>
      </c>
      <c r="AA22" t="str">
        <v>100.406883</v>
      </c>
      <c r="AB22" t="str">
        <v>123.725655</v>
      </c>
      <c r="AC22" t="str">
        <v>0.188472</v>
      </c>
      <c r="AD22" t="str">
        <v>0.5</v>
      </c>
      <c r="AE22" t="str">
        <v>0.80</v>
      </c>
      <c r="AF22" t="str">
        <f>AC22*AD22*AE22*AQ22</f>
        <v>12.297442</v>
      </c>
      <c r="AG22" t="str">
        <v>1.000000</v>
      </c>
      <c r="AH22" t="str">
        <v>28.72</v>
      </c>
      <c r="AI22" t="str">
        <v>28.11</v>
      </c>
      <c r="AJ22" t="str">
        <v>23.41</v>
      </c>
      <c r="AK22" t="str">
        <v>21.70</v>
      </c>
      <c r="AL22" t="str">
        <f>(AK22-AJ22)*(AJ22*0+0)+AK22</f>
        <v>21.70</v>
      </c>
      <c r="AM22" t="str">
        <v>89.97</v>
      </c>
      <c r="AN22" t="str">
        <v>156.6</v>
      </c>
      <c r="AO22" t="str">
        <v>156.5</v>
      </c>
      <c r="AP22" t="str">
        <v>0.1</v>
      </c>
      <c r="AQ22" t="str">
        <v>163</v>
      </c>
      <c r="AR22" t="str">
        <v>4.052</v>
      </c>
      <c r="AS22" t="str">
        <v>14:12:23</v>
      </c>
      <c r="AT22" t="str">
        <v>2025-12-11</v>
      </c>
      <c r="AU22" t="str">
        <v>-0.07</v>
      </c>
      <c r="AV22" t="str">
        <v>1</v>
      </c>
      <c r="AW22" t="str">
        <v>-0.000</v>
      </c>
      <c r="AX22" t="str">
        <v>0.000</v>
      </c>
      <c r="AY22" t="str">
        <v>-9999.000</v>
      </c>
      <c r="AZ22" t="str">
        <v>0.510</v>
      </c>
      <c r="BA22" t="str">
        <v>0.410</v>
      </c>
      <c r="BB22" t="str">
        <v>-9999.000</v>
      </c>
      <c r="BC22" t="str">
        <v>1</v>
      </c>
      <c r="BD22" t="str">
        <v>150</v>
      </c>
      <c r="BE22" t="str">
        <v>0.005</v>
      </c>
      <c r="BF22" t="str">
        <v>2.000000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0</v>
      </c>
      <c r="BO22" t="str">
        <v>mpf</v>
      </c>
      <c r="BP22" t="str">
        <v>7000</v>
      </c>
      <c r="BQ22" t="str">
        <v>500</v>
      </c>
      <c r="BR22" t="str">
        <v>5.000000</v>
      </c>
      <c r="BS22" t="str">
        <v>2.000000</v>
      </c>
      <c r="BT22" t="str">
        <v>300</v>
      </c>
      <c r="BU22" t="str">
        <v>300</v>
      </c>
      <c r="BV22" t="str">
        <v>300</v>
      </c>
      <c r="BW22" t="str">
        <v>123.725655</v>
      </c>
      <c r="BX22" t="str">
        <v>25</v>
      </c>
      <c r="BY22" t="str">
        <v>0.585057</v>
      </c>
      <c r="BZ22" t="str">
        <v>124.168037</v>
      </c>
      <c r="CA22" t="str">
        <v>124.561989</v>
      </c>
      <c r="CB22" t="str">
        <v>-0.393951</v>
      </c>
      <c r="CC22" t="str">
        <v>2.437419</v>
      </c>
      <c r="CD22" t="str">
        <v>2.452387</v>
      </c>
      <c r="CE22" t="str">
        <v>1.655022</v>
      </c>
      <c r="CF22" t="str">
        <v>0.937448</v>
      </c>
      <c r="CG22" t="str">
        <v>0.290605</v>
      </c>
      <c r="CH22" t="str">
        <v>-0.018462</v>
      </c>
      <c r="CI22" t="str">
        <v>0.216451</v>
      </c>
      <c r="CJ22" t="str">
        <v>0.254039</v>
      </c>
      <c r="CK22" t="str">
        <v>100.406883</v>
      </c>
      <c r="CL22" t="str">
        <v>0.000239</v>
      </c>
      <c r="CM22" t="str">
        <v>2.388960</v>
      </c>
      <c r="CN22" t="str">
        <v>-0.000025</v>
      </c>
      <c r="CO22" t="str">
        <v>1.000000</v>
      </c>
      <c r="CP22" t="str">
        <v>2.402765</v>
      </c>
      <c r="CQ22" t="str">
        <v>-0.000034</v>
      </c>
      <c r="CR22" t="str">
        <v>1.000000</v>
      </c>
      <c r="CS22" t="str">
        <v>0.600816</v>
      </c>
      <c r="CT22" t="str">
        <v>0.600971</v>
      </c>
      <c r="CU22" t="str">
        <v>0.107301</v>
      </c>
      <c r="CV22" t="str">
        <v>0.000000</v>
      </c>
      <c r="CW22" t="str">
        <v>PSF-00438_20251211142048_bee</v>
      </c>
      <c r="CX22" t="str">
        <v>PFA-00474</v>
      </c>
      <c r="CY22" t="str">
        <v>PSA-00486</v>
      </c>
      <c r="CZ22" t="str">
        <v>PSF-00438</v>
      </c>
      <c r="DA22" t="str">
        <v>RHS-00603</v>
      </c>
      <c r="DB22" t="str">
        <v>3.0.0</v>
      </c>
      <c r="DC22" t="str">
        <v>2025-12-11T16:13:02.852Z</v>
      </c>
    </row>
    <row r="23">
      <c r="A23" t="str">
        <v>20</v>
      </c>
      <c r="B23" t="str">
        <v>14:21:05</v>
      </c>
      <c r="C23" t="str">
        <v>2025-12-11</v>
      </c>
      <c r="D23" t="str">
        <v>TT25_psf</v>
      </c>
      <c r="E23" t="str">
        <v>eap</v>
      </c>
      <c r="F23" t="str">
        <v/>
      </c>
      <c r="G23" t="str">
        <v>6558_Tri_blue</v>
      </c>
      <c r="H23" t="str">
        <v/>
      </c>
      <c r="I23" t="str">
        <v/>
      </c>
      <c r="J23" t="str">
        <f>1/((1/L23)-(1/K23))</f>
        <v>0.010905</v>
      </c>
      <c r="K23" t="str">
        <f>BH23+(BI23*AN23)+(BJ23*AN23*POWER(V23,2))+(BK23*AN23*V23)+(BL23*POWER(AN23,2))</f>
        <v>2.922515</v>
      </c>
      <c r="L23" t="str">
        <f>((M23/1000)*(1000-((T23+S23)/2)))/(T23-S23)</f>
        <v>0.010864</v>
      </c>
      <c r="M23" t="str">
        <f>(AN23*(S23-R23))/(100*U23*(1000-S23))*1000</f>
        <v>0.212565</v>
      </c>
      <c r="N23" t="str">
        <v>0.774837</v>
      </c>
      <c r="O23" t="str">
        <v>0.769495</v>
      </c>
      <c r="P23" t="str">
        <f>0.61365*EXP((17.502*AL23)/(240.97+AL23))</f>
        <v>2.502988</v>
      </c>
      <c r="Q23" t="str">
        <f>P23-N23</f>
        <v>1.728151</v>
      </c>
      <c r="R23" t="str">
        <v>8.553228</v>
      </c>
      <c r="S23" t="str">
        <v>8.612602</v>
      </c>
      <c r="T23" t="str">
        <f>(P23/AM23)*1000</f>
        <v>27.821648</v>
      </c>
      <c r="U23" t="str">
        <f>V23*BG23</f>
        <v>0.441786</v>
      </c>
      <c r="V23" t="str">
        <v>7.500000</v>
      </c>
      <c r="W23" t="str">
        <v>PSF-00438_20251211142105_cb5</v>
      </c>
      <c r="X23" t="str">
        <v>0.000000</v>
      </c>
      <c r="Y23" t="str">
        <v>0.000000</v>
      </c>
      <c r="Z23" t="str">
        <v>0.000000</v>
      </c>
      <c r="AA23" t="str">
        <v>96.548798</v>
      </c>
      <c r="AB23" t="str">
        <v>106.021988</v>
      </c>
      <c r="AC23" t="str">
        <v>0.089351</v>
      </c>
      <c r="AD23" t="str">
        <v>0.5</v>
      </c>
      <c r="AE23" t="str">
        <v>0.80</v>
      </c>
      <c r="AF23" t="str">
        <f>AC23*AD23*AE23*AQ23</f>
        <v>8.385973</v>
      </c>
      <c r="AG23" t="str">
        <v>1.000000</v>
      </c>
      <c r="AH23" t="str">
        <v>26.88</v>
      </c>
      <c r="AI23" t="str">
        <v>26.69</v>
      </c>
      <c r="AJ23" t="str">
        <v>23.37</v>
      </c>
      <c r="AK23" t="str">
        <v>21.05</v>
      </c>
      <c r="AL23" t="str">
        <f>(AK23-AJ23)*(AJ23*0+0)+AK23</f>
        <v>21.05</v>
      </c>
      <c r="AM23" t="str">
        <v>89.97</v>
      </c>
      <c r="AN23" t="str">
        <v>156.8</v>
      </c>
      <c r="AO23" t="str">
        <v>158.3</v>
      </c>
      <c r="AP23" t="str">
        <v>-1.0</v>
      </c>
      <c r="AQ23" t="str">
        <v>235</v>
      </c>
      <c r="AR23" t="str">
        <v>4.051</v>
      </c>
      <c r="AS23" t="str">
        <v>14:12:23</v>
      </c>
      <c r="AT23" t="str">
        <v>2025-12-11</v>
      </c>
      <c r="AU23" t="str">
        <v>-0.07</v>
      </c>
      <c r="AV23" t="str">
        <v>1</v>
      </c>
      <c r="AW23" t="str">
        <v>0.000</v>
      </c>
      <c r="AX23" t="str">
        <v>-0.001</v>
      </c>
      <c r="AY23" t="str">
        <v>-9999.000</v>
      </c>
      <c r="AZ23" t="str">
        <v>-1.055</v>
      </c>
      <c r="BA23" t="str">
        <v>0.165</v>
      </c>
      <c r="BB23" t="str">
        <v>-9999.000</v>
      </c>
      <c r="BC23" t="str">
        <v>1</v>
      </c>
      <c r="BD23" t="str">
        <v>150</v>
      </c>
      <c r="BE23" t="str">
        <v>0.005</v>
      </c>
      <c r="BF23" t="str">
        <v>2.000000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0</v>
      </c>
      <c r="BO23" t="str">
        <v>mpf</v>
      </c>
      <c r="BP23" t="str">
        <v>7000</v>
      </c>
      <c r="BQ23" t="str">
        <v>500</v>
      </c>
      <c r="BR23" t="str">
        <v>5.000000</v>
      </c>
      <c r="BS23" t="str">
        <v>2.000000</v>
      </c>
      <c r="BT23" t="str">
        <v>300</v>
      </c>
      <c r="BU23" t="str">
        <v>300</v>
      </c>
      <c r="BV23" t="str">
        <v>300</v>
      </c>
      <c r="BW23" t="str">
        <v>105.536339</v>
      </c>
      <c r="BX23" t="str">
        <v>25</v>
      </c>
      <c r="BY23" t="str">
        <v>-0.329892</v>
      </c>
      <c r="BZ23" t="str">
        <v>105.321411</v>
      </c>
      <c r="CA23" t="str">
        <v>105.550407</v>
      </c>
      <c r="CB23" t="str">
        <v>-0.228996</v>
      </c>
      <c r="CC23" t="str">
        <v>2.435321</v>
      </c>
      <c r="CD23" t="str">
        <v>2.449634</v>
      </c>
      <c r="CE23" t="str">
        <v>1.656345</v>
      </c>
      <c r="CF23" t="str">
        <v>0.942232</v>
      </c>
      <c r="CG23" t="str">
        <v>0.291112</v>
      </c>
      <c r="CH23" t="str">
        <v>-0.025180</v>
      </c>
      <c r="CI23" t="str">
        <v>0.218123</v>
      </c>
      <c r="CJ23" t="str">
        <v>0.318371</v>
      </c>
      <c r="CK23" t="str">
        <v>96.548798</v>
      </c>
      <c r="CL23" t="str">
        <v>0.000240</v>
      </c>
      <c r="CM23" t="str">
        <v>2.388960</v>
      </c>
      <c r="CN23" t="str">
        <v>-0.000025</v>
      </c>
      <c r="CO23" t="str">
        <v>1.000000</v>
      </c>
      <c r="CP23" t="str">
        <v>2.402765</v>
      </c>
      <c r="CQ23" t="str">
        <v>-0.000034</v>
      </c>
      <c r="CR23" t="str">
        <v>1.000000</v>
      </c>
      <c r="CS23" t="str">
        <v>0.600816</v>
      </c>
      <c r="CT23" t="str">
        <v>0.600971</v>
      </c>
      <c r="CU23" t="str">
        <v>0.107301</v>
      </c>
      <c r="CV23" t="str">
        <v>0.000000</v>
      </c>
      <c r="CW23" t="str">
        <v>PSF-00438_20251211142105_cb5</v>
      </c>
      <c r="CX23" t="str">
        <v>PFA-00474</v>
      </c>
      <c r="CY23" t="str">
        <v>PSA-00486</v>
      </c>
      <c r="CZ23" t="str">
        <v>PSF-00438</v>
      </c>
      <c r="DA23" t="str">
        <v>RHS-00603</v>
      </c>
      <c r="DB23" t="str">
        <v>3.0.0</v>
      </c>
      <c r="DC23" t="str">
        <v>2025-12-11T16:13:02.852Z</v>
      </c>
    </row>
    <row r="24">
      <c r="A24" t="str">
        <v>21</v>
      </c>
      <c r="B24" t="str">
        <v>14:21:29</v>
      </c>
      <c r="C24" t="str">
        <v>2025-12-11</v>
      </c>
      <c r="D24" t="str">
        <v>TT25_psf</v>
      </c>
      <c r="E24" t="str">
        <v>eap</v>
      </c>
      <c r="F24" t="str">
        <v/>
      </c>
      <c r="G24" t="str">
        <v>4505_Tri_blue</v>
      </c>
      <c r="H24" t="str">
        <v/>
      </c>
      <c r="I24" t="str">
        <v/>
      </c>
      <c r="J24" t="str">
        <f>1/((1/L24)-(1/K24))</f>
        <v>0.003492</v>
      </c>
      <c r="K24" t="str">
        <f>BH24+(BI24*AN24)+(BJ24*AN24*POWER(V24,2))+(BK24*AN24*V24)+(BL24*POWER(AN24,2))</f>
        <v>2.921936</v>
      </c>
      <c r="L24" t="str">
        <f>((M24/1000)*(1000-((T24+S24)/2)))/(T24-S24)</f>
        <v>0.003488</v>
      </c>
      <c r="M24" t="str">
        <f>(AN24*(S24-R24))/(100*U24*(1000-S24))*1000</f>
        <v>0.066636</v>
      </c>
      <c r="N24" t="str">
        <v>0.817198</v>
      </c>
      <c r="O24" t="str">
        <v>0.815524</v>
      </c>
      <c r="P24" t="str">
        <f>0.61365*EXP((17.502*AL24)/(240.97+AL24))</f>
        <v>2.504143</v>
      </c>
      <c r="Q24" t="str">
        <f>P24-N24</f>
        <v>1.686944</v>
      </c>
      <c r="R24" t="str">
        <v>9.064974</v>
      </c>
      <c r="S24" t="str">
        <v>9.083587</v>
      </c>
      <c r="T24" t="str">
        <f>(P24/AM24)*1000</f>
        <v>27.834862</v>
      </c>
      <c r="U24" t="str">
        <f>V24*BG24</f>
        <v>0.441786</v>
      </c>
      <c r="V24" t="str">
        <v>7.500000</v>
      </c>
      <c r="W24" t="str">
        <v>PSF-00438_20251211142129_f93</v>
      </c>
      <c r="X24" t="str">
        <v>0.000000</v>
      </c>
      <c r="Y24" t="str">
        <v>0.000000</v>
      </c>
      <c r="Z24" t="str">
        <v>0.000000</v>
      </c>
      <c r="AA24" t="str">
        <v>93.906281</v>
      </c>
      <c r="AB24" t="str">
        <v>96.279861</v>
      </c>
      <c r="AC24" t="str">
        <v>0.024653</v>
      </c>
      <c r="AD24" t="str">
        <v>0.5</v>
      </c>
      <c r="AE24" t="str">
        <v>0.80</v>
      </c>
      <c r="AF24" t="str">
        <f>AC24*AD24*AE24*AQ24</f>
        <v>2.390065</v>
      </c>
      <c r="AG24" t="str">
        <v>1.000000</v>
      </c>
      <c r="AH24" t="str">
        <v>28.46</v>
      </c>
      <c r="AI24" t="str">
        <v>28.40</v>
      </c>
      <c r="AJ24" t="str">
        <v>23.30</v>
      </c>
      <c r="AK24" t="str">
        <v>21.05</v>
      </c>
      <c r="AL24" t="str">
        <f>(AK24-AJ24)*(AJ24*0+0)+AK24</f>
        <v>21.05</v>
      </c>
      <c r="AM24" t="str">
        <v>89.96</v>
      </c>
      <c r="AN24" t="str">
        <v>156.7</v>
      </c>
      <c r="AO24" t="str">
        <v>158.1</v>
      </c>
      <c r="AP24" t="str">
        <v>-0.9</v>
      </c>
      <c r="AQ24" t="str">
        <v>242</v>
      </c>
      <c r="AR24" t="str">
        <v>4.046</v>
      </c>
      <c r="AS24" t="str">
        <v>14:12:23</v>
      </c>
      <c r="AT24" t="str">
        <v>2025-12-11</v>
      </c>
      <c r="AU24" t="str">
        <v>-0.07</v>
      </c>
      <c r="AV24" t="str">
        <v>1</v>
      </c>
      <c r="AW24" t="str">
        <v>0.000</v>
      </c>
      <c r="AX24" t="str">
        <v>0.001</v>
      </c>
      <c r="AY24" t="str">
        <v>-9999.000</v>
      </c>
      <c r="AZ24" t="str">
        <v>-2.260</v>
      </c>
      <c r="BA24" t="str">
        <v>1.271</v>
      </c>
      <c r="BB24" t="str">
        <v>-9999.000</v>
      </c>
      <c r="BC24" t="str">
        <v>1</v>
      </c>
      <c r="BD24" t="str">
        <v>150</v>
      </c>
      <c r="BE24" t="str">
        <v>0.005</v>
      </c>
      <c r="BF24" t="str">
        <v>2.000000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0</v>
      </c>
      <c r="BO24" t="str">
        <v>mpf</v>
      </c>
      <c r="BP24" t="str">
        <v>7000</v>
      </c>
      <c r="BQ24" t="str">
        <v>500</v>
      </c>
      <c r="BR24" t="str">
        <v>5.000000</v>
      </c>
      <c r="BS24" t="str">
        <v>2.000000</v>
      </c>
      <c r="BT24" t="str">
        <v>300</v>
      </c>
      <c r="BU24" t="str">
        <v>300</v>
      </c>
      <c r="BV24" t="str">
        <v>300</v>
      </c>
      <c r="BW24" t="str">
        <v>96.279861</v>
      </c>
      <c r="BX24" t="str">
        <v>25</v>
      </c>
      <c r="BY24" t="str">
        <v>0.103889</v>
      </c>
      <c r="BZ24" t="str">
        <v>96.161125</v>
      </c>
      <c r="CA24" t="str">
        <v>96.428368</v>
      </c>
      <c r="CB24" t="str">
        <v>-0.267242</v>
      </c>
      <c r="CC24" t="str">
        <v>2.437875</v>
      </c>
      <c r="CD24" t="str">
        <v>2.452018</v>
      </c>
      <c r="CE24" t="str">
        <v>1.655738</v>
      </c>
      <c r="CF24" t="str">
        <v>0.941754</v>
      </c>
      <c r="CG24" t="str">
        <v>0.291899</v>
      </c>
      <c r="CH24" t="str">
        <v>-0.024340</v>
      </c>
      <c r="CI24" t="str">
        <v>0.220587</v>
      </c>
      <c r="CJ24" t="str">
        <v>0.325330</v>
      </c>
      <c r="CK24" t="str">
        <v>93.906281</v>
      </c>
      <c r="CL24" t="str">
        <v>0.000240</v>
      </c>
      <c r="CM24" t="str">
        <v>2.388960</v>
      </c>
      <c r="CN24" t="str">
        <v>-0.000025</v>
      </c>
      <c r="CO24" t="str">
        <v>1.000000</v>
      </c>
      <c r="CP24" t="str">
        <v>2.402765</v>
      </c>
      <c r="CQ24" t="str">
        <v>-0.000034</v>
      </c>
      <c r="CR24" t="str">
        <v>1.000000</v>
      </c>
      <c r="CS24" t="str">
        <v>0.600816</v>
      </c>
      <c r="CT24" t="str">
        <v>0.600971</v>
      </c>
      <c r="CU24" t="str">
        <v>0.107301</v>
      </c>
      <c r="CV24" t="str">
        <v>0.000000</v>
      </c>
      <c r="CW24" t="str">
        <v>PSF-00438_20251211142129_f93</v>
      </c>
      <c r="CX24" t="str">
        <v>PFA-00474</v>
      </c>
      <c r="CY24" t="str">
        <v>PSA-00486</v>
      </c>
      <c r="CZ24" t="str">
        <v>PSF-00438</v>
      </c>
      <c r="DA24" t="str">
        <v>RHS-00603</v>
      </c>
      <c r="DB24" t="str">
        <v>3.0.0</v>
      </c>
      <c r="DC24" t="str">
        <v>2025-12-11T16:13:02.852Z</v>
      </c>
    </row>
    <row r="25">
      <c r="A25" t="str">
        <v>22</v>
      </c>
      <c r="B25" t="str">
        <v>14:21:45</v>
      </c>
      <c r="C25" t="str">
        <v>2025-12-11</v>
      </c>
      <c r="D25" t="str">
        <v>TT25_psf</v>
      </c>
      <c r="E25" t="str">
        <v>eap</v>
      </c>
      <c r="F25" t="str">
        <v/>
      </c>
      <c r="G25" t="str">
        <v>452_Tri_blue</v>
      </c>
      <c r="H25" t="str">
        <v/>
      </c>
      <c r="I25" t="str">
        <v/>
      </c>
      <c r="J25" t="str">
        <f>1/((1/L25)-(1/K25))</f>
        <v>0.006784</v>
      </c>
      <c r="K25" t="str">
        <f>BH25+(BI25*AN25)+(BJ25*AN25*POWER(V25,2))+(BK25*AN25*V25)+(BL25*POWER(AN25,2))</f>
        <v>2.922128</v>
      </c>
      <c r="L25" t="str">
        <f>((M25/1000)*(1000-((T25+S25)/2)))/(T25-S25)</f>
        <v>0.006768</v>
      </c>
      <c r="M25" t="str">
        <f>(AN25*(S25-R25))/(100*U25*(1000-S25))*1000</f>
        <v>0.122943</v>
      </c>
      <c r="N25" t="str">
        <v>0.808853</v>
      </c>
      <c r="O25" t="str">
        <v>0.805763</v>
      </c>
      <c r="P25" t="str">
        <f>0.61365*EXP((17.502*AL25)/(240.97+AL25))</f>
        <v>2.413752</v>
      </c>
      <c r="Q25" t="str">
        <f>P25-N25</f>
        <v>1.604899</v>
      </c>
      <c r="R25" t="str">
        <v>8.956710</v>
      </c>
      <c r="S25" t="str">
        <v>8.991048</v>
      </c>
      <c r="T25" t="str">
        <f>(P25/AM25)*1000</f>
        <v>26.830791</v>
      </c>
      <c r="U25" t="str">
        <f>V25*BG25</f>
        <v>0.441786</v>
      </c>
      <c r="V25" t="str">
        <v>7.500000</v>
      </c>
      <c r="W25" t="str">
        <v>PSF-00438_20251211142145_358</v>
      </c>
      <c r="X25" t="str">
        <v>0.000000</v>
      </c>
      <c r="Y25" t="str">
        <v>0.000000</v>
      </c>
      <c r="Z25" t="str">
        <v>0.000000</v>
      </c>
      <c r="AA25" t="str">
        <v>97.140671</v>
      </c>
      <c r="AB25" t="str">
        <v>113.056541</v>
      </c>
      <c r="AC25" t="str">
        <v>0.140778</v>
      </c>
      <c r="AD25" t="str">
        <v>0.5</v>
      </c>
      <c r="AE25" t="str">
        <v>0.80</v>
      </c>
      <c r="AF25" t="str">
        <f>AC25*AD25*AE25*AQ25</f>
        <v>9.559130</v>
      </c>
      <c r="AG25" t="str">
        <v>1.000000</v>
      </c>
      <c r="AH25" t="str">
        <v>28.25</v>
      </c>
      <c r="AI25" t="str">
        <v>28.15</v>
      </c>
      <c r="AJ25" t="str">
        <v>23.25</v>
      </c>
      <c r="AK25" t="str">
        <v>20.46</v>
      </c>
      <c r="AL25" t="str">
        <f>(AK25-AJ25)*(AJ25*0+0)+AK25</f>
        <v>20.46</v>
      </c>
      <c r="AM25" t="str">
        <v>89.96</v>
      </c>
      <c r="AN25" t="str">
        <v>156.8</v>
      </c>
      <c r="AO25" t="str">
        <v>158.4</v>
      </c>
      <c r="AP25" t="str">
        <v>-1.0</v>
      </c>
      <c r="AQ25" t="str">
        <v>170</v>
      </c>
      <c r="AR25" t="str">
        <v>4.050</v>
      </c>
      <c r="AS25" t="str">
        <v>14:12:23</v>
      </c>
      <c r="AT25" t="str">
        <v>2025-12-11</v>
      </c>
      <c r="AU25" t="str">
        <v>-0.07</v>
      </c>
      <c r="AV25" t="str">
        <v>1</v>
      </c>
      <c r="AW25" t="str">
        <v>-0.000</v>
      </c>
      <c r="AX25" t="str">
        <v>-0.001</v>
      </c>
      <c r="AY25" t="str">
        <v>-9999.000</v>
      </c>
      <c r="AZ25" t="str">
        <v>-1.500</v>
      </c>
      <c r="BA25" t="str">
        <v>1.410</v>
      </c>
      <c r="BB25" t="str">
        <v>-9999.000</v>
      </c>
      <c r="BC25" t="str">
        <v>1</v>
      </c>
      <c r="BD25" t="str">
        <v>150</v>
      </c>
      <c r="BE25" t="str">
        <v>0.005</v>
      </c>
      <c r="BF25" t="str">
        <v>2.000000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0</v>
      </c>
      <c r="BO25" t="str">
        <v>mpf</v>
      </c>
      <c r="BP25" t="str">
        <v>7000</v>
      </c>
      <c r="BQ25" t="str">
        <v>500</v>
      </c>
      <c r="BR25" t="str">
        <v>5.000000</v>
      </c>
      <c r="BS25" t="str">
        <v>2.000000</v>
      </c>
      <c r="BT25" t="str">
        <v>300</v>
      </c>
      <c r="BU25" t="str">
        <v>300</v>
      </c>
      <c r="BV25" t="str">
        <v>300</v>
      </c>
      <c r="BW25" t="str">
        <v>113.056541</v>
      </c>
      <c r="BX25" t="str">
        <v>25</v>
      </c>
      <c r="BY25" t="str">
        <v>0.157656</v>
      </c>
      <c r="BZ25" t="str">
        <v>112.965706</v>
      </c>
      <c r="CA25" t="str">
        <v>113.281906</v>
      </c>
      <c r="CB25" t="str">
        <v>-0.316200</v>
      </c>
      <c r="CC25" t="str">
        <v>2.437503</v>
      </c>
      <c r="CD25" t="str">
        <v>2.451716</v>
      </c>
      <c r="CE25" t="str">
        <v>1.655938</v>
      </c>
      <c r="CF25" t="str">
        <v>0.942357</v>
      </c>
      <c r="CG25" t="str">
        <v>0.292469</v>
      </c>
      <c r="CH25" t="str">
        <v>-0.030299</v>
      </c>
      <c r="CI25" t="str">
        <v>0.222191</v>
      </c>
      <c r="CJ25" t="str">
        <v>0.260008</v>
      </c>
      <c r="CK25" t="str">
        <v>97.140671</v>
      </c>
      <c r="CL25" t="str">
        <v>0.000236</v>
      </c>
      <c r="CM25" t="str">
        <v>2.388960</v>
      </c>
      <c r="CN25" t="str">
        <v>-0.000025</v>
      </c>
      <c r="CO25" t="str">
        <v>1.000000</v>
      </c>
      <c r="CP25" t="str">
        <v>2.402765</v>
      </c>
      <c r="CQ25" t="str">
        <v>-0.000034</v>
      </c>
      <c r="CR25" t="str">
        <v>1.000000</v>
      </c>
      <c r="CS25" t="str">
        <v>0.600816</v>
      </c>
      <c r="CT25" t="str">
        <v>0.600971</v>
      </c>
      <c r="CU25" t="str">
        <v>0.107301</v>
      </c>
      <c r="CV25" t="str">
        <v>0.000000</v>
      </c>
      <c r="CW25" t="str">
        <v>PSF-00438_20251211142145_358</v>
      </c>
      <c r="CX25" t="str">
        <v>PFA-00474</v>
      </c>
      <c r="CY25" t="str">
        <v>PSA-00486</v>
      </c>
      <c r="CZ25" t="str">
        <v>PSF-00438</v>
      </c>
      <c r="DA25" t="str">
        <v>RHS-00603</v>
      </c>
      <c r="DB25" t="str">
        <v>3.0.0</v>
      </c>
      <c r="DC25" t="str">
        <v>2025-12-11T16:13:02.852Z</v>
      </c>
    </row>
    <row r="26">
      <c r="A26" t="str">
        <v>23</v>
      </c>
      <c r="B26" t="str">
        <v>14:22:09</v>
      </c>
      <c r="C26" t="str">
        <v>2025-12-11</v>
      </c>
      <c r="D26" t="str">
        <v>TT25_psf</v>
      </c>
      <c r="E26" t="str">
        <v>eap</v>
      </c>
      <c r="F26" t="str">
        <v/>
      </c>
      <c r="G26" t="str">
        <v>5771_Tri_blue</v>
      </c>
      <c r="H26" t="str">
        <v/>
      </c>
      <c r="I26" t="str">
        <v/>
      </c>
      <c r="J26" t="str">
        <f>1/((1/L26)-(1/K26))</f>
        <v>0.009041</v>
      </c>
      <c r="K26" t="str">
        <f>BH26+(BI26*AN26)+(BJ26*AN26*POWER(V26,2))+(BK26*AN26*V26)+(BL26*POWER(AN26,2))</f>
        <v>2.922817</v>
      </c>
      <c r="L26" t="str">
        <f>((M26/1000)*(1000-((T26+S26)/2)))/(T26-S26)</f>
        <v>0.009013</v>
      </c>
      <c r="M26" t="str">
        <f>(AN26*(S26-R26))/(100*U26*(1000-S26))*1000</f>
        <v>0.177869</v>
      </c>
      <c r="N26" t="str">
        <v>0.780523</v>
      </c>
      <c r="O26" t="str">
        <v>0.776055</v>
      </c>
      <c r="P26" t="str">
        <f>0.61365*EXP((17.502*AL26)/(240.97+AL26))</f>
        <v>2.523285</v>
      </c>
      <c r="Q26" t="str">
        <f>P26-N26</f>
        <v>1.742761</v>
      </c>
      <c r="R26" t="str">
        <v>8.626479</v>
      </c>
      <c r="S26" t="str">
        <v>8.676147</v>
      </c>
      <c r="T26" t="str">
        <f>(P26/AM26)*1000</f>
        <v>28.048340</v>
      </c>
      <c r="U26" t="str">
        <f>V26*BG26</f>
        <v>0.441786</v>
      </c>
      <c r="V26" t="str">
        <v>7.500000</v>
      </c>
      <c r="W26" t="str">
        <v>PSF-00438_20251211142209_ebe</v>
      </c>
      <c r="X26" t="str">
        <v>0.000000</v>
      </c>
      <c r="Y26" t="str">
        <v>0.000000</v>
      </c>
      <c r="Z26" t="str">
        <v>0.000000</v>
      </c>
      <c r="AA26" t="str">
        <v>94.935181</v>
      </c>
      <c r="AB26" t="str">
        <v>120.451538</v>
      </c>
      <c r="AC26" t="str">
        <v>0.211839</v>
      </c>
      <c r="AD26" t="str">
        <v>0.5</v>
      </c>
      <c r="AE26" t="str">
        <v>0.80</v>
      </c>
      <c r="AF26" t="str">
        <f>AC26*AD26*AE26*AQ26</f>
        <v>13.787745</v>
      </c>
      <c r="AG26" t="str">
        <v>1.000000</v>
      </c>
      <c r="AH26" t="str">
        <v>27.38</v>
      </c>
      <c r="AI26" t="str">
        <v>27.22</v>
      </c>
      <c r="AJ26" t="str">
        <v>23.18</v>
      </c>
      <c r="AK26" t="str">
        <v>21.18</v>
      </c>
      <c r="AL26" t="str">
        <f>(AK26-AJ26)*(AJ26*0+0)+AK26</f>
        <v>21.18</v>
      </c>
      <c r="AM26" t="str">
        <v>89.96</v>
      </c>
      <c r="AN26" t="str">
        <v>156.8</v>
      </c>
      <c r="AO26" t="str">
        <v>158.4</v>
      </c>
      <c r="AP26" t="str">
        <v>-1.0</v>
      </c>
      <c r="AQ26" t="str">
        <v>163</v>
      </c>
      <c r="AR26" t="str">
        <v>4.050</v>
      </c>
      <c r="AS26" t="str">
        <v>14:12:23</v>
      </c>
      <c r="AT26" t="str">
        <v>2025-12-11</v>
      </c>
      <c r="AU26" t="str">
        <v>-0.07</v>
      </c>
      <c r="AV26" t="str">
        <v>1</v>
      </c>
      <c r="AW26" t="str">
        <v>-0.000</v>
      </c>
      <c r="AX26" t="str">
        <v>-0.003</v>
      </c>
      <c r="AY26" t="str">
        <v>-9999.000</v>
      </c>
      <c r="AZ26" t="str">
        <v>-0.027</v>
      </c>
      <c r="BA26" t="str">
        <v>0.397</v>
      </c>
      <c r="BB26" t="str">
        <v>-9999.000</v>
      </c>
      <c r="BC26" t="str">
        <v>1</v>
      </c>
      <c r="BD26" t="str">
        <v>150</v>
      </c>
      <c r="BE26" t="str">
        <v>0.005</v>
      </c>
      <c r="BF26" t="str">
        <v>2.000000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0</v>
      </c>
      <c r="BO26" t="str">
        <v>mpf</v>
      </c>
      <c r="BP26" t="str">
        <v>7000</v>
      </c>
      <c r="BQ26" t="str">
        <v>500</v>
      </c>
      <c r="BR26" t="str">
        <v>5.000000</v>
      </c>
      <c r="BS26" t="str">
        <v>2.000000</v>
      </c>
      <c r="BT26" t="str">
        <v>300</v>
      </c>
      <c r="BU26" t="str">
        <v>300</v>
      </c>
      <c r="BV26" t="str">
        <v>300</v>
      </c>
      <c r="BW26" t="str">
        <v>120.125412</v>
      </c>
      <c r="BX26" t="str">
        <v>25</v>
      </c>
      <c r="BY26" t="str">
        <v>-0.226915</v>
      </c>
      <c r="BZ26" t="str">
        <v>120.071770</v>
      </c>
      <c r="CA26" t="str">
        <v>120.127167</v>
      </c>
      <c r="CB26" t="str">
        <v>-0.055397</v>
      </c>
      <c r="CC26" t="str">
        <v>2.436140</v>
      </c>
      <c r="CD26" t="str">
        <v>2.450417</v>
      </c>
      <c r="CE26" t="str">
        <v>1.656661</v>
      </c>
      <c r="CF26" t="str">
        <v>0.942286</v>
      </c>
      <c r="CG26" t="str">
        <v>0.293275</v>
      </c>
      <c r="CH26" t="str">
        <v>-0.021666</v>
      </c>
      <c r="CI26" t="str">
        <v>0.224595</v>
      </c>
      <c r="CJ26" t="str">
        <v>0.253674</v>
      </c>
      <c r="CK26" t="str">
        <v>94.935181</v>
      </c>
      <c r="CL26" t="str">
        <v>0.000239</v>
      </c>
      <c r="CM26" t="str">
        <v>2.388960</v>
      </c>
      <c r="CN26" t="str">
        <v>-0.000025</v>
      </c>
      <c r="CO26" t="str">
        <v>1.000000</v>
      </c>
      <c r="CP26" t="str">
        <v>2.402765</v>
      </c>
      <c r="CQ26" t="str">
        <v>-0.000034</v>
      </c>
      <c r="CR26" t="str">
        <v>1.000000</v>
      </c>
      <c r="CS26" t="str">
        <v>0.600816</v>
      </c>
      <c r="CT26" t="str">
        <v>0.600971</v>
      </c>
      <c r="CU26" t="str">
        <v>0.107301</v>
      </c>
      <c r="CV26" t="str">
        <v>0.000000</v>
      </c>
      <c r="CW26" t="str">
        <v>PSF-00438_20251211142209_ebe</v>
      </c>
      <c r="CX26" t="str">
        <v>PFA-00474</v>
      </c>
      <c r="CY26" t="str">
        <v>PSA-00486</v>
      </c>
      <c r="CZ26" t="str">
        <v>PSF-00438</v>
      </c>
      <c r="DA26" t="str">
        <v>RHS-00603</v>
      </c>
      <c r="DB26" t="str">
        <v>3.0.0</v>
      </c>
      <c r="DC26" t="str">
        <v>2025-12-11T16:13:02.852Z</v>
      </c>
    </row>
  </sheetData>
  <ignoredErrors>
    <ignoredError numberStoredAsText="1" sqref="A1:D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TT25_psf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