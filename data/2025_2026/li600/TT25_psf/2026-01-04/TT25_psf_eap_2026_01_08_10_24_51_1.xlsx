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25_p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36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13:57:38</v>
      </c>
      <c r="C4" t="str">
        <v>2026-01-04</v>
      </c>
      <c r="D4" t="str">
        <v>TT25_psf</v>
      </c>
      <c r="E4" t="str">
        <v>eap</v>
      </c>
      <c r="F4" t="str">
        <v/>
      </c>
      <c r="G4" t="str">
        <v>TT24_110_mai_pink</v>
      </c>
      <c r="H4" t="str">
        <v/>
      </c>
      <c r="I4" t="str">
        <v/>
      </c>
      <c r="J4" t="str">
        <f>1/((1/L4)-(1/K4))</f>
        <v>0.015105</v>
      </c>
      <c r="K4" t="str">
        <f>BH4+(BI4*AN4)+(BJ4*AN4*POWER(V4,2))+(BK4*AN4*V4)+(BL4*POWER(AN4,2))</f>
        <v>2.921372</v>
      </c>
      <c r="L4" t="str">
        <f>((M4/1000)*(1000-((T4+S4)/2)))/(T4-S4)</f>
        <v>0.015027</v>
      </c>
      <c r="M4" t="str">
        <f>(AN4*(S4-R4))/(100*U4*(1000-S4))*1000</f>
        <v>0.295117</v>
      </c>
      <c r="N4" t="str">
        <v>0.885902</v>
      </c>
      <c r="O4" t="str">
        <v>0.878460</v>
      </c>
      <c r="P4" t="str">
        <f>0.61365*EXP((17.502*AL4)/(240.97+AL4))</f>
        <v>2.624969</v>
      </c>
      <c r="Q4" t="str">
        <f>P4-N4</f>
        <v>1.739068</v>
      </c>
      <c r="R4" t="str">
        <v>9.727618</v>
      </c>
      <c r="S4" t="str">
        <v>9.810026</v>
      </c>
      <c r="T4" t="str">
        <f>(P4/AM4)*1000</f>
        <v>29.067579</v>
      </c>
      <c r="U4" t="str">
        <f>V4*BG4</f>
        <v>0.441786</v>
      </c>
      <c r="V4" t="str">
        <v>7.500000</v>
      </c>
      <c r="W4" t="str">
        <v>PSF-00438_20260104135738_d99</v>
      </c>
      <c r="X4" t="str">
        <v>0.000000</v>
      </c>
      <c r="Y4" t="str">
        <v>0.000000</v>
      </c>
      <c r="Z4" t="str">
        <v>0.000000</v>
      </c>
      <c r="AA4" t="str">
        <v>112.203957</v>
      </c>
      <c r="AB4" t="str">
        <v>181.719513</v>
      </c>
      <c r="AC4" t="str">
        <v>0.382543</v>
      </c>
      <c r="AD4" t="str">
        <v>0.5</v>
      </c>
      <c r="AE4" t="str">
        <v>0.80</v>
      </c>
      <c r="AF4" t="str">
        <f>AC4*AD4*AE4*AQ4</f>
        <v>20.574413</v>
      </c>
      <c r="AG4" t="str">
        <v>1.000000</v>
      </c>
      <c r="AH4" t="str">
        <v>31.17</v>
      </c>
      <c r="AI4" t="str">
        <v>30.90</v>
      </c>
      <c r="AJ4" t="str">
        <v>23.13</v>
      </c>
      <c r="AK4" t="str">
        <v>21.82</v>
      </c>
      <c r="AL4" t="str">
        <f>(AK4-AJ4)*(AJ4*0+0)+AK4</f>
        <v>21.82</v>
      </c>
      <c r="AM4" t="str">
        <v>90.31</v>
      </c>
      <c r="AN4" t="str">
        <v>156.7</v>
      </c>
      <c r="AO4" t="str">
        <v>158.4</v>
      </c>
      <c r="AP4" t="str">
        <v>-1.1</v>
      </c>
      <c r="AQ4" t="str">
        <v>134</v>
      </c>
      <c r="AR4" t="str">
        <v>4.020</v>
      </c>
      <c r="AS4" t="str">
        <v>13:57:20</v>
      </c>
      <c r="AT4" t="str">
        <v>2026-01-04</v>
      </c>
      <c r="AU4" t="str">
        <v>-0.17</v>
      </c>
      <c r="AV4" t="str">
        <v>1</v>
      </c>
      <c r="AW4" t="str">
        <v>0.001</v>
      </c>
      <c r="AX4" t="str">
        <v>-0.001</v>
      </c>
      <c r="AY4" t="str">
        <v>-9999.000</v>
      </c>
      <c r="AZ4" t="str">
        <v>0.232</v>
      </c>
      <c r="BA4" t="str">
        <v>0.565</v>
      </c>
      <c r="BB4" t="str">
        <v>-9999.000</v>
      </c>
      <c r="BC4" t="str">
        <v>1</v>
      </c>
      <c r="BD4" t="str">
        <v>150</v>
      </c>
      <c r="BE4" t="str">
        <v>0.005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179.623596</v>
      </c>
      <c r="BX4" t="str">
        <v>25</v>
      </c>
      <c r="BY4" t="str">
        <v>-1.419812</v>
      </c>
      <c r="BZ4" t="str">
        <v>179.799194</v>
      </c>
      <c r="CA4" t="str">
        <v>179.689911</v>
      </c>
      <c r="CB4" t="str">
        <v>0.109283</v>
      </c>
      <c r="CC4" t="str">
        <v>2.441565</v>
      </c>
      <c r="CD4" t="str">
        <v>2.456169</v>
      </c>
      <c r="CE4" t="str">
        <v>1.655147</v>
      </c>
      <c r="CF4" t="str">
        <v>0.942466</v>
      </c>
      <c r="CG4" t="str">
        <v>0.293846</v>
      </c>
      <c r="CH4" t="str">
        <v>-0.014029</v>
      </c>
      <c r="CI4" t="str">
        <v>0.049453</v>
      </c>
      <c r="CJ4" t="str">
        <v>0.228255</v>
      </c>
      <c r="CK4" t="str">
        <v>112.203957</v>
      </c>
      <c r="CL4" t="str">
        <v>0.000237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PSF-00438_20260104135738_d99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2025-12-11T16:13:02.852Z</v>
      </c>
    </row>
    <row r="5">
      <c r="A5" t="str">
        <v>2</v>
      </c>
      <c r="B5" t="str">
        <v>13:58:10</v>
      </c>
      <c r="C5" t="str">
        <v>2026-01-04</v>
      </c>
      <c r="D5" t="str">
        <v>TT25_psf</v>
      </c>
      <c r="E5" t="str">
        <v>eap</v>
      </c>
      <c r="F5" t="str">
        <v/>
      </c>
      <c r="G5" t="str">
        <v>2608_mai_pink</v>
      </c>
      <c r="H5" t="str">
        <v/>
      </c>
      <c r="I5" t="str">
        <v/>
      </c>
      <c r="J5" t="str">
        <f>1/((1/L5)-(1/K5))</f>
        <v>0.015743</v>
      </c>
      <c r="K5" t="str">
        <f>BH5+(BI5*AN5)+(BJ5*AN5*POWER(V5,2))+(BK5*AN5*V5)+(BL5*POWER(AN5,2))</f>
        <v>2.922821</v>
      </c>
      <c r="L5" t="str">
        <f>((M5/1000)*(1000-((T5+S5)/2)))/(T5-S5)</f>
        <v>0.015659</v>
      </c>
      <c r="M5" t="str">
        <f>(AN5*(S5-R5))/(100*U5*(1000-S5))*1000</f>
        <v>0.311354</v>
      </c>
      <c r="N5" t="str">
        <v>0.924149</v>
      </c>
      <c r="O5" t="str">
        <v>0.916312</v>
      </c>
      <c r="P5" t="str">
        <f>0.61365*EXP((17.502*AL5)/(240.97+AL5))</f>
        <v>2.683492</v>
      </c>
      <c r="Q5" t="str">
        <f>P5-N5</f>
        <v>1.759343</v>
      </c>
      <c r="R5" t="str">
        <v>10.148991</v>
      </c>
      <c r="S5" t="str">
        <v>10.235795</v>
      </c>
      <c r="T5" t="str">
        <f>(P5/AM5)*1000</f>
        <v>29.722126</v>
      </c>
      <c r="U5" t="str">
        <f>V5*BG5</f>
        <v>0.441786</v>
      </c>
      <c r="V5" t="str">
        <v>7.500000</v>
      </c>
      <c r="W5" t="str">
        <v>PSF-00438_20260104135810_8d5</v>
      </c>
      <c r="X5" t="str">
        <v>0.000000</v>
      </c>
      <c r="Y5" t="str">
        <v>0.000000</v>
      </c>
      <c r="Z5" t="str">
        <v>0.000000</v>
      </c>
      <c r="AA5" t="str">
        <v>221.961029</v>
      </c>
      <c r="AB5" t="str">
        <v>278.463928</v>
      </c>
      <c r="AC5" t="str">
        <v>0.202909</v>
      </c>
      <c r="AD5" t="str">
        <v>0.5</v>
      </c>
      <c r="AE5" t="str">
        <v>0.80</v>
      </c>
      <c r="AF5" t="str">
        <f>AC5*AD5*AE5*AQ5</f>
        <v>18.197397</v>
      </c>
      <c r="AG5" t="str">
        <v>1.000000</v>
      </c>
      <c r="AH5" t="str">
        <v>32.56</v>
      </c>
      <c r="AI5" t="str">
        <v>32.29</v>
      </c>
      <c r="AJ5" t="str">
        <v>23.11</v>
      </c>
      <c r="AK5" t="str">
        <v>22.18</v>
      </c>
      <c r="AL5" t="str">
        <f>(AK5-AJ5)*(AJ5*0+0)+AK5</f>
        <v>22.18</v>
      </c>
      <c r="AM5" t="str">
        <v>90.29</v>
      </c>
      <c r="AN5" t="str">
        <v>156.8</v>
      </c>
      <c r="AO5" t="str">
        <v>153.3</v>
      </c>
      <c r="AP5" t="str">
        <v>2.3</v>
      </c>
      <c r="AQ5" t="str">
        <v>224</v>
      </c>
      <c r="AR5" t="str">
        <v>4.019</v>
      </c>
      <c r="AS5" t="str">
        <v>13:57:20</v>
      </c>
      <c r="AT5" t="str">
        <v>2026-01-04</v>
      </c>
      <c r="AU5" t="str">
        <v>-0.17</v>
      </c>
      <c r="AV5" t="str">
        <v>1</v>
      </c>
      <c r="AW5" t="str">
        <v>-0.000</v>
      </c>
      <c r="AX5" t="str">
        <v>-0.000</v>
      </c>
      <c r="AY5" t="str">
        <v>-9999.000</v>
      </c>
      <c r="AZ5" t="str">
        <v>0.162</v>
      </c>
      <c r="BA5" t="str">
        <v>0.520</v>
      </c>
      <c r="BB5" t="str">
        <v>-9999.000</v>
      </c>
      <c r="BC5" t="str">
        <v>1</v>
      </c>
      <c r="BD5" t="str">
        <v>150</v>
      </c>
      <c r="BE5" t="str">
        <v>0.005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276.173126</v>
      </c>
      <c r="BX5" t="str">
        <v>25</v>
      </c>
      <c r="BY5" t="str">
        <v>-1.771576</v>
      </c>
      <c r="BZ5" t="str">
        <v>274.499054</v>
      </c>
      <c r="CA5" t="str">
        <v>275.931488</v>
      </c>
      <c r="CB5" t="str">
        <v>-1.432434</v>
      </c>
      <c r="CC5" t="str">
        <v>2.443567</v>
      </c>
      <c r="CD5" t="str">
        <v>2.458205</v>
      </c>
      <c r="CE5" t="str">
        <v>1.656666</v>
      </c>
      <c r="CF5" t="str">
        <v>0.929367</v>
      </c>
      <c r="CG5" t="str">
        <v>0.294146</v>
      </c>
      <c r="CH5" t="str">
        <v>-0.009747</v>
      </c>
      <c r="CI5" t="str">
        <v>0.054592</v>
      </c>
      <c r="CJ5" t="str">
        <v>0.308990</v>
      </c>
      <c r="CK5" t="str">
        <v>221.961029</v>
      </c>
      <c r="CL5" t="str">
        <v>0.000236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PSF-00438_20260104135810_8d5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2025-12-11T16:13:02.852Z</v>
      </c>
    </row>
    <row r="6">
      <c r="A6" t="str">
        <v>3</v>
      </c>
      <c r="B6" t="str">
        <v>13:58:53</v>
      </c>
      <c r="C6" t="str">
        <v>2026-01-04</v>
      </c>
      <c r="D6" t="str">
        <v>TT25_psf</v>
      </c>
      <c r="E6" t="str">
        <v>eap</v>
      </c>
      <c r="F6" t="str">
        <v/>
      </c>
      <c r="G6" t="str">
        <v>TT24_101_mai_pink</v>
      </c>
      <c r="H6" t="str">
        <v/>
      </c>
      <c r="I6" t="str">
        <v/>
      </c>
      <c r="J6" t="str">
        <f>1/((1/L6)-(1/K6))</f>
        <v>0.017834</v>
      </c>
      <c r="K6" t="str">
        <f>BH6+(BI6*AN6)+(BJ6*AN6*POWER(V6,2))+(BK6*AN6*V6)+(BL6*POWER(AN6,2))</f>
        <v>2.921738</v>
      </c>
      <c r="L6" t="str">
        <f>((M6/1000)*(1000-((T6+S6)/2)))/(T6-S6)</f>
        <v>0.017726</v>
      </c>
      <c r="M6" t="str">
        <f>(AN6*(S6-R6))/(100*U6*(1000-S6))*1000</f>
        <v>0.338162</v>
      </c>
      <c r="N6" t="str">
        <v>0.980754</v>
      </c>
      <c r="O6" t="str">
        <v>0.972239</v>
      </c>
      <c r="P6" t="str">
        <f>0.61365*EXP((17.502*AL6)/(240.97+AL6))</f>
        <v>2.668560</v>
      </c>
      <c r="Q6" t="str">
        <f>P6-N6</f>
        <v>1.687806</v>
      </c>
      <c r="R6" t="str">
        <v>10.767368</v>
      </c>
      <c r="S6" t="str">
        <v>10.861668</v>
      </c>
      <c r="T6" t="str">
        <f>(P6/AM6)*1000</f>
        <v>29.553793</v>
      </c>
      <c r="U6" t="str">
        <f>V6*BG6</f>
        <v>0.441786</v>
      </c>
      <c r="V6" t="str">
        <v>7.500000</v>
      </c>
      <c r="W6" t="str">
        <v>PSF-00438_20260104135853_ca0</v>
      </c>
      <c r="X6" t="str">
        <v>0.000000</v>
      </c>
      <c r="Y6" t="str">
        <v>0.000000</v>
      </c>
      <c r="Z6" t="str">
        <v>0.000000</v>
      </c>
      <c r="AA6" t="str">
        <v>113.678101</v>
      </c>
      <c r="AB6" t="str">
        <v>155.260071</v>
      </c>
      <c r="AC6" t="str">
        <v>0.267821</v>
      </c>
      <c r="AD6" t="str">
        <v>0.5</v>
      </c>
      <c r="AE6" t="str">
        <v>0.80</v>
      </c>
      <c r="AF6" t="str">
        <f>AC6*AD6*AE6*AQ6</f>
        <v>12.875513</v>
      </c>
      <c r="AG6" t="str">
        <v>1.000000</v>
      </c>
      <c r="AH6" t="str">
        <v>34.68</v>
      </c>
      <c r="AI6" t="str">
        <v>34.38</v>
      </c>
      <c r="AJ6" t="str">
        <v>23.05</v>
      </c>
      <c r="AK6" t="str">
        <v>22.09</v>
      </c>
      <c r="AL6" t="str">
        <f>(AK6-AJ6)*(AJ6*0+0)+AK6</f>
        <v>22.09</v>
      </c>
      <c r="AM6" t="str">
        <v>90.29</v>
      </c>
      <c r="AN6" t="str">
        <v>156.7</v>
      </c>
      <c r="AO6" t="str">
        <v>158.6</v>
      </c>
      <c r="AP6" t="str">
        <v>-1.2</v>
      </c>
      <c r="AQ6" t="str">
        <v>120</v>
      </c>
      <c r="AR6" t="str">
        <v>4.018</v>
      </c>
      <c r="AS6" t="str">
        <v>13:57:20</v>
      </c>
      <c r="AT6" t="str">
        <v>2026-01-04</v>
      </c>
      <c r="AU6" t="str">
        <v>-0.17</v>
      </c>
      <c r="AV6" t="str">
        <v>1</v>
      </c>
      <c r="AW6" t="str">
        <v>-0.000</v>
      </c>
      <c r="AX6" t="str">
        <v>-0.000</v>
      </c>
      <c r="AY6" t="str">
        <v>-9999.000</v>
      </c>
      <c r="AZ6" t="str">
        <v>1.609</v>
      </c>
      <c r="BA6" t="str">
        <v>-1.603</v>
      </c>
      <c r="BB6" t="str">
        <v>-9999.000</v>
      </c>
      <c r="BC6" t="str">
        <v>1</v>
      </c>
      <c r="BD6" t="str">
        <v>150</v>
      </c>
      <c r="BE6" t="str">
        <v>0.005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155.211929</v>
      </c>
      <c r="BX6" t="str">
        <v>25</v>
      </c>
      <c r="BY6" t="str">
        <v>0.022783</v>
      </c>
      <c r="BZ6" t="str">
        <v>155.339600</v>
      </c>
      <c r="CA6" t="str">
        <v>155.292633</v>
      </c>
      <c r="CB6" t="str">
        <v>0.046967</v>
      </c>
      <c r="CC6" t="str">
        <v>2.446572</v>
      </c>
      <c r="CD6" t="str">
        <v>2.461266</v>
      </c>
      <c r="CE6" t="str">
        <v>1.655530</v>
      </c>
      <c r="CF6" t="str">
        <v>0.942887</v>
      </c>
      <c r="CG6" t="str">
        <v>0.294840</v>
      </c>
      <c r="CH6" t="str">
        <v>-0.010099</v>
      </c>
      <c r="CI6" t="str">
        <v>0.061214</v>
      </c>
      <c r="CJ6" t="str">
        <v>0.215418</v>
      </c>
      <c r="CK6" t="str">
        <v>113.678101</v>
      </c>
      <c r="CL6" t="str">
        <v>0.000239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PSF-00438_20260104135853_ca0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2025-12-11T16:13:02.852Z</v>
      </c>
    </row>
    <row r="7">
      <c r="A7" t="str">
        <v>4</v>
      </c>
      <c r="B7" t="str">
        <v>13:59:08</v>
      </c>
      <c r="C7" t="str">
        <v>2026-01-04</v>
      </c>
      <c r="D7" t="str">
        <v>TT25_psf</v>
      </c>
      <c r="E7" t="str">
        <v>eap</v>
      </c>
      <c r="F7" t="str">
        <v/>
      </c>
      <c r="G7" t="str">
        <v>TT24_110_mai_pink</v>
      </c>
      <c r="H7" t="str">
        <v/>
      </c>
      <c r="I7" t="str">
        <v/>
      </c>
      <c r="J7" t="str">
        <f>1/((1/L7)-(1/K7))</f>
        <v>0.017376</v>
      </c>
      <c r="K7" t="str">
        <f>BH7+(BI7*AN7)+(BJ7*AN7*POWER(V7,2))+(BK7*AN7*V7)+(BL7*POWER(AN7,2))</f>
        <v>2.920498</v>
      </c>
      <c r="L7" t="str">
        <f>((M7/1000)*(1000-((T7+S7)/2)))/(T7-S7)</f>
        <v>0.017273</v>
      </c>
      <c r="M7" t="str">
        <f>(AN7*(S7-R7))/(100*U7*(1000-S7))*1000</f>
        <v>0.317356</v>
      </c>
      <c r="N7" t="str">
        <v>0.961593</v>
      </c>
      <c r="O7" t="str">
        <v>0.953592</v>
      </c>
      <c r="P7" t="str">
        <f>0.61365*EXP((17.502*AL7)/(240.97+AL7))</f>
        <v>2.588074</v>
      </c>
      <c r="Q7" t="str">
        <f>P7-N7</f>
        <v>1.626481</v>
      </c>
      <c r="R7" t="str">
        <v>10.560031</v>
      </c>
      <c r="S7" t="str">
        <v>10.648634</v>
      </c>
      <c r="T7" t="str">
        <f>(P7/AM7)*1000</f>
        <v>28.660206</v>
      </c>
      <c r="U7" t="str">
        <f>V7*BG7</f>
        <v>0.441786</v>
      </c>
      <c r="V7" t="str">
        <v>7.500000</v>
      </c>
      <c r="W7" t="str">
        <v>PSF-00438_20260104135908_c3d</v>
      </c>
      <c r="X7" t="str">
        <v>0.000000</v>
      </c>
      <c r="Y7" t="str">
        <v>0.000000</v>
      </c>
      <c r="Z7" t="str">
        <v>0.000000</v>
      </c>
      <c r="AA7" t="str">
        <v>115.240929</v>
      </c>
      <c r="AB7" t="str">
        <v>156.143692</v>
      </c>
      <c r="AC7" t="str">
        <v>0.261956</v>
      </c>
      <c r="AD7" t="str">
        <v>0.5</v>
      </c>
      <c r="AE7" t="str">
        <v>0.80</v>
      </c>
      <c r="AF7" t="str">
        <f>AC7*AD7*AE7*AQ7</f>
        <v>13.572672</v>
      </c>
      <c r="AG7" t="str">
        <v>1.000000</v>
      </c>
      <c r="AH7" t="str">
        <v>34.05</v>
      </c>
      <c r="AI7" t="str">
        <v>33.76</v>
      </c>
      <c r="AJ7" t="str">
        <v>23.03</v>
      </c>
      <c r="AK7" t="str">
        <v>21.59</v>
      </c>
      <c r="AL7" t="str">
        <f>(AK7-AJ7)*(AJ7*0+0)+AK7</f>
        <v>21.59</v>
      </c>
      <c r="AM7" t="str">
        <v>90.30</v>
      </c>
      <c r="AN7" t="str">
        <v>156.6</v>
      </c>
      <c r="AO7" t="str">
        <v>158.3</v>
      </c>
      <c r="AP7" t="str">
        <v>-1.1</v>
      </c>
      <c r="AQ7" t="str">
        <v>130</v>
      </c>
      <c r="AR7" t="str">
        <v>4.017</v>
      </c>
      <c r="AS7" t="str">
        <v>13:57:20</v>
      </c>
      <c r="AT7" t="str">
        <v>2026-01-04</v>
      </c>
      <c r="AU7" t="str">
        <v>-0.17</v>
      </c>
      <c r="AV7" t="str">
        <v>1</v>
      </c>
      <c r="AW7" t="str">
        <v>0.000</v>
      </c>
      <c r="AX7" t="str">
        <v>-0.001</v>
      </c>
      <c r="AY7" t="str">
        <v>-9999.000</v>
      </c>
      <c r="AZ7" t="str">
        <v>0.097</v>
      </c>
      <c r="BA7" t="str">
        <v>0.150</v>
      </c>
      <c r="BB7" t="str">
        <v>-9999.000</v>
      </c>
      <c r="BC7" t="str">
        <v>1</v>
      </c>
      <c r="BD7" t="str">
        <v>150</v>
      </c>
      <c r="BE7" t="str">
        <v>0.005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155.750519</v>
      </c>
      <c r="BX7" t="str">
        <v>25</v>
      </c>
      <c r="BY7" t="str">
        <v>-0.221447</v>
      </c>
      <c r="BZ7" t="str">
        <v>155.956863</v>
      </c>
      <c r="CA7" t="str">
        <v>155.827133</v>
      </c>
      <c r="CB7" t="str">
        <v>0.129730</v>
      </c>
      <c r="CC7" t="str">
        <v>2.445702</v>
      </c>
      <c r="CD7" t="str">
        <v>2.460364</v>
      </c>
      <c r="CE7" t="str">
        <v>1.654234</v>
      </c>
      <c r="CF7" t="str">
        <v>0.942100</v>
      </c>
      <c r="CG7" t="str">
        <v>0.295103</v>
      </c>
      <c r="CH7" t="str">
        <v>-0.015383</v>
      </c>
      <c r="CI7" t="str">
        <v>0.063371</v>
      </c>
      <c r="CJ7" t="str">
        <v>0.223824</v>
      </c>
      <c r="CK7" t="str">
        <v>115.240929</v>
      </c>
      <c r="CL7" t="str">
        <v>0.000237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PSF-00438_20260104135908_c3d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2025-12-11T16:13:02.852Z</v>
      </c>
    </row>
    <row r="8">
      <c r="A8" t="str">
        <v>5</v>
      </c>
      <c r="B8" t="str">
        <v>13:59:25</v>
      </c>
      <c r="C8" t="str">
        <v>2026-01-04</v>
      </c>
      <c r="D8" t="str">
        <v>TT25_psf</v>
      </c>
      <c r="E8" t="str">
        <v>eap</v>
      </c>
      <c r="F8" t="str">
        <v/>
      </c>
      <c r="G8" t="str">
        <v>2265_mai_white</v>
      </c>
      <c r="H8" t="str">
        <v/>
      </c>
      <c r="I8" t="str">
        <v/>
      </c>
      <c r="J8" t="str">
        <f>1/((1/L8)-(1/K8))</f>
        <v>0.008490</v>
      </c>
      <c r="K8" t="str">
        <f>BH8+(BI8*AN8)+(BJ8*AN8*POWER(V8,2))+(BK8*AN8*V8)+(BL8*POWER(AN8,2))</f>
        <v>2.921947</v>
      </c>
      <c r="L8" t="str">
        <f>((M8/1000)*(1000-((T8+S8)/2)))/(T8-S8)</f>
        <v>0.008466</v>
      </c>
      <c r="M8" t="str">
        <f>(AN8*(S8-R8))/(100*U8*(1000-S8))*1000</f>
        <v>0.159620</v>
      </c>
      <c r="N8" t="str">
        <v>0.976515</v>
      </c>
      <c r="O8" t="str">
        <v>0.972497</v>
      </c>
      <c r="P8" t="str">
        <f>0.61365*EXP((17.502*AL8)/(240.97+AL8))</f>
        <v>2.644971</v>
      </c>
      <c r="Q8" t="str">
        <f>P8-N8</f>
        <v>1.668455</v>
      </c>
      <c r="R8" t="str">
        <v>10.769708</v>
      </c>
      <c r="S8" t="str">
        <v>10.814214</v>
      </c>
      <c r="T8" t="str">
        <f>(P8/AM8)*1000</f>
        <v>29.291170</v>
      </c>
      <c r="U8" t="str">
        <f>V8*BG8</f>
        <v>0.441786</v>
      </c>
      <c r="V8" t="str">
        <v>7.500000</v>
      </c>
      <c r="W8" t="str">
        <v>PSF-00438_20260104135925_17f</v>
      </c>
      <c r="X8" t="str">
        <v>0.000000</v>
      </c>
      <c r="Y8" t="str">
        <v>0.000000</v>
      </c>
      <c r="Z8" t="str">
        <v>0.000000</v>
      </c>
      <c r="AA8" t="str">
        <v>131.712921</v>
      </c>
      <c r="AB8" t="str">
        <v>151.756882</v>
      </c>
      <c r="AC8" t="str">
        <v>0.132079</v>
      </c>
      <c r="AD8" t="str">
        <v>0.5</v>
      </c>
      <c r="AE8" t="str">
        <v>0.80</v>
      </c>
      <c r="AF8" t="str">
        <f>AC8*AD8*AE8*AQ8</f>
        <v>8.422830</v>
      </c>
      <c r="AG8" t="str">
        <v>1.000000</v>
      </c>
      <c r="AH8" t="str">
        <v>34.63</v>
      </c>
      <c r="AI8" t="str">
        <v>34.49</v>
      </c>
      <c r="AJ8" t="str">
        <v>23.00</v>
      </c>
      <c r="AK8" t="str">
        <v>21.95</v>
      </c>
      <c r="AL8" t="str">
        <f>(AK8-AJ8)*(AJ8*0+0)+AK8</f>
        <v>21.95</v>
      </c>
      <c r="AM8" t="str">
        <v>90.30</v>
      </c>
      <c r="AN8" t="str">
        <v>156.7</v>
      </c>
      <c r="AO8" t="str">
        <v>158.2</v>
      </c>
      <c r="AP8" t="str">
        <v>-1.0</v>
      </c>
      <c r="AQ8" t="str">
        <v>159</v>
      </c>
      <c r="AR8" t="str">
        <v>4.017</v>
      </c>
      <c r="AS8" t="str">
        <v>13:57:20</v>
      </c>
      <c r="AT8" t="str">
        <v>2026-01-04</v>
      </c>
      <c r="AU8" t="str">
        <v>-0.17</v>
      </c>
      <c r="AV8" t="str">
        <v>1</v>
      </c>
      <c r="AW8" t="str">
        <v>0.000</v>
      </c>
      <c r="AX8" t="str">
        <v>0.000</v>
      </c>
      <c r="AY8" t="str">
        <v>-9999.000</v>
      </c>
      <c r="AZ8" t="str">
        <v>-0.197</v>
      </c>
      <c r="BA8" t="str">
        <v>-0.423</v>
      </c>
      <c r="BB8" t="str">
        <v>-9999.000</v>
      </c>
      <c r="BC8" t="str">
        <v>1</v>
      </c>
      <c r="BD8" t="str">
        <v>150</v>
      </c>
      <c r="BE8" t="str">
        <v>0.005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151.756882</v>
      </c>
      <c r="BX8" t="str">
        <v>25</v>
      </c>
      <c r="BY8" t="str">
        <v>0.156744</v>
      </c>
      <c r="BZ8" t="str">
        <v>151.833054</v>
      </c>
      <c r="CA8" t="str">
        <v>151.980942</v>
      </c>
      <c r="CB8" t="str">
        <v>-0.147888</v>
      </c>
      <c r="CC8" t="str">
        <v>2.446735</v>
      </c>
      <c r="CD8" t="str">
        <v>2.461203</v>
      </c>
      <c r="CE8" t="str">
        <v>1.655749</v>
      </c>
      <c r="CF8" t="str">
        <v>0.942002</v>
      </c>
      <c r="CG8" t="str">
        <v>0.295400</v>
      </c>
      <c r="CH8" t="str">
        <v>-0.011177</v>
      </c>
      <c r="CI8" t="str">
        <v>0.065814</v>
      </c>
      <c r="CJ8" t="str">
        <v>0.250717</v>
      </c>
      <c r="CK8" t="str">
        <v>131.712921</v>
      </c>
      <c r="CL8" t="str">
        <v>0.000236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PSF-00438_20260104135925_17f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2025-12-11T16:13:02.852Z</v>
      </c>
    </row>
    <row r="9">
      <c r="A9" t="str">
        <v>6</v>
      </c>
      <c r="B9" t="str">
        <v>13:59:45</v>
      </c>
      <c r="C9" t="str">
        <v>2026-01-04</v>
      </c>
      <c r="D9" t="str">
        <v>TT25_psf</v>
      </c>
      <c r="E9" t="str">
        <v>eap</v>
      </c>
      <c r="F9" t="str">
        <v/>
      </c>
      <c r="G9" t="str">
        <v>1468_mai_white</v>
      </c>
      <c r="H9" t="str">
        <v/>
      </c>
      <c r="I9" t="str">
        <v/>
      </c>
      <c r="J9" t="str">
        <f>1/((1/L9)-(1/K9))</f>
        <v>0.027413</v>
      </c>
      <c r="K9" t="str">
        <f>BH9+(BI9*AN9)+(BJ9*AN9*POWER(V9,2))+(BK9*AN9*V9)+(BL9*POWER(AN9,2))</f>
        <v>2.921076</v>
      </c>
      <c r="L9" t="str">
        <f>((M9/1000)*(1000-((T9+S9)/2)))/(T9-S9)</f>
        <v>0.027158</v>
      </c>
      <c r="M9" t="str">
        <f>(AN9*(S9-R9))/(100*U9*(1000-S9))*1000</f>
        <v>0.499237</v>
      </c>
      <c r="N9" t="str">
        <v>1.012918</v>
      </c>
      <c r="O9" t="str">
        <v>1.000345</v>
      </c>
      <c r="P9" t="str">
        <f>0.61365*EXP((17.502*AL9)/(240.97+AL9))</f>
        <v>2.639192</v>
      </c>
      <c r="Q9" t="str">
        <f>P9-N9</f>
        <v>1.626274</v>
      </c>
      <c r="R9" t="str">
        <v>11.078697</v>
      </c>
      <c r="S9" t="str">
        <v>11.217937</v>
      </c>
      <c r="T9" t="str">
        <f>(P9/AM9)*1000</f>
        <v>29.228716</v>
      </c>
      <c r="U9" t="str">
        <f>V9*BG9</f>
        <v>0.441786</v>
      </c>
      <c r="V9" t="str">
        <v>7.500000</v>
      </c>
      <c r="W9" t="str">
        <v>PSF-00438_20260104135945_307</v>
      </c>
      <c r="X9" t="str">
        <v>0.000000</v>
      </c>
      <c r="Y9" t="str">
        <v>0.000000</v>
      </c>
      <c r="Z9" t="str">
        <v>0.000000</v>
      </c>
      <c r="AA9" t="str">
        <v>102.135300</v>
      </c>
      <c r="AB9" t="str">
        <v>324.267700</v>
      </c>
      <c r="AC9" t="str">
        <v>0.685028</v>
      </c>
      <c r="AD9" t="str">
        <v>0.5</v>
      </c>
      <c r="AE9" t="str">
        <v>0.80</v>
      </c>
      <c r="AF9" t="str">
        <f>AC9*AD9*AE9*AQ9</f>
        <v>33.539581</v>
      </c>
      <c r="AG9" t="str">
        <v>1.000000</v>
      </c>
      <c r="AH9" t="str">
        <v>35.98</v>
      </c>
      <c r="AI9" t="str">
        <v>35.53</v>
      </c>
      <c r="AJ9" t="str">
        <v>22.97</v>
      </c>
      <c r="AK9" t="str">
        <v>21.91</v>
      </c>
      <c r="AL9" t="str">
        <f>(AK9-AJ9)*(AJ9*0+0)+AK9</f>
        <v>21.91</v>
      </c>
      <c r="AM9" t="str">
        <v>90.29</v>
      </c>
      <c r="AN9" t="str">
        <v>156.6</v>
      </c>
      <c r="AO9" t="str">
        <v>158.5</v>
      </c>
      <c r="AP9" t="str">
        <v>-1.2</v>
      </c>
      <c r="AQ9" t="str">
        <v>122</v>
      </c>
      <c r="AR9" t="str">
        <v>4.016</v>
      </c>
      <c r="AS9" t="str">
        <v>13:57:20</v>
      </c>
      <c r="AT9" t="str">
        <v>2026-01-04</v>
      </c>
      <c r="AU9" t="str">
        <v>-0.17</v>
      </c>
      <c r="AV9" t="str">
        <v>1</v>
      </c>
      <c r="AW9" t="str">
        <v>-0.001</v>
      </c>
      <c r="AX9" t="str">
        <v>-0.002</v>
      </c>
      <c r="AY9" t="str">
        <v>-9999.000</v>
      </c>
      <c r="AZ9" t="str">
        <v>0.247</v>
      </c>
      <c r="BA9" t="str">
        <v>0.405</v>
      </c>
      <c r="BB9" t="str">
        <v>-9999.000</v>
      </c>
      <c r="BC9" t="str">
        <v>1</v>
      </c>
      <c r="BD9" t="str">
        <v>150</v>
      </c>
      <c r="BE9" t="str">
        <v>0.005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313.673248</v>
      </c>
      <c r="BX9" t="str">
        <v>25</v>
      </c>
      <c r="BY9" t="str">
        <v>-7.341469</v>
      </c>
      <c r="BZ9" t="str">
        <v>314.208618</v>
      </c>
      <c r="CA9" t="str">
        <v>313.773132</v>
      </c>
      <c r="CB9" t="str">
        <v>0.435486</v>
      </c>
      <c r="CC9" t="str">
        <v>2.448221</v>
      </c>
      <c r="CD9" t="str">
        <v>2.463133</v>
      </c>
      <c r="CE9" t="str">
        <v>1.654837</v>
      </c>
      <c r="CF9" t="str">
        <v>0.942656</v>
      </c>
      <c r="CG9" t="str">
        <v>0.295715</v>
      </c>
      <c r="CH9" t="str">
        <v>-0.011275</v>
      </c>
      <c r="CI9" t="str">
        <v>0.068695</v>
      </c>
      <c r="CJ9" t="str">
        <v>0.217410</v>
      </c>
      <c r="CK9" t="str">
        <v>102.135300</v>
      </c>
      <c r="CL9" t="str">
        <v>0.000238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PSF-00438_20260104135945_307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2025-12-11T16:13:02.852Z</v>
      </c>
    </row>
    <row r="10">
      <c r="A10" t="str">
        <v>7</v>
      </c>
      <c r="B10" t="str">
        <v>14:00:18</v>
      </c>
      <c r="C10" t="str">
        <v>2026-01-04</v>
      </c>
      <c r="D10" t="str">
        <v>TT25_psf</v>
      </c>
      <c r="E10" t="str">
        <v>eap</v>
      </c>
      <c r="F10" t="str">
        <v/>
      </c>
      <c r="G10" t="str">
        <v>TT24_112_mai_yellow</v>
      </c>
      <c r="H10" t="str">
        <v/>
      </c>
      <c r="I10" t="str">
        <v/>
      </c>
      <c r="J10" t="str">
        <f>1/((1/L10)-(1/K10))</f>
        <v>0.039209</v>
      </c>
      <c r="K10" t="str">
        <f>BH10+(BI10*AN10)+(BJ10*AN10*POWER(V10,2))+(BK10*AN10*V10)+(BL10*POWER(AN10,2))</f>
        <v>2.921595</v>
      </c>
      <c r="L10" t="str">
        <f>((M10/1000)*(1000-((T10+S10)/2)))/(T10-S10)</f>
        <v>0.038689</v>
      </c>
      <c r="M10" t="str">
        <f>(AN10*(S10-R10))/(100*U10*(1000-S10))*1000</f>
        <v>0.710468</v>
      </c>
      <c r="N10" t="str">
        <v>1.017906</v>
      </c>
      <c r="O10" t="str">
        <v>1.000022</v>
      </c>
      <c r="P10" t="str">
        <f>0.61365*EXP((17.502*AL10)/(240.97+AL10))</f>
        <v>2.642434</v>
      </c>
      <c r="Q10" t="str">
        <f>P10-N10</f>
        <v>1.624529</v>
      </c>
      <c r="R10" t="str">
        <v>11.074929</v>
      </c>
      <c r="S10" t="str">
        <v>11.272989</v>
      </c>
      <c r="T10" t="str">
        <f>(P10/AM10)*1000</f>
        <v>29.264135</v>
      </c>
      <c r="U10" t="str">
        <f>V10*BG10</f>
        <v>0.441786</v>
      </c>
      <c r="V10" t="str">
        <v>7.500000</v>
      </c>
      <c r="W10" t="str">
        <v>PSF-00438_20260104140018_467</v>
      </c>
      <c r="X10" t="str">
        <v>0.000000</v>
      </c>
      <c r="Y10" t="str">
        <v>0.000000</v>
      </c>
      <c r="Z10" t="str">
        <v>0.000000</v>
      </c>
      <c r="AA10" t="str">
        <v>118.547562</v>
      </c>
      <c r="AB10" t="str">
        <v>426.005798</v>
      </c>
      <c r="AC10" t="str">
        <v>0.721723</v>
      </c>
      <c r="AD10" t="str">
        <v>0.5</v>
      </c>
      <c r="AE10" t="str">
        <v>0.80</v>
      </c>
      <c r="AF10" t="str">
        <f>AC10*AD10*AE10*AQ10</f>
        <v>35.736649</v>
      </c>
      <c r="AG10" t="str">
        <v>1.000000</v>
      </c>
      <c r="AH10" t="str">
        <v>36.25</v>
      </c>
      <c r="AI10" t="str">
        <v>35.61</v>
      </c>
      <c r="AJ10" t="str">
        <v>22.93</v>
      </c>
      <c r="AK10" t="str">
        <v>21.93</v>
      </c>
      <c r="AL10" t="str">
        <f>(AK10-AJ10)*(AJ10*0+0)+AK10</f>
        <v>21.93</v>
      </c>
      <c r="AM10" t="str">
        <v>90.30</v>
      </c>
      <c r="AN10" t="str">
        <v>156.7</v>
      </c>
      <c r="AO10" t="str">
        <v>158.4</v>
      </c>
      <c r="AP10" t="str">
        <v>-1.1</v>
      </c>
      <c r="AQ10" t="str">
        <v>124</v>
      </c>
      <c r="AR10" t="str">
        <v>4.015</v>
      </c>
      <c r="AS10" t="str">
        <v>13:57:20</v>
      </c>
      <c r="AT10" t="str">
        <v>2026-01-04</v>
      </c>
      <c r="AU10" t="str">
        <v>-0.17</v>
      </c>
      <c r="AV10" t="str">
        <v>1</v>
      </c>
      <c r="AW10" t="str">
        <v>-0.001</v>
      </c>
      <c r="AX10" t="str">
        <v>-0.003</v>
      </c>
      <c r="AY10" t="str">
        <v>-9999.000</v>
      </c>
      <c r="AZ10" t="str">
        <v>-0.044</v>
      </c>
      <c r="BA10" t="str">
        <v>-0.502</v>
      </c>
      <c r="BB10" t="str">
        <v>-9999.000</v>
      </c>
      <c r="BC10" t="str">
        <v>1</v>
      </c>
      <c r="BD10" t="str">
        <v>150</v>
      </c>
      <c r="BE10" t="str">
        <v>0.005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423.451782</v>
      </c>
      <c r="BX10" t="str">
        <v>25</v>
      </c>
      <c r="BY10" t="str">
        <v>-1.574734</v>
      </c>
      <c r="BZ10" t="str">
        <v>423.726074</v>
      </c>
      <c r="CA10" t="str">
        <v>423.754730</v>
      </c>
      <c r="CB10" t="str">
        <v>-0.028656</v>
      </c>
      <c r="CC10" t="str">
        <v>2.448344</v>
      </c>
      <c r="CD10" t="str">
        <v>2.463528</v>
      </c>
      <c r="CE10" t="str">
        <v>1.655381</v>
      </c>
      <c r="CF10" t="str">
        <v>0.942411</v>
      </c>
      <c r="CG10" t="str">
        <v>0.296226</v>
      </c>
      <c r="CH10" t="str">
        <v>-0.010568</v>
      </c>
      <c r="CI10" t="str">
        <v>0.073570</v>
      </c>
      <c r="CJ10" t="str">
        <v>0.218658</v>
      </c>
      <c r="CK10" t="str">
        <v>118.547562</v>
      </c>
      <c r="CL10" t="str">
        <v>0.000237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PSF-00438_20260104140018_467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2025-12-11T16:13:02.852Z</v>
      </c>
    </row>
    <row r="11">
      <c r="A11" t="str">
        <v>8</v>
      </c>
      <c r="B11" t="str">
        <v>14:00:36</v>
      </c>
      <c r="C11" t="str">
        <v>2026-01-04</v>
      </c>
      <c r="D11" t="str">
        <v>TT25_psf</v>
      </c>
      <c r="E11" t="str">
        <v>eap</v>
      </c>
      <c r="F11" t="str">
        <v/>
      </c>
      <c r="G11" t="str">
        <v>5579_mai_yellow</v>
      </c>
      <c r="H11" t="str">
        <v/>
      </c>
      <c r="I11" t="str">
        <v/>
      </c>
      <c r="J11" t="str">
        <f>1/((1/L11)-(1/K11))</f>
        <v>0.014829</v>
      </c>
      <c r="K11" t="str">
        <f>BH11+(BI11*AN11)+(BJ11*AN11*POWER(V11,2))+(BK11*AN11*V11)+(BL11*POWER(AN11,2))</f>
        <v>2.922389</v>
      </c>
      <c r="L11" t="str">
        <f>((M11/1000)*(1000-((T11+S11)/2)))/(T11-S11)</f>
        <v>0.014754</v>
      </c>
      <c r="M11" t="str">
        <f>(AN11*(S11-R11))/(100*U11*(1000-S11))*1000</f>
        <v>0.269448</v>
      </c>
      <c r="N11" t="str">
        <v>1.019418</v>
      </c>
      <c r="O11" t="str">
        <v>1.012640</v>
      </c>
      <c r="P11" t="str">
        <f>0.61365*EXP((17.502*AL11)/(240.97+AL11))</f>
        <v>2.634983</v>
      </c>
      <c r="Q11" t="str">
        <f>P11-N11</f>
        <v>1.615565</v>
      </c>
      <c r="R11" t="str">
        <v>11.215203</v>
      </c>
      <c r="S11" t="str">
        <v>11.290270</v>
      </c>
      <c r="T11" t="str">
        <f>(P11/AM11)*1000</f>
        <v>29.182985</v>
      </c>
      <c r="U11" t="str">
        <f>V11*BG11</f>
        <v>0.441786</v>
      </c>
      <c r="V11" t="str">
        <v>7.500000</v>
      </c>
      <c r="W11" t="str">
        <v>PSF-00438_20260104140036_fa6</v>
      </c>
      <c r="X11" t="str">
        <v>0.000000</v>
      </c>
      <c r="Y11" t="str">
        <v>0.000000</v>
      </c>
      <c r="Z11" t="str">
        <v>0.000000</v>
      </c>
      <c r="AA11" t="str">
        <v>118.444206</v>
      </c>
      <c r="AB11" t="str">
        <v>266.042206</v>
      </c>
      <c r="AC11" t="str">
        <v>0.554792</v>
      </c>
      <c r="AD11" t="str">
        <v>0.5</v>
      </c>
      <c r="AE11" t="str">
        <v>0.80</v>
      </c>
      <c r="AF11" t="str">
        <f>AC11*AD11*AE11*AQ11</f>
        <v>49.284492</v>
      </c>
      <c r="AG11" t="str">
        <v>1.000000</v>
      </c>
      <c r="AH11" t="str">
        <v>36.35</v>
      </c>
      <c r="AI11" t="str">
        <v>36.10</v>
      </c>
      <c r="AJ11" t="str">
        <v>22.91</v>
      </c>
      <c r="AK11" t="str">
        <v>21.89</v>
      </c>
      <c r="AL11" t="str">
        <f>(AK11-AJ11)*(AJ11*0+0)+AK11</f>
        <v>21.89</v>
      </c>
      <c r="AM11" t="str">
        <v>90.29</v>
      </c>
      <c r="AN11" t="str">
        <v>156.8</v>
      </c>
      <c r="AO11" t="str">
        <v>158.6</v>
      </c>
      <c r="AP11" t="str">
        <v>-1.2</v>
      </c>
      <c r="AQ11" t="str">
        <v>222</v>
      </c>
      <c r="AR11" t="str">
        <v>4.014</v>
      </c>
      <c r="AS11" t="str">
        <v>13:57:20</v>
      </c>
      <c r="AT11" t="str">
        <v>2026-01-04</v>
      </c>
      <c r="AU11" t="str">
        <v>-0.17</v>
      </c>
      <c r="AV11" t="str">
        <v>1</v>
      </c>
      <c r="AW11" t="str">
        <v>-0.001</v>
      </c>
      <c r="AX11" t="str">
        <v>-0.002</v>
      </c>
      <c r="AY11" t="str">
        <v>-9999.000</v>
      </c>
      <c r="AZ11" t="str">
        <v>0.735</v>
      </c>
      <c r="BA11" t="str">
        <v>1.655</v>
      </c>
      <c r="BB11" t="str">
        <v>-9999.000</v>
      </c>
      <c r="BC11" t="str">
        <v>1</v>
      </c>
      <c r="BD11" t="str">
        <v>150</v>
      </c>
      <c r="BE11" t="str">
        <v>0.005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264.794464</v>
      </c>
      <c r="BX11" t="str">
        <v>25</v>
      </c>
      <c r="BY11" t="str">
        <v>-0.718108</v>
      </c>
      <c r="BZ11" t="str">
        <v>267.379059</v>
      </c>
      <c r="CA11" t="str">
        <v>265.015686</v>
      </c>
      <c r="CB11" t="str">
        <v>2.363373</v>
      </c>
      <c r="CC11" t="str">
        <v>2.449044</v>
      </c>
      <c r="CD11" t="str">
        <v>2.463670</v>
      </c>
      <c r="CE11" t="str">
        <v>1.656213</v>
      </c>
      <c r="CF11" t="str">
        <v>0.942972</v>
      </c>
      <c r="CG11" t="str">
        <v>0.296462</v>
      </c>
      <c r="CH11" t="str">
        <v>-0.010857</v>
      </c>
      <c r="CI11" t="str">
        <v>0.076002</v>
      </c>
      <c r="CJ11" t="str">
        <v>0.307082</v>
      </c>
      <c r="CK11" t="str">
        <v>118.444206</v>
      </c>
      <c r="CL11" t="str">
        <v>0.000238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PSF-00438_20260104140036_fa6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2025-12-11T16:13:02.852Z</v>
      </c>
    </row>
    <row r="12">
      <c r="A12" t="str">
        <v>9</v>
      </c>
      <c r="B12" t="str">
        <v>14:01:05</v>
      </c>
      <c r="C12" t="str">
        <v>2026-01-04</v>
      </c>
      <c r="D12" t="str">
        <v>TT25_psf</v>
      </c>
      <c r="E12" t="str">
        <v>eap</v>
      </c>
      <c r="F12" t="str">
        <v/>
      </c>
      <c r="G12" t="str">
        <v>4722_mai_yellow</v>
      </c>
      <c r="H12" t="str">
        <v/>
      </c>
      <c r="I12" t="str">
        <v/>
      </c>
      <c r="J12" t="str">
        <f>1/((1/L12)-(1/K12))</f>
        <v>0.033879</v>
      </c>
      <c r="K12" t="str">
        <f>BH12+(BI12*AN12)+(BJ12*AN12*POWER(V12,2))+(BK12*AN12*V12)+(BL12*POWER(AN12,2))</f>
        <v>2.921545</v>
      </c>
      <c r="L12" t="str">
        <f>((M12/1000)*(1000-((T12+S12)/2)))/(T12-S12)</f>
        <v>0.033490</v>
      </c>
      <c r="M12" t="str">
        <f>(AN12*(S12-R12))/(100*U12*(1000-S12))*1000</f>
        <v>0.602676</v>
      </c>
      <c r="N12" t="str">
        <v>1.013916</v>
      </c>
      <c r="O12" t="str">
        <v>0.998743</v>
      </c>
      <c r="P12" t="str">
        <f>0.61365*EXP((17.502*AL12)/(240.97+AL12))</f>
        <v>2.606333</v>
      </c>
      <c r="Q12" t="str">
        <f>P12-N12</f>
        <v>1.592418</v>
      </c>
      <c r="R12" t="str">
        <v>11.060342</v>
      </c>
      <c r="S12" t="str">
        <v>11.228367</v>
      </c>
      <c r="T12" t="str">
        <f>(P12/AM12)*1000</f>
        <v>28.863211</v>
      </c>
      <c r="U12" t="str">
        <f>V12*BG12</f>
        <v>0.441786</v>
      </c>
      <c r="V12" t="str">
        <v>7.500000</v>
      </c>
      <c r="W12" t="str">
        <v>PSF-00438_20260104140105_f8b</v>
      </c>
      <c r="X12" t="str">
        <v>0.000000</v>
      </c>
      <c r="Y12" t="str">
        <v>0.000000</v>
      </c>
      <c r="Z12" t="str">
        <v>0.000000</v>
      </c>
      <c r="AA12" t="str">
        <v>171.348450</v>
      </c>
      <c r="AB12" t="str">
        <v>337.562561</v>
      </c>
      <c r="AC12" t="str">
        <v>0.492395</v>
      </c>
      <c r="AD12" t="str">
        <v>0.5</v>
      </c>
      <c r="AE12" t="str">
        <v>0.80</v>
      </c>
      <c r="AF12" t="str">
        <f>AC12*AD12*AE12*AQ12</f>
        <v>30.436832</v>
      </c>
      <c r="AG12" t="str">
        <v>1.000000</v>
      </c>
      <c r="AH12" t="str">
        <v>36.22</v>
      </c>
      <c r="AI12" t="str">
        <v>35.68</v>
      </c>
      <c r="AJ12" t="str">
        <v>22.88</v>
      </c>
      <c r="AK12" t="str">
        <v>21.71</v>
      </c>
      <c r="AL12" t="str">
        <f>(AK12-AJ12)*(AJ12*0+0)+AK12</f>
        <v>21.71</v>
      </c>
      <c r="AM12" t="str">
        <v>90.30</v>
      </c>
      <c r="AN12" t="str">
        <v>156.7</v>
      </c>
      <c r="AO12" t="str">
        <v>158.3</v>
      </c>
      <c r="AP12" t="str">
        <v>-1.1</v>
      </c>
      <c r="AQ12" t="str">
        <v>155</v>
      </c>
      <c r="AR12" t="str">
        <v>4.002</v>
      </c>
      <c r="AS12" t="str">
        <v>13:57:20</v>
      </c>
      <c r="AT12" t="str">
        <v>2026-01-04</v>
      </c>
      <c r="AU12" t="str">
        <v>-0.17</v>
      </c>
      <c r="AV12" t="str">
        <v>1</v>
      </c>
      <c r="AW12" t="str">
        <v>-0.002</v>
      </c>
      <c r="AX12" t="str">
        <v>-0.002</v>
      </c>
      <c r="AY12" t="str">
        <v>-9999.000</v>
      </c>
      <c r="AZ12" t="str">
        <v>0.985</v>
      </c>
      <c r="BA12" t="str">
        <v>2.341</v>
      </c>
      <c r="BB12" t="str">
        <v>-9999.000</v>
      </c>
      <c r="BC12" t="str">
        <v>1</v>
      </c>
      <c r="BD12" t="str">
        <v>150</v>
      </c>
      <c r="BE12" t="str">
        <v>0.005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335.870148</v>
      </c>
      <c r="BX12" t="str">
        <v>25</v>
      </c>
      <c r="BY12" t="str">
        <v>-1.097211</v>
      </c>
      <c r="BZ12" t="str">
        <v>335.189575</v>
      </c>
      <c r="CA12" t="str">
        <v>335.994110</v>
      </c>
      <c r="CB12" t="str">
        <v>-0.804535</v>
      </c>
      <c r="CC12" t="str">
        <v>2.448447</v>
      </c>
      <c r="CD12" t="str">
        <v>2.463497</v>
      </c>
      <c r="CE12" t="str">
        <v>1.655328</v>
      </c>
      <c r="CF12" t="str">
        <v>0.942245</v>
      </c>
      <c r="CG12" t="str">
        <v>0.296838</v>
      </c>
      <c r="CH12" t="str">
        <v>-0.012475</v>
      </c>
      <c r="CI12" t="str">
        <v>0.080107</v>
      </c>
      <c r="CJ12" t="str">
        <v>0.246315</v>
      </c>
      <c r="CK12" t="str">
        <v>171.348450</v>
      </c>
      <c r="CL12" t="str">
        <v>0.000239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PSF-00438_20260104140105_f8b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2025-12-11T16:13:02.852Z</v>
      </c>
    </row>
    <row r="13">
      <c r="A13" t="str">
        <v>10</v>
      </c>
      <c r="B13" t="str">
        <v>14:01:29</v>
      </c>
      <c r="C13" t="str">
        <v>2026-01-04</v>
      </c>
      <c r="D13" t="str">
        <v>TT25_psf</v>
      </c>
      <c r="E13" t="str">
        <v>eap</v>
      </c>
      <c r="F13" t="str">
        <v/>
      </c>
      <c r="G13" t="str">
        <v>1495_mai_yellow</v>
      </c>
      <c r="H13" t="str">
        <v/>
      </c>
      <c r="I13" t="str">
        <v/>
      </c>
      <c r="J13" t="str">
        <f>1/((1/L13)-(1/K13))</f>
        <v>0.050654</v>
      </c>
      <c r="K13" t="str">
        <f>BH13+(BI13*AN13)+(BJ13*AN13*POWER(V13,2))+(BK13*AN13*V13)+(BL13*POWER(AN13,2))</f>
        <v>2.921852</v>
      </c>
      <c r="L13" t="str">
        <f>((M13/1000)*(1000-((T13+S13)/2)))/(T13-S13)</f>
        <v>0.049791</v>
      </c>
      <c r="M13" t="str">
        <f>(AN13*(S13-R13))/(100*U13*(1000-S13))*1000</f>
        <v>0.883868</v>
      </c>
      <c r="N13" t="str">
        <v>1.062609</v>
      </c>
      <c r="O13" t="str">
        <v>1.040375</v>
      </c>
      <c r="P13" t="str">
        <f>0.61365*EXP((17.502*AL13)/(240.97+AL13))</f>
        <v>2.632798</v>
      </c>
      <c r="Q13" t="str">
        <f>P13-N13</f>
        <v>1.570189</v>
      </c>
      <c r="R13" t="str">
        <v>11.521125</v>
      </c>
      <c r="S13" t="str">
        <v>11.767351</v>
      </c>
      <c r="T13" t="str">
        <f>(P13/AM13)*1000</f>
        <v>29.155640</v>
      </c>
      <c r="U13" t="str">
        <f>V13*BG13</f>
        <v>0.441786</v>
      </c>
      <c r="V13" t="str">
        <v>7.500000</v>
      </c>
      <c r="W13" t="str">
        <v>PSF-00438_20260104140129_e54</v>
      </c>
      <c r="X13" t="str">
        <v>0.000000</v>
      </c>
      <c r="Y13" t="str">
        <v>0.000000</v>
      </c>
      <c r="Z13" t="str">
        <v>0.000000</v>
      </c>
      <c r="AA13" t="str">
        <v>73.659897</v>
      </c>
      <c r="AB13" t="str">
        <v>269.338501</v>
      </c>
      <c r="AC13" t="str">
        <v>0.726516</v>
      </c>
      <c r="AD13" t="str">
        <v>0.5</v>
      </c>
      <c r="AE13" t="str">
        <v>0.80</v>
      </c>
      <c r="AF13" t="str">
        <f>AC13*AD13*AE13*AQ13</f>
        <v>48.968983</v>
      </c>
      <c r="AG13" t="str">
        <v>1.000000</v>
      </c>
      <c r="AH13" t="str">
        <v>38.01</v>
      </c>
      <c r="AI13" t="str">
        <v>37.22</v>
      </c>
      <c r="AJ13" t="str">
        <v>22.86</v>
      </c>
      <c r="AK13" t="str">
        <v>21.87</v>
      </c>
      <c r="AL13" t="str">
        <f>(AK13-AJ13)*(AJ13*0+0)+AK13</f>
        <v>21.87</v>
      </c>
      <c r="AM13" t="str">
        <v>90.30</v>
      </c>
      <c r="AN13" t="str">
        <v>156.7</v>
      </c>
      <c r="AO13" t="str">
        <v>158.6</v>
      </c>
      <c r="AP13" t="str">
        <v>-1.2</v>
      </c>
      <c r="AQ13" t="str">
        <v>169</v>
      </c>
      <c r="AR13" t="str">
        <v>4.013</v>
      </c>
      <c r="AS13" t="str">
        <v>13:57:20</v>
      </c>
      <c r="AT13" t="str">
        <v>2026-01-04</v>
      </c>
      <c r="AU13" t="str">
        <v>-0.17</v>
      </c>
      <c r="AV13" t="str">
        <v>1</v>
      </c>
      <c r="AW13" t="str">
        <v>-0.000</v>
      </c>
      <c r="AX13" t="str">
        <v>-0.001</v>
      </c>
      <c r="AY13" t="str">
        <v>-9999.000</v>
      </c>
      <c r="AZ13" t="str">
        <v>0.376</v>
      </c>
      <c r="BA13" t="str">
        <v>0.968</v>
      </c>
      <c r="BB13" t="str">
        <v>-9999.000</v>
      </c>
      <c r="BC13" t="str">
        <v>1</v>
      </c>
      <c r="BD13" t="str">
        <v>150</v>
      </c>
      <c r="BE13" t="str">
        <v>0.005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254.950409</v>
      </c>
      <c r="BX13" t="str">
        <v>25</v>
      </c>
      <c r="BY13" t="str">
        <v>-10.667730</v>
      </c>
      <c r="BZ13" t="str">
        <v>251.607300</v>
      </c>
      <c r="CA13" t="str">
        <v>254.089066</v>
      </c>
      <c r="CB13" t="str">
        <v>-2.481766</v>
      </c>
      <c r="CC13" t="str">
        <v>2.450619</v>
      </c>
      <c r="CD13" t="str">
        <v>2.466038</v>
      </c>
      <c r="CE13" t="str">
        <v>1.655650</v>
      </c>
      <c r="CF13" t="str">
        <v>0.942848</v>
      </c>
      <c r="CG13" t="str">
        <v>0.297120</v>
      </c>
      <c r="CH13" t="str">
        <v>-0.010386</v>
      </c>
      <c r="CI13" t="str">
        <v>0.083458</v>
      </c>
      <c r="CJ13" t="str">
        <v>0.258884</v>
      </c>
      <c r="CK13" t="str">
        <v>73.659897</v>
      </c>
      <c r="CL13" t="str">
        <v>0.000236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PSF-00438_20260104140129_e54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2025-12-11T16:13:02.852Z</v>
      </c>
    </row>
    <row r="14">
      <c r="A14" t="str">
        <v>11</v>
      </c>
      <c r="B14" t="str">
        <v>14:01:53</v>
      </c>
      <c r="C14" t="str">
        <v>2026-01-04</v>
      </c>
      <c r="D14" t="str">
        <v>TT25_psf</v>
      </c>
      <c r="E14" t="str">
        <v>eap</v>
      </c>
      <c r="F14" t="str">
        <v/>
      </c>
      <c r="G14" t="str">
        <v>4698_mai_green</v>
      </c>
      <c r="H14" t="str">
        <v/>
      </c>
      <c r="I14" t="str">
        <v/>
      </c>
      <c r="J14" t="str">
        <f>1/((1/L14)-(1/K14))</f>
        <v>0.049961</v>
      </c>
      <c r="K14" t="str">
        <f>BH14+(BI14*AN14)+(BJ14*AN14*POWER(V14,2))+(BK14*AN14*V14)+(BL14*POWER(AN14,2))</f>
        <v>2.921077</v>
      </c>
      <c r="L14" t="str">
        <f>((M14/1000)*(1000-((T14+S14)/2)))/(T14-S14)</f>
        <v>0.049121</v>
      </c>
      <c r="M14" t="str">
        <f>(AN14*(S14-R14))/(100*U14*(1000-S14))*1000</f>
        <v>0.835071</v>
      </c>
      <c r="N14" t="str">
        <v>1.042188</v>
      </c>
      <c r="O14" t="str">
        <v>1.021165</v>
      </c>
      <c r="P14" t="str">
        <f>0.61365*EXP((17.502*AL14)/(240.97+AL14))</f>
        <v>2.546661</v>
      </c>
      <c r="Q14" t="str">
        <f>P14-N14</f>
        <v>1.504473</v>
      </c>
      <c r="R14" t="str">
        <v>11.309714</v>
      </c>
      <c r="S14" t="str">
        <v>11.542542</v>
      </c>
      <c r="T14" t="str">
        <f>(P14/AM14)*1000</f>
        <v>28.205036</v>
      </c>
      <c r="U14" t="str">
        <f>V14*BG14</f>
        <v>0.441786</v>
      </c>
      <c r="V14" t="str">
        <v>7.500000</v>
      </c>
      <c r="W14" t="str">
        <v>PSF-00438_20260104140153_6c4</v>
      </c>
      <c r="X14" t="str">
        <v>0.000000</v>
      </c>
      <c r="Y14" t="str">
        <v>0.000000</v>
      </c>
      <c r="Z14" t="str">
        <v>0.000000</v>
      </c>
      <c r="AA14" t="str">
        <v>124.755981</v>
      </c>
      <c r="AB14" t="str">
        <v>285.613922</v>
      </c>
      <c r="AC14" t="str">
        <v>0.563201</v>
      </c>
      <c r="AD14" t="str">
        <v>0.5</v>
      </c>
      <c r="AE14" t="str">
        <v>0.80</v>
      </c>
      <c r="AF14" t="str">
        <f>AC14*AD14*AE14*AQ14</f>
        <v>31.581875</v>
      </c>
      <c r="AG14" t="str">
        <v>1.000000</v>
      </c>
      <c r="AH14" t="str">
        <v>37.34</v>
      </c>
      <c r="AI14" t="str">
        <v>36.59</v>
      </c>
      <c r="AJ14" t="str">
        <v>22.83</v>
      </c>
      <c r="AK14" t="str">
        <v>21.33</v>
      </c>
      <c r="AL14" t="str">
        <f>(AK14-AJ14)*(AJ14*0+0)+AK14</f>
        <v>21.33</v>
      </c>
      <c r="AM14" t="str">
        <v>90.29</v>
      </c>
      <c r="AN14" t="str">
        <v>156.6</v>
      </c>
      <c r="AO14" t="str">
        <v>157.8</v>
      </c>
      <c r="AP14" t="str">
        <v>-0.7</v>
      </c>
      <c r="AQ14" t="str">
        <v>140</v>
      </c>
      <c r="AR14" t="str">
        <v>4.012</v>
      </c>
      <c r="AS14" t="str">
        <v>13:57:20</v>
      </c>
      <c r="AT14" t="str">
        <v>2026-01-04</v>
      </c>
      <c r="AU14" t="str">
        <v>-0.17</v>
      </c>
      <c r="AV14" t="str">
        <v>1</v>
      </c>
      <c r="AW14" t="str">
        <v>-0.000</v>
      </c>
      <c r="AX14" t="str">
        <v>-0.001</v>
      </c>
      <c r="AY14" t="str">
        <v>-9999.000</v>
      </c>
      <c r="AZ14" t="str">
        <v>0.283</v>
      </c>
      <c r="BA14" t="str">
        <v>0.383</v>
      </c>
      <c r="BB14" t="str">
        <v>-9999.000</v>
      </c>
      <c r="BC14" t="str">
        <v>1</v>
      </c>
      <c r="BD14" t="str">
        <v>150</v>
      </c>
      <c r="BE14" t="str">
        <v>0.005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281.399475</v>
      </c>
      <c r="BX14" t="str">
        <v>25</v>
      </c>
      <c r="BY14" t="str">
        <v>-2.835979</v>
      </c>
      <c r="BZ14" t="str">
        <v>281.785736</v>
      </c>
      <c r="CA14" t="str">
        <v>281.559906</v>
      </c>
      <c r="CB14" t="str">
        <v>0.225830</v>
      </c>
      <c r="CC14" t="str">
        <v>2.449737</v>
      </c>
      <c r="CD14" t="str">
        <v>2.465092</v>
      </c>
      <c r="CE14" t="str">
        <v>1.654839</v>
      </c>
      <c r="CF14" t="str">
        <v>0.940782</v>
      </c>
      <c r="CG14" t="str">
        <v>0.297414</v>
      </c>
      <c r="CH14" t="str">
        <v>-0.016094</v>
      </c>
      <c r="CI14" t="str">
        <v>0.086743</v>
      </c>
      <c r="CJ14" t="str">
        <v>0.233411</v>
      </c>
      <c r="CK14" t="str">
        <v>124.755981</v>
      </c>
      <c r="CL14" t="str">
        <v>0.000237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PSF-00438_20260104140153_6c4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2025-12-11T16:13:02.852Z</v>
      </c>
    </row>
    <row r="15">
      <c r="A15" t="str">
        <v>12</v>
      </c>
      <c r="B15" t="str">
        <v>14:02:10</v>
      </c>
      <c r="C15" t="str">
        <v>2026-01-04</v>
      </c>
      <c r="D15" t="str">
        <v>TT25_psf</v>
      </c>
      <c r="E15" t="str">
        <v>eap</v>
      </c>
      <c r="F15" t="str">
        <v/>
      </c>
      <c r="G15" t="str">
        <v>2616_mai_green</v>
      </c>
      <c r="H15" t="str">
        <v/>
      </c>
      <c r="I15" t="str">
        <v/>
      </c>
      <c r="J15" t="str">
        <f>1/((1/L15)-(1/K15))</f>
        <v>0.030611</v>
      </c>
      <c r="K15" t="str">
        <f>BH15+(BI15*AN15)+(BJ15*AN15*POWER(V15,2))+(BK15*AN15*V15)+(BL15*POWER(AN15,2))</f>
        <v>2.921552</v>
      </c>
      <c r="L15" t="str">
        <f>((M15/1000)*(1000-((T15+S15)/2)))/(T15-S15)</f>
        <v>0.030294</v>
      </c>
      <c r="M15" t="str">
        <f>(AN15*(S15-R15))/(100*U15*(1000-S15))*1000</f>
        <v>0.515848</v>
      </c>
      <c r="N15" t="str">
        <v>1.024159</v>
      </c>
      <c r="O15" t="str">
        <v>1.011174</v>
      </c>
      <c r="P15" t="str">
        <f>0.61365*EXP((17.502*AL15)/(240.97+AL15))</f>
        <v>2.531566</v>
      </c>
      <c r="Q15" t="str">
        <f>P15-N15</f>
        <v>1.507407</v>
      </c>
      <c r="R15" t="str">
        <v>11.197754</v>
      </c>
      <c r="S15" t="str">
        <v>11.341554</v>
      </c>
      <c r="T15" t="str">
        <f>(P15/AM15)*1000</f>
        <v>28.034594</v>
      </c>
      <c r="U15" t="str">
        <f>V15*BG15</f>
        <v>0.441786</v>
      </c>
      <c r="V15" t="str">
        <v>7.500000</v>
      </c>
      <c r="W15" t="str">
        <v>PSF-00438_20260104140210_376</v>
      </c>
      <c r="X15" t="str">
        <v>0.000000</v>
      </c>
      <c r="Y15" t="str">
        <v>0.000000</v>
      </c>
      <c r="Z15" t="str">
        <v>0.000000</v>
      </c>
      <c r="AA15" t="str">
        <v>19.074799</v>
      </c>
      <c r="AB15" t="str">
        <v>59.856556</v>
      </c>
      <c r="AC15" t="str">
        <v>0.681325</v>
      </c>
      <c r="AD15" t="str">
        <v>0.5</v>
      </c>
      <c r="AE15" t="str">
        <v>0.80</v>
      </c>
      <c r="AF15" t="str">
        <f>AC15*AD15*AE15*AQ15</f>
        <v>29.970963</v>
      </c>
      <c r="AG15" t="str">
        <v>1.000000</v>
      </c>
      <c r="AH15" t="str">
        <v>36.73</v>
      </c>
      <c r="AI15" t="str">
        <v>36.27</v>
      </c>
      <c r="AJ15" t="str">
        <v>22.81</v>
      </c>
      <c r="AK15" t="str">
        <v>21.23</v>
      </c>
      <c r="AL15" t="str">
        <f>(AK15-AJ15)*(AJ15*0+0)+AK15</f>
        <v>21.23</v>
      </c>
      <c r="AM15" t="str">
        <v>90.30</v>
      </c>
      <c r="AN15" t="str">
        <v>156.7</v>
      </c>
      <c r="AO15" t="str">
        <v>158.3</v>
      </c>
      <c r="AP15" t="str">
        <v>-1.0</v>
      </c>
      <c r="AQ15" t="str">
        <v>110</v>
      </c>
      <c r="AR15" t="str">
        <v>4.011</v>
      </c>
      <c r="AS15" t="str">
        <v>13:57:20</v>
      </c>
      <c r="AT15" t="str">
        <v>2026-01-04</v>
      </c>
      <c r="AU15" t="str">
        <v>-0.17</v>
      </c>
      <c r="AV15" t="str">
        <v>1</v>
      </c>
      <c r="AW15" t="str">
        <v>-0.001</v>
      </c>
      <c r="AX15" t="str">
        <v>-0.000</v>
      </c>
      <c r="AY15" t="str">
        <v>-9999.000</v>
      </c>
      <c r="AZ15" t="str">
        <v>-0.021</v>
      </c>
      <c r="BA15" t="str">
        <v>-0.107</v>
      </c>
      <c r="BB15" t="str">
        <v>-9999.000</v>
      </c>
      <c r="BC15" t="str">
        <v>1</v>
      </c>
      <c r="BD15" t="str">
        <v>150</v>
      </c>
      <c r="BE15" t="str">
        <v>0.005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55.053947</v>
      </c>
      <c r="BX15" t="str">
        <v>25</v>
      </c>
      <c r="BY15" t="str">
        <v>-3.477993</v>
      </c>
      <c r="BZ15" t="str">
        <v>54.036499</v>
      </c>
      <c r="CA15" t="str">
        <v>54.884792</v>
      </c>
      <c r="CB15" t="str">
        <v>-0.848293</v>
      </c>
      <c r="CC15" t="str">
        <v>2.449294</v>
      </c>
      <c r="CD15" t="str">
        <v>2.464241</v>
      </c>
      <c r="CE15" t="str">
        <v>1.655336</v>
      </c>
      <c r="CF15" t="str">
        <v>0.942141</v>
      </c>
      <c r="CG15" t="str">
        <v>0.297635</v>
      </c>
      <c r="CH15" t="str">
        <v>-0.016951</v>
      </c>
      <c r="CI15" t="str">
        <v>0.089085</v>
      </c>
      <c r="CJ15" t="str">
        <v>0.206229</v>
      </c>
      <c r="CK15" t="str">
        <v>19.074799</v>
      </c>
      <c r="CL15" t="str">
        <v>0.000239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PSF-00438_20260104140210_376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2025-12-11T16:13:02.852Z</v>
      </c>
    </row>
    <row r="16">
      <c r="A16" t="str">
        <v>13</v>
      </c>
      <c r="B16" t="str">
        <v>14:02:28</v>
      </c>
      <c r="C16" t="str">
        <v>2026-01-04</v>
      </c>
      <c r="D16" t="str">
        <v>TT25_psf</v>
      </c>
      <c r="E16" t="str">
        <v>eap</v>
      </c>
      <c r="F16" t="str">
        <v/>
      </c>
      <c r="G16" t="str">
        <v>4781_mai_green</v>
      </c>
      <c r="H16" t="str">
        <v/>
      </c>
      <c r="I16" t="str">
        <v/>
      </c>
      <c r="J16" t="str">
        <f>1/((1/L16)-(1/K16))</f>
        <v>0.013328</v>
      </c>
      <c r="K16" t="str">
        <f>BH16+(BI16*AN16)+(BJ16*AN16*POWER(V16,2))+(BK16*AN16*V16)+(BL16*POWER(AN16,2))</f>
        <v>2.921218</v>
      </c>
      <c r="L16" t="str">
        <f>((M16/1000)*(1000-((T16+S16)/2)))/(T16-S16)</f>
        <v>0.013268</v>
      </c>
      <c r="M16" t="str">
        <f>(AN16*(S16-R16))/(100*U16*(1000-S16))*1000</f>
        <v>0.234809</v>
      </c>
      <c r="N16" t="str">
        <v>1.033870</v>
      </c>
      <c r="O16" t="str">
        <v>1.027959</v>
      </c>
      <c r="P16" t="str">
        <f>0.61365*EXP((17.502*AL16)/(240.97+AL16))</f>
        <v>2.599778</v>
      </c>
      <c r="Q16" t="str">
        <f>P16-N16</f>
        <v>1.565908</v>
      </c>
      <c r="R16" t="str">
        <v>11.383972</v>
      </c>
      <c r="S16" t="str">
        <v>11.449438</v>
      </c>
      <c r="T16" t="str">
        <f>(P16/AM16)*1000</f>
        <v>28.790855</v>
      </c>
      <c r="U16" t="str">
        <f>V16*BG16</f>
        <v>0.441786</v>
      </c>
      <c r="V16" t="str">
        <v>7.500000</v>
      </c>
      <c r="W16" t="str">
        <v>PSF-00438_20260104140228_2d7</v>
      </c>
      <c r="X16" t="str">
        <v>0.000000</v>
      </c>
      <c r="Y16" t="str">
        <v>0.000000</v>
      </c>
      <c r="Z16" t="str">
        <v>0.000000</v>
      </c>
      <c r="AA16" t="str">
        <v>98.702431</v>
      </c>
      <c r="AB16" t="str">
        <v>147.271179</v>
      </c>
      <c r="AC16" t="str">
        <v>0.329791</v>
      </c>
      <c r="AD16" t="str">
        <v>0.5</v>
      </c>
      <c r="AE16" t="str">
        <v>0.80</v>
      </c>
      <c r="AF16" t="str">
        <f>AC16*AD16*AE16*AQ16</f>
        <v>26.066463</v>
      </c>
      <c r="AG16" t="str">
        <v>1.000000</v>
      </c>
      <c r="AH16" t="str">
        <v>37.13</v>
      </c>
      <c r="AI16" t="str">
        <v>36.91</v>
      </c>
      <c r="AJ16" t="str">
        <v>22.79</v>
      </c>
      <c r="AK16" t="str">
        <v>21.67</v>
      </c>
      <c r="AL16" t="str">
        <f>(AK16-AJ16)*(AJ16*0+0)+AK16</f>
        <v>21.67</v>
      </c>
      <c r="AM16" t="str">
        <v>90.30</v>
      </c>
      <c r="AN16" t="str">
        <v>156.6</v>
      </c>
      <c r="AO16" t="str">
        <v>158.4</v>
      </c>
      <c r="AP16" t="str">
        <v>-1.1</v>
      </c>
      <c r="AQ16" t="str">
        <v>198</v>
      </c>
      <c r="AR16" t="str">
        <v>4.011</v>
      </c>
      <c r="AS16" t="str">
        <v>13:57:20</v>
      </c>
      <c r="AT16" t="str">
        <v>2026-01-04</v>
      </c>
      <c r="AU16" t="str">
        <v>-0.17</v>
      </c>
      <c r="AV16" t="str">
        <v>1</v>
      </c>
      <c r="AW16" t="str">
        <v>-0.001</v>
      </c>
      <c r="AX16" t="str">
        <v>-0.003</v>
      </c>
      <c r="AY16" t="str">
        <v>-9999.000</v>
      </c>
      <c r="AZ16" t="str">
        <v>0.236</v>
      </c>
      <c r="BA16" t="str">
        <v>0.754</v>
      </c>
      <c r="BB16" t="str">
        <v>-9999.000</v>
      </c>
      <c r="BC16" t="str">
        <v>1</v>
      </c>
      <c r="BD16" t="str">
        <v>150</v>
      </c>
      <c r="BE16" t="str">
        <v>0.005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145.446182</v>
      </c>
      <c r="BX16" t="str">
        <v>25</v>
      </c>
      <c r="BY16" t="str">
        <v>-1.239374</v>
      </c>
      <c r="BZ16" t="str">
        <v>145.496613</v>
      </c>
      <c r="CA16" t="str">
        <v>145.499512</v>
      </c>
      <c r="CB16" t="str">
        <v>-0.002899</v>
      </c>
      <c r="CC16" t="str">
        <v>2.450204</v>
      </c>
      <c r="CD16" t="str">
        <v>2.464798</v>
      </c>
      <c r="CE16" t="str">
        <v>1.654987</v>
      </c>
      <c r="CF16" t="str">
        <v>0.942349</v>
      </c>
      <c r="CG16" t="str">
        <v>0.297861</v>
      </c>
      <c r="CH16" t="str">
        <v>-0.011967</v>
      </c>
      <c r="CI16" t="str">
        <v>0.091426</v>
      </c>
      <c r="CJ16" t="str">
        <v>0.285054</v>
      </c>
      <c r="CK16" t="str">
        <v>98.702431</v>
      </c>
      <c r="CL16" t="str">
        <v>0.000237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PSF-00438_20260104140228_2d7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2025-12-11T16:13:02.852Z</v>
      </c>
    </row>
    <row r="17">
      <c r="A17" t="str">
        <v>14</v>
      </c>
      <c r="B17" t="str">
        <v>14:02:49</v>
      </c>
      <c r="C17" t="str">
        <v>2026-01-04</v>
      </c>
      <c r="D17" t="str">
        <v>TT25_psf</v>
      </c>
      <c r="E17" t="str">
        <v>eap</v>
      </c>
      <c r="F17" t="str">
        <v/>
      </c>
      <c r="G17" t="str">
        <v>2692_mai_pinkblue</v>
      </c>
      <c r="H17" t="str">
        <v/>
      </c>
      <c r="I17" t="str">
        <v/>
      </c>
      <c r="J17" t="str">
        <f>1/((1/L17)-(1/K17))</f>
        <v>0.022388</v>
      </c>
      <c r="K17" t="str">
        <f>BH17+(BI17*AN17)+(BJ17*AN17*POWER(V17,2))+(BK17*AN17*V17)+(BL17*POWER(AN17,2))</f>
        <v>2.921918</v>
      </c>
      <c r="L17" t="str">
        <f>((M17/1000)*(1000-((T17+S17)/2)))/(T17-S17)</f>
        <v>0.022218</v>
      </c>
      <c r="M17" t="str">
        <f>(AN17*(S17-R17))/(100*U17*(1000-S17))*1000</f>
        <v>0.392539</v>
      </c>
      <c r="N17" t="str">
        <v>1.048494</v>
      </c>
      <c r="O17" t="str">
        <v>1.038619</v>
      </c>
      <c r="P17" t="str">
        <f>0.61365*EXP((17.502*AL17)/(240.97+AL17))</f>
        <v>2.611522</v>
      </c>
      <c r="Q17" t="str">
        <f>P17-N17</f>
        <v>1.563028</v>
      </c>
      <c r="R17" t="str">
        <v>11.502128</v>
      </c>
      <c r="S17" t="str">
        <v>11.611492</v>
      </c>
      <c r="T17" t="str">
        <f>(P17/AM17)*1000</f>
        <v>28.921156</v>
      </c>
      <c r="U17" t="str">
        <f>V17*BG17</f>
        <v>0.441786</v>
      </c>
      <c r="V17" t="str">
        <v>7.500000</v>
      </c>
      <c r="W17" t="str">
        <v>PSF-00438_20260104140249_959</v>
      </c>
      <c r="X17" t="str">
        <v>0.000000</v>
      </c>
      <c r="Y17" t="str">
        <v>0.000000</v>
      </c>
      <c r="Z17" t="str">
        <v>0.000000</v>
      </c>
      <c r="AA17" t="str">
        <v>111.660004</v>
      </c>
      <c r="AB17" t="str">
        <v>277.786896</v>
      </c>
      <c r="AC17" t="str">
        <v>0.598037</v>
      </c>
      <c r="AD17" t="str">
        <v>0.5</v>
      </c>
      <c r="AE17" t="str">
        <v>0.80</v>
      </c>
      <c r="AF17" t="str">
        <f>AC17*AD17*AE17*AQ17</f>
        <v>31.700573</v>
      </c>
      <c r="AG17" t="str">
        <v>1.000000</v>
      </c>
      <c r="AH17" t="str">
        <v>37.70</v>
      </c>
      <c r="AI17" t="str">
        <v>37.34</v>
      </c>
      <c r="AJ17" t="str">
        <v>22.77</v>
      </c>
      <c r="AK17" t="str">
        <v>21.74</v>
      </c>
      <c r="AL17" t="str">
        <f>(AK17-AJ17)*(AJ17*0+0)+AK17</f>
        <v>21.74</v>
      </c>
      <c r="AM17" t="str">
        <v>90.30</v>
      </c>
      <c r="AN17" t="str">
        <v>156.7</v>
      </c>
      <c r="AO17" t="str">
        <v>158.6</v>
      </c>
      <c r="AP17" t="str">
        <v>-1.2</v>
      </c>
      <c r="AQ17" t="str">
        <v>133</v>
      </c>
      <c r="AR17" t="str">
        <v>4.010</v>
      </c>
      <c r="AS17" t="str">
        <v>13:57:20</v>
      </c>
      <c r="AT17" t="str">
        <v>2026-01-04</v>
      </c>
      <c r="AU17" t="str">
        <v>-0.17</v>
      </c>
      <c r="AV17" t="str">
        <v>1</v>
      </c>
      <c r="AW17" t="str">
        <v>0.001</v>
      </c>
      <c r="AX17" t="str">
        <v>-0.002</v>
      </c>
      <c r="AY17" t="str">
        <v>-9999.000</v>
      </c>
      <c r="AZ17" t="str">
        <v>0.271</v>
      </c>
      <c r="BA17" t="str">
        <v>0.698</v>
      </c>
      <c r="BB17" t="str">
        <v>-9999.000</v>
      </c>
      <c r="BC17" t="str">
        <v>1</v>
      </c>
      <c r="BD17" t="str">
        <v>150</v>
      </c>
      <c r="BE17" t="str">
        <v>0.005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271.665588</v>
      </c>
      <c r="BX17" t="str">
        <v>25</v>
      </c>
      <c r="BY17" t="str">
        <v>-4.119096</v>
      </c>
      <c r="BZ17" t="str">
        <v>273.043152</v>
      </c>
      <c r="CA17" t="str">
        <v>271.898682</v>
      </c>
      <c r="CB17" t="str">
        <v>1.144470</v>
      </c>
      <c r="CC17" t="str">
        <v>2.450810</v>
      </c>
      <c r="CD17" t="str">
        <v>2.465610</v>
      </c>
      <c r="CE17" t="str">
        <v>1.655719</v>
      </c>
      <c r="CF17" t="str">
        <v>0.942838</v>
      </c>
      <c r="CG17" t="str">
        <v>0.298107</v>
      </c>
      <c r="CH17" t="str">
        <v>-0.010923</v>
      </c>
      <c r="CI17" t="str">
        <v>0.094314</v>
      </c>
      <c r="CJ17" t="str">
        <v>0.226511</v>
      </c>
      <c r="CK17" t="str">
        <v>111.660004</v>
      </c>
      <c r="CL17" t="str">
        <v>0.000239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PSF-00438_20260104140249_959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2025-12-11T16:13:02.852Z</v>
      </c>
    </row>
    <row r="18">
      <c r="A18" t="str">
        <v>15</v>
      </c>
      <c r="B18" t="str">
        <v>14:03:09</v>
      </c>
      <c r="C18" t="str">
        <v>2026-01-04</v>
      </c>
      <c r="D18" t="str">
        <v>TT25_psf</v>
      </c>
      <c r="E18" t="str">
        <v>eap</v>
      </c>
      <c r="F18" t="str">
        <v/>
      </c>
      <c r="G18" t="str">
        <v>4834_mai_purple</v>
      </c>
      <c r="H18" t="str">
        <v/>
      </c>
      <c r="I18" t="str">
        <v/>
      </c>
      <c r="J18" t="str">
        <f>1/((1/L18)-(1/K18))</f>
        <v>0.013089</v>
      </c>
      <c r="K18" t="str">
        <f>BH18+(BI18*AN18)+(BJ18*AN18*POWER(V18,2))+(BK18*AN18*V18)+(BL18*POWER(AN18,2))</f>
        <v>2.922367</v>
      </c>
      <c r="L18" t="str">
        <f>((M18/1000)*(1000-((T18+S18)/2)))/(T18-S18)</f>
        <v>0.013031</v>
      </c>
      <c r="M18" t="str">
        <f>(AN18*(S18-R18))/(100*U18*(1000-S18))*1000</f>
        <v>0.231262</v>
      </c>
      <c r="N18" t="str">
        <v>1.061004</v>
      </c>
      <c r="O18" t="str">
        <v>1.055189</v>
      </c>
      <c r="P18" t="str">
        <f>0.61365*EXP((17.502*AL18)/(240.97+AL18))</f>
        <v>2.630622</v>
      </c>
      <c r="Q18" t="str">
        <f>P18-N18</f>
        <v>1.569618</v>
      </c>
      <c r="R18" t="str">
        <v>11.686702</v>
      </c>
      <c r="S18" t="str">
        <v>11.751101</v>
      </c>
      <c r="T18" t="str">
        <f>(P18/AM18)*1000</f>
        <v>29.135340</v>
      </c>
      <c r="U18" t="str">
        <f>V18*BG18</f>
        <v>0.441786</v>
      </c>
      <c r="V18" t="str">
        <v>7.500000</v>
      </c>
      <c r="W18" t="str">
        <v>PSF-00438_20260104140309_833</v>
      </c>
      <c r="X18" t="str">
        <v>0.000000</v>
      </c>
      <c r="Y18" t="str">
        <v>0.000000</v>
      </c>
      <c r="Z18" t="str">
        <v>0.000000</v>
      </c>
      <c r="AA18" t="str">
        <v>109.798553</v>
      </c>
      <c r="AB18" t="str">
        <v>178.360184</v>
      </c>
      <c r="AC18" t="str">
        <v>0.384400</v>
      </c>
      <c r="AD18" t="str">
        <v>0.5</v>
      </c>
      <c r="AE18" t="str">
        <v>0.80</v>
      </c>
      <c r="AF18" t="str">
        <f>AC18*AD18*AE18*AQ18</f>
        <v>26.176956</v>
      </c>
      <c r="AG18" t="str">
        <v>1.000000</v>
      </c>
      <c r="AH18" t="str">
        <v>38.19</v>
      </c>
      <c r="AI18" t="str">
        <v>37.98</v>
      </c>
      <c r="AJ18" t="str">
        <v>22.75</v>
      </c>
      <c r="AK18" t="str">
        <v>21.86</v>
      </c>
      <c r="AL18" t="str">
        <f>(AK18-AJ18)*(AJ18*0+0)+AK18</f>
        <v>21.86</v>
      </c>
      <c r="AM18" t="str">
        <v>90.29</v>
      </c>
      <c r="AN18" t="str">
        <v>156.8</v>
      </c>
      <c r="AO18" t="str">
        <v>158.4</v>
      </c>
      <c r="AP18" t="str">
        <v>-1.0</v>
      </c>
      <c r="AQ18" t="str">
        <v>170</v>
      </c>
      <c r="AR18" t="str">
        <v>4.010</v>
      </c>
      <c r="AS18" t="str">
        <v>13:57:20</v>
      </c>
      <c r="AT18" t="str">
        <v>2026-01-04</v>
      </c>
      <c r="AU18" t="str">
        <v>-0.17</v>
      </c>
      <c r="AV18" t="str">
        <v>1</v>
      </c>
      <c r="AW18" t="str">
        <v>0.001</v>
      </c>
      <c r="AX18" t="str">
        <v>0.001</v>
      </c>
      <c r="AY18" t="str">
        <v>-9999.000</v>
      </c>
      <c r="AZ18" t="str">
        <v>0.298</v>
      </c>
      <c r="BA18" t="str">
        <v>0.442</v>
      </c>
      <c r="BB18" t="str">
        <v>-9999.000</v>
      </c>
      <c r="BC18" t="str">
        <v>1</v>
      </c>
      <c r="BD18" t="str">
        <v>150</v>
      </c>
      <c r="BE18" t="str">
        <v>0.005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176.670670</v>
      </c>
      <c r="BX18" t="str">
        <v>25</v>
      </c>
      <c r="BY18" t="str">
        <v>-1.100856</v>
      </c>
      <c r="BZ18" t="str">
        <v>177.080505</v>
      </c>
      <c r="CA18" t="str">
        <v>176.786514</v>
      </c>
      <c r="CB18" t="str">
        <v>0.293991</v>
      </c>
      <c r="CC18" t="str">
        <v>2.451709</v>
      </c>
      <c r="CD18" t="str">
        <v>2.466310</v>
      </c>
      <c r="CE18" t="str">
        <v>1.656189</v>
      </c>
      <c r="CF18" t="str">
        <v>0.942279</v>
      </c>
      <c r="CG18" t="str">
        <v>0.298336</v>
      </c>
      <c r="CH18" t="str">
        <v>-0.009392</v>
      </c>
      <c r="CI18" t="str">
        <v>0.097039</v>
      </c>
      <c r="CJ18" t="str">
        <v>0.260449</v>
      </c>
      <c r="CK18" t="str">
        <v>109.798553</v>
      </c>
      <c r="CL18" t="str">
        <v>0.000239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PSF-00438_20260104140309_833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2025-12-11T16:13:02.852Z</v>
      </c>
    </row>
    <row r="19">
      <c r="A19" t="str">
        <v>16</v>
      </c>
      <c r="B19" t="str">
        <v>14:03:29</v>
      </c>
      <c r="C19" t="str">
        <v>2026-01-04</v>
      </c>
      <c r="D19" t="str">
        <v>TT25_psf</v>
      </c>
      <c r="E19" t="str">
        <v>eap</v>
      </c>
      <c r="F19" t="str">
        <v/>
      </c>
      <c r="G19" t="str">
        <v>5569_mai_purple</v>
      </c>
      <c r="H19" t="str">
        <v/>
      </c>
      <c r="I19" t="str">
        <v/>
      </c>
      <c r="J19" t="str">
        <f>1/((1/L19)-(1/K19))</f>
        <v>0.010619</v>
      </c>
      <c r="K19" t="str">
        <f>BH19+(BI19*AN19)+(BJ19*AN19*POWER(V19,2))+(BK19*AN19*V19)+(BL19*POWER(AN19,2))</f>
        <v>2.921487</v>
      </c>
      <c r="L19" t="str">
        <f>((M19/1000)*(1000-((T19+S19)/2)))/(T19-S19)</f>
        <v>0.010581</v>
      </c>
      <c r="M19" t="str">
        <f>(AN19*(S19-R19))/(100*U19*(1000-S19))*1000</f>
        <v>0.194260</v>
      </c>
      <c r="N19" t="str">
        <v>1.079258</v>
      </c>
      <c r="O19" t="str">
        <v>1.074371</v>
      </c>
      <c r="P19" t="str">
        <f>0.61365*EXP((17.502*AL19)/(240.97+AL19))</f>
        <v>2.702300</v>
      </c>
      <c r="Q19" t="str">
        <f>P19-N19</f>
        <v>1.623042</v>
      </c>
      <c r="R19" t="str">
        <v>11.898460</v>
      </c>
      <c r="S19" t="str">
        <v>11.952582</v>
      </c>
      <c r="T19" t="str">
        <f>(P19/AM19)*1000</f>
        <v>29.927460</v>
      </c>
      <c r="U19" t="str">
        <f>V19*BG19</f>
        <v>0.441786</v>
      </c>
      <c r="V19" t="str">
        <v>7.500000</v>
      </c>
      <c r="W19" t="str">
        <v>PSF-00438_20260104140329_13d</v>
      </c>
      <c r="X19" t="str">
        <v>0.000000</v>
      </c>
      <c r="Y19" t="str">
        <v>0.000000</v>
      </c>
      <c r="Z19" t="str">
        <v>0.000000</v>
      </c>
      <c r="AA19" t="str">
        <v>98.455307</v>
      </c>
      <c r="AB19" t="str">
        <v>99.332573</v>
      </c>
      <c r="AC19" t="str">
        <v>0.008832</v>
      </c>
      <c r="AD19" t="str">
        <v>0.5</v>
      </c>
      <c r="AE19" t="str">
        <v>0.80</v>
      </c>
      <c r="AF19" t="str">
        <f>AC19*AD19*AE19*AQ19</f>
        <v>0.218875</v>
      </c>
      <c r="AG19" t="str">
        <v>1.000000</v>
      </c>
      <c r="AH19" t="str">
        <v>38.89</v>
      </c>
      <c r="AI19" t="str">
        <v>38.71</v>
      </c>
      <c r="AJ19" t="str">
        <v>22.74</v>
      </c>
      <c r="AK19" t="str">
        <v>22.30</v>
      </c>
      <c r="AL19" t="str">
        <f>(AK19-AJ19)*(AJ19*0+0)+AK19</f>
        <v>22.30</v>
      </c>
      <c r="AM19" t="str">
        <v>90.29</v>
      </c>
      <c r="AN19" t="str">
        <v>156.7</v>
      </c>
      <c r="AO19" t="str">
        <v>158.4</v>
      </c>
      <c r="AP19" t="str">
        <v>-1.1</v>
      </c>
      <c r="AQ19" t="str">
        <v>62</v>
      </c>
      <c r="AR19" t="str">
        <v>4.009</v>
      </c>
      <c r="AS19" t="str">
        <v>13:57:20</v>
      </c>
      <c r="AT19" t="str">
        <v>2026-01-04</v>
      </c>
      <c r="AU19" t="str">
        <v>-0.17</v>
      </c>
      <c r="AV19" t="str">
        <v>1</v>
      </c>
      <c r="AW19" t="str">
        <v>-0.001</v>
      </c>
      <c r="AX19" t="str">
        <v>0.000</v>
      </c>
      <c r="AY19" t="str">
        <v>-9999.000</v>
      </c>
      <c r="AZ19" t="str">
        <v>0.045</v>
      </c>
      <c r="BA19" t="str">
        <v>0.045</v>
      </c>
      <c r="BB19" t="str">
        <v>-9999.000</v>
      </c>
      <c r="BC19" t="str">
        <v>1</v>
      </c>
      <c r="BD19" t="str">
        <v>150</v>
      </c>
      <c r="BE19" t="str">
        <v>0.005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99.332573</v>
      </c>
      <c r="BX19" t="str">
        <v>25</v>
      </c>
      <c r="BY19" t="str">
        <v>-0.190463</v>
      </c>
      <c r="BZ19" t="str">
        <v>98.532913</v>
      </c>
      <c r="CA19" t="str">
        <v>99.060310</v>
      </c>
      <c r="CB19" t="str">
        <v>-0.527397</v>
      </c>
      <c r="CC19" t="str">
        <v>2.452728</v>
      </c>
      <c r="CD19" t="str">
        <v>2.467290</v>
      </c>
      <c r="CE19" t="str">
        <v>1.655268</v>
      </c>
      <c r="CF19" t="str">
        <v>0.942494</v>
      </c>
      <c r="CG19" t="str">
        <v>0.298530</v>
      </c>
      <c r="CH19" t="str">
        <v>-0.004326</v>
      </c>
      <c r="CI19" t="str">
        <v>0.099607</v>
      </c>
      <c r="CJ19" t="str">
        <v>0.163036</v>
      </c>
      <c r="CK19" t="str">
        <v>98.455307</v>
      </c>
      <c r="CL19" t="str">
        <v>0.000236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PSF-00438_20260104140329_13d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2025-12-11T16:13:02.852Z</v>
      </c>
    </row>
    <row r="20">
      <c r="A20" t="str">
        <v>17</v>
      </c>
      <c r="B20" t="str">
        <v>14:03:52</v>
      </c>
      <c r="C20" t="str">
        <v>2026-01-04</v>
      </c>
      <c r="D20" t="str">
        <v>TT25_psf</v>
      </c>
      <c r="E20" t="str">
        <v>eap</v>
      </c>
      <c r="F20" t="str">
        <v/>
      </c>
      <c r="G20" t="str">
        <v>1499_mai_purple</v>
      </c>
      <c r="H20" t="str">
        <v/>
      </c>
      <c r="I20" t="str">
        <v/>
      </c>
      <c r="J20" t="str">
        <f>1/((1/L20)-(1/K20))</f>
        <v>0.041439</v>
      </c>
      <c r="K20" t="str">
        <f>BH20+(BI20*AN20)+(BJ20*AN20*POWER(V20,2))+(BK20*AN20*V20)+(BL20*POWER(AN20,2))</f>
        <v>2.922920</v>
      </c>
      <c r="L20" t="str">
        <f>((M20/1000)*(1000-((T20+S20)/2)))/(T20-S20)</f>
        <v>0.040860</v>
      </c>
      <c r="M20" t="str">
        <f>(AN20*(S20-R20))/(100*U20*(1000-S20))*1000</f>
        <v>0.758758</v>
      </c>
      <c r="N20" t="str">
        <v>1.038915</v>
      </c>
      <c r="O20" t="str">
        <v>1.019842</v>
      </c>
      <c r="P20" t="str">
        <f>0.61365*EXP((17.502*AL20)/(240.97+AL20))</f>
        <v>2.680994</v>
      </c>
      <c r="Q20" t="str">
        <f>P20-N20</f>
        <v>1.642079</v>
      </c>
      <c r="R20" t="str">
        <v>11.295553</v>
      </c>
      <c r="S20" t="str">
        <v>11.506804</v>
      </c>
      <c r="T20" t="str">
        <f>(P20/AM20)*1000</f>
        <v>29.694124</v>
      </c>
      <c r="U20" t="str">
        <f>V20*BG20</f>
        <v>0.441786</v>
      </c>
      <c r="V20" t="str">
        <v>7.500000</v>
      </c>
      <c r="W20" t="str">
        <v>PSF-00438_20260104140352_23e</v>
      </c>
      <c r="X20" t="str">
        <v>0.000000</v>
      </c>
      <c r="Y20" t="str">
        <v>0.000000</v>
      </c>
      <c r="Z20" t="str">
        <v>0.000000</v>
      </c>
      <c r="AA20" t="str">
        <v>103.633759</v>
      </c>
      <c r="AB20" t="str">
        <v>317.525696</v>
      </c>
      <c r="AC20" t="str">
        <v>0.673621</v>
      </c>
      <c r="AD20" t="str">
        <v>0.5</v>
      </c>
      <c r="AE20" t="str">
        <v>0.80</v>
      </c>
      <c r="AF20" t="str">
        <f>AC20*AD20*AE20*AQ20</f>
        <v>61.450188</v>
      </c>
      <c r="AG20" t="str">
        <v>1.000000</v>
      </c>
      <c r="AH20" t="str">
        <v>37.48</v>
      </c>
      <c r="AI20" t="str">
        <v>36.80</v>
      </c>
      <c r="AJ20" t="str">
        <v>22.72</v>
      </c>
      <c r="AK20" t="str">
        <v>22.17</v>
      </c>
      <c r="AL20" t="str">
        <f>(AK20-AJ20)*(AJ20*0+0)+AK20</f>
        <v>22.17</v>
      </c>
      <c r="AM20" t="str">
        <v>90.29</v>
      </c>
      <c r="AN20" t="str">
        <v>156.9</v>
      </c>
      <c r="AO20" t="str">
        <v>158.6</v>
      </c>
      <c r="AP20" t="str">
        <v>-1.1</v>
      </c>
      <c r="AQ20" t="str">
        <v>228</v>
      </c>
      <c r="AR20" t="str">
        <v>4.008</v>
      </c>
      <c r="AS20" t="str">
        <v>13:57:20</v>
      </c>
      <c r="AT20" t="str">
        <v>2026-01-04</v>
      </c>
      <c r="AU20" t="str">
        <v>-0.17</v>
      </c>
      <c r="AV20" t="str">
        <v>1</v>
      </c>
      <c r="AW20" t="str">
        <v>-0.000</v>
      </c>
      <c r="AX20" t="str">
        <v>-0.001</v>
      </c>
      <c r="AY20" t="str">
        <v>-9999.000</v>
      </c>
      <c r="AZ20" t="str">
        <v>-1.155</v>
      </c>
      <c r="BA20" t="str">
        <v>-2.055</v>
      </c>
      <c r="BB20" t="str">
        <v>-9999.000</v>
      </c>
      <c r="BC20" t="str">
        <v>1</v>
      </c>
      <c r="BD20" t="str">
        <v>150</v>
      </c>
      <c r="BE20" t="str">
        <v>0.005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301.446320</v>
      </c>
      <c r="BX20" t="str">
        <v>25</v>
      </c>
      <c r="BY20" t="str">
        <v>-11.327515</v>
      </c>
      <c r="BZ20" t="str">
        <v>298.749817</v>
      </c>
      <c r="CA20" t="str">
        <v>301.333099</v>
      </c>
      <c r="CB20" t="str">
        <v>-2.583282</v>
      </c>
      <c r="CC20" t="str">
        <v>2.450053</v>
      </c>
      <c r="CD20" t="str">
        <v>2.465320</v>
      </c>
      <c r="CE20" t="str">
        <v>1.656769</v>
      </c>
      <c r="CF20" t="str">
        <v>0.942989</v>
      </c>
      <c r="CG20" t="str">
        <v>0.298793</v>
      </c>
      <c r="CH20" t="str">
        <v>-0.005522</v>
      </c>
      <c r="CI20" t="str">
        <v>0.102681</v>
      </c>
      <c r="CJ20" t="str">
        <v>0.312456</v>
      </c>
      <c r="CK20" t="str">
        <v>103.633759</v>
      </c>
      <c r="CL20" t="str">
        <v>0.000236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PSF-00438_20260104140352_23e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2025-12-11T16:13:02.852Z</v>
      </c>
    </row>
    <row r="21">
      <c r="A21" t="str">
        <v>18</v>
      </c>
      <c r="B21" t="str">
        <v>14:04:09</v>
      </c>
      <c r="C21" t="str">
        <v>2026-01-04</v>
      </c>
      <c r="D21" t="str">
        <v>TT25_psf</v>
      </c>
      <c r="E21" t="str">
        <v>eap</v>
      </c>
      <c r="F21" t="str">
        <v/>
      </c>
      <c r="G21" t="str">
        <v>4874_mai_purple</v>
      </c>
      <c r="H21" t="str">
        <v/>
      </c>
      <c r="I21" t="str">
        <v/>
      </c>
      <c r="J21" t="str">
        <f>1/((1/L21)-(1/K21))</f>
        <v>0.009275</v>
      </c>
      <c r="K21" t="str">
        <f>BH21+(BI21*AN21)+(BJ21*AN21*POWER(V21,2))+(BK21*AN21*V21)+(BL21*POWER(AN21,2))</f>
        <v>2.922390</v>
      </c>
      <c r="L21" t="str">
        <f>((M21/1000)*(1000-((T21+S21)/2)))/(T21-S21)</f>
        <v>0.009246</v>
      </c>
      <c r="M21" t="str">
        <f>(AN21*(S21-R21))/(100*U21*(1000-S21))*1000</f>
        <v>0.170424</v>
      </c>
      <c r="N21" t="str">
        <v>1.014726</v>
      </c>
      <c r="O21" t="str">
        <v>1.010438</v>
      </c>
      <c r="P21" t="str">
        <f>0.61365*EXP((17.502*AL21)/(240.97+AL21))</f>
        <v>2.645285</v>
      </c>
      <c r="Q21" t="str">
        <f>P21-N21</f>
        <v>1.630559</v>
      </c>
      <c r="R21" t="str">
        <v>11.190567</v>
      </c>
      <c r="S21" t="str">
        <v>11.238049</v>
      </c>
      <c r="T21" t="str">
        <f>(P21/AM21)*1000</f>
        <v>29.296432</v>
      </c>
      <c r="U21" t="str">
        <f>V21*BG21</f>
        <v>0.441786</v>
      </c>
      <c r="V21" t="str">
        <v>7.500000</v>
      </c>
      <c r="W21" t="str">
        <v>PSF-00438_20260104140409_02f</v>
      </c>
      <c r="X21" t="str">
        <v>0.000000</v>
      </c>
      <c r="Y21" t="str">
        <v>0.000000</v>
      </c>
      <c r="Z21" t="str">
        <v>0.000000</v>
      </c>
      <c r="AA21" t="str">
        <v>122.754333</v>
      </c>
      <c r="AB21" t="str">
        <v>253.359680</v>
      </c>
      <c r="AC21" t="str">
        <v>0.515494</v>
      </c>
      <c r="AD21" t="str">
        <v>0.5</v>
      </c>
      <c r="AE21" t="str">
        <v>0.80</v>
      </c>
      <c r="AF21" t="str">
        <f>AC21*AD21*AE21*AQ21</f>
        <v>47.394222</v>
      </c>
      <c r="AG21" t="str">
        <v>1.000000</v>
      </c>
      <c r="AH21" t="str">
        <v>36.64</v>
      </c>
      <c r="AI21" t="str">
        <v>36.49</v>
      </c>
      <c r="AJ21" t="str">
        <v>22.70</v>
      </c>
      <c r="AK21" t="str">
        <v>21.95</v>
      </c>
      <c r="AL21" t="str">
        <f>(AK21-AJ21)*(AJ21*0+0)+AK21</f>
        <v>21.95</v>
      </c>
      <c r="AM21" t="str">
        <v>90.29</v>
      </c>
      <c r="AN21" t="str">
        <v>156.8</v>
      </c>
      <c r="AO21" t="str">
        <v>158.5</v>
      </c>
      <c r="AP21" t="str">
        <v>-1.1</v>
      </c>
      <c r="AQ21" t="str">
        <v>230</v>
      </c>
      <c r="AR21" t="str">
        <v>4.008</v>
      </c>
      <c r="AS21" t="str">
        <v>13:57:20</v>
      </c>
      <c r="AT21" t="str">
        <v>2026-01-04</v>
      </c>
      <c r="AU21" t="str">
        <v>-0.17</v>
      </c>
      <c r="AV21" t="str">
        <v>1</v>
      </c>
      <c r="AW21" t="str">
        <v>0.000</v>
      </c>
      <c r="AX21" t="str">
        <v>0.000</v>
      </c>
      <c r="AY21" t="str">
        <v>-9999.000</v>
      </c>
      <c r="AZ21" t="str">
        <v>1.473</v>
      </c>
      <c r="BA21" t="str">
        <v>2.872</v>
      </c>
      <c r="BB21" t="str">
        <v>-9999.000</v>
      </c>
      <c r="BC21" t="str">
        <v>1</v>
      </c>
      <c r="BD21" t="str">
        <v>150</v>
      </c>
      <c r="BE21" t="str">
        <v>0.005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253.359680</v>
      </c>
      <c r="BX21" t="str">
        <v>25</v>
      </c>
      <c r="BY21" t="str">
        <v>0.446539</v>
      </c>
      <c r="BZ21" t="str">
        <v>255.012268</v>
      </c>
      <c r="CA21" t="str">
        <v>253.998001</v>
      </c>
      <c r="CB21" t="str">
        <v>1.014267</v>
      </c>
      <c r="CC21" t="str">
        <v>2.449627</v>
      </c>
      <c r="CD21" t="str">
        <v>2.464136</v>
      </c>
      <c r="CE21" t="str">
        <v>1.656214</v>
      </c>
      <c r="CF21" t="str">
        <v>0.942638</v>
      </c>
      <c r="CG21" t="str">
        <v>0.298975</v>
      </c>
      <c r="CH21" t="str">
        <v>-0.007786</v>
      </c>
      <c r="CI21" t="str">
        <v>0.104849</v>
      </c>
      <c r="CJ21" t="str">
        <v>0.314066</v>
      </c>
      <c r="CK21" t="str">
        <v>122.754333</v>
      </c>
      <c r="CL21" t="str">
        <v>0.000240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PSF-00438_20260104140409_02f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2025-12-11T16:13:02.852Z</v>
      </c>
    </row>
    <row r="22">
      <c r="A22" t="str">
        <v>19</v>
      </c>
      <c r="B22" t="str">
        <v>14:04:29</v>
      </c>
      <c r="C22" t="str">
        <v>2026-01-04</v>
      </c>
      <c r="D22" t="str">
        <v>TT25_psf</v>
      </c>
      <c r="E22" t="str">
        <v>eap</v>
      </c>
      <c r="F22" t="str">
        <v/>
      </c>
      <c r="G22" t="str">
        <v>TT24_234_mai_purple</v>
      </c>
      <c r="H22" t="str">
        <v/>
      </c>
      <c r="I22" t="str">
        <v/>
      </c>
      <c r="J22" t="str">
        <f>1/((1/L22)-(1/K22))</f>
        <v>0.019784</v>
      </c>
      <c r="K22" t="str">
        <f>BH22+(BI22*AN22)+(BJ22*AN22*POWER(V22,2))+(BK22*AN22*V22)+(BL22*POWER(AN22,2))</f>
        <v>2.923331</v>
      </c>
      <c r="L22" t="str">
        <f>((M22/1000)*(1000-((T22+S22)/2)))/(T22-S22)</f>
        <v>0.019651</v>
      </c>
      <c r="M22" t="str">
        <f>(AN22*(S22-R22))/(100*U22*(1000-S22))*1000</f>
        <v>0.347505</v>
      </c>
      <c r="N22" t="str">
        <v>1.023818</v>
      </c>
      <c r="O22" t="str">
        <v>1.015082</v>
      </c>
      <c r="P22" t="str">
        <f>0.61365*EXP((17.502*AL22)/(240.97+AL22))</f>
        <v>2.588729</v>
      </c>
      <c r="Q22" t="str">
        <f>P22-N22</f>
        <v>1.564912</v>
      </c>
      <c r="R22" t="str">
        <v>11.241316</v>
      </c>
      <c r="S22" t="str">
        <v>11.338052</v>
      </c>
      <c r="T22" t="str">
        <f>(P22/AM22)*1000</f>
        <v>28.668339</v>
      </c>
      <c r="U22" t="str">
        <f>V22*BG22</f>
        <v>0.441786</v>
      </c>
      <c r="V22" t="str">
        <v>7.500000</v>
      </c>
      <c r="W22" t="str">
        <v>PSF-00438_20260104140429_4d2</v>
      </c>
      <c r="X22" t="str">
        <v>0.000000</v>
      </c>
      <c r="Y22" t="str">
        <v>0.000000</v>
      </c>
      <c r="Z22" t="str">
        <v>0.000000</v>
      </c>
      <c r="AA22" t="str">
        <v>103.637695</v>
      </c>
      <c r="AB22" t="str">
        <v>180.167191</v>
      </c>
      <c r="AC22" t="str">
        <v>0.424769</v>
      </c>
      <c r="AD22" t="str">
        <v>0.5</v>
      </c>
      <c r="AE22" t="str">
        <v>0.80</v>
      </c>
      <c r="AF22" t="str">
        <f>AC22*AD22*AE22*AQ22</f>
        <v>45.454487</v>
      </c>
      <c r="AG22" t="str">
        <v>1.000000</v>
      </c>
      <c r="AH22" t="str">
        <v>37.01</v>
      </c>
      <c r="AI22" t="str">
        <v>36.70</v>
      </c>
      <c r="AJ22" t="str">
        <v>22.68</v>
      </c>
      <c r="AK22" t="str">
        <v>21.60</v>
      </c>
      <c r="AL22" t="str">
        <f>(AK22-AJ22)*(AJ22*0+0)+AK22</f>
        <v>21.60</v>
      </c>
      <c r="AM22" t="str">
        <v>90.30</v>
      </c>
      <c r="AN22" t="str">
        <v>156.9</v>
      </c>
      <c r="AO22" t="str">
        <v>158.4</v>
      </c>
      <c r="AP22" t="str">
        <v>-0.9</v>
      </c>
      <c r="AQ22" t="str">
        <v>268</v>
      </c>
      <c r="AR22" t="str">
        <v>4.007</v>
      </c>
      <c r="AS22" t="str">
        <v>13:57:20</v>
      </c>
      <c r="AT22" t="str">
        <v>2026-01-04</v>
      </c>
      <c r="AU22" t="str">
        <v>-0.17</v>
      </c>
      <c r="AV22" t="str">
        <v>1</v>
      </c>
      <c r="AW22" t="str">
        <v>-0.001</v>
      </c>
      <c r="AX22" t="str">
        <v>-0.000</v>
      </c>
      <c r="AY22" t="str">
        <v>-9999.000</v>
      </c>
      <c r="AZ22" t="str">
        <v>0.432</v>
      </c>
      <c r="BA22" t="str">
        <v>0.626</v>
      </c>
      <c r="BB22" t="str">
        <v>-9999.000</v>
      </c>
      <c r="BC22" t="str">
        <v>1</v>
      </c>
      <c r="BD22" t="str">
        <v>150</v>
      </c>
      <c r="BE22" t="str">
        <v>0.005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177.496078</v>
      </c>
      <c r="BX22" t="str">
        <v>25</v>
      </c>
      <c r="BY22" t="str">
        <v>-1.778866</v>
      </c>
      <c r="BZ22" t="str">
        <v>178.203827</v>
      </c>
      <c r="CA22" t="str">
        <v>177.624313</v>
      </c>
      <c r="CB22" t="str">
        <v>0.579514</v>
      </c>
      <c r="CC22" t="str">
        <v>2.449921</v>
      </c>
      <c r="CD22" t="str">
        <v>2.464661</v>
      </c>
      <c r="CE22" t="str">
        <v>1.657202</v>
      </c>
      <c r="CF22" t="str">
        <v>0.942334</v>
      </c>
      <c r="CG22" t="str">
        <v>0.299185</v>
      </c>
      <c r="CH22" t="str">
        <v>-0.011493</v>
      </c>
      <c r="CI22" t="str">
        <v>0.107353</v>
      </c>
      <c r="CJ22" t="str">
        <v>0.347958</v>
      </c>
      <c r="CK22" t="str">
        <v>103.637695</v>
      </c>
      <c r="CL22" t="str">
        <v>0.000239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PSF-00438_20260104140429_4d2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2025-12-11T16:13:02.852Z</v>
      </c>
    </row>
    <row r="23">
      <c r="A23" t="str">
        <v>20</v>
      </c>
      <c r="B23" t="str">
        <v>14:04:52</v>
      </c>
      <c r="C23" t="str">
        <v>2026-01-04</v>
      </c>
      <c r="D23" t="str">
        <v>TT25_psf</v>
      </c>
      <c r="E23" t="str">
        <v>eap</v>
      </c>
      <c r="F23" t="str">
        <v/>
      </c>
      <c r="G23" t="str">
        <v>545_mai_red</v>
      </c>
      <c r="H23" t="str">
        <v/>
      </c>
      <c r="I23" t="str">
        <v/>
      </c>
      <c r="J23" t="str">
        <f>1/((1/L23)-(1/K23))</f>
        <v>0.056194</v>
      </c>
      <c r="K23" t="str">
        <f>BH23+(BI23*AN23)+(BJ23*AN23*POWER(V23,2))+(BK23*AN23*V23)+(BL23*POWER(AN23,2))</f>
        <v>2.921606</v>
      </c>
      <c r="L23" t="str">
        <f>((M23/1000)*(1000-((T23+S23)/2)))/(T23-S23)</f>
        <v>0.055133</v>
      </c>
      <c r="M23" t="str">
        <f>(AN23*(S23-R23))/(100*U23*(1000-S23))*1000</f>
        <v>0.913561</v>
      </c>
      <c r="N23" t="str">
        <v>1.027517</v>
      </c>
      <c r="O23" t="str">
        <v>1.004526</v>
      </c>
      <c r="P23" t="str">
        <f>0.61365*EXP((17.502*AL23)/(240.97+AL23))</f>
        <v>2.494434</v>
      </c>
      <c r="Q23" t="str">
        <f>P23-N23</f>
        <v>1.466917</v>
      </c>
      <c r="R23" t="str">
        <v>11.125607</v>
      </c>
      <c r="S23" t="str">
        <v>11.380255</v>
      </c>
      <c r="T23" t="str">
        <f>(P23/AM23)*1000</f>
        <v>27.627068</v>
      </c>
      <c r="U23" t="str">
        <f>V23*BG23</f>
        <v>0.441786</v>
      </c>
      <c r="V23" t="str">
        <v>7.500000</v>
      </c>
      <c r="W23" t="str">
        <v>PSF-00438_20260104140452_ad1</v>
      </c>
      <c r="X23" t="str">
        <v>0.000000</v>
      </c>
      <c r="Y23" t="str">
        <v>0.000000</v>
      </c>
      <c r="Z23" t="str">
        <v>0.000000</v>
      </c>
      <c r="AA23" t="str">
        <v>125.977997</v>
      </c>
      <c r="AB23" t="str">
        <v>332.345062</v>
      </c>
      <c r="AC23" t="str">
        <v>0.620942</v>
      </c>
      <c r="AD23" t="str">
        <v>0.5</v>
      </c>
      <c r="AE23" t="str">
        <v>0.80</v>
      </c>
      <c r="AF23" t="str">
        <f>AC23*AD23*AE23*AQ23</f>
        <v>41.176582</v>
      </c>
      <c r="AG23" t="str">
        <v>1.000000</v>
      </c>
      <c r="AH23" t="str">
        <v>37.20</v>
      </c>
      <c r="AI23" t="str">
        <v>36.37</v>
      </c>
      <c r="AJ23" t="str">
        <v>22.66</v>
      </c>
      <c r="AK23" t="str">
        <v>20.99</v>
      </c>
      <c r="AL23" t="str">
        <f>(AK23-AJ23)*(AJ23*0+0)+AK23</f>
        <v>20.99</v>
      </c>
      <c r="AM23" t="str">
        <v>90.29</v>
      </c>
      <c r="AN23" t="str">
        <v>156.7</v>
      </c>
      <c r="AO23" t="str">
        <v>158.0</v>
      </c>
      <c r="AP23" t="str">
        <v>-0.9</v>
      </c>
      <c r="AQ23" t="str">
        <v>166</v>
      </c>
      <c r="AR23" t="str">
        <v>3.984</v>
      </c>
      <c r="AS23" t="str">
        <v>13:57:20</v>
      </c>
      <c r="AT23" t="str">
        <v>2026-01-04</v>
      </c>
      <c r="AU23" t="str">
        <v>-0.17</v>
      </c>
      <c r="AV23" t="str">
        <v>1</v>
      </c>
      <c r="AW23" t="str">
        <v>0.001</v>
      </c>
      <c r="AX23" t="str">
        <v>0.001</v>
      </c>
      <c r="AY23" t="str">
        <v>-9999.000</v>
      </c>
      <c r="AZ23" t="str">
        <v>-0.063</v>
      </c>
      <c r="BA23" t="str">
        <v>-0.260</v>
      </c>
      <c r="BB23" t="str">
        <v>-9999.000</v>
      </c>
      <c r="BC23" t="str">
        <v>1</v>
      </c>
      <c r="BD23" t="str">
        <v>150</v>
      </c>
      <c r="BE23" t="str">
        <v>0.005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328.825226</v>
      </c>
      <c r="BX23" t="str">
        <v>25</v>
      </c>
      <c r="BY23" t="str">
        <v>-2.238164</v>
      </c>
      <c r="BZ23" t="str">
        <v>331.079376</v>
      </c>
      <c r="CA23" t="str">
        <v>329.145630</v>
      </c>
      <c r="CB23" t="str">
        <v>1.933746</v>
      </c>
      <c r="CC23" t="str">
        <v>2.449462</v>
      </c>
      <c r="CD23" t="str">
        <v>2.464930</v>
      </c>
      <c r="CE23" t="str">
        <v>1.655392</v>
      </c>
      <c r="CF23" t="str">
        <v>0.941444</v>
      </c>
      <c r="CG23" t="str">
        <v>0.299468</v>
      </c>
      <c r="CH23" t="str">
        <v>-0.017872</v>
      </c>
      <c r="CI23" t="str">
        <v>0.110368</v>
      </c>
      <c r="CJ23" t="str">
        <v>0.256434</v>
      </c>
      <c r="CK23" t="str">
        <v>125.977997</v>
      </c>
      <c r="CL23" t="str">
        <v>0.000236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PSF-00438_20260104140452_ad1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2025-12-11T16:13:02.852Z</v>
      </c>
    </row>
    <row r="24">
      <c r="A24" t="str">
        <v>21</v>
      </c>
      <c r="B24" t="str">
        <v>14:05:09</v>
      </c>
      <c r="C24" t="str">
        <v>2026-01-04</v>
      </c>
      <c r="D24" t="str">
        <v>TT25_psf</v>
      </c>
      <c r="E24" t="str">
        <v>eap</v>
      </c>
      <c r="F24" t="str">
        <v/>
      </c>
      <c r="G24" t="str">
        <v>4740_mai_red</v>
      </c>
      <c r="H24" t="str">
        <v/>
      </c>
      <c r="I24" t="str">
        <v/>
      </c>
      <c r="J24" t="str">
        <f>1/((1/L24)-(1/K24))</f>
        <v>0.009522</v>
      </c>
      <c r="K24" t="str">
        <f>BH24+(BI24*AN24)+(BJ24*AN24*POWER(V24,2))+(BK24*AN24*V24)+(BL24*POWER(AN24,2))</f>
        <v>2.921671</v>
      </c>
      <c r="L24" t="str">
        <f>((M24/1000)*(1000-((T24+S24)/2)))/(T24-S24)</f>
        <v>0.009491</v>
      </c>
      <c r="M24" t="str">
        <f>(AN24*(S24-R24))/(100*U24*(1000-S24))*1000</f>
        <v>0.180291</v>
      </c>
      <c r="N24" t="str">
        <v>1.003789</v>
      </c>
      <c r="O24" t="str">
        <v>0.999251</v>
      </c>
      <c r="P24" t="str">
        <f>0.61365*EXP((17.502*AL24)/(240.97+AL24))</f>
        <v>2.683872</v>
      </c>
      <c r="Q24" t="str">
        <f>P24-N24</f>
        <v>1.680083</v>
      </c>
      <c r="R24" t="str">
        <v>11.067245</v>
      </c>
      <c r="S24" t="str">
        <v>11.117511</v>
      </c>
      <c r="T24" t="str">
        <f>(P24/AM24)*1000</f>
        <v>29.725349</v>
      </c>
      <c r="U24" t="str">
        <f>V24*BG24</f>
        <v>0.441786</v>
      </c>
      <c r="V24" t="str">
        <v>7.500000</v>
      </c>
      <c r="W24" t="str">
        <v>PSF-00438_20260104140509_405</v>
      </c>
      <c r="X24" t="str">
        <v>0.000000</v>
      </c>
      <c r="Y24" t="str">
        <v>0.000000</v>
      </c>
      <c r="Z24" t="str">
        <v>0.000000</v>
      </c>
      <c r="AA24" t="str">
        <v>116.400719</v>
      </c>
      <c r="AB24" t="str">
        <v>128.645905</v>
      </c>
      <c r="AC24" t="str">
        <v>0.095185</v>
      </c>
      <c r="AD24" t="str">
        <v>0.5</v>
      </c>
      <c r="AE24" t="str">
        <v>0.80</v>
      </c>
      <c r="AF24" t="str">
        <f>AC24*AD24*AE24*AQ24</f>
        <v>3.746984</v>
      </c>
      <c r="AG24" t="str">
        <v>1.000000</v>
      </c>
      <c r="AH24" t="str">
        <v>36.38</v>
      </c>
      <c r="AI24" t="str">
        <v>36.21</v>
      </c>
      <c r="AJ24" t="str">
        <v>22.64</v>
      </c>
      <c r="AK24" t="str">
        <v>22.19</v>
      </c>
      <c r="AL24" t="str">
        <f>(AK24-AJ24)*(AJ24*0+0)+AK24</f>
        <v>22.19</v>
      </c>
      <c r="AM24" t="str">
        <v>90.29</v>
      </c>
      <c r="AN24" t="str">
        <v>156.7</v>
      </c>
      <c r="AO24" t="str">
        <v>158.5</v>
      </c>
      <c r="AP24" t="str">
        <v>-1.1</v>
      </c>
      <c r="AQ24" t="str">
        <v>98</v>
      </c>
      <c r="AR24" t="str">
        <v>4.006</v>
      </c>
      <c r="AS24" t="str">
        <v>13:57:20</v>
      </c>
      <c r="AT24" t="str">
        <v>2026-01-04</v>
      </c>
      <c r="AU24" t="str">
        <v>-0.17</v>
      </c>
      <c r="AV24" t="str">
        <v>1</v>
      </c>
      <c r="AW24" t="str">
        <v>0.001</v>
      </c>
      <c r="AX24" t="str">
        <v>0.001</v>
      </c>
      <c r="AY24" t="str">
        <v>-9999.000</v>
      </c>
      <c r="AZ24" t="str">
        <v>-0.048</v>
      </c>
      <c r="BA24" t="str">
        <v>-0.165</v>
      </c>
      <c r="BB24" t="str">
        <v>-9999.000</v>
      </c>
      <c r="BC24" t="str">
        <v>1</v>
      </c>
      <c r="BD24" t="str">
        <v>150</v>
      </c>
      <c r="BE24" t="str">
        <v>0.005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128.645905</v>
      </c>
      <c r="BX24" t="str">
        <v>25</v>
      </c>
      <c r="BY24" t="str">
        <v>0.277037</v>
      </c>
      <c r="BZ24" t="str">
        <v>128.564362</v>
      </c>
      <c r="CA24" t="str">
        <v>129.041931</v>
      </c>
      <c r="CB24" t="str">
        <v>-0.477570</v>
      </c>
      <c r="CC24" t="str">
        <v>2.449250</v>
      </c>
      <c r="CD24" t="str">
        <v>2.463771</v>
      </c>
      <c r="CE24" t="str">
        <v>1.655460</v>
      </c>
      <c r="CF24" t="str">
        <v>0.942572</v>
      </c>
      <c r="CG24" t="str">
        <v>0.299677</v>
      </c>
      <c r="CH24" t="str">
        <v>-0.004499</v>
      </c>
      <c r="CI24" t="str">
        <v>0.112436</v>
      </c>
      <c r="CJ24" t="str">
        <v>0.195830</v>
      </c>
      <c r="CK24" t="str">
        <v>116.400719</v>
      </c>
      <c r="CL24" t="str">
        <v>0.000237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PSF-00438_20260104140509_405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2025-12-11T16:13:02.852Z</v>
      </c>
    </row>
    <row r="25">
      <c r="A25" t="str">
        <v>22</v>
      </c>
      <c r="B25" t="str">
        <v>14:05:25</v>
      </c>
      <c r="C25" t="str">
        <v>2026-01-04</v>
      </c>
      <c r="D25" t="str">
        <v>TT25_psf</v>
      </c>
      <c r="E25" t="str">
        <v>eap</v>
      </c>
      <c r="F25" t="str">
        <v/>
      </c>
      <c r="G25" t="str">
        <v>5596_mai_red</v>
      </c>
      <c r="H25" t="str">
        <v/>
      </c>
      <c r="I25" t="str">
        <v/>
      </c>
      <c r="J25" t="str">
        <f>1/((1/L25)-(1/K25))</f>
        <v>0.048942</v>
      </c>
      <c r="K25" t="str">
        <f>BH25+(BI25*AN25)+(BJ25*AN25*POWER(V25,2))+(BK25*AN25*V25)+(BL25*POWER(AN25,2))</f>
        <v>2.920863</v>
      </c>
      <c r="L25" t="str">
        <f>((M25/1000)*(1000-((T25+S25)/2)))/(T25-S25)</f>
        <v>0.048136</v>
      </c>
      <c r="M25" t="str">
        <f>(AN25*(S25-R25))/(100*U25*(1000-S25))*1000</f>
        <v>0.798863</v>
      </c>
      <c r="N25" t="str">
        <v>1.016781</v>
      </c>
      <c r="O25" t="str">
        <v>0.996660</v>
      </c>
      <c r="P25" t="str">
        <f>0.61365*EXP((17.502*AL25)/(240.97+AL25))</f>
        <v>2.486270</v>
      </c>
      <c r="Q25" t="str">
        <f>P25-N25</f>
        <v>1.469489</v>
      </c>
      <c r="R25" t="str">
        <v>11.037700</v>
      </c>
      <c r="S25" t="str">
        <v>11.260533</v>
      </c>
      <c r="T25" t="str">
        <f>(P25/AM25)*1000</f>
        <v>27.534664</v>
      </c>
      <c r="U25" t="str">
        <f>V25*BG25</f>
        <v>0.441786</v>
      </c>
      <c r="V25" t="str">
        <v>7.500000</v>
      </c>
      <c r="W25" t="str">
        <v>PSF-00438_20260104140525_7be</v>
      </c>
      <c r="X25" t="str">
        <v>0.000000</v>
      </c>
      <c r="Y25" t="str">
        <v>0.000000</v>
      </c>
      <c r="Z25" t="str">
        <v>0.000000</v>
      </c>
      <c r="AA25" t="str">
        <v>127.522949</v>
      </c>
      <c r="AB25" t="str">
        <v>421.714203</v>
      </c>
      <c r="AC25" t="str">
        <v>0.697608</v>
      </c>
      <c r="AD25" t="str">
        <v>0.5</v>
      </c>
      <c r="AE25" t="str">
        <v>0.80</v>
      </c>
      <c r="AF25" t="str">
        <f>AC25*AD25*AE25*AQ25</f>
        <v>44.841343</v>
      </c>
      <c r="AG25" t="str">
        <v>1.000000</v>
      </c>
      <c r="AH25" t="str">
        <v>36.89</v>
      </c>
      <c r="AI25" t="str">
        <v>36.16</v>
      </c>
      <c r="AJ25" t="str">
        <v>22.63</v>
      </c>
      <c r="AK25" t="str">
        <v>20.94</v>
      </c>
      <c r="AL25" t="str">
        <f>(AK25-AJ25)*(AJ25*0+0)+AK25</f>
        <v>20.94</v>
      </c>
      <c r="AM25" t="str">
        <v>90.30</v>
      </c>
      <c r="AN25" t="str">
        <v>156.6</v>
      </c>
      <c r="AO25" t="str">
        <v>158.2</v>
      </c>
      <c r="AP25" t="str">
        <v>-1.0</v>
      </c>
      <c r="AQ25" t="str">
        <v>161</v>
      </c>
      <c r="AR25" t="str">
        <v>4.005</v>
      </c>
      <c r="AS25" t="str">
        <v>13:57:20</v>
      </c>
      <c r="AT25" t="str">
        <v>2026-01-04</v>
      </c>
      <c r="AU25" t="str">
        <v>-0.17</v>
      </c>
      <c r="AV25" t="str">
        <v>1</v>
      </c>
      <c r="AW25" t="str">
        <v>-0.000</v>
      </c>
      <c r="AX25" t="str">
        <v>0.001</v>
      </c>
      <c r="AY25" t="str">
        <v>-9999.000</v>
      </c>
      <c r="AZ25" t="str">
        <v>-0.340</v>
      </c>
      <c r="BA25" t="str">
        <v>-0.895</v>
      </c>
      <c r="BB25" t="str">
        <v>-9999.000</v>
      </c>
      <c r="BC25" t="str">
        <v>1</v>
      </c>
      <c r="BD25" t="str">
        <v>150</v>
      </c>
      <c r="BE25" t="str">
        <v>0.005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413.923859</v>
      </c>
      <c r="BX25" t="str">
        <v>25</v>
      </c>
      <c r="BY25" t="str">
        <v>-5.325663</v>
      </c>
      <c r="BZ25" t="str">
        <v>413.990723</v>
      </c>
      <c r="CA25" t="str">
        <v>414.101227</v>
      </c>
      <c r="CB25" t="str">
        <v>-0.110504</v>
      </c>
      <c r="CC25" t="str">
        <v>2.449172</v>
      </c>
      <c r="CD25" t="str">
        <v>2.464494</v>
      </c>
      <c r="CE25" t="str">
        <v>1.654616</v>
      </c>
      <c r="CF25" t="str">
        <v>0.941906</v>
      </c>
      <c r="CG25" t="str">
        <v>0.299876</v>
      </c>
      <c r="CH25" t="str">
        <v>-0.018075</v>
      </c>
      <c r="CI25" t="str">
        <v>0.114487</v>
      </c>
      <c r="CJ25" t="str">
        <v>0.251859</v>
      </c>
      <c r="CK25" t="str">
        <v>127.522949</v>
      </c>
      <c r="CL25" t="str">
        <v>0.000239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PSF-00438_20260104140525_7be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2025-12-11T16:13:02.852Z</v>
      </c>
    </row>
    <row r="26">
      <c r="A26" t="str">
        <v>23</v>
      </c>
      <c r="B26" t="str">
        <v>14:06:52</v>
      </c>
      <c r="C26" t="str">
        <v>2026-01-04</v>
      </c>
      <c r="D26" t="str">
        <v>TT25_psf</v>
      </c>
      <c r="E26" t="str">
        <v>eap</v>
      </c>
      <c r="F26" t="str">
        <v/>
      </c>
      <c r="G26" t="str">
        <v>5184_mai_red</v>
      </c>
      <c r="H26" t="str">
        <v/>
      </c>
      <c r="I26" t="str">
        <v/>
      </c>
      <c r="J26" t="str">
        <f>1/((1/L26)-(1/K26))</f>
        <v>0.024228</v>
      </c>
      <c r="K26" t="str">
        <f>BH26+(BI26*AN26)+(BJ26*AN26*POWER(V26,2))+(BK26*AN26*V26)+(BL26*POWER(AN26,2))</f>
        <v>2.921486</v>
      </c>
      <c r="L26" t="str">
        <f>((M26/1000)*(1000-((T26+S26)/2)))/(T26-S26)</f>
        <v>0.024029</v>
      </c>
      <c r="M26" t="str">
        <f>(AN26*(S26-R26))/(100*U26*(1000-S26))*1000</f>
        <v>0.412282</v>
      </c>
      <c r="N26" t="str">
        <v>1.000000</v>
      </c>
      <c r="O26" t="str">
        <v>0.989621</v>
      </c>
      <c r="P26" t="str">
        <f>0.61365*EXP((17.502*AL26)/(240.97+AL26))</f>
        <v>2.518826</v>
      </c>
      <c r="Q26" t="str">
        <f>P26-N26</f>
        <v>1.518827</v>
      </c>
      <c r="R26" t="str">
        <v>10.961714</v>
      </c>
      <c r="S26" t="str">
        <v>11.076680</v>
      </c>
      <c r="T26" t="str">
        <f>(P26/AM26)*1000</f>
        <v>27.900240</v>
      </c>
      <c r="U26" t="str">
        <f>V26*BG26</f>
        <v>0.441786</v>
      </c>
      <c r="V26" t="str">
        <v>7.500000</v>
      </c>
      <c r="W26" t="str">
        <v>PSF-00438_20260104140652_045</v>
      </c>
      <c r="X26" t="str">
        <v>0.000000</v>
      </c>
      <c r="Y26" t="str">
        <v>0.000000</v>
      </c>
      <c r="Z26" t="str">
        <v>0.000000</v>
      </c>
      <c r="AA26" t="str">
        <v>117.898819</v>
      </c>
      <c r="AB26" t="str">
        <v>372.760193</v>
      </c>
      <c r="AC26" t="str">
        <v>0.683714</v>
      </c>
      <c r="AD26" t="str">
        <v>0.5</v>
      </c>
      <c r="AE26" t="str">
        <v>0.80</v>
      </c>
      <c r="AF26" t="str">
        <f>AC26*AD26*AE26*AQ26</f>
        <v>62.994244</v>
      </c>
      <c r="AG26" t="str">
        <v>1.000000</v>
      </c>
      <c r="AH26" t="str">
        <v>36.42</v>
      </c>
      <c r="AI26" t="str">
        <v>36.04</v>
      </c>
      <c r="AJ26" t="str">
        <v>22.56</v>
      </c>
      <c r="AK26" t="str">
        <v>21.15</v>
      </c>
      <c r="AL26" t="str">
        <f>(AK26-AJ26)*(AJ26*0+0)+AK26</f>
        <v>21.15</v>
      </c>
      <c r="AM26" t="str">
        <v>90.28</v>
      </c>
      <c r="AN26" t="str">
        <v>156.7</v>
      </c>
      <c r="AO26" t="str">
        <v>158.2</v>
      </c>
      <c r="AP26" t="str">
        <v>-1.0</v>
      </c>
      <c r="AQ26" t="str">
        <v>230</v>
      </c>
      <c r="AR26" t="str">
        <v>4.004</v>
      </c>
      <c r="AS26" t="str">
        <v>13:57:20</v>
      </c>
      <c r="AT26" t="str">
        <v>2026-01-04</v>
      </c>
      <c r="AU26" t="str">
        <v>-0.17</v>
      </c>
      <c r="AV26" t="str">
        <v>1</v>
      </c>
      <c r="AW26" t="str">
        <v>0.001</v>
      </c>
      <c r="AX26" t="str">
        <v>0.001</v>
      </c>
      <c r="AY26" t="str">
        <v>-9999.000</v>
      </c>
      <c r="AZ26" t="str">
        <v>0.276</v>
      </c>
      <c r="BA26" t="str">
        <v>-0.903</v>
      </c>
      <c r="BB26" t="str">
        <v>-9999.000</v>
      </c>
      <c r="BC26" t="str">
        <v>1</v>
      </c>
      <c r="BD26" t="str">
        <v>150</v>
      </c>
      <c r="BE26" t="str">
        <v>0.005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362.708679</v>
      </c>
      <c r="BX26" t="str">
        <v>25</v>
      </c>
      <c r="BY26" t="str">
        <v>-6.914978</v>
      </c>
      <c r="BZ26" t="str">
        <v>363.140350</v>
      </c>
      <c r="CA26" t="str">
        <v>362.875305</v>
      </c>
      <c r="CB26" t="str">
        <v>0.265045</v>
      </c>
      <c r="CC26" t="str">
        <v>2.449027</v>
      </c>
      <c r="CD26" t="str">
        <v>2.463850</v>
      </c>
      <c r="CE26" t="str">
        <v>1.655266</v>
      </c>
      <c r="CF26" t="str">
        <v>0.941866</v>
      </c>
      <c r="CG26" t="str">
        <v>0.300664</v>
      </c>
      <c r="CH26" t="str">
        <v>-0.015025</v>
      </c>
      <c r="CI26" t="str">
        <v>0.125618</v>
      </c>
      <c r="CJ26" t="str">
        <v>0.314506</v>
      </c>
      <c r="CK26" t="str">
        <v>117.898819</v>
      </c>
      <c r="CL26" t="str">
        <v>0.000235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PSF-00438_20260104140652_045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2025-12-11T16:13:02.852Z</v>
      </c>
    </row>
    <row r="27">
      <c r="A27" t="str">
        <v>24</v>
      </c>
      <c r="B27" t="str">
        <v>14:07:08</v>
      </c>
      <c r="C27" t="str">
        <v>2026-01-04</v>
      </c>
      <c r="D27" t="str">
        <v>TT25_psf</v>
      </c>
      <c r="E27" t="str">
        <v>eap</v>
      </c>
      <c r="F27" t="str">
        <v/>
      </c>
      <c r="G27" t="str">
        <v>4844_mai_red</v>
      </c>
      <c r="H27" t="str">
        <v/>
      </c>
      <c r="I27" t="str">
        <v/>
      </c>
      <c r="J27" t="str">
        <f>1/((1/L27)-(1/K27))</f>
        <v>0.023771</v>
      </c>
      <c r="K27" t="str">
        <f>BH27+(BI27*AN27)+(BJ27*AN27*POWER(V27,2))+(BK27*AN27*V27)+(BL27*POWER(AN27,2))</f>
        <v>2.921195</v>
      </c>
      <c r="L27" t="str">
        <f>((M27/1000)*(1000-((T27+S27)/2)))/(T27-S27)</f>
        <v>0.023579</v>
      </c>
      <c r="M27" t="str">
        <f>(AN27*(S27-R27))/(100*U27*(1000-S27))*1000</f>
        <v>0.420932</v>
      </c>
      <c r="N27" t="str">
        <v>0.997852</v>
      </c>
      <c r="O27" t="str">
        <v>0.987253</v>
      </c>
      <c r="P27" t="str">
        <f>0.61365*EXP((17.502*AL27)/(240.97+AL27))</f>
        <v>2.577593</v>
      </c>
      <c r="Q27" t="str">
        <f>P27-N27</f>
        <v>1.579741</v>
      </c>
      <c r="R27" t="str">
        <v>10.935514</v>
      </c>
      <c r="S27" t="str">
        <v>11.052922</v>
      </c>
      <c r="T27" t="str">
        <f>(P27/AM27)*1000</f>
        <v>28.551254</v>
      </c>
      <c r="U27" t="str">
        <f>V27*BG27</f>
        <v>0.441786</v>
      </c>
      <c r="V27" t="str">
        <v>7.500000</v>
      </c>
      <c r="W27" t="str">
        <v>PSF-00438_20260104140708_3e0</v>
      </c>
      <c r="X27" t="str">
        <v>0.000000</v>
      </c>
      <c r="Y27" t="str">
        <v>0.000000</v>
      </c>
      <c r="Z27" t="str">
        <v>0.000000</v>
      </c>
      <c r="AA27" t="str">
        <v>120.466232</v>
      </c>
      <c r="AB27" t="str">
        <v>339.731171</v>
      </c>
      <c r="AC27" t="str">
        <v>0.645407</v>
      </c>
      <c r="AD27" t="str">
        <v>0.5</v>
      </c>
      <c r="AE27" t="str">
        <v>0.80</v>
      </c>
      <c r="AF27" t="str">
        <f>AC27*AD27*AE27*AQ27</f>
        <v>47.871300</v>
      </c>
      <c r="AG27" t="str">
        <v>1.000000</v>
      </c>
      <c r="AH27" t="str">
        <v>36.38</v>
      </c>
      <c r="AI27" t="str">
        <v>35.99</v>
      </c>
      <c r="AJ27" t="str">
        <v>22.55</v>
      </c>
      <c r="AK27" t="str">
        <v>21.52</v>
      </c>
      <c r="AL27" t="str">
        <f>(AK27-AJ27)*(AJ27*0+0)+AK27</f>
        <v>21.52</v>
      </c>
      <c r="AM27" t="str">
        <v>90.28</v>
      </c>
      <c r="AN27" t="str">
        <v>156.6</v>
      </c>
      <c r="AO27" t="str">
        <v>158.4</v>
      </c>
      <c r="AP27" t="str">
        <v>-1.1</v>
      </c>
      <c r="AQ27" t="str">
        <v>185</v>
      </c>
      <c r="AR27" t="str">
        <v>4.003</v>
      </c>
      <c r="AS27" t="str">
        <v>13:57:20</v>
      </c>
      <c r="AT27" t="str">
        <v>2026-01-04</v>
      </c>
      <c r="AU27" t="str">
        <v>-0.17</v>
      </c>
      <c r="AV27" t="str">
        <v>1</v>
      </c>
      <c r="AW27" t="str">
        <v>0.001</v>
      </c>
      <c r="AX27" t="str">
        <v>-0.001</v>
      </c>
      <c r="AY27" t="str">
        <v>-9999.000</v>
      </c>
      <c r="AZ27" t="str">
        <v>0.117</v>
      </c>
      <c r="BA27" t="str">
        <v>0.023</v>
      </c>
      <c r="BB27" t="str">
        <v>-9999.000</v>
      </c>
      <c r="BC27" t="str">
        <v>1</v>
      </c>
      <c r="BD27" t="str">
        <v>150</v>
      </c>
      <c r="BE27" t="str">
        <v>0.005</v>
      </c>
      <c r="BF27" t="str">
        <v>2.000000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5.000000</v>
      </c>
      <c r="BS27" t="str">
        <v>2.000000</v>
      </c>
      <c r="BT27" t="str">
        <v>300</v>
      </c>
      <c r="BU27" t="str">
        <v>300</v>
      </c>
      <c r="BV27" t="str">
        <v>300</v>
      </c>
      <c r="BW27" t="str">
        <v>333.031311</v>
      </c>
      <c r="BX27" t="str">
        <v>25</v>
      </c>
      <c r="BY27" t="str">
        <v>-4.665879</v>
      </c>
      <c r="BZ27" t="str">
        <v>335.404510</v>
      </c>
      <c r="CA27" t="str">
        <v>333.061340</v>
      </c>
      <c r="CB27" t="str">
        <v>2.343170</v>
      </c>
      <c r="CC27" t="str">
        <v>2.448955</v>
      </c>
      <c r="CD27" t="str">
        <v>2.463789</v>
      </c>
      <c r="CE27" t="str">
        <v>1.654962</v>
      </c>
      <c r="CF27" t="str">
        <v>0.942286</v>
      </c>
      <c r="CG27" t="str">
        <v>0.300848</v>
      </c>
      <c r="CH27" t="str">
        <v>-0.010721</v>
      </c>
      <c r="CI27" t="str">
        <v>0.127486</v>
      </c>
      <c r="CJ27" t="str">
        <v>0.274109</v>
      </c>
      <c r="CK27" t="str">
        <v>120.466232</v>
      </c>
      <c r="CL27" t="str">
        <v>0.000238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PSF-00438_20260104140708_3e0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2025-12-11T16:13:02.852Z</v>
      </c>
    </row>
    <row r="28">
      <c r="A28" t="str">
        <v>25</v>
      </c>
      <c r="B28" t="str">
        <v>14:07:22</v>
      </c>
      <c r="C28" t="str">
        <v>2026-01-04</v>
      </c>
      <c r="D28" t="str">
        <v>TT25_psf</v>
      </c>
      <c r="E28" t="str">
        <v>eap</v>
      </c>
      <c r="F28" t="str">
        <v/>
      </c>
      <c r="G28" t="str">
        <v>5600_mai_red</v>
      </c>
      <c r="H28" t="str">
        <v/>
      </c>
      <c r="I28" t="str">
        <v/>
      </c>
      <c r="J28" t="str">
        <f>1/((1/L28)-(1/K28))</f>
        <v>0.039791</v>
      </c>
      <c r="K28" t="str">
        <f>BH28+(BI28*AN28)+(BJ28*AN28*POWER(V28,2))+(BK28*AN28*V28)+(BL28*POWER(AN28,2))</f>
        <v>2.921266</v>
      </c>
      <c r="L28" t="str">
        <f>((M28/1000)*(1000-((T28+S28)/2)))/(T28-S28)</f>
        <v>0.039256</v>
      </c>
      <c r="M28" t="str">
        <f>(AN28*(S28-R28))/(100*U28*(1000-S28))*1000</f>
        <v>0.656179</v>
      </c>
      <c r="N28" t="str">
        <v>1.020395</v>
      </c>
      <c r="O28" t="str">
        <v>1.003877</v>
      </c>
      <c r="P28" t="str">
        <f>0.61365*EXP((17.502*AL28)/(240.97+AL28))</f>
        <v>2.499994</v>
      </c>
      <c r="Q28" t="str">
        <f>P28-N28</f>
        <v>1.479599</v>
      </c>
      <c r="R28" t="str">
        <v>11.119868</v>
      </c>
      <c r="S28" t="str">
        <v>11.302836</v>
      </c>
      <c r="T28" t="str">
        <f>(P28/AM28)*1000</f>
        <v>27.692249</v>
      </c>
      <c r="U28" t="str">
        <f>V28*BG28</f>
        <v>0.441786</v>
      </c>
      <c r="V28" t="str">
        <v>7.500000</v>
      </c>
      <c r="W28" t="str">
        <v>PSF-00438_20260104140722_33d</v>
      </c>
      <c r="X28" t="str">
        <v>0.000000</v>
      </c>
      <c r="Y28" t="str">
        <v>0.000000</v>
      </c>
      <c r="Z28" t="str">
        <v>0.000000</v>
      </c>
      <c r="AA28" t="str">
        <v>104.831818</v>
      </c>
      <c r="AB28" t="str">
        <v>368.020172</v>
      </c>
      <c r="AC28" t="str">
        <v>0.715147</v>
      </c>
      <c r="AD28" t="str">
        <v>0.5</v>
      </c>
      <c r="AE28" t="str">
        <v>0.80</v>
      </c>
      <c r="AF28" t="str">
        <f>AC28*AD28*AE28*AQ28</f>
        <v>48.182098</v>
      </c>
      <c r="AG28" t="str">
        <v>1.000000</v>
      </c>
      <c r="AH28" t="str">
        <v>37.23</v>
      </c>
      <c r="AI28" t="str">
        <v>36.63</v>
      </c>
      <c r="AJ28" t="str">
        <v>22.53</v>
      </c>
      <c r="AK28" t="str">
        <v>21.03</v>
      </c>
      <c r="AL28" t="str">
        <f>(AK28-AJ28)*(AJ28*0+0)+AK28</f>
        <v>21.03</v>
      </c>
      <c r="AM28" t="str">
        <v>90.28</v>
      </c>
      <c r="AN28" t="str">
        <v>156.6</v>
      </c>
      <c r="AO28" t="str">
        <v>158.4</v>
      </c>
      <c r="AP28" t="str">
        <v>-1.1</v>
      </c>
      <c r="AQ28" t="str">
        <v>168</v>
      </c>
      <c r="AR28" t="str">
        <v>4.002</v>
      </c>
      <c r="AS28" t="str">
        <v>13:57:20</v>
      </c>
      <c r="AT28" t="str">
        <v>2026-01-04</v>
      </c>
      <c r="AU28" t="str">
        <v>-0.17</v>
      </c>
      <c r="AV28" t="str">
        <v>1</v>
      </c>
      <c r="AW28" t="str">
        <v>0.003</v>
      </c>
      <c r="AX28" t="str">
        <v>0.002</v>
      </c>
      <c r="AY28" t="str">
        <v>-9999.000</v>
      </c>
      <c r="AZ28" t="str">
        <v>0.646</v>
      </c>
      <c r="BA28" t="str">
        <v>1.078</v>
      </c>
      <c r="BB28" t="str">
        <v>-9999.000</v>
      </c>
      <c r="BC28" t="str">
        <v>1</v>
      </c>
      <c r="BD28" t="str">
        <v>150</v>
      </c>
      <c r="BE28" t="str">
        <v>0.005</v>
      </c>
      <c r="BF28" t="str">
        <v>2.000000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5.000000</v>
      </c>
      <c r="BS28" t="str">
        <v>2.000000</v>
      </c>
      <c r="BT28" t="str">
        <v>300</v>
      </c>
      <c r="BU28" t="str">
        <v>300</v>
      </c>
      <c r="BV28" t="str">
        <v>300</v>
      </c>
      <c r="BW28" t="str">
        <v>350.252502</v>
      </c>
      <c r="BX28" t="str">
        <v>25</v>
      </c>
      <c r="BY28" t="str">
        <v>-14.106993</v>
      </c>
      <c r="BZ28" t="str">
        <v>346.484894</v>
      </c>
      <c r="CA28" t="str">
        <v>347.854340</v>
      </c>
      <c r="CB28" t="str">
        <v>-1.369446</v>
      </c>
      <c r="CC28" t="str">
        <v>2.449853</v>
      </c>
      <c r="CD28" t="str">
        <v>2.464999</v>
      </c>
      <c r="CE28" t="str">
        <v>1.655036</v>
      </c>
      <c r="CF28" t="str">
        <v>0.942509</v>
      </c>
      <c r="CG28" t="str">
        <v>0.301008</v>
      </c>
      <c r="CH28" t="str">
        <v>-0.016045</v>
      </c>
      <c r="CI28" t="str">
        <v>0.129169</v>
      </c>
      <c r="CJ28" t="str">
        <v>0.258819</v>
      </c>
      <c r="CK28" t="str">
        <v>104.831818</v>
      </c>
      <c r="CL28" t="str">
        <v>0.000238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PSF-00438_20260104140722_33d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2025-12-11T16:13:02.852Z</v>
      </c>
    </row>
    <row r="29">
      <c r="A29" t="str">
        <v>26</v>
      </c>
      <c r="B29" t="str">
        <v>14:07:58</v>
      </c>
      <c r="C29" t="str">
        <v>2026-01-04</v>
      </c>
      <c r="D29" t="str">
        <v>TT25_psf</v>
      </c>
      <c r="E29" t="str">
        <v>eap</v>
      </c>
      <c r="F29" t="str">
        <v/>
      </c>
      <c r="G29" t="str">
        <v>TT24_111_mai_red</v>
      </c>
      <c r="H29" t="str">
        <v/>
      </c>
      <c r="I29" t="str">
        <v/>
      </c>
      <c r="J29" t="str">
        <f>1/((1/L29)-(1/K29))</f>
        <v>-0.016311</v>
      </c>
      <c r="K29" t="str">
        <f>BH29+(BI29*AN29)+(BJ29*AN29*POWER(V29,2))+(BK29*AN29*V29)+(BL29*POWER(AN29,2))</f>
        <v>2.921649</v>
      </c>
      <c r="L29" t="str">
        <f>((M29/1000)*(1000-((T29+S29)/2)))/(T29-S29)</f>
        <v>-0.016402</v>
      </c>
      <c r="M29" t="str">
        <f>(AN29*(S29-R29))/(100*U29*(1000-S29))*1000</f>
        <v>-0.290263</v>
      </c>
      <c r="N29" t="str">
        <v>0.988023</v>
      </c>
      <c r="O29" t="str">
        <v>0.995331</v>
      </c>
      <c r="P29" t="str">
        <f>0.61365*EXP((17.502*AL29)/(240.97+AL29))</f>
        <v>2.554510</v>
      </c>
      <c r="Q29" t="str">
        <f>P29-N29</f>
        <v>1.566487</v>
      </c>
      <c r="R29" t="str">
        <v>11.023655</v>
      </c>
      <c r="S29" t="str">
        <v>10.942714</v>
      </c>
      <c r="T29" t="str">
        <f>(P29/AM29)*1000</f>
        <v>28.292124</v>
      </c>
      <c r="U29" t="str">
        <f>V29*BG29</f>
        <v>0.441786</v>
      </c>
      <c r="V29" t="str">
        <v>7.500000</v>
      </c>
      <c r="W29" t="str">
        <v>PSF-00438_20260104140758_1ac</v>
      </c>
      <c r="X29" t="str">
        <v>0.000000</v>
      </c>
      <c r="Y29" t="str">
        <v>0.000000</v>
      </c>
      <c r="Z29" t="str">
        <v>0.000000</v>
      </c>
      <c r="AA29" t="str">
        <v>120.098946</v>
      </c>
      <c r="AB29" t="str">
        <v>430.825897</v>
      </c>
      <c r="AC29" t="str">
        <v>0.721236</v>
      </c>
      <c r="AD29" t="str">
        <v>0.5</v>
      </c>
      <c r="AE29" t="str">
        <v>0.80</v>
      </c>
      <c r="AF29" t="str">
        <f>AC29*AD29*AE29*AQ29</f>
        <v>29.288937</v>
      </c>
      <c r="AG29" t="str">
        <v>1.000000</v>
      </c>
      <c r="AH29" t="str">
        <v>36.12</v>
      </c>
      <c r="AI29" t="str">
        <v>36.39</v>
      </c>
      <c r="AJ29" t="str">
        <v>22.50</v>
      </c>
      <c r="AK29" t="str">
        <v>21.38</v>
      </c>
      <c r="AL29" t="str">
        <f>(AK29-AJ29)*(AJ29*0+0)+AK29</f>
        <v>21.38</v>
      </c>
      <c r="AM29" t="str">
        <v>90.29</v>
      </c>
      <c r="AN29" t="str">
        <v>156.7</v>
      </c>
      <c r="AO29" t="str">
        <v>158.2</v>
      </c>
      <c r="AP29" t="str">
        <v>-1.0</v>
      </c>
      <c r="AQ29" t="str">
        <v>102</v>
      </c>
      <c r="AR29" t="str">
        <v>4.002</v>
      </c>
      <c r="AS29" t="str">
        <v>14:07:51</v>
      </c>
      <c r="AT29" t="str">
        <v>2026-01-04</v>
      </c>
      <c r="AU29" t="str">
        <v>-1.64</v>
      </c>
      <c r="AV29" t="str">
        <v>0</v>
      </c>
      <c r="AW29" t="str">
        <v>0.001</v>
      </c>
      <c r="AX29" t="str">
        <v>-0.001</v>
      </c>
      <c r="AY29" t="str">
        <v>-9999.000</v>
      </c>
      <c r="AZ29" t="str">
        <v>0.008</v>
      </c>
      <c r="BA29" t="str">
        <v>0.095</v>
      </c>
      <c r="BB29" t="str">
        <v>-9999.000</v>
      </c>
      <c r="BC29" t="str">
        <v>1</v>
      </c>
      <c r="BD29" t="str">
        <v>150</v>
      </c>
      <c r="BE29" t="str">
        <v>0.005</v>
      </c>
      <c r="BF29" t="str">
        <v>2.000000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5.000000</v>
      </c>
      <c r="BS29" t="str">
        <v>2.000000</v>
      </c>
      <c r="BT29" t="str">
        <v>300</v>
      </c>
      <c r="BU29" t="str">
        <v>300</v>
      </c>
      <c r="BV29" t="str">
        <v>300</v>
      </c>
      <c r="BW29" t="str">
        <v>414.204254</v>
      </c>
      <c r="BX29" t="str">
        <v>25</v>
      </c>
      <c r="BY29" t="str">
        <v>-12.714520</v>
      </c>
      <c r="BZ29" t="str">
        <v>410.132660</v>
      </c>
      <c r="CA29" t="str">
        <v>412.650604</v>
      </c>
      <c r="CB29" t="str">
        <v>-2.517944</v>
      </c>
      <c r="CC29" t="str">
        <v>2.449519</v>
      </c>
      <c r="CD29" t="str">
        <v>2.465514</v>
      </c>
      <c r="CE29" t="str">
        <v>1.655437</v>
      </c>
      <c r="CF29" t="str">
        <v>0.942003</v>
      </c>
      <c r="CG29" t="str">
        <v>0.301390</v>
      </c>
      <c r="CH29" t="str">
        <v>-0.011835</v>
      </c>
      <c r="CI29" t="str">
        <v>0.133718</v>
      </c>
      <c r="CJ29" t="str">
        <v>0.198628</v>
      </c>
      <c r="CK29" t="str">
        <v>120.098946</v>
      </c>
      <c r="CL29" t="str">
        <v>0.000240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PSF-00438_20260104140758_1ac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2025-12-11T16:13:02.852Z</v>
      </c>
    </row>
    <row r="30">
      <c r="A30" t="str">
        <v>27</v>
      </c>
      <c r="B30" t="str">
        <v>14:08:12</v>
      </c>
      <c r="C30" t="str">
        <v>2026-01-04</v>
      </c>
      <c r="D30" t="str">
        <v>TT25_psf</v>
      </c>
      <c r="E30" t="str">
        <v>eap</v>
      </c>
      <c r="F30" t="str">
        <v/>
      </c>
      <c r="G30" t="str">
        <v>5122_mai_red</v>
      </c>
      <c r="H30" t="str">
        <v/>
      </c>
      <c r="I30" t="str">
        <v/>
      </c>
      <c r="J30" t="str">
        <f>1/((1/L30)-(1/K30))</f>
        <v>-0.054315</v>
      </c>
      <c r="K30" t="str">
        <f>BH30+(BI30*AN30)+(BJ30*AN30*POWER(V30,2))+(BK30*AN30*V30)+(BL30*POWER(AN30,2))</f>
        <v>2.921839</v>
      </c>
      <c r="L30" t="str">
        <f>((M30/1000)*(1000-((T30+S30)/2)))/(T30-S30)</f>
        <v>-0.055344</v>
      </c>
      <c r="M30" t="str">
        <f>(AN30*(S30-R30))/(100*U30*(1000-S30))*1000</f>
        <v>-0.995063</v>
      </c>
      <c r="N30" t="str">
        <v>0.955388</v>
      </c>
      <c r="O30" t="str">
        <v>0.980446</v>
      </c>
      <c r="P30" t="str">
        <f>0.61365*EXP((17.502*AL30)/(240.97+AL30))</f>
        <v>2.547228</v>
      </c>
      <c r="Q30" t="str">
        <f>P30-N30</f>
        <v>1.591841</v>
      </c>
      <c r="R30" t="str">
        <v>10.859212</v>
      </c>
      <c r="S30" t="str">
        <v>10.581674</v>
      </c>
      <c r="T30" t="str">
        <f>(P30/AM30)*1000</f>
        <v>28.212568</v>
      </c>
      <c r="U30" t="str">
        <f>V30*BG30</f>
        <v>0.441786</v>
      </c>
      <c r="V30" t="str">
        <v>7.500000</v>
      </c>
      <c r="W30" t="str">
        <v>PSF-00438_20260104140812_3f7</v>
      </c>
      <c r="X30" t="str">
        <v>0.000000</v>
      </c>
      <c r="Y30" t="str">
        <v>0.000000</v>
      </c>
      <c r="Z30" t="str">
        <v>0.000000</v>
      </c>
      <c r="AA30" t="str">
        <v>119.150162</v>
      </c>
      <c r="AB30" t="str">
        <v>299.812469</v>
      </c>
      <c r="AC30" t="str">
        <v>0.602584</v>
      </c>
      <c r="AD30" t="str">
        <v>0.5</v>
      </c>
      <c r="AE30" t="str">
        <v>0.80</v>
      </c>
      <c r="AF30" t="str">
        <f>AC30*AD30*AE30*AQ30</f>
        <v>56.575317</v>
      </c>
      <c r="AG30" t="str">
        <v>1.000000</v>
      </c>
      <c r="AH30" t="str">
        <v>34.95</v>
      </c>
      <c r="AI30" t="str">
        <v>35.87</v>
      </c>
      <c r="AJ30" t="str">
        <v>22.49</v>
      </c>
      <c r="AK30" t="str">
        <v>21.33</v>
      </c>
      <c r="AL30" t="str">
        <f>(AK30-AJ30)*(AJ30*0+0)+AK30</f>
        <v>21.33</v>
      </c>
      <c r="AM30" t="str">
        <v>90.29</v>
      </c>
      <c r="AN30" t="str">
        <v>156.7</v>
      </c>
      <c r="AO30" t="str">
        <v>158.4</v>
      </c>
      <c r="AP30" t="str">
        <v>-1.1</v>
      </c>
      <c r="AQ30" t="str">
        <v>235</v>
      </c>
      <c r="AR30" t="str">
        <v>3.996</v>
      </c>
      <c r="AS30" t="str">
        <v>14:07:51</v>
      </c>
      <c r="AT30" t="str">
        <v>2026-01-04</v>
      </c>
      <c r="AU30" t="str">
        <v>-1.64</v>
      </c>
      <c r="AV30" t="str">
        <v>0</v>
      </c>
      <c r="AW30" t="str">
        <v>0.002</v>
      </c>
      <c r="AX30" t="str">
        <v>0.001</v>
      </c>
      <c r="AY30" t="str">
        <v>-9999.000</v>
      </c>
      <c r="AZ30" t="str">
        <v>0.173</v>
      </c>
      <c r="BA30" t="str">
        <v>0.565</v>
      </c>
      <c r="BB30" t="str">
        <v>-9999.000</v>
      </c>
      <c r="BC30" t="str">
        <v>1</v>
      </c>
      <c r="BD30" t="str">
        <v>150</v>
      </c>
      <c r="BE30" t="str">
        <v>0.005</v>
      </c>
      <c r="BF30" t="str">
        <v>2.000000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5.000000</v>
      </c>
      <c r="BS30" t="str">
        <v>2.000000</v>
      </c>
      <c r="BT30" t="str">
        <v>300</v>
      </c>
      <c r="BU30" t="str">
        <v>300</v>
      </c>
      <c r="BV30" t="str">
        <v>300</v>
      </c>
      <c r="BW30" t="str">
        <v>296.381592</v>
      </c>
      <c r="BX30" t="str">
        <v>25</v>
      </c>
      <c r="BY30" t="str">
        <v>-2.243632</v>
      </c>
      <c r="BZ30" t="str">
        <v>299.039856</v>
      </c>
      <c r="CA30" t="str">
        <v>296.605225</v>
      </c>
      <c r="CB30" t="str">
        <v>2.434631</v>
      </c>
      <c r="CC30" t="str">
        <v>2.448787</v>
      </c>
      <c r="CD30" t="str">
        <v>2.463860</v>
      </c>
      <c r="CE30" t="str">
        <v>1.655636</v>
      </c>
      <c r="CF30" t="str">
        <v>0.942389</v>
      </c>
      <c r="CG30" t="str">
        <v>0.301522</v>
      </c>
      <c r="CH30" t="str">
        <v>-0.012224</v>
      </c>
      <c r="CI30" t="str">
        <v>0.135355</v>
      </c>
      <c r="CJ30" t="str">
        <v>0.318447</v>
      </c>
      <c r="CK30" t="str">
        <v>119.150162</v>
      </c>
      <c r="CL30" t="str">
        <v>0.000240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PSF-00438_20260104140812_3f7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2025-12-11T16:13:02.852Z</v>
      </c>
    </row>
    <row r="31">
      <c r="A31" t="str">
        <v>28</v>
      </c>
      <c r="B31" t="str">
        <v>14:08:26</v>
      </c>
      <c r="C31" t="str">
        <v>2026-01-04</v>
      </c>
      <c r="D31" t="str">
        <v>TT25_psf</v>
      </c>
      <c r="E31" t="str">
        <v>eap</v>
      </c>
      <c r="F31" t="str">
        <v/>
      </c>
      <c r="G31" t="str">
        <v>2689_mai_red</v>
      </c>
      <c r="H31" t="str">
        <v/>
      </c>
      <c r="I31" t="str">
        <v/>
      </c>
      <c r="J31" t="str">
        <f>1/((1/L31)-(1/K31))</f>
        <v>-0.050761</v>
      </c>
      <c r="K31" t="str">
        <f>BH31+(BI31*AN31)+(BJ31*AN31*POWER(V31,2))+(BK31*AN31*V31)+(BL31*POWER(AN31,2))</f>
        <v>2.922092</v>
      </c>
      <c r="L31" t="str">
        <f>((M31/1000)*(1000-((T31+S31)/2)))/(T31-S31)</f>
        <v>-0.051659</v>
      </c>
      <c r="M31" t="str">
        <f>(AN31*(S31-R31))/(100*U31*(1000-S31))*1000</f>
        <v>-0.946880</v>
      </c>
      <c r="N31" t="str">
        <v>0.956631</v>
      </c>
      <c r="O31" t="str">
        <v>0.980470</v>
      </c>
      <c r="P31" t="str">
        <f>0.61365*EXP((17.502*AL31)/(240.97+AL31))</f>
        <v>2.579104</v>
      </c>
      <c r="Q31" t="str">
        <f>P31-N31</f>
        <v>1.622473</v>
      </c>
      <c r="R31" t="str">
        <v>10.859725</v>
      </c>
      <c r="S31" t="str">
        <v>10.595683</v>
      </c>
      <c r="T31" t="str">
        <f>(P31/AM31)*1000</f>
        <v>28.566248</v>
      </c>
      <c r="U31" t="str">
        <f>V31*BG31</f>
        <v>0.441786</v>
      </c>
      <c r="V31" t="str">
        <v>7.500000</v>
      </c>
      <c r="W31" t="str">
        <v>PSF-00438_20260104140826_132</v>
      </c>
      <c r="X31" t="str">
        <v>0.000000</v>
      </c>
      <c r="Y31" t="str">
        <v>0.000000</v>
      </c>
      <c r="Z31" t="str">
        <v>0.000000</v>
      </c>
      <c r="AA31" t="str">
        <v>132.646317</v>
      </c>
      <c r="AB31" t="str">
        <v>393.991486</v>
      </c>
      <c r="AC31" t="str">
        <v>0.663327</v>
      </c>
      <c r="AD31" t="str">
        <v>0.5</v>
      </c>
      <c r="AE31" t="str">
        <v>0.80</v>
      </c>
      <c r="AF31" t="str">
        <f>AC31*AD31*AE31*AQ31</f>
        <v>34.173897</v>
      </c>
      <c r="AG31" t="str">
        <v>1.000000</v>
      </c>
      <c r="AH31" t="str">
        <v>35.02</v>
      </c>
      <c r="AI31" t="str">
        <v>35.89</v>
      </c>
      <c r="AJ31" t="str">
        <v>22.48</v>
      </c>
      <c r="AK31" t="str">
        <v>21.53</v>
      </c>
      <c r="AL31" t="str">
        <f>(AK31-AJ31)*(AJ31*0+0)+AK31</f>
        <v>21.53</v>
      </c>
      <c r="AM31" t="str">
        <v>90.29</v>
      </c>
      <c r="AN31" t="str">
        <v>156.7</v>
      </c>
      <c r="AO31" t="str">
        <v>158.3</v>
      </c>
      <c r="AP31" t="str">
        <v>-1.0</v>
      </c>
      <c r="AQ31" t="str">
        <v>129</v>
      </c>
      <c r="AR31" t="str">
        <v>4.001</v>
      </c>
      <c r="AS31" t="str">
        <v>14:07:51</v>
      </c>
      <c r="AT31" t="str">
        <v>2026-01-04</v>
      </c>
      <c r="AU31" t="str">
        <v>-1.64</v>
      </c>
      <c r="AV31" t="str">
        <v>0</v>
      </c>
      <c r="AW31" t="str">
        <v>-0.001</v>
      </c>
      <c r="AX31" t="str">
        <v>0.001</v>
      </c>
      <c r="AY31" t="str">
        <v>-9999.000</v>
      </c>
      <c r="AZ31" t="str">
        <v>0.431</v>
      </c>
      <c r="BA31" t="str">
        <v>0.398</v>
      </c>
      <c r="BB31" t="str">
        <v>-9999.000</v>
      </c>
      <c r="BC31" t="str">
        <v>1</v>
      </c>
      <c r="BD31" t="str">
        <v>150</v>
      </c>
      <c r="BE31" t="str">
        <v>0.005</v>
      </c>
      <c r="BF31" t="str">
        <v>2.000000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5.000000</v>
      </c>
      <c r="BS31" t="str">
        <v>2.000000</v>
      </c>
      <c r="BT31" t="str">
        <v>300</v>
      </c>
      <c r="BU31" t="str">
        <v>300</v>
      </c>
      <c r="BV31" t="str">
        <v>300</v>
      </c>
      <c r="BW31" t="str">
        <v>384.920227</v>
      </c>
      <c r="BX31" t="str">
        <v>25</v>
      </c>
      <c r="BY31" t="str">
        <v>-6.335389</v>
      </c>
      <c r="BZ31" t="str">
        <v>384.778992</v>
      </c>
      <c r="CA31" t="str">
        <v>384.935089</v>
      </c>
      <c r="CB31" t="str">
        <v>-0.156097</v>
      </c>
      <c r="CC31" t="str">
        <v>2.448824</v>
      </c>
      <c r="CD31" t="str">
        <v>2.463959</v>
      </c>
      <c r="CE31" t="str">
        <v>1.655901</v>
      </c>
      <c r="CF31" t="str">
        <v>0.942089</v>
      </c>
      <c r="CG31" t="str">
        <v>0.301654</v>
      </c>
      <c r="CH31" t="str">
        <v>-0.009869</v>
      </c>
      <c r="CI31" t="str">
        <v>0.137047</v>
      </c>
      <c r="CJ31" t="str">
        <v>0.223163</v>
      </c>
      <c r="CK31" t="str">
        <v>132.646317</v>
      </c>
      <c r="CL31" t="str">
        <v>0.000239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PSF-00438_20260104140826_132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2025-12-11T16:13:02.852Z</v>
      </c>
    </row>
    <row r="32">
      <c r="A32" t="str">
        <v>29</v>
      </c>
      <c r="B32" t="str">
        <v>14:08:42</v>
      </c>
      <c r="C32" t="str">
        <v>2026-01-04</v>
      </c>
      <c r="D32" t="str">
        <v>TT25_psf</v>
      </c>
      <c r="E32" t="str">
        <v>eap</v>
      </c>
      <c r="F32" t="str">
        <v/>
      </c>
      <c r="G32" t="str">
        <v>TT24_150_mai_red</v>
      </c>
      <c r="H32" t="str">
        <v/>
      </c>
      <c r="I32" t="str">
        <v/>
      </c>
      <c r="J32" t="str">
        <f>1/((1/L32)-(1/K32))</f>
        <v>-0.056632</v>
      </c>
      <c r="K32" t="str">
        <f>BH32+(BI32*AN32)+(BJ32*AN32*POWER(V32,2))+(BK32*AN32*V32)+(BL32*POWER(AN32,2))</f>
        <v>2.923515</v>
      </c>
      <c r="L32" t="str">
        <f>((M32/1000)*(1000-((T32+S32)/2)))/(T32-S32)</f>
        <v>-0.057751</v>
      </c>
      <c r="M32" t="str">
        <f>(AN32*(S32-R32))/(100*U32*(1000-S32))*1000</f>
        <v>-1.081363</v>
      </c>
      <c r="N32" t="str">
        <v>0.945489</v>
      </c>
      <c r="O32" t="str">
        <v>0.972687</v>
      </c>
      <c r="P32" t="str">
        <f>0.61365*EXP((17.502*AL32)/(240.97+AL32))</f>
        <v>2.602818</v>
      </c>
      <c r="Q32" t="str">
        <f>P32-N32</f>
        <v>1.657329</v>
      </c>
      <c r="R32" t="str">
        <v>10.773516</v>
      </c>
      <c r="S32" t="str">
        <v>10.472275</v>
      </c>
      <c r="T32" t="str">
        <f>(P32/AM32)*1000</f>
        <v>28.828913</v>
      </c>
      <c r="U32" t="str">
        <f>V32*BG32</f>
        <v>0.441786</v>
      </c>
      <c r="V32" t="str">
        <v>7.500000</v>
      </c>
      <c r="W32" t="str">
        <v>PSF-00438_20260104140842_531</v>
      </c>
      <c r="X32" t="str">
        <v>0.000000</v>
      </c>
      <c r="Y32" t="str">
        <v>0.000000</v>
      </c>
      <c r="Z32" t="str">
        <v>0.000000</v>
      </c>
      <c r="AA32" t="str">
        <v>95.516678</v>
      </c>
      <c r="AB32" t="str">
        <v>283.540527</v>
      </c>
      <c r="AC32" t="str">
        <v>0.663129</v>
      </c>
      <c r="AD32" t="str">
        <v>0.5</v>
      </c>
      <c r="AE32" t="str">
        <v>0.80</v>
      </c>
      <c r="AF32" t="str">
        <f>AC32*AD32*AE32*AQ32</f>
        <v>58.543457</v>
      </c>
      <c r="AG32" t="str">
        <v>1.000000</v>
      </c>
      <c r="AH32" t="str">
        <v>34.63</v>
      </c>
      <c r="AI32" t="str">
        <v>35.63</v>
      </c>
      <c r="AJ32" t="str">
        <v>22.47</v>
      </c>
      <c r="AK32" t="str">
        <v>21.68</v>
      </c>
      <c r="AL32" t="str">
        <f>(AK32-AJ32)*(AJ32*0+0)+AK32</f>
        <v>21.68</v>
      </c>
      <c r="AM32" t="str">
        <v>90.29</v>
      </c>
      <c r="AN32" t="str">
        <v>156.9</v>
      </c>
      <c r="AO32" t="str">
        <v>158.3</v>
      </c>
      <c r="AP32" t="str">
        <v>-0.9</v>
      </c>
      <c r="AQ32" t="str">
        <v>221</v>
      </c>
      <c r="AR32" t="str">
        <v>3.996</v>
      </c>
      <c r="AS32" t="str">
        <v>14:07:51</v>
      </c>
      <c r="AT32" t="str">
        <v>2026-01-04</v>
      </c>
      <c r="AU32" t="str">
        <v>-1.64</v>
      </c>
      <c r="AV32" t="str">
        <v>0</v>
      </c>
      <c r="AW32" t="str">
        <v>0.002</v>
      </c>
      <c r="AX32" t="str">
        <v>-0.001</v>
      </c>
      <c r="AY32" t="str">
        <v>-9999.000</v>
      </c>
      <c r="AZ32" t="str">
        <v>1.489</v>
      </c>
      <c r="BA32" t="str">
        <v>-0.627</v>
      </c>
      <c r="BB32" t="str">
        <v>-9999.000</v>
      </c>
      <c r="BC32" t="str">
        <v>1</v>
      </c>
      <c r="BD32" t="str">
        <v>150</v>
      </c>
      <c r="BE32" t="str">
        <v>0.005</v>
      </c>
      <c r="BF32" t="str">
        <v>2.000000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5.000000</v>
      </c>
      <c r="BS32" t="str">
        <v>2.000000</v>
      </c>
      <c r="BT32" t="str">
        <v>300</v>
      </c>
      <c r="BU32" t="str">
        <v>300</v>
      </c>
      <c r="BV32" t="str">
        <v>300</v>
      </c>
      <c r="BW32" t="str">
        <v>276.600128</v>
      </c>
      <c r="BX32" t="str">
        <v>25</v>
      </c>
      <c r="BY32" t="str">
        <v>-4.551054</v>
      </c>
      <c r="BZ32" t="str">
        <v>286.707397</v>
      </c>
      <c r="CA32" t="str">
        <v>277.034821</v>
      </c>
      <c r="CB32" t="str">
        <v>9.672577</v>
      </c>
      <c r="CC32" t="str">
        <v>2.448454</v>
      </c>
      <c r="CD32" t="str">
        <v>2.463412</v>
      </c>
      <c r="CE32" t="str">
        <v>1.657395</v>
      </c>
      <c r="CF32" t="str">
        <v>0.942260</v>
      </c>
      <c r="CG32" t="str">
        <v>0.301776</v>
      </c>
      <c r="CH32" t="str">
        <v>-0.008107</v>
      </c>
      <c r="CI32" t="str">
        <v>0.138921</v>
      </c>
      <c r="CJ32" t="str">
        <v>0.305844</v>
      </c>
      <c r="CK32" t="str">
        <v>95.516678</v>
      </c>
      <c r="CL32" t="str">
        <v>0.000237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PSF-00438_20260104140842_531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2025-12-11T16:13:02.852Z</v>
      </c>
    </row>
    <row r="33">
      <c r="A33" t="str">
        <v>30</v>
      </c>
      <c r="B33" t="str">
        <v>14:09:10</v>
      </c>
      <c r="C33" t="str">
        <v>2026-01-04</v>
      </c>
      <c r="D33" t="str">
        <v>TT25_psf</v>
      </c>
      <c r="E33" t="str">
        <v>eap</v>
      </c>
      <c r="F33" t="str">
        <v/>
      </c>
      <c r="G33" t="str">
        <v>2546_mai_orange</v>
      </c>
      <c r="H33" t="str">
        <v/>
      </c>
      <c r="I33" t="str">
        <v/>
      </c>
      <c r="J33" t="str">
        <f>1/((1/L33)-(1/K33))</f>
        <v>-0.064096</v>
      </c>
      <c r="K33" t="str">
        <f>BH33+(BI33*AN33)+(BJ33*AN33*POWER(V33,2))+(BK33*AN33*V33)+(BL33*POWER(AN33,2))</f>
        <v>2.922513</v>
      </c>
      <c r="L33" t="str">
        <f>((M33/1000)*(1000-((T33+S33)/2)))/(T33-S33)</f>
        <v>-0.065533</v>
      </c>
      <c r="M33" t="str">
        <f>(AN33*(S33-R33))/(100*U33*(1000-S33))*1000</f>
        <v>-1.216341</v>
      </c>
      <c r="N33" t="str">
        <v>0.976251</v>
      </c>
      <c r="O33" t="str">
        <v>1.006856</v>
      </c>
      <c r="P33" t="str">
        <f>0.61365*EXP((17.502*AL33)/(240.97+AL33))</f>
        <v>2.618571</v>
      </c>
      <c r="Q33" t="str">
        <f>P33-N33</f>
        <v>1.642320</v>
      </c>
      <c r="R33" t="str">
        <v>11.152407</v>
      </c>
      <c r="S33" t="str">
        <v>10.813413</v>
      </c>
      <c r="T33" t="str">
        <f>(P33/AM33)*1000</f>
        <v>29.004511</v>
      </c>
      <c r="U33" t="str">
        <f>V33*BG33</f>
        <v>0.441786</v>
      </c>
      <c r="V33" t="str">
        <v>7.500000</v>
      </c>
      <c r="W33" t="str">
        <v>PSF-00438_20260104140910_78f</v>
      </c>
      <c r="X33" t="str">
        <v>0.000000</v>
      </c>
      <c r="Y33" t="str">
        <v>0.000000</v>
      </c>
      <c r="Z33" t="str">
        <v>0.000000</v>
      </c>
      <c r="AA33" t="str">
        <v>112.353447</v>
      </c>
      <c r="AB33" t="str">
        <v>310.936432</v>
      </c>
      <c r="AC33" t="str">
        <v>0.638661</v>
      </c>
      <c r="AD33" t="str">
        <v>0.5</v>
      </c>
      <c r="AE33" t="str">
        <v>0.80</v>
      </c>
      <c r="AF33" t="str">
        <f>AC33*AD33*AE33*AQ33</f>
        <v>21.547585</v>
      </c>
      <c r="AG33" t="str">
        <v>1.000000</v>
      </c>
      <c r="AH33" t="str">
        <v>35.79</v>
      </c>
      <c r="AI33" t="str">
        <v>36.92</v>
      </c>
      <c r="AJ33" t="str">
        <v>22.45</v>
      </c>
      <c r="AK33" t="str">
        <v>21.78</v>
      </c>
      <c r="AL33" t="str">
        <f>(AK33-AJ33)*(AJ33*0+0)+AK33</f>
        <v>21.78</v>
      </c>
      <c r="AM33" t="str">
        <v>90.28</v>
      </c>
      <c r="AN33" t="str">
        <v>156.8</v>
      </c>
      <c r="AO33" t="str">
        <v>158.3</v>
      </c>
      <c r="AP33" t="str">
        <v>-0.9</v>
      </c>
      <c r="AQ33" t="str">
        <v>84</v>
      </c>
      <c r="AR33" t="str">
        <v>4.000</v>
      </c>
      <c r="AS33" t="str">
        <v>14:07:51</v>
      </c>
      <c r="AT33" t="str">
        <v>2026-01-04</v>
      </c>
      <c r="AU33" t="str">
        <v>-1.64</v>
      </c>
      <c r="AV33" t="str">
        <v>0</v>
      </c>
      <c r="AW33" t="str">
        <v>-0.001</v>
      </c>
      <c r="AX33" t="str">
        <v>-0.001</v>
      </c>
      <c r="AY33" t="str">
        <v>-9999.000</v>
      </c>
      <c r="AZ33" t="str">
        <v>0.203</v>
      </c>
      <c r="BA33" t="str">
        <v>0.216</v>
      </c>
      <c r="BB33" t="str">
        <v>-9999.000</v>
      </c>
      <c r="BC33" t="str">
        <v>1</v>
      </c>
      <c r="BD33" t="str">
        <v>150</v>
      </c>
      <c r="BE33" t="str">
        <v>0.005</v>
      </c>
      <c r="BF33" t="str">
        <v>2.000000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mpf</v>
      </c>
      <c r="BP33" t="str">
        <v>7000</v>
      </c>
      <c r="BQ33" t="str">
        <v>500</v>
      </c>
      <c r="BR33" t="str">
        <v>5.000000</v>
      </c>
      <c r="BS33" t="str">
        <v>2.000000</v>
      </c>
      <c r="BT33" t="str">
        <v>300</v>
      </c>
      <c r="BU33" t="str">
        <v>300</v>
      </c>
      <c r="BV33" t="str">
        <v>300</v>
      </c>
      <c r="BW33" t="str">
        <v>306.857239</v>
      </c>
      <c r="BX33" t="str">
        <v>25</v>
      </c>
      <c r="BY33" t="str">
        <v>-2.772188</v>
      </c>
      <c r="BZ33" t="str">
        <v>307.333954</v>
      </c>
      <c r="CA33" t="str">
        <v>306.973602</v>
      </c>
      <c r="CB33" t="str">
        <v>0.360352</v>
      </c>
      <c r="CC33" t="str">
        <v>2.450275</v>
      </c>
      <c r="CD33" t="str">
        <v>2.465066</v>
      </c>
      <c r="CE33" t="str">
        <v>1.656342</v>
      </c>
      <c r="CF33" t="str">
        <v>0.942085</v>
      </c>
      <c r="CG33" t="str">
        <v>0.301980</v>
      </c>
      <c r="CH33" t="str">
        <v>-0.006829</v>
      </c>
      <c r="CI33" t="str">
        <v>0.142287</v>
      </c>
      <c r="CJ33" t="str">
        <v>0.183177</v>
      </c>
      <c r="CK33" t="str">
        <v>112.353447</v>
      </c>
      <c r="CL33" t="str">
        <v>0.000240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PSF-00438_20260104140910_78f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2025-12-11T16:13:02.852Z</v>
      </c>
    </row>
    <row r="34">
      <c r="A34" t="str">
        <v>31</v>
      </c>
      <c r="B34" t="str">
        <v>14:09:32</v>
      </c>
      <c r="C34" t="str">
        <v>2026-01-04</v>
      </c>
      <c r="D34" t="str">
        <v>TT25_psf</v>
      </c>
      <c r="E34" t="str">
        <v>eap</v>
      </c>
      <c r="F34" t="str">
        <v/>
      </c>
      <c r="G34" t="str">
        <v>5506_mai_orange</v>
      </c>
      <c r="H34" t="str">
        <v/>
      </c>
      <c r="I34" t="str">
        <v/>
      </c>
      <c r="J34" t="str">
        <f>1/((1/L34)-(1/K34))</f>
        <v>-0.067409</v>
      </c>
      <c r="K34" t="str">
        <f>BH34+(BI34*AN34)+(BJ34*AN34*POWER(V34,2))+(BK34*AN34*V34)+(BL34*POWER(AN34,2))</f>
        <v>2.922688</v>
      </c>
      <c r="L34" t="str">
        <f>((M34/1000)*(1000-((T34+S34)/2)))/(T34-S34)</f>
        <v>-0.069000</v>
      </c>
      <c r="M34" t="str">
        <f>(AN34*(S34-R34))/(100*U34*(1000-S34))*1000</f>
        <v>-1.227789</v>
      </c>
      <c r="N34" t="str">
        <v>0.958936</v>
      </c>
      <c r="O34" t="str">
        <v>0.989830</v>
      </c>
      <c r="P34" t="str">
        <f>0.61365*EXP((17.502*AL34)/(240.97+AL34))</f>
        <v>2.534305</v>
      </c>
      <c r="Q34" t="str">
        <f>P34-N34</f>
        <v>1.575369</v>
      </c>
      <c r="R34" t="str">
        <v>10.963916</v>
      </c>
      <c r="S34" t="str">
        <v>10.621712</v>
      </c>
      <c r="T34" t="str">
        <f>(P34/AM34)*1000</f>
        <v>28.071383</v>
      </c>
      <c r="U34" t="str">
        <f>V34*BG34</f>
        <v>0.441786</v>
      </c>
      <c r="V34" t="str">
        <v>7.500000</v>
      </c>
      <c r="W34" t="str">
        <v>PSF-00438_20260104140932_da6</v>
      </c>
      <c r="X34" t="str">
        <v>0.000000</v>
      </c>
      <c r="Y34" t="str">
        <v>0.000000</v>
      </c>
      <c r="Z34" t="str">
        <v>0.000000</v>
      </c>
      <c r="AA34" t="str">
        <v>107.588409</v>
      </c>
      <c r="AB34" t="str">
        <v>200.592041</v>
      </c>
      <c r="AC34" t="str">
        <v>0.463646</v>
      </c>
      <c r="AD34" t="str">
        <v>0.5</v>
      </c>
      <c r="AE34" t="str">
        <v>0.80</v>
      </c>
      <c r="AF34" t="str">
        <f>AC34*AD34*AE34*AQ34</f>
        <v>38.563713</v>
      </c>
      <c r="AG34" t="str">
        <v>1.000000</v>
      </c>
      <c r="AH34" t="str">
        <v>35.19</v>
      </c>
      <c r="AI34" t="str">
        <v>36.32</v>
      </c>
      <c r="AJ34" t="str">
        <v>22.44</v>
      </c>
      <c r="AK34" t="str">
        <v>21.25</v>
      </c>
      <c r="AL34" t="str">
        <f>(AK34-AJ34)*(AJ34*0+0)+AK34</f>
        <v>21.25</v>
      </c>
      <c r="AM34" t="str">
        <v>90.28</v>
      </c>
      <c r="AN34" t="str">
        <v>156.8</v>
      </c>
      <c r="AO34" t="str">
        <v>139.9</v>
      </c>
      <c r="AP34" t="str">
        <v>10.8</v>
      </c>
      <c r="AQ34" t="str">
        <v>208</v>
      </c>
      <c r="AR34" t="str">
        <v>3.995</v>
      </c>
      <c r="AS34" t="str">
        <v>14:07:51</v>
      </c>
      <c r="AT34" t="str">
        <v>2026-01-04</v>
      </c>
      <c r="AU34" t="str">
        <v>-1.64</v>
      </c>
      <c r="AV34" t="str">
        <v>0</v>
      </c>
      <c r="AW34" t="str">
        <v>0.000</v>
      </c>
      <c r="AX34" t="str">
        <v>0.002</v>
      </c>
      <c r="AY34" t="str">
        <v>-9999.000</v>
      </c>
      <c r="AZ34" t="str">
        <v>0.204</v>
      </c>
      <c r="BA34" t="str">
        <v>0.277</v>
      </c>
      <c r="BB34" t="str">
        <v>-9999.000</v>
      </c>
      <c r="BC34" t="str">
        <v>1</v>
      </c>
      <c r="BD34" t="str">
        <v>150</v>
      </c>
      <c r="BE34" t="str">
        <v>0.005</v>
      </c>
      <c r="BF34" t="str">
        <v>2.000000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mpf</v>
      </c>
      <c r="BP34" t="str">
        <v>7000</v>
      </c>
      <c r="BQ34" t="str">
        <v>500</v>
      </c>
      <c r="BR34" t="str">
        <v>5.000000</v>
      </c>
      <c r="BS34" t="str">
        <v>2.000000</v>
      </c>
      <c r="BT34" t="str">
        <v>300</v>
      </c>
      <c r="BU34" t="str">
        <v>300</v>
      </c>
      <c r="BV34" t="str">
        <v>300</v>
      </c>
      <c r="BW34" t="str">
        <v>197.074417</v>
      </c>
      <c r="BX34" t="str">
        <v>25</v>
      </c>
      <c r="BY34" t="str">
        <v>-2.354811</v>
      </c>
      <c r="BZ34" t="str">
        <v>197.402008</v>
      </c>
      <c r="CA34" t="str">
        <v>197.225861</v>
      </c>
      <c r="CB34" t="str">
        <v>0.176147</v>
      </c>
      <c r="CC34" t="str">
        <v>2.449437</v>
      </c>
      <c r="CD34" t="str">
        <v>2.464206</v>
      </c>
      <c r="CE34" t="str">
        <v>1.656526</v>
      </c>
      <c r="CF34" t="str">
        <v>0.895747</v>
      </c>
      <c r="CG34" t="str">
        <v>0.302127</v>
      </c>
      <c r="CH34" t="str">
        <v>-0.012576</v>
      </c>
      <c r="CI34" t="str">
        <v>0.144797</v>
      </c>
      <c r="CJ34" t="str">
        <v>0.294355</v>
      </c>
      <c r="CK34" t="str">
        <v>107.588409</v>
      </c>
      <c r="CL34" t="str">
        <v>0.000239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PSF-00438_20260104140932_da6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2025-12-11T16:13:02.852Z</v>
      </c>
    </row>
    <row r="35">
      <c r="A35" t="str">
        <v>32</v>
      </c>
      <c r="B35" t="str">
        <v>14:09:50</v>
      </c>
      <c r="C35" t="str">
        <v>2026-01-04</v>
      </c>
      <c r="D35" t="str">
        <v>TT25_psf</v>
      </c>
      <c r="E35" t="str">
        <v>eap</v>
      </c>
      <c r="F35" t="str">
        <v/>
      </c>
      <c r="G35" t="str">
        <v>1689_mai_orange</v>
      </c>
      <c r="H35" t="str">
        <v/>
      </c>
      <c r="I35" t="str">
        <v/>
      </c>
      <c r="J35" t="str">
        <f>1/((1/L35)-(1/K35))</f>
        <v>-0.066046</v>
      </c>
      <c r="K35" t="str">
        <f>BH35+(BI35*AN35)+(BJ35*AN35*POWER(V35,2))+(BK35*AN35*V35)+(BL35*POWER(AN35,2))</f>
        <v>2.923142</v>
      </c>
      <c r="L35" t="str">
        <f>((M35/1000)*(1000-((T35+S35)/2)))/(T35-S35)</f>
        <v>-0.067573</v>
      </c>
      <c r="M35" t="str">
        <f>(AN35*(S35-R35))/(100*U35*(1000-S35))*1000</f>
        <v>-1.216380</v>
      </c>
      <c r="N35" t="str">
        <v>0.950178</v>
      </c>
      <c r="O35" t="str">
        <v>0.980776</v>
      </c>
      <c r="P35" t="str">
        <f>0.61365*EXP((17.502*AL35)/(240.97+AL35))</f>
        <v>2.543801</v>
      </c>
      <c r="Q35" t="str">
        <f>P35-N35</f>
        <v>1.593622</v>
      </c>
      <c r="R35" t="str">
        <v>10.864107</v>
      </c>
      <c r="S35" t="str">
        <v>10.525171</v>
      </c>
      <c r="T35" t="str">
        <f>(P35/AM35)*1000</f>
        <v>28.177805</v>
      </c>
      <c r="U35" t="str">
        <f>V35*BG35</f>
        <v>0.441786</v>
      </c>
      <c r="V35" t="str">
        <v>7.500000</v>
      </c>
      <c r="W35" t="str">
        <v>PSF-00438_20260104140950_867</v>
      </c>
      <c r="X35" t="str">
        <v>0.000000</v>
      </c>
      <c r="Y35" t="str">
        <v>0.000000</v>
      </c>
      <c r="Z35" t="str">
        <v>0.000000</v>
      </c>
      <c r="AA35" t="str">
        <v>134.965179</v>
      </c>
      <c r="AB35" t="str">
        <v>298.889435</v>
      </c>
      <c r="AC35" t="str">
        <v>0.548444</v>
      </c>
      <c r="AD35" t="str">
        <v>0.5</v>
      </c>
      <c r="AE35" t="str">
        <v>0.80</v>
      </c>
      <c r="AF35" t="str">
        <f>AC35*AD35*AE35*AQ35</f>
        <v>30.798367</v>
      </c>
      <c r="AG35" t="str">
        <v>1.000000</v>
      </c>
      <c r="AH35" t="str">
        <v>34.89</v>
      </c>
      <c r="AI35" t="str">
        <v>36.01</v>
      </c>
      <c r="AJ35" t="str">
        <v>22.43</v>
      </c>
      <c r="AK35" t="str">
        <v>21.31</v>
      </c>
      <c r="AL35" t="str">
        <f>(AK35-AJ35)*(AJ35*0+0)+AK35</f>
        <v>21.31</v>
      </c>
      <c r="AM35" t="str">
        <v>90.28</v>
      </c>
      <c r="AN35" t="str">
        <v>156.9</v>
      </c>
      <c r="AO35" t="str">
        <v>158.1</v>
      </c>
      <c r="AP35" t="str">
        <v>-0.8</v>
      </c>
      <c r="AQ35" t="str">
        <v>140</v>
      </c>
      <c r="AR35" t="str">
        <v>3.999</v>
      </c>
      <c r="AS35" t="str">
        <v>14:07:51</v>
      </c>
      <c r="AT35" t="str">
        <v>2026-01-04</v>
      </c>
      <c r="AU35" t="str">
        <v>-1.64</v>
      </c>
      <c r="AV35" t="str">
        <v>0</v>
      </c>
      <c r="AW35" t="str">
        <v>-0.000</v>
      </c>
      <c r="AX35" t="str">
        <v>-0.001</v>
      </c>
      <c r="AY35" t="str">
        <v>-9999.000</v>
      </c>
      <c r="AZ35" t="str">
        <v>1.212</v>
      </c>
      <c r="BA35" t="str">
        <v>2.948</v>
      </c>
      <c r="BB35" t="str">
        <v>-9999.000</v>
      </c>
      <c r="BC35" t="str">
        <v>1</v>
      </c>
      <c r="BD35" t="str">
        <v>150</v>
      </c>
      <c r="BE35" t="str">
        <v>0.005</v>
      </c>
      <c r="BF35" t="str">
        <v>2.000000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mpf</v>
      </c>
      <c r="BP35" t="str">
        <v>7000</v>
      </c>
      <c r="BQ35" t="str">
        <v>500</v>
      </c>
      <c r="BR35" t="str">
        <v>5.000000</v>
      </c>
      <c r="BS35" t="str">
        <v>2.000000</v>
      </c>
      <c r="BT35" t="str">
        <v>300</v>
      </c>
      <c r="BU35" t="str">
        <v>300</v>
      </c>
      <c r="BV35" t="str">
        <v>300</v>
      </c>
      <c r="BW35" t="str">
        <v>298.102844</v>
      </c>
      <c r="BX35" t="str">
        <v>25</v>
      </c>
      <c r="BY35" t="str">
        <v>-0.413732</v>
      </c>
      <c r="BZ35" t="str">
        <v>299.022308</v>
      </c>
      <c r="CA35" t="str">
        <v>298.298004</v>
      </c>
      <c r="CB35" t="str">
        <v>0.724304</v>
      </c>
      <c r="CC35" t="str">
        <v>2.449010</v>
      </c>
      <c r="CD35" t="str">
        <v>2.463791</v>
      </c>
      <c r="CE35" t="str">
        <v>1.657003</v>
      </c>
      <c r="CF35" t="str">
        <v>0.941577</v>
      </c>
      <c r="CG35" t="str">
        <v>0.302281</v>
      </c>
      <c r="CH35" t="str">
        <v>-0.011765</v>
      </c>
      <c r="CI35" t="str">
        <v>0.146929</v>
      </c>
      <c r="CJ35" t="str">
        <v>0.233591</v>
      </c>
      <c r="CK35" t="str">
        <v>134.965179</v>
      </c>
      <c r="CL35" t="str">
        <v>0.000239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PSF-00438_20260104140950_867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2025-12-11T16:13:02.852Z</v>
      </c>
    </row>
    <row r="36">
      <c r="A36" t="str">
        <v>33</v>
      </c>
      <c r="B36" t="str">
        <v>14:10:09</v>
      </c>
      <c r="C36" t="str">
        <v>2026-01-04</v>
      </c>
      <c r="D36" t="str">
        <v>TT25_psf</v>
      </c>
      <c r="E36" t="str">
        <v>eap</v>
      </c>
      <c r="F36" t="str">
        <v/>
      </c>
      <c r="G36" t="str">
        <v>6495_mai_orange</v>
      </c>
      <c r="H36" t="str">
        <v/>
      </c>
      <c r="I36" t="str">
        <v/>
      </c>
      <c r="J36" t="str">
        <f>1/((1/L36)-(1/K36))</f>
        <v>-0.075181</v>
      </c>
      <c r="K36" t="str">
        <f>BH36+(BI36*AN36)+(BJ36*AN36*POWER(V36,2))+(BK36*AN36*V36)+(BL36*POWER(AN36,2))</f>
        <v>2.922407</v>
      </c>
      <c r="L36" t="str">
        <f>((M36/1000)*(1000-((T36+S36)/2)))/(T36-S36)</f>
        <v>-0.077166</v>
      </c>
      <c r="M36" t="str">
        <f>(AN36*(S36-R36))/(100*U36*(1000-S36))*1000</f>
        <v>-1.447449</v>
      </c>
      <c r="N36" t="str">
        <v>0.949005</v>
      </c>
      <c r="O36" t="str">
        <v>0.985437</v>
      </c>
      <c r="P36" t="str">
        <f>0.61365*EXP((17.502*AL36)/(240.97+AL36))</f>
        <v>2.608983</v>
      </c>
      <c r="Q36" t="str">
        <f>P36-N36</f>
        <v>1.659978</v>
      </c>
      <c r="R36" t="str">
        <v>10.915854</v>
      </c>
      <c r="S36" t="str">
        <v>10.512292</v>
      </c>
      <c r="T36" t="str">
        <f>(P36/AM36)*1000</f>
        <v>28.900148</v>
      </c>
      <c r="U36" t="str">
        <f>V36*BG36</f>
        <v>0.441786</v>
      </c>
      <c r="V36" t="str">
        <v>7.500000</v>
      </c>
      <c r="W36" t="str">
        <v>PSF-00438_20260104141009_dd3</v>
      </c>
      <c r="X36" t="str">
        <v>0.000000</v>
      </c>
      <c r="Y36" t="str">
        <v>0.000000</v>
      </c>
      <c r="Z36" t="str">
        <v>0.000000</v>
      </c>
      <c r="AA36" t="str">
        <v>107.804779</v>
      </c>
      <c r="AB36" t="str">
        <v>126.801613</v>
      </c>
      <c r="AC36" t="str">
        <v>0.149815</v>
      </c>
      <c r="AD36" t="str">
        <v>0.5</v>
      </c>
      <c r="AE36" t="str">
        <v>0.80</v>
      </c>
      <c r="AF36" t="str">
        <f>AC36*AD36*AE36*AQ36</f>
        <v>13.173106</v>
      </c>
      <c r="AG36" t="str">
        <v>1.000000</v>
      </c>
      <c r="AH36" t="str">
        <v>34.87</v>
      </c>
      <c r="AI36" t="str">
        <v>36.21</v>
      </c>
      <c r="AJ36" t="str">
        <v>22.41</v>
      </c>
      <c r="AK36" t="str">
        <v>21.72</v>
      </c>
      <c r="AL36" t="str">
        <f>(AK36-AJ36)*(AJ36*0+0)+AK36</f>
        <v>21.72</v>
      </c>
      <c r="AM36" t="str">
        <v>90.28</v>
      </c>
      <c r="AN36" t="str">
        <v>156.8</v>
      </c>
      <c r="AO36" t="str">
        <v>158.0</v>
      </c>
      <c r="AP36" t="str">
        <v>-0.8</v>
      </c>
      <c r="AQ36" t="str">
        <v>220</v>
      </c>
      <c r="AR36" t="str">
        <v>3.998</v>
      </c>
      <c r="AS36" t="str">
        <v>14:07:51</v>
      </c>
      <c r="AT36" t="str">
        <v>2026-01-04</v>
      </c>
      <c r="AU36" t="str">
        <v>-1.64</v>
      </c>
      <c r="AV36" t="str">
        <v>0</v>
      </c>
      <c r="AW36" t="str">
        <v>-0.001</v>
      </c>
      <c r="AX36" t="str">
        <v>-0.001</v>
      </c>
      <c r="AY36" t="str">
        <v>-9999.000</v>
      </c>
      <c r="AZ36" t="str">
        <v>0.914</v>
      </c>
      <c r="BA36" t="str">
        <v>1.772</v>
      </c>
      <c r="BB36" t="str">
        <v>-9999.000</v>
      </c>
      <c r="BC36" t="str">
        <v>1</v>
      </c>
      <c r="BD36" t="str">
        <v>150</v>
      </c>
      <c r="BE36" t="str">
        <v>0.005</v>
      </c>
      <c r="BF36" t="str">
        <v>2.000000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mpf</v>
      </c>
      <c r="BP36" t="str">
        <v>7000</v>
      </c>
      <c r="BQ36" t="str">
        <v>500</v>
      </c>
      <c r="BR36" t="str">
        <v>5.000000</v>
      </c>
      <c r="BS36" t="str">
        <v>2.000000</v>
      </c>
      <c r="BT36" t="str">
        <v>300</v>
      </c>
      <c r="BU36" t="str">
        <v>300</v>
      </c>
      <c r="BV36" t="str">
        <v>300</v>
      </c>
      <c r="BW36" t="str">
        <v>126.801613</v>
      </c>
      <c r="BX36" t="str">
        <v>25</v>
      </c>
      <c r="BY36" t="str">
        <v>0.071993</v>
      </c>
      <c r="BZ36" t="str">
        <v>126.761200</v>
      </c>
      <c r="CA36" t="str">
        <v>126.904526</v>
      </c>
      <c r="CB36" t="str">
        <v>-0.143326</v>
      </c>
      <c r="CC36" t="str">
        <v>2.449294</v>
      </c>
      <c r="CD36" t="str">
        <v>2.463770</v>
      </c>
      <c r="CE36" t="str">
        <v>1.656231</v>
      </c>
      <c r="CF36" t="str">
        <v>0.941371</v>
      </c>
      <c r="CG36" t="str">
        <v>0.302436</v>
      </c>
      <c r="CH36" t="str">
        <v>-0.007071</v>
      </c>
      <c r="CI36" t="str">
        <v>0.149115</v>
      </c>
      <c r="CJ36" t="str">
        <v>0.305046</v>
      </c>
      <c r="CK36" t="str">
        <v>107.804779</v>
      </c>
      <c r="CL36" t="str">
        <v>0.000240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PSF-00438_20260104141009_dd3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2025-12-11T16:13:02.852Z</v>
      </c>
    </row>
  </sheetData>
  <ignoredErrors>
    <ignoredError numberStoredAsText="1" sqref="A1:D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TT25_psf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