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g34p_dar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57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>id</v>
      </c>
      <c r="H2" t="str">
        <v>barcode</v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10:31:03</v>
      </c>
      <c r="C4" t="str">
        <v>2025-12-04</v>
      </c>
      <c r="D4" t="str">
        <v>g34p_dark</v>
      </c>
      <c r="E4" t="str">
        <v>mrk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0.467624</v>
      </c>
      <c r="K4" t="str">
        <f>BH4+(BI4*AN4)+(BJ4*AN4*POWER(V4,2))+(BK4*AN4*V4)+(BL4*POWER(AN4,2))</f>
        <v>2.921787</v>
      </c>
      <c r="L4" t="str">
        <f>((M4/1000)*(1000-((T4+S4)/2)))/(T4-S4)</f>
        <v>0.403108</v>
      </c>
      <c r="M4" t="str">
        <f>(AN4*(S4-R4))/(100*U4*(1000-S4))*1000</f>
        <v>4.043907</v>
      </c>
      <c r="N4" t="str">
        <v>0.884638</v>
      </c>
      <c r="O4" t="str">
        <v>0.781609</v>
      </c>
      <c r="P4" t="str">
        <f>0.61365*EXP((17.502*AL4)/(240.97+AL4))</f>
        <v>1.786741</v>
      </c>
      <c r="Q4" t="str">
        <f>P4-N4</f>
        <v>0.902103</v>
      </c>
      <c r="R4" t="str">
        <v>8.564667</v>
      </c>
      <c r="S4" t="str">
        <v>9.693631</v>
      </c>
      <c r="T4" t="str">
        <f>(P4/AM4)*1000</f>
        <v>19.578634</v>
      </c>
      <c r="U4" t="str">
        <f>V4*BG4</f>
        <v>0.441786</v>
      </c>
      <c r="V4" t="str">
        <v>7.500000</v>
      </c>
      <c r="W4" t="str">
        <v>PSF-00438_20251204103103_b87</v>
      </c>
      <c r="X4" t="str">
        <v>1.772046</v>
      </c>
      <c r="Y4" t="str">
        <v>1.832485</v>
      </c>
      <c r="Z4" t="str">
        <v>0.032982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0.116959</v>
      </c>
      <c r="AG4" t="str">
        <v>1.000000</v>
      </c>
      <c r="AH4" t="str">
        <v>32.82</v>
      </c>
      <c r="AI4" t="str">
        <v>28.99</v>
      </c>
      <c r="AJ4" t="str">
        <v>22.26</v>
      </c>
      <c r="AK4" t="str">
        <v>15.67</v>
      </c>
      <c r="AL4" t="str">
        <f>(AK4-AJ4)*(AJ4*0+0)+AK4</f>
        <v>15.67</v>
      </c>
      <c r="AM4" t="str">
        <v>91.26</v>
      </c>
      <c r="AN4" t="str">
        <v>156.7</v>
      </c>
      <c r="AO4" t="str">
        <v>-18.4</v>
      </c>
      <c r="AP4" t="str">
        <v>111.8</v>
      </c>
      <c r="AQ4" t="str">
        <v>9</v>
      </c>
      <c r="AR4" t="str">
        <v>4.138</v>
      </c>
      <c r="AS4" t="str">
        <v>10:31:00</v>
      </c>
      <c r="AT4" t="str">
        <v>2025-12-04</v>
      </c>
      <c r="AU4" t="str">
        <v>-0.11</v>
      </c>
      <c r="AV4" t="str">
        <v>1</v>
      </c>
      <c r="AW4" t="str">
        <v>0.173</v>
      </c>
      <c r="AX4" t="str">
        <v>0.237</v>
      </c>
      <c r="AY4" t="str">
        <v>-9999.000</v>
      </c>
      <c r="AZ4" t="str">
        <v>-0.103</v>
      </c>
      <c r="BA4" t="str">
        <v>-0.085</v>
      </c>
      <c r="BB4" t="str">
        <v>-9999.000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6000</v>
      </c>
      <c r="BQ4" t="str">
        <v>5</v>
      </c>
      <c r="BR4" t="str">
        <v>5.000000</v>
      </c>
      <c r="BS4" t="str">
        <v>2.000000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2.438915</v>
      </c>
      <c r="CD4" t="str">
        <v>2.458657</v>
      </c>
      <c r="CE4" t="str">
        <v>1.655582</v>
      </c>
      <c r="CF4" t="str">
        <v>0.568767</v>
      </c>
      <c r="CG4" t="str">
        <v>0.304315</v>
      </c>
      <c r="CH4" t="str">
        <v>-0.069996</v>
      </c>
      <c r="CI4" t="str">
        <v>0.046894</v>
      </c>
      <c r="CJ4" t="str">
        <v>0.115276</v>
      </c>
      <c r="CK4" t="str">
        <v>1.772046</v>
      </c>
      <c r="CL4" t="str">
        <v>0.000236</v>
      </c>
      <c r="CM4" t="str">
        <v>2.388960</v>
      </c>
      <c r="CN4" t="str">
        <v>-0.000025</v>
      </c>
      <c r="CO4" t="str">
        <v>1.000000</v>
      </c>
      <c r="CP4" t="str">
        <v>2.402765</v>
      </c>
      <c r="CQ4" t="str">
        <v>-0.000034</v>
      </c>
      <c r="CR4" t="str">
        <v>1.000000</v>
      </c>
      <c r="CS4" t="str">
        <v>0.600816</v>
      </c>
      <c r="CT4" t="str">
        <v>0.600971</v>
      </c>
      <c r="CU4" t="str">
        <v>0.107301</v>
      </c>
      <c r="CV4" t="str">
        <v>0.000000</v>
      </c>
      <c r="CW4" t="str">
        <v>PSF-00438_20251204103103_b87</v>
      </c>
      <c r="CX4" t="str">
        <v>PFA-00474</v>
      </c>
      <c r="CY4" t="str">
        <v>PSA-00486</v>
      </c>
      <c r="CZ4" t="str">
        <v>PSF-00438</v>
      </c>
      <c r="DA4" t="str">
        <v>RHS-00603</v>
      </c>
      <c r="DB4" t="str">
        <v>3.0.0</v>
      </c>
      <c r="DC4" t="str">
        <v>2025-10-05T12:52:23.367Z</v>
      </c>
    </row>
    <row r="5">
      <c r="A5" t="str">
        <v>2</v>
      </c>
      <c r="B5" t="str">
        <v>10:31:22</v>
      </c>
      <c r="C5" t="str">
        <v>2025-12-04</v>
      </c>
      <c r="D5" t="str">
        <v>g34p_dark</v>
      </c>
      <c r="E5" t="str">
        <v>mrk</v>
      </c>
      <c r="F5" t="str">
        <v/>
      </c>
      <c r="G5" t="str">
        <v/>
      </c>
      <c r="H5" t="str">
        <v>552_Tri_orange</v>
      </c>
      <c r="I5" t="str">
        <v/>
      </c>
      <c r="J5" t="str">
        <f>1/((1/L5)-(1/K5))</f>
        <v>0.029457</v>
      </c>
      <c r="K5" t="str">
        <f>BH5+(BI5*AN5)+(BJ5*AN5*POWER(V5,2))+(BK5*AN5*V5)+(BL5*POWER(AN5,2))</f>
        <v>2.921614</v>
      </c>
      <c r="L5" t="str">
        <f>((M5/1000)*(1000-((T5+S5)/2)))/(T5-S5)</f>
        <v>0.029163</v>
      </c>
      <c r="M5" t="str">
        <f>(AN5*(S5-R5))/(100*U5*(1000-S5))*1000</f>
        <v>0.354391</v>
      </c>
      <c r="N5" t="str">
        <v>0.790353</v>
      </c>
      <c r="O5" t="str">
        <v>0.781313</v>
      </c>
      <c r="P5" t="str">
        <f>0.61365*EXP((17.502*AL5)/(240.97+AL5))</f>
        <v>1.883067</v>
      </c>
      <c r="Q5" t="str">
        <f>P5-N5</f>
        <v>1.092715</v>
      </c>
      <c r="R5" t="str">
        <v>8.561703</v>
      </c>
      <c r="S5" t="str">
        <v>8.660757</v>
      </c>
      <c r="T5" t="str">
        <f>(P5/AM5)*1000</f>
        <v>20.634830</v>
      </c>
      <c r="U5" t="str">
        <f>V5*BG5</f>
        <v>0.441786</v>
      </c>
      <c r="V5" t="str">
        <v>7.500000</v>
      </c>
      <c r="W5" t="str">
        <v>PSF-00438_20251204103122_95d</v>
      </c>
      <c r="X5" t="str">
        <v>235.452896</v>
      </c>
      <c r="Y5" t="str">
        <v>403.940308</v>
      </c>
      <c r="Z5" t="str">
        <v>0.417110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0.252826</v>
      </c>
      <c r="AG5" t="str">
        <v>1.000000</v>
      </c>
      <c r="AH5" t="str">
        <v>29.37</v>
      </c>
      <c r="AI5" t="str">
        <v>29.03</v>
      </c>
      <c r="AJ5" t="str">
        <v>22.23</v>
      </c>
      <c r="AK5" t="str">
        <v>16.49</v>
      </c>
      <c r="AL5" t="str">
        <f>(AK5-AJ5)*(AJ5*0+0)+AK5</f>
        <v>16.49</v>
      </c>
      <c r="AM5" t="str">
        <v>91.26</v>
      </c>
      <c r="AN5" t="str">
        <v>156.7</v>
      </c>
      <c r="AO5" t="str">
        <v>116.3</v>
      </c>
      <c r="AP5" t="str">
        <v>25.7</v>
      </c>
      <c r="AQ5" t="str">
        <v>2</v>
      </c>
      <c r="AR5" t="str">
        <v>4.136</v>
      </c>
      <c r="AS5" t="str">
        <v>10:31:00</v>
      </c>
      <c r="AT5" t="str">
        <v>2025-12-04</v>
      </c>
      <c r="AU5" t="str">
        <v>-0.11</v>
      </c>
      <c r="AV5" t="str">
        <v>1</v>
      </c>
      <c r="AW5" t="str">
        <v>-0.036</v>
      </c>
      <c r="AX5" t="str">
        <v>-0.264</v>
      </c>
      <c r="AY5" t="str">
        <v>-0.077</v>
      </c>
      <c r="AZ5" t="str">
        <v>-1.206</v>
      </c>
      <c r="BA5" t="str">
        <v>129.992</v>
      </c>
      <c r="BB5" t="str">
        <v>160.006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6000</v>
      </c>
      <c r="BQ5" t="str">
        <v>5</v>
      </c>
      <c r="BR5" t="str">
        <v>5.000000</v>
      </c>
      <c r="BS5" t="str">
        <v>2.000000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2.438973</v>
      </c>
      <c r="CD5" t="str">
        <v>2.453600</v>
      </c>
      <c r="CE5" t="str">
        <v>1.655401</v>
      </c>
      <c r="CF5" t="str">
        <v>0.839229</v>
      </c>
      <c r="CG5" t="str">
        <v>0.304641</v>
      </c>
      <c r="CH5" t="str">
        <v>-0.061152</v>
      </c>
      <c r="CI5" t="str">
        <v>0.049766</v>
      </c>
      <c r="CJ5" t="str">
        <v>0.108664</v>
      </c>
      <c r="CK5" t="str">
        <v>232.829330</v>
      </c>
      <c r="CL5" t="str">
        <v>0.000236</v>
      </c>
      <c r="CM5" t="str">
        <v>2.388960</v>
      </c>
      <c r="CN5" t="str">
        <v>-0.000025</v>
      </c>
      <c r="CO5" t="str">
        <v>1.000000</v>
      </c>
      <c r="CP5" t="str">
        <v>2.402765</v>
      </c>
      <c r="CQ5" t="str">
        <v>-0.000034</v>
      </c>
      <c r="CR5" t="str">
        <v>1.000000</v>
      </c>
      <c r="CS5" t="str">
        <v>0.600816</v>
      </c>
      <c r="CT5" t="str">
        <v>0.600971</v>
      </c>
      <c r="CU5" t="str">
        <v>0.107301</v>
      </c>
      <c r="CV5" t="str">
        <v>0.000000</v>
      </c>
      <c r="CW5" t="str">
        <v>PSF-00438_20251204103122_95d</v>
      </c>
      <c r="CX5" t="str">
        <v>PFA-00474</v>
      </c>
      <c r="CY5" t="str">
        <v>PSA-00486</v>
      </c>
      <c r="CZ5" t="str">
        <v>PSF-00438</v>
      </c>
      <c r="DA5" t="str">
        <v>RHS-00603</v>
      </c>
      <c r="DB5" t="str">
        <v>3.0.0</v>
      </c>
      <c r="DC5" t="str">
        <v>2025-10-05T12:52:23.367Z</v>
      </c>
    </row>
    <row r="6">
      <c r="A6" t="str">
        <v>3</v>
      </c>
      <c r="B6" t="str">
        <v>10:31:48</v>
      </c>
      <c r="C6" t="str">
        <v>2025-12-04</v>
      </c>
      <c r="D6" t="str">
        <v>g34p_dark</v>
      </c>
      <c r="E6" t="str">
        <v>mrk</v>
      </c>
      <c r="F6" t="str">
        <v/>
      </c>
      <c r="G6" t="str">
        <v/>
      </c>
      <c r="H6" t="str">
        <v>3004_Tri_orange</v>
      </c>
      <c r="I6" t="str">
        <v/>
      </c>
      <c r="J6" t="str">
        <f>1/((1/L6)-(1/K6))</f>
        <v>0.071062</v>
      </c>
      <c r="K6" t="str">
        <f>BH6+(BI6*AN6)+(BJ6*AN6*POWER(V6,2))+(BK6*AN6*V6)+(BL6*POWER(AN6,2))</f>
        <v>2.922086</v>
      </c>
      <c r="L6" t="str">
        <f>((M6/1000)*(1000-((T6+S6)/2)))/(T6-S6)</f>
        <v>0.069375</v>
      </c>
      <c r="M6" t="str">
        <f>(AN6*(S6-R6))/(100*U6*(1000-S6))*1000</f>
        <v>0.686761</v>
      </c>
      <c r="N6" t="str">
        <v>0.807870</v>
      </c>
      <c r="O6" t="str">
        <v>0.790363</v>
      </c>
      <c r="P6" t="str">
        <f>0.61365*EXP((17.502*AL6)/(240.97+AL6))</f>
        <v>1.698839</v>
      </c>
      <c r="Q6" t="str">
        <f>P6-N6</f>
        <v>0.890970</v>
      </c>
      <c r="R6" t="str">
        <v>8.660820</v>
      </c>
      <c r="S6" t="str">
        <v>8.852665</v>
      </c>
      <c r="T6" t="str">
        <f>(P6/AM6)*1000</f>
        <v>18.615940</v>
      </c>
      <c r="U6" t="str">
        <f>V6*BG6</f>
        <v>0.441786</v>
      </c>
      <c r="V6" t="str">
        <v>7.500000</v>
      </c>
      <c r="W6" t="str">
        <v>PSF-00438_20251204103148_12f</v>
      </c>
      <c r="X6" t="str">
        <v>253.107193</v>
      </c>
      <c r="Y6" t="str">
        <v>369.962097</v>
      </c>
      <c r="Z6" t="str">
        <v>0.315856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0.251023</v>
      </c>
      <c r="AG6" t="str">
        <v>1.000000</v>
      </c>
      <c r="AH6" t="str">
        <v>30.19</v>
      </c>
      <c r="AI6" t="str">
        <v>29.54</v>
      </c>
      <c r="AJ6" t="str">
        <v>22.14</v>
      </c>
      <c r="AK6" t="str">
        <v>14.89</v>
      </c>
      <c r="AL6" t="str">
        <f>(AK6-AJ6)*(AJ6*0+0)+AK6</f>
        <v>14.89</v>
      </c>
      <c r="AM6" t="str">
        <v>91.26</v>
      </c>
      <c r="AN6" t="str">
        <v>156.7</v>
      </c>
      <c r="AO6" t="str">
        <v>158.2</v>
      </c>
      <c r="AP6" t="str">
        <v>-0.9</v>
      </c>
      <c r="AQ6" t="str">
        <v>2</v>
      </c>
      <c r="AR6" t="str">
        <v>4.135</v>
      </c>
      <c r="AS6" t="str">
        <v>10:31:00</v>
      </c>
      <c r="AT6" t="str">
        <v>2025-12-04</v>
      </c>
      <c r="AU6" t="str">
        <v>-0.11</v>
      </c>
      <c r="AV6" t="str">
        <v>1</v>
      </c>
      <c r="AW6" t="str">
        <v>-0.026</v>
      </c>
      <c r="AX6" t="str">
        <v>0.116</v>
      </c>
      <c r="AY6" t="str">
        <v>0.076</v>
      </c>
      <c r="AZ6" t="str">
        <v>89.055</v>
      </c>
      <c r="BA6" t="str">
        <v>45.341</v>
      </c>
      <c r="BB6" t="str">
        <v>22.373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6000</v>
      </c>
      <c r="BQ6" t="str">
        <v>5</v>
      </c>
      <c r="BR6" t="str">
        <v>5.000000</v>
      </c>
      <c r="BS6" t="str">
        <v>2.000000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2.439734</v>
      </c>
      <c r="CD6" t="str">
        <v>2.454836</v>
      </c>
      <c r="CE6" t="str">
        <v>1.655895</v>
      </c>
      <c r="CF6" t="str">
        <v>0.941856</v>
      </c>
      <c r="CG6" t="str">
        <v>0.305800</v>
      </c>
      <c r="CH6" t="str">
        <v>-0.076754</v>
      </c>
      <c r="CI6" t="str">
        <v>0.053746</v>
      </c>
      <c r="CJ6" t="str">
        <v>0.109088</v>
      </c>
      <c r="CK6" t="str">
        <v>253.107193</v>
      </c>
      <c r="CL6" t="str">
        <v>0.000233</v>
      </c>
      <c r="CM6" t="str">
        <v>2.388960</v>
      </c>
      <c r="CN6" t="str">
        <v>-0.000025</v>
      </c>
      <c r="CO6" t="str">
        <v>1.000000</v>
      </c>
      <c r="CP6" t="str">
        <v>2.402765</v>
      </c>
      <c r="CQ6" t="str">
        <v>-0.000034</v>
      </c>
      <c r="CR6" t="str">
        <v>1.000000</v>
      </c>
      <c r="CS6" t="str">
        <v>0.600816</v>
      </c>
      <c r="CT6" t="str">
        <v>0.600971</v>
      </c>
      <c r="CU6" t="str">
        <v>0.107301</v>
      </c>
      <c r="CV6" t="str">
        <v>0.000000</v>
      </c>
      <c r="CW6" t="str">
        <v>PSF-00438_20251204103148_12f</v>
      </c>
      <c r="CX6" t="str">
        <v>PFA-00474</v>
      </c>
      <c r="CY6" t="str">
        <v>PSA-00486</v>
      </c>
      <c r="CZ6" t="str">
        <v>PSF-00438</v>
      </c>
      <c r="DA6" t="str">
        <v>RHS-00603</v>
      </c>
      <c r="DB6" t="str">
        <v>3.0.0</v>
      </c>
      <c r="DC6" t="str">
        <v>2025-10-05T12:52:23.367Z</v>
      </c>
    </row>
    <row r="7">
      <c r="A7" t="str">
        <v>4</v>
      </c>
      <c r="B7" t="str">
        <v>10:32:08</v>
      </c>
      <c r="C7" t="str">
        <v>2025-12-04</v>
      </c>
      <c r="D7" t="str">
        <v>g34p_dark</v>
      </c>
      <c r="E7" t="str">
        <v>mrk</v>
      </c>
      <c r="F7" t="str">
        <v/>
      </c>
      <c r="G7" t="str">
        <v/>
      </c>
      <c r="H7" t="str">
        <v>flag1_tri_Tri_orange</v>
      </c>
      <c r="I7" t="str">
        <v/>
      </c>
      <c r="J7" t="str">
        <f>1/((1/L7)-(1/K7))</f>
        <v>0.016128</v>
      </c>
      <c r="K7" t="str">
        <f>BH7+(BI7*AN7)+(BJ7*AN7*POWER(V7,2))+(BK7*AN7*V7)+(BL7*POWER(AN7,2))</f>
        <v>2.921896</v>
      </c>
      <c r="L7" t="str">
        <f>((M7/1000)*(1000-((T7+S7)/2)))/(T7-S7)</f>
        <v>0.016039</v>
      </c>
      <c r="M7" t="str">
        <f>(AN7*(S7-R7))/(100*U7*(1000-S7))*1000</f>
        <v>0.157291</v>
      </c>
      <c r="N7" t="str">
        <v>0.777329</v>
      </c>
      <c r="O7" t="str">
        <v>0.773317</v>
      </c>
      <c r="P7" t="str">
        <f>0.61365*EXP((17.502*AL7)/(240.97+AL7))</f>
        <v>1.660317</v>
      </c>
      <c r="Q7" t="str">
        <f>P7-N7</f>
        <v>0.882988</v>
      </c>
      <c r="R7" t="str">
        <v>8.474035</v>
      </c>
      <c r="S7" t="str">
        <v>8.517996</v>
      </c>
      <c r="T7" t="str">
        <f>(P7/AM7)*1000</f>
        <v>18.193806</v>
      </c>
      <c r="U7" t="str">
        <f>V7*BG7</f>
        <v>0.441786</v>
      </c>
      <c r="V7" t="str">
        <v>7.500000</v>
      </c>
      <c r="W7" t="str">
        <v>PSF-00438_20251204103208_d95</v>
      </c>
      <c r="X7" t="str">
        <v>269.356720</v>
      </c>
      <c r="Y7" t="str">
        <v>553.722717</v>
      </c>
      <c r="Z7" t="str">
        <v>0.513553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0.242195</v>
      </c>
      <c r="AG7" t="str">
        <v>1.000000</v>
      </c>
      <c r="AH7" t="str">
        <v>29.20</v>
      </c>
      <c r="AI7" t="str">
        <v>29.05</v>
      </c>
      <c r="AJ7" t="str">
        <v>22.05</v>
      </c>
      <c r="AK7" t="str">
        <v>14.53</v>
      </c>
      <c r="AL7" t="str">
        <f>(AK7-AJ7)*(AJ7*0+0)+AK7</f>
        <v>14.53</v>
      </c>
      <c r="AM7" t="str">
        <v>91.26</v>
      </c>
      <c r="AN7" t="str">
        <v>156.7</v>
      </c>
      <c r="AO7" t="str">
        <v>158.3</v>
      </c>
      <c r="AP7" t="str">
        <v>-1.0</v>
      </c>
      <c r="AQ7" t="str">
        <v>1</v>
      </c>
      <c r="AR7" t="str">
        <v>4.134</v>
      </c>
      <c r="AS7" t="str">
        <v>10:31:00</v>
      </c>
      <c r="AT7" t="str">
        <v>2025-12-04</v>
      </c>
      <c r="AU7" t="str">
        <v>-0.11</v>
      </c>
      <c r="AV7" t="str">
        <v>1</v>
      </c>
      <c r="AW7" t="str">
        <v>-0.135</v>
      </c>
      <c r="AX7" t="str">
        <v>-0.019</v>
      </c>
      <c r="AY7" t="str">
        <v>-0.033</v>
      </c>
      <c r="AZ7" t="str">
        <v>251.437</v>
      </c>
      <c r="BA7" t="str">
        <v>132.854</v>
      </c>
      <c r="BB7" t="str">
        <v>65.954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6000</v>
      </c>
      <c r="BQ7" t="str">
        <v>5</v>
      </c>
      <c r="BR7" t="str">
        <v>5.000000</v>
      </c>
      <c r="BS7" t="str">
        <v>2.000000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2.439034</v>
      </c>
      <c r="CD7" t="str">
        <v>2.453387</v>
      </c>
      <c r="CE7" t="str">
        <v>1.655695</v>
      </c>
      <c r="CF7" t="str">
        <v>0.942030</v>
      </c>
      <c r="CG7" t="str">
        <v>0.306858</v>
      </c>
      <c r="CH7" t="str">
        <v>-0.079450</v>
      </c>
      <c r="CI7" t="str">
        <v>0.056715</v>
      </c>
      <c r="CJ7" t="str">
        <v>0.108362</v>
      </c>
      <c r="CK7" t="str">
        <v>269.356720</v>
      </c>
      <c r="CL7" t="str">
        <v>0.000237</v>
      </c>
      <c r="CM7" t="str">
        <v>2.388960</v>
      </c>
      <c r="CN7" t="str">
        <v>-0.000025</v>
      </c>
      <c r="CO7" t="str">
        <v>1.000000</v>
      </c>
      <c r="CP7" t="str">
        <v>2.402765</v>
      </c>
      <c r="CQ7" t="str">
        <v>-0.000034</v>
      </c>
      <c r="CR7" t="str">
        <v>1.000000</v>
      </c>
      <c r="CS7" t="str">
        <v>0.600816</v>
      </c>
      <c r="CT7" t="str">
        <v>0.600971</v>
      </c>
      <c r="CU7" t="str">
        <v>0.107301</v>
      </c>
      <c r="CV7" t="str">
        <v>0.000000</v>
      </c>
      <c r="CW7" t="str">
        <v>PSF-00438_20251204103208_d95</v>
      </c>
      <c r="CX7" t="str">
        <v>PFA-00474</v>
      </c>
      <c r="CY7" t="str">
        <v>PSA-00486</v>
      </c>
      <c r="CZ7" t="str">
        <v>PSF-00438</v>
      </c>
      <c r="DA7" t="str">
        <v>RHS-00603</v>
      </c>
      <c r="DB7" t="str">
        <v>3.0.0</v>
      </c>
      <c r="DC7" t="str">
        <v>2025-10-05T12:52:23.367Z</v>
      </c>
    </row>
    <row r="8">
      <c r="A8" t="str">
        <v>5</v>
      </c>
      <c r="B8" t="str">
        <v>10:32:29</v>
      </c>
      <c r="C8" t="str">
        <v>2025-12-04</v>
      </c>
      <c r="D8" t="str">
        <v>g34p_dark</v>
      </c>
      <c r="E8" t="str">
        <v>mrk</v>
      </c>
      <c r="F8" t="str">
        <v/>
      </c>
      <c r="G8" t="str">
        <v/>
      </c>
      <c r="H8" t="str">
        <v>989_Tri_orange</v>
      </c>
      <c r="I8" t="str">
        <v/>
      </c>
      <c r="J8" t="str">
        <f>1/((1/L8)-(1/K8))</f>
        <v>0.002914</v>
      </c>
      <c r="K8" t="str">
        <f>BH8+(BI8*AN8)+(BJ8*AN8*POWER(V8,2))+(BK8*AN8*V8)+(BL8*POWER(AN8,2))</f>
        <v>2.923178</v>
      </c>
      <c r="L8" t="str">
        <f>((M8/1000)*(1000-((T8+S8)/2)))/(T8-S8)</f>
        <v>0.002912</v>
      </c>
      <c r="M8" t="str">
        <f>(AN8*(S8-R8))/(100*U8*(1000-S8))*1000</f>
        <v>0.038052</v>
      </c>
      <c r="N8" t="str">
        <v>0.781164</v>
      </c>
      <c r="O8" t="str">
        <v>0.780195</v>
      </c>
      <c r="P8" t="str">
        <f>0.61365*EXP((17.502*AL8)/(240.97+AL8))</f>
        <v>1.955944</v>
      </c>
      <c r="Q8" t="str">
        <f>P8-N8</f>
        <v>1.174779</v>
      </c>
      <c r="R8" t="str">
        <v>8.549497</v>
      </c>
      <c r="S8" t="str">
        <v>8.560121</v>
      </c>
      <c r="T8" t="str">
        <f>(P8/AM8)*1000</f>
        <v>21.433531</v>
      </c>
      <c r="U8" t="str">
        <f>V8*BG8</f>
        <v>0.441786</v>
      </c>
      <c r="V8" t="str">
        <v>7.500000</v>
      </c>
      <c r="W8" t="str">
        <v>PSF-00438_20251204103229_3da</v>
      </c>
      <c r="X8" t="str">
        <v>280.218597</v>
      </c>
      <c r="Y8" t="str">
        <v>352.333893</v>
      </c>
      <c r="Z8" t="str">
        <v>0.204679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0.108082</v>
      </c>
      <c r="AG8" t="str">
        <v>1.000000</v>
      </c>
      <c r="AH8" t="str">
        <v>29.54</v>
      </c>
      <c r="AI8" t="str">
        <v>29.50</v>
      </c>
      <c r="AJ8" t="str">
        <v>21.95</v>
      </c>
      <c r="AK8" t="str">
        <v>17.09</v>
      </c>
      <c r="AL8" t="str">
        <f>(AK8-AJ8)*(AJ8*0+0)+AK8</f>
        <v>17.09</v>
      </c>
      <c r="AM8" t="str">
        <v>91.26</v>
      </c>
      <c r="AN8" t="str">
        <v>156.9</v>
      </c>
      <c r="AO8" t="str">
        <v>158.3</v>
      </c>
      <c r="AP8" t="str">
        <v>-0.9</v>
      </c>
      <c r="AQ8" t="str">
        <v>1</v>
      </c>
      <c r="AR8" t="str">
        <v>4.133</v>
      </c>
      <c r="AS8" t="str">
        <v>10:31:00</v>
      </c>
      <c r="AT8" t="str">
        <v>2025-12-04</v>
      </c>
      <c r="AU8" t="str">
        <v>-0.11</v>
      </c>
      <c r="AV8" t="str">
        <v>1</v>
      </c>
      <c r="AW8" t="str">
        <v>-0.010</v>
      </c>
      <c r="AX8" t="str">
        <v>-0.116</v>
      </c>
      <c r="AY8" t="str">
        <v>-0.170</v>
      </c>
      <c r="AZ8" t="str">
        <v>0.491</v>
      </c>
      <c r="BA8" t="str">
        <v>205.237</v>
      </c>
      <c r="BB8" t="str">
        <v>180.129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6000</v>
      </c>
      <c r="BQ8" t="str">
        <v>5</v>
      </c>
      <c r="BR8" t="str">
        <v>5.000000</v>
      </c>
      <c r="BS8" t="str">
        <v>2.000000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2.439714</v>
      </c>
      <c r="CD8" t="str">
        <v>2.453903</v>
      </c>
      <c r="CE8" t="str">
        <v>1.657041</v>
      </c>
      <c r="CF8" t="str">
        <v>0.942193</v>
      </c>
      <c r="CG8" t="str">
        <v>0.308168</v>
      </c>
      <c r="CH8" t="str">
        <v>-0.051720</v>
      </c>
      <c r="CI8" t="str">
        <v>0.059801</v>
      </c>
      <c r="CJ8" t="str">
        <v>0.108489</v>
      </c>
      <c r="CK8" t="str">
        <v>280.218597</v>
      </c>
      <c r="CL8" t="str">
        <v>0.000236</v>
      </c>
      <c r="CM8" t="str">
        <v>2.388960</v>
      </c>
      <c r="CN8" t="str">
        <v>-0.000025</v>
      </c>
      <c r="CO8" t="str">
        <v>1.000000</v>
      </c>
      <c r="CP8" t="str">
        <v>2.402765</v>
      </c>
      <c r="CQ8" t="str">
        <v>-0.000034</v>
      </c>
      <c r="CR8" t="str">
        <v>1.000000</v>
      </c>
      <c r="CS8" t="str">
        <v>0.600816</v>
      </c>
      <c r="CT8" t="str">
        <v>0.600971</v>
      </c>
      <c r="CU8" t="str">
        <v>0.107301</v>
      </c>
      <c r="CV8" t="str">
        <v>0.000000</v>
      </c>
      <c r="CW8" t="str">
        <v>PSF-00438_20251204103229_3da</v>
      </c>
      <c r="CX8" t="str">
        <v>PFA-00474</v>
      </c>
      <c r="CY8" t="str">
        <v>PSA-00486</v>
      </c>
      <c r="CZ8" t="str">
        <v>PSF-00438</v>
      </c>
      <c r="DA8" t="str">
        <v>RHS-00603</v>
      </c>
      <c r="DB8" t="str">
        <v>3.0.0</v>
      </c>
      <c r="DC8" t="str">
        <v>2025-10-05T12:52:23.367Z</v>
      </c>
    </row>
    <row r="9">
      <c r="A9" t="str">
        <v>6</v>
      </c>
      <c r="B9" t="str">
        <v>10:32:45</v>
      </c>
      <c r="C9" t="str">
        <v>2025-12-04</v>
      </c>
      <c r="D9" t="str">
        <v>g34p_dark</v>
      </c>
      <c r="E9" t="str">
        <v>mrk</v>
      </c>
      <c r="F9" t="str">
        <v/>
      </c>
      <c r="G9" t="str">
        <v/>
      </c>
      <c r="H9" t="str">
        <v>4177_Tri_orange</v>
      </c>
      <c r="I9" t="str">
        <v/>
      </c>
      <c r="J9" t="str">
        <f>1/((1/L9)-(1/K9))</f>
        <v>0.000492</v>
      </c>
      <c r="K9" t="str">
        <f>BH9+(BI9*AN9)+(BJ9*AN9*POWER(V9,2))+(BK9*AN9*V9)+(BL9*POWER(AN9,2))</f>
        <v>2.920831</v>
      </c>
      <c r="L9" t="str">
        <f>((M9/1000)*(1000-((T9+S9)/2)))/(T9-S9)</f>
        <v>0.000492</v>
      </c>
      <c r="M9" t="str">
        <f>(AN9*(S9-R9))/(100*U9*(1000-S9))*1000</f>
        <v>0.006403</v>
      </c>
      <c r="N9" t="str">
        <v>0.780317</v>
      </c>
      <c r="O9" t="str">
        <v>0.780153</v>
      </c>
      <c r="P9" t="str">
        <f>0.61365*EXP((17.502*AL9)/(240.97+AL9))</f>
        <v>1.951019</v>
      </c>
      <c r="Q9" t="str">
        <f>P9-N9</f>
        <v>1.170702</v>
      </c>
      <c r="R9" t="str">
        <v>8.548499</v>
      </c>
      <c r="S9" t="str">
        <v>8.550290</v>
      </c>
      <c r="T9" t="str">
        <f>(P9/AM9)*1000</f>
        <v>21.378220</v>
      </c>
      <c r="U9" t="str">
        <f>V9*BG9</f>
        <v>0.441786</v>
      </c>
      <c r="V9" t="str">
        <v>7.500000</v>
      </c>
      <c r="W9" t="str">
        <v>PSF-00438_20251204103245_d36</v>
      </c>
      <c r="X9" t="str">
        <v>169.164062</v>
      </c>
      <c r="Y9" t="str">
        <v>552.944519</v>
      </c>
      <c r="Z9" t="str">
        <v>0.694067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0.083625</v>
      </c>
      <c r="AG9" t="str">
        <v>1.000000</v>
      </c>
      <c r="AH9" t="str">
        <v>29.67</v>
      </c>
      <c r="AI9" t="str">
        <v>29.66</v>
      </c>
      <c r="AJ9" t="str">
        <v>21.86</v>
      </c>
      <c r="AK9" t="str">
        <v>17.05</v>
      </c>
      <c r="AL9" t="str">
        <f>(AK9-AJ9)*(AJ9*0+0)+AK9</f>
        <v>17.05</v>
      </c>
      <c r="AM9" t="str">
        <v>91.26</v>
      </c>
      <c r="AN9" t="str">
        <v>156.6</v>
      </c>
      <c r="AO9" t="str">
        <v>158.1</v>
      </c>
      <c r="AP9" t="str">
        <v>-0.9</v>
      </c>
      <c r="AQ9" t="str">
        <v>0</v>
      </c>
      <c r="AR9" t="str">
        <v>4.132</v>
      </c>
      <c r="AS9" t="str">
        <v>10:31:00</v>
      </c>
      <c r="AT9" t="str">
        <v>2025-12-04</v>
      </c>
      <c r="AU9" t="str">
        <v>-0.11</v>
      </c>
      <c r="AV9" t="str">
        <v>1</v>
      </c>
      <c r="AW9" t="str">
        <v>-0.000</v>
      </c>
      <c r="AX9" t="str">
        <v>-0.002</v>
      </c>
      <c r="AY9" t="str">
        <v>-9999.000</v>
      </c>
      <c r="AZ9" t="str">
        <v>-0.032</v>
      </c>
      <c r="BA9" t="str">
        <v>-0.800</v>
      </c>
      <c r="BB9" t="str">
        <v>-9999.000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6000</v>
      </c>
      <c r="BQ9" t="str">
        <v>5</v>
      </c>
      <c r="BR9" t="str">
        <v>5.000000</v>
      </c>
      <c r="BS9" t="str">
        <v>2.000000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2.439965</v>
      </c>
      <c r="CD9" t="str">
        <v>2.454112</v>
      </c>
      <c r="CE9" t="str">
        <v>1.654581</v>
      </c>
      <c r="CF9" t="str">
        <v>0.941553</v>
      </c>
      <c r="CG9" t="str">
        <v>0.309281</v>
      </c>
      <c r="CH9" t="str">
        <v>-0.051146</v>
      </c>
      <c r="CI9" t="str">
        <v>0.062154</v>
      </c>
      <c r="CJ9" t="str">
        <v>0.107572</v>
      </c>
      <c r="CK9" t="str">
        <v>169.164062</v>
      </c>
      <c r="CL9" t="str">
        <v>0.000236</v>
      </c>
      <c r="CM9" t="str">
        <v>2.388960</v>
      </c>
      <c r="CN9" t="str">
        <v>-0.000025</v>
      </c>
      <c r="CO9" t="str">
        <v>1.000000</v>
      </c>
      <c r="CP9" t="str">
        <v>2.402765</v>
      </c>
      <c r="CQ9" t="str">
        <v>-0.000034</v>
      </c>
      <c r="CR9" t="str">
        <v>1.000000</v>
      </c>
      <c r="CS9" t="str">
        <v>0.600816</v>
      </c>
      <c r="CT9" t="str">
        <v>0.600971</v>
      </c>
      <c r="CU9" t="str">
        <v>0.107301</v>
      </c>
      <c r="CV9" t="str">
        <v>0.000000</v>
      </c>
      <c r="CW9" t="str">
        <v>PSF-00438_20251204103245_d36</v>
      </c>
      <c r="CX9" t="str">
        <v>PFA-00474</v>
      </c>
      <c r="CY9" t="str">
        <v>PSA-00486</v>
      </c>
      <c r="CZ9" t="str">
        <v>PSF-00438</v>
      </c>
      <c r="DA9" t="str">
        <v>RHS-00603</v>
      </c>
      <c r="DB9" t="str">
        <v>3.0.0</v>
      </c>
      <c r="DC9" t="str">
        <v>2025-10-05T12:52:23.367Z</v>
      </c>
    </row>
    <row r="10">
      <c r="A10" t="str">
        <v>7</v>
      </c>
      <c r="B10" t="str">
        <v>10:33:20</v>
      </c>
      <c r="C10" t="str">
        <v>2025-12-04</v>
      </c>
      <c r="D10" t="str">
        <v>g34p_dark</v>
      </c>
      <c r="E10" t="str">
        <v>mrk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0.021347</v>
      </c>
      <c r="K10" t="str">
        <f>BH10+(BI10*AN10)+(BJ10*AN10*POWER(V10,2))+(BK10*AN10*V10)+(BL10*POWER(AN10,2))</f>
        <v>2.920971</v>
      </c>
      <c r="L10" t="str">
        <f>((M10/1000)*(1000-((T10+S10)/2)))/(T10-S10)</f>
        <v>0.021192</v>
      </c>
      <c r="M10" t="str">
        <f>(AN10*(S10-R10))/(100*U10*(1000-S10))*1000</f>
        <v>0.214747</v>
      </c>
      <c r="N10" t="str">
        <v>0.772453</v>
      </c>
      <c r="O10" t="str">
        <v>0.766972</v>
      </c>
      <c r="P10" t="str">
        <f>0.61365*EXP((17.502*AL10)/(240.97+AL10))</f>
        <v>1.684809</v>
      </c>
      <c r="Q10" t="str">
        <f>P10-N10</f>
        <v>0.912355</v>
      </c>
      <c r="R10" t="str">
        <v>8.404041</v>
      </c>
      <c r="S10" t="str">
        <v>8.464108</v>
      </c>
      <c r="T10" t="str">
        <f>(P10/AM10)*1000</f>
        <v>18.461180</v>
      </c>
      <c r="U10" t="str">
        <f>V10*BG10</f>
        <v>0.441786</v>
      </c>
      <c r="V10" t="str">
        <v>7.500000</v>
      </c>
      <c r="W10" t="str">
        <v>PSF-00438_20251204103320_7fd</v>
      </c>
      <c r="X10" t="str">
        <v>294.545166</v>
      </c>
      <c r="Y10" t="str">
        <v>442.192200</v>
      </c>
      <c r="Z10" t="str">
        <v>0.333898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0.274654</v>
      </c>
      <c r="AG10" t="str">
        <v>1.000000</v>
      </c>
      <c r="AH10" t="str">
        <v>29.70</v>
      </c>
      <c r="AI10" t="str">
        <v>29.49</v>
      </c>
      <c r="AJ10" t="str">
        <v>21.67</v>
      </c>
      <c r="AK10" t="str">
        <v>14.76</v>
      </c>
      <c r="AL10" t="str">
        <f>(AK10-AJ10)*(AJ10*0+0)+AK10</f>
        <v>14.76</v>
      </c>
      <c r="AM10" t="str">
        <v>91.26</v>
      </c>
      <c r="AN10" t="str">
        <v>156.6</v>
      </c>
      <c r="AO10" t="str">
        <v>158.5</v>
      </c>
      <c r="AP10" t="str">
        <v>-1.2</v>
      </c>
      <c r="AQ10" t="str">
        <v>2</v>
      </c>
      <c r="AR10" t="str">
        <v>4.132</v>
      </c>
      <c r="AS10" t="str">
        <v>10:31:00</v>
      </c>
      <c r="AT10" t="str">
        <v>2025-12-04</v>
      </c>
      <c r="AU10" t="str">
        <v>-0.11</v>
      </c>
      <c r="AV10" t="str">
        <v>1</v>
      </c>
      <c r="AW10" t="str">
        <v>-0.199</v>
      </c>
      <c r="AX10" t="str">
        <v>0.011</v>
      </c>
      <c r="AY10" t="str">
        <v>0.079</v>
      </c>
      <c r="AZ10" t="str">
        <v>266.441</v>
      </c>
      <c r="BA10" t="str">
        <v>136.115</v>
      </c>
      <c r="BB10" t="str">
        <v>67.099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6000</v>
      </c>
      <c r="BQ10" t="str">
        <v>5</v>
      </c>
      <c r="BR10" t="str">
        <v>5.000000</v>
      </c>
      <c r="BS10" t="str">
        <v>2.000000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2.439748</v>
      </c>
      <c r="CD10" t="str">
        <v>2.454198</v>
      </c>
      <c r="CE10" t="str">
        <v>1.654728</v>
      </c>
      <c r="CF10" t="str">
        <v>0.942562</v>
      </c>
      <c r="CG10" t="str">
        <v>0.311591</v>
      </c>
      <c r="CH10" t="str">
        <v>-0.072933</v>
      </c>
      <c r="CI10" t="str">
        <v>0.067262</v>
      </c>
      <c r="CJ10" t="str">
        <v>0.109151</v>
      </c>
      <c r="CK10" t="str">
        <v>294.545166</v>
      </c>
      <c r="CL10" t="str">
        <v>0.000237</v>
      </c>
      <c r="CM10" t="str">
        <v>2.388960</v>
      </c>
      <c r="CN10" t="str">
        <v>-0.000025</v>
      </c>
      <c r="CO10" t="str">
        <v>1.000000</v>
      </c>
      <c r="CP10" t="str">
        <v>2.402765</v>
      </c>
      <c r="CQ10" t="str">
        <v>-0.000034</v>
      </c>
      <c r="CR10" t="str">
        <v>1.000000</v>
      </c>
      <c r="CS10" t="str">
        <v>0.600816</v>
      </c>
      <c r="CT10" t="str">
        <v>0.600971</v>
      </c>
      <c r="CU10" t="str">
        <v>0.107301</v>
      </c>
      <c r="CV10" t="str">
        <v>0.000000</v>
      </c>
      <c r="CW10" t="str">
        <v>PSF-00438_20251204103320_7fd</v>
      </c>
      <c r="CX10" t="str">
        <v>PFA-00474</v>
      </c>
      <c r="CY10" t="str">
        <v>PSA-00486</v>
      </c>
      <c r="CZ10" t="str">
        <v>PSF-00438</v>
      </c>
      <c r="DA10" t="str">
        <v>RHS-00603</v>
      </c>
      <c r="DB10" t="str">
        <v>3.0.0</v>
      </c>
      <c r="DC10" t="str">
        <v>2025-10-05T12:52:23.367Z</v>
      </c>
    </row>
    <row r="11">
      <c r="A11" t="str">
        <v>8</v>
      </c>
      <c r="B11" t="str">
        <v>10:33:27</v>
      </c>
      <c r="C11" t="str">
        <v>2025-12-04</v>
      </c>
      <c r="D11" t="str">
        <v>g34p_dark</v>
      </c>
      <c r="E11" t="str">
        <v>mrk</v>
      </c>
      <c r="F11" t="str">
        <v>Flag</v>
      </c>
      <c r="G11" t="str">
        <v/>
      </c>
      <c r="H11" t="str">
        <v/>
      </c>
      <c r="I11" t="str">
        <v/>
      </c>
      <c r="J11" t="str">
        <f>1/((1/L11)-(1/K11))</f>
        <v>0.076612</v>
      </c>
      <c r="K11" t="str">
        <f>BH11+(BI11*AN11)+(BJ11*AN11*POWER(V11,2))+(BK11*AN11*V11)+(BL11*POWER(AN11,2))</f>
        <v>2.920887</v>
      </c>
      <c r="L11" t="str">
        <f>((M11/1000)*(1000-((T11+S11)/2)))/(T11-S11)</f>
        <v>0.074653</v>
      </c>
      <c r="M11" t="str">
        <f>(AN11*(S11-R11))/(100*U11*(1000-S11))*1000</f>
        <v>0.771555</v>
      </c>
      <c r="N11" t="str">
        <v>0.782260</v>
      </c>
      <c r="O11" t="str">
        <v>0.762566</v>
      </c>
      <c r="P11" t="str">
        <f>0.61365*EXP((17.502*AL11)/(240.97+AL11))</f>
        <v>1.712587</v>
      </c>
      <c r="Q11" t="str">
        <f>P11-N11</f>
        <v>0.930327</v>
      </c>
      <c r="R11" t="str">
        <v>8.355674</v>
      </c>
      <c r="S11" t="str">
        <v>8.571471</v>
      </c>
      <c r="T11" t="str">
        <f>(P11/AM11)*1000</f>
        <v>18.765356</v>
      </c>
      <c r="U11" t="str">
        <f>V11*BG11</f>
        <v>0.441786</v>
      </c>
      <c r="V11" t="str">
        <v>7.500000</v>
      </c>
      <c r="W11" t="str">
        <v>PSF-00438_20251204103327_32c</v>
      </c>
      <c r="X11" t="str">
        <v>1.015663</v>
      </c>
      <c r="Y11" t="str">
        <v>1.451254</v>
      </c>
      <c r="Z11" t="str">
        <v>0.300148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0.629210</v>
      </c>
      <c r="AG11" t="str">
        <v>1.000000</v>
      </c>
      <c r="AH11" t="str">
        <v>30.16</v>
      </c>
      <c r="AI11" t="str">
        <v>29.40</v>
      </c>
      <c r="AJ11" t="str">
        <v>21.63</v>
      </c>
      <c r="AK11" t="str">
        <v>15.01</v>
      </c>
      <c r="AL11" t="str">
        <f>(AK11-AJ11)*(AJ11*0+0)+AK11</f>
        <v>15.01</v>
      </c>
      <c r="AM11" t="str">
        <v>91.26</v>
      </c>
      <c r="AN11" t="str">
        <v>156.6</v>
      </c>
      <c r="AO11" t="str">
        <v>-19.3</v>
      </c>
      <c r="AP11" t="str">
        <v>112.3</v>
      </c>
      <c r="AQ11" t="str">
        <v>5</v>
      </c>
      <c r="AR11" t="str">
        <v>4.104</v>
      </c>
      <c r="AS11" t="str">
        <v>10:31:00</v>
      </c>
      <c r="AT11" t="str">
        <v>2025-12-04</v>
      </c>
      <c r="AU11" t="str">
        <v>-0.11</v>
      </c>
      <c r="AV11" t="str">
        <v>1</v>
      </c>
      <c r="AW11" t="str">
        <v>0.011</v>
      </c>
      <c r="AX11" t="str">
        <v>-0.006</v>
      </c>
      <c r="AY11" t="str">
        <v>0.009</v>
      </c>
      <c r="AZ11" t="str">
        <v>0.053</v>
      </c>
      <c r="BA11" t="str">
        <v>-0.090</v>
      </c>
      <c r="BB11" t="str">
        <v>-0.053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6000</v>
      </c>
      <c r="BQ11" t="str">
        <v>5</v>
      </c>
      <c r="BR11" t="str">
        <v>5.000000</v>
      </c>
      <c r="BS11" t="str">
        <v>2.000000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2.439618</v>
      </c>
      <c r="CD11" t="str">
        <v>2.454880</v>
      </c>
      <c r="CE11" t="str">
        <v>1.654641</v>
      </c>
      <c r="CF11" t="str">
        <v>0.567303</v>
      </c>
      <c r="CG11" t="str">
        <v>0.312124</v>
      </c>
      <c r="CH11" t="str">
        <v>-0.069857</v>
      </c>
      <c r="CI11" t="str">
        <v>0.068121</v>
      </c>
      <c r="CJ11" t="str">
        <v>0.112015</v>
      </c>
      <c r="CK11" t="str">
        <v>1.015663</v>
      </c>
      <c r="CL11" t="str">
        <v>0.000238</v>
      </c>
      <c r="CM11" t="str">
        <v>2.388960</v>
      </c>
      <c r="CN11" t="str">
        <v>-0.000025</v>
      </c>
      <c r="CO11" t="str">
        <v>1.000000</v>
      </c>
      <c r="CP11" t="str">
        <v>2.402765</v>
      </c>
      <c r="CQ11" t="str">
        <v>-0.000034</v>
      </c>
      <c r="CR11" t="str">
        <v>1.000000</v>
      </c>
      <c r="CS11" t="str">
        <v>0.600816</v>
      </c>
      <c r="CT11" t="str">
        <v>0.600971</v>
      </c>
      <c r="CU11" t="str">
        <v>0.107301</v>
      </c>
      <c r="CV11" t="str">
        <v>0.000000</v>
      </c>
      <c r="CW11" t="str">
        <v>PSF-00438_20251204103327_32c</v>
      </c>
      <c r="CX11" t="str">
        <v>PFA-00474</v>
      </c>
      <c r="CY11" t="str">
        <v>PSA-00486</v>
      </c>
      <c r="CZ11" t="str">
        <v>PSF-00438</v>
      </c>
      <c r="DA11" t="str">
        <v>RHS-00603</v>
      </c>
      <c r="DB11" t="str">
        <v>3.0.0</v>
      </c>
      <c r="DC11" t="str">
        <v>2025-10-05T12:52:23.367Z</v>
      </c>
    </row>
    <row r="12">
      <c r="A12" t="str">
        <v>9</v>
      </c>
      <c r="B12" t="str">
        <v>10:33:41</v>
      </c>
      <c r="C12" t="str">
        <v>2025-12-04</v>
      </c>
      <c r="D12" t="str">
        <v>g34p_dark</v>
      </c>
      <c r="E12" t="str">
        <v>mrk</v>
      </c>
      <c r="F12" t="str">
        <v/>
      </c>
      <c r="G12" t="str">
        <v/>
      </c>
      <c r="H12" t="str">
        <v>5877_Tri_orange</v>
      </c>
      <c r="I12" t="str">
        <v/>
      </c>
      <c r="J12" t="str">
        <f>1/((1/L12)-(1/K12))</f>
        <v>0.025143</v>
      </c>
      <c r="K12" t="str">
        <f>BH12+(BI12*AN12)+(BJ12*AN12*POWER(V12,2))+(BK12*AN12*V12)+(BL12*POWER(AN12,2))</f>
        <v>2.923175</v>
      </c>
      <c r="L12" t="str">
        <f>((M12/1000)*(1000-((T12+S12)/2)))/(T12-S12)</f>
        <v>0.024929</v>
      </c>
      <c r="M12" t="str">
        <f>(AN12*(S12-R12))/(100*U12*(1000-S12))*1000</f>
        <v>0.285402</v>
      </c>
      <c r="N12" t="str">
        <v>0.768370</v>
      </c>
      <c r="O12" t="str">
        <v>0.761097</v>
      </c>
      <c r="P12" t="str">
        <f>0.61365*EXP((17.502*AL12)/(240.97+AL12))</f>
        <v>1.798542</v>
      </c>
      <c r="Q12" t="str">
        <f>P12-N12</f>
        <v>1.030172</v>
      </c>
      <c r="R12" t="str">
        <v>8.339417</v>
      </c>
      <c r="S12" t="str">
        <v>8.419109</v>
      </c>
      <c r="T12" t="str">
        <f>(P12/AM12)*1000</f>
        <v>19.706806</v>
      </c>
      <c r="U12" t="str">
        <f>V12*BG12</f>
        <v>0.441786</v>
      </c>
      <c r="V12" t="str">
        <v>7.500000</v>
      </c>
      <c r="W12" t="str">
        <v>PSF-00438_20251204103341_8c6</v>
      </c>
      <c r="X12" t="str">
        <v>263.356079</v>
      </c>
      <c r="Y12" t="str">
        <v>414.593689</v>
      </c>
      <c r="Z12" t="str">
        <v>0.364785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0.306035</v>
      </c>
      <c r="AG12" t="str">
        <v>1.000000</v>
      </c>
      <c r="AH12" t="str">
        <v>29.75</v>
      </c>
      <c r="AI12" t="str">
        <v>29.46</v>
      </c>
      <c r="AJ12" t="str">
        <v>21.56</v>
      </c>
      <c r="AK12" t="str">
        <v>15.77</v>
      </c>
      <c r="AL12" t="str">
        <f>(AK12-AJ12)*(AJ12*0+0)+AK12</f>
        <v>15.77</v>
      </c>
      <c r="AM12" t="str">
        <v>91.26</v>
      </c>
      <c r="AN12" t="str">
        <v>156.9</v>
      </c>
      <c r="AO12" t="str">
        <v>158.2</v>
      </c>
      <c r="AP12" t="str">
        <v>-0.8</v>
      </c>
      <c r="AQ12" t="str">
        <v>2</v>
      </c>
      <c r="AR12" t="str">
        <v>4.130</v>
      </c>
      <c r="AS12" t="str">
        <v>10:31:00</v>
      </c>
      <c r="AT12" t="str">
        <v>2025-12-04</v>
      </c>
      <c r="AU12" t="str">
        <v>-0.11</v>
      </c>
      <c r="AV12" t="str">
        <v>1</v>
      </c>
      <c r="AW12" t="str">
        <v>-0.054</v>
      </c>
      <c r="AX12" t="str">
        <v>-0.020</v>
      </c>
      <c r="AY12" t="str">
        <v>-0.005</v>
      </c>
      <c r="AZ12" t="str">
        <v>170.277</v>
      </c>
      <c r="BA12" t="str">
        <v>85.458</v>
      </c>
      <c r="BB12" t="str">
        <v>42.330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6000</v>
      </c>
      <c r="BQ12" t="str">
        <v>5</v>
      </c>
      <c r="BR12" t="str">
        <v>5.000000</v>
      </c>
      <c r="BS12" t="str">
        <v>2.000000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2.439724</v>
      </c>
      <c r="CD12" t="str">
        <v>2.454279</v>
      </c>
      <c r="CE12" t="str">
        <v>1.657037</v>
      </c>
      <c r="CF12" t="str">
        <v>0.941799</v>
      </c>
      <c r="CG12" t="str">
        <v>0.312966</v>
      </c>
      <c r="CH12" t="str">
        <v>-0.061237</v>
      </c>
      <c r="CI12" t="str">
        <v>0.069977</v>
      </c>
      <c r="CJ12" t="str">
        <v>0.109188</v>
      </c>
      <c r="CK12" t="str">
        <v>263.356079</v>
      </c>
      <c r="CL12" t="str">
        <v>0.000238</v>
      </c>
      <c r="CM12" t="str">
        <v>2.388960</v>
      </c>
      <c r="CN12" t="str">
        <v>-0.000025</v>
      </c>
      <c r="CO12" t="str">
        <v>1.000000</v>
      </c>
      <c r="CP12" t="str">
        <v>2.402765</v>
      </c>
      <c r="CQ12" t="str">
        <v>-0.000034</v>
      </c>
      <c r="CR12" t="str">
        <v>1.000000</v>
      </c>
      <c r="CS12" t="str">
        <v>0.600816</v>
      </c>
      <c r="CT12" t="str">
        <v>0.600971</v>
      </c>
      <c r="CU12" t="str">
        <v>0.107301</v>
      </c>
      <c r="CV12" t="str">
        <v>0.000000</v>
      </c>
      <c r="CW12" t="str">
        <v>PSF-00438_20251204103341_8c6</v>
      </c>
      <c r="CX12" t="str">
        <v>PFA-00474</v>
      </c>
      <c r="CY12" t="str">
        <v>PSA-00486</v>
      </c>
      <c r="CZ12" t="str">
        <v>PSF-00438</v>
      </c>
      <c r="DA12" t="str">
        <v>RHS-00603</v>
      </c>
      <c r="DB12" t="str">
        <v>3.0.0</v>
      </c>
      <c r="DC12" t="str">
        <v>2025-10-05T12:52:23.367Z</v>
      </c>
    </row>
    <row r="13">
      <c r="A13" t="str">
        <v>10</v>
      </c>
      <c r="B13" t="str">
        <v>10:34:20</v>
      </c>
      <c r="C13" t="str">
        <v>2025-12-04</v>
      </c>
      <c r="D13" t="str">
        <v>g34p_dark</v>
      </c>
      <c r="E13" t="str">
        <v>mrk</v>
      </c>
      <c r="F13" t="str">
        <v/>
      </c>
      <c r="G13" t="str">
        <v/>
      </c>
      <c r="H13" t="str">
        <v>3004_Tri_orange</v>
      </c>
      <c r="I13" t="str">
        <v/>
      </c>
      <c r="J13" t="str">
        <f>1/((1/L13)-(1/K13))</f>
        <v>0.024439</v>
      </c>
      <c r="K13" t="str">
        <f>BH13+(BI13*AN13)+(BJ13*AN13*POWER(V13,2))+(BK13*AN13*V13)+(BL13*POWER(AN13,2))</f>
        <v>2.921902</v>
      </c>
      <c r="L13" t="str">
        <f>((M13/1000)*(1000-((T13+S13)/2)))/(T13-S13)</f>
        <v>0.024236</v>
      </c>
      <c r="M13" t="str">
        <f>(AN13*(S13-R13))/(100*U13*(1000-S13))*1000</f>
        <v>0.233374</v>
      </c>
      <c r="N13" t="str">
        <v>0.791128</v>
      </c>
      <c r="O13" t="str">
        <v>0.785177</v>
      </c>
      <c r="P13" t="str">
        <f>0.61365*EXP((17.502*AL13)/(240.97+AL13))</f>
        <v>1.658108</v>
      </c>
      <c r="Q13" t="str">
        <f>P13-N13</f>
        <v>0.866980</v>
      </c>
      <c r="R13" t="str">
        <v>8.603496</v>
      </c>
      <c r="S13" t="str">
        <v>8.668710</v>
      </c>
      <c r="T13" t="str">
        <f>(P13/AM13)*1000</f>
        <v>18.168564</v>
      </c>
      <c r="U13" t="str">
        <f>V13*BG13</f>
        <v>0.441786</v>
      </c>
      <c r="V13" t="str">
        <v>7.500000</v>
      </c>
      <c r="W13" t="str">
        <v>PSF-00438_20251204103420_1b4</v>
      </c>
      <c r="X13" t="str">
        <v>175.336716</v>
      </c>
      <c r="Y13" t="str">
        <v>280.342712</v>
      </c>
      <c r="Z13" t="str">
        <v>0.374563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1.029361</v>
      </c>
      <c r="AG13" t="str">
        <v>1.000000</v>
      </c>
      <c r="AH13" t="str">
        <v>31.00</v>
      </c>
      <c r="AI13" t="str">
        <v>30.77</v>
      </c>
      <c r="AJ13" t="str">
        <v>21.36</v>
      </c>
      <c r="AK13" t="str">
        <v>14.51</v>
      </c>
      <c r="AL13" t="str">
        <f>(AK13-AJ13)*(AJ13*0+0)+AK13</f>
        <v>14.51</v>
      </c>
      <c r="AM13" t="str">
        <v>91.26</v>
      </c>
      <c r="AN13" t="str">
        <v>156.7</v>
      </c>
      <c r="AO13" t="str">
        <v>158.5</v>
      </c>
      <c r="AP13" t="str">
        <v>-1.1</v>
      </c>
      <c r="AQ13" t="str">
        <v>7</v>
      </c>
      <c r="AR13" t="str">
        <v>4.130</v>
      </c>
      <c r="AS13" t="str">
        <v>10:31:00</v>
      </c>
      <c r="AT13" t="str">
        <v>2025-12-04</v>
      </c>
      <c r="AU13" t="str">
        <v>-0.11</v>
      </c>
      <c r="AV13" t="str">
        <v>1</v>
      </c>
      <c r="AW13" t="str">
        <v>-0.264</v>
      </c>
      <c r="AX13" t="str">
        <v>-0.029</v>
      </c>
      <c r="AY13" t="str">
        <v>-0.014</v>
      </c>
      <c r="AZ13" t="str">
        <v>168.229</v>
      </c>
      <c r="BA13" t="str">
        <v>87.392</v>
      </c>
      <c r="BB13" t="str">
        <v>42.706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6000</v>
      </c>
      <c r="BQ13" t="str">
        <v>5</v>
      </c>
      <c r="BR13" t="str">
        <v>5.000000</v>
      </c>
      <c r="BS13" t="str">
        <v>2.000000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2.441672</v>
      </c>
      <c r="CD13" t="str">
        <v>2.456170</v>
      </c>
      <c r="CE13" t="str">
        <v>1.655702</v>
      </c>
      <c r="CF13" t="str">
        <v>0.942545</v>
      </c>
      <c r="CG13" t="str">
        <v>0.315469</v>
      </c>
      <c r="CH13" t="str">
        <v>-0.072092</v>
      </c>
      <c r="CI13" t="str">
        <v>0.075412</v>
      </c>
      <c r="CJ13" t="str">
        <v>0.113481</v>
      </c>
      <c r="CK13" t="str">
        <v>175.336716</v>
      </c>
      <c r="CL13" t="str">
        <v>0.000236</v>
      </c>
      <c r="CM13" t="str">
        <v>2.388960</v>
      </c>
      <c r="CN13" t="str">
        <v>-0.000025</v>
      </c>
      <c r="CO13" t="str">
        <v>1.000000</v>
      </c>
      <c r="CP13" t="str">
        <v>2.402765</v>
      </c>
      <c r="CQ13" t="str">
        <v>-0.000034</v>
      </c>
      <c r="CR13" t="str">
        <v>1.000000</v>
      </c>
      <c r="CS13" t="str">
        <v>0.600816</v>
      </c>
      <c r="CT13" t="str">
        <v>0.600971</v>
      </c>
      <c r="CU13" t="str">
        <v>0.107301</v>
      </c>
      <c r="CV13" t="str">
        <v>0.000000</v>
      </c>
      <c r="CW13" t="str">
        <v>PSF-00438_20251204103420_1b4</v>
      </c>
      <c r="CX13" t="str">
        <v>PFA-00474</v>
      </c>
      <c r="CY13" t="str">
        <v>PSA-00486</v>
      </c>
      <c r="CZ13" t="str">
        <v>PSF-00438</v>
      </c>
      <c r="DA13" t="str">
        <v>RHS-00603</v>
      </c>
      <c r="DB13" t="str">
        <v>3.0.0</v>
      </c>
      <c r="DC13" t="str">
        <v>2025-10-05T12:52:23.367Z</v>
      </c>
    </row>
    <row r="14">
      <c r="A14" t="str">
        <v>11</v>
      </c>
      <c r="B14" t="str">
        <v>10:34:42</v>
      </c>
      <c r="C14" t="str">
        <v>2025-12-04</v>
      </c>
      <c r="D14" t="str">
        <v>g34p_dark</v>
      </c>
      <c r="E14" t="str">
        <v>mrk</v>
      </c>
      <c r="F14" t="str">
        <v>Flag</v>
      </c>
      <c r="G14" t="str">
        <v/>
      </c>
      <c r="H14" t="str">
        <v/>
      </c>
      <c r="I14" t="str">
        <v/>
      </c>
      <c r="J14" t="str">
        <f>1/((1/L14)-(1/K14))</f>
        <v>0.036225</v>
      </c>
      <c r="K14" t="str">
        <f>BH14+(BI14*AN14)+(BJ14*AN14*POWER(V14,2))+(BK14*AN14*V14)+(BL14*POWER(AN14,2))</f>
        <v>2.921570</v>
      </c>
      <c r="L14" t="str">
        <f>((M14/1000)*(1000-((T14+S14)/2)))/(T14-S14)</f>
        <v>0.035781</v>
      </c>
      <c r="M14" t="str">
        <f>(AN14*(S14-R14))/(100*U14*(1000-S14))*1000</f>
        <v>0.392781</v>
      </c>
      <c r="N14" t="str">
        <v>0.765529</v>
      </c>
      <c r="O14" t="str">
        <v>0.755507</v>
      </c>
      <c r="P14" t="str">
        <f>0.61365*EXP((17.502*AL14)/(240.97+AL14))</f>
        <v>1.753563</v>
      </c>
      <c r="Q14" t="str">
        <f>P14-N14</f>
        <v>0.988034</v>
      </c>
      <c r="R14" t="str">
        <v>8.278028</v>
      </c>
      <c r="S14" t="str">
        <v>8.387847</v>
      </c>
      <c r="T14" t="str">
        <f>(P14/AM14)*1000</f>
        <v>19.213657</v>
      </c>
      <c r="U14" t="str">
        <f>V14*BG14</f>
        <v>0.441786</v>
      </c>
      <c r="V14" t="str">
        <v>7.500000</v>
      </c>
      <c r="W14" t="str">
        <v>PSF-00438_20251204103442_827</v>
      </c>
      <c r="X14" t="str">
        <v>1.283526</v>
      </c>
      <c r="Y14" t="str">
        <v>1.439095</v>
      </c>
      <c r="Z14" t="str">
        <v>0.108101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0.129972</v>
      </c>
      <c r="AG14" t="str">
        <v>1.000000</v>
      </c>
      <c r="AH14" t="str">
        <v>30.21</v>
      </c>
      <c r="AI14" t="str">
        <v>29.81</v>
      </c>
      <c r="AJ14" t="str">
        <v>21.25</v>
      </c>
      <c r="AK14" t="str">
        <v>15.38</v>
      </c>
      <c r="AL14" t="str">
        <f>(AK14-AJ14)*(AJ14*0+0)+AK14</f>
        <v>15.38</v>
      </c>
      <c r="AM14" t="str">
        <v>91.27</v>
      </c>
      <c r="AN14" t="str">
        <v>156.7</v>
      </c>
      <c r="AO14" t="str">
        <v>-18.9</v>
      </c>
      <c r="AP14" t="str">
        <v>112.1</v>
      </c>
      <c r="AQ14" t="str">
        <v>3</v>
      </c>
      <c r="AR14" t="str">
        <v>4.128</v>
      </c>
      <c r="AS14" t="str">
        <v>10:31:00</v>
      </c>
      <c r="AT14" t="str">
        <v>2025-12-04</v>
      </c>
      <c r="AU14" t="str">
        <v>-0.11</v>
      </c>
      <c r="AV14" t="str">
        <v>1</v>
      </c>
      <c r="AW14" t="str">
        <v>0.007</v>
      </c>
      <c r="AX14" t="str">
        <v>0.009</v>
      </c>
      <c r="AY14" t="str">
        <v>-0.024</v>
      </c>
      <c r="AZ14" t="str">
        <v>0.319</v>
      </c>
      <c r="BA14" t="str">
        <v>0.014</v>
      </c>
      <c r="BB14" t="str">
        <v>-0.057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6000</v>
      </c>
      <c r="BQ14" t="str">
        <v>5</v>
      </c>
      <c r="BR14" t="str">
        <v>5.000000</v>
      </c>
      <c r="BS14" t="str">
        <v>2.000000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2.440292</v>
      </c>
      <c r="CD14" t="str">
        <v>2.455022</v>
      </c>
      <c r="CE14" t="str">
        <v>1.655355</v>
      </c>
      <c r="CF14" t="str">
        <v>0.567952</v>
      </c>
      <c r="CG14" t="str">
        <v>0.316922</v>
      </c>
      <c r="CH14" t="str">
        <v>-0.061897</v>
      </c>
      <c r="CI14" t="str">
        <v>0.078303</v>
      </c>
      <c r="CJ14" t="str">
        <v>0.110005</v>
      </c>
      <c r="CK14" t="str">
        <v>1.283526</v>
      </c>
      <c r="CL14" t="str">
        <v>0.000237</v>
      </c>
      <c r="CM14" t="str">
        <v>2.388960</v>
      </c>
      <c r="CN14" t="str">
        <v>-0.000025</v>
      </c>
      <c r="CO14" t="str">
        <v>1.000000</v>
      </c>
      <c r="CP14" t="str">
        <v>2.402765</v>
      </c>
      <c r="CQ14" t="str">
        <v>-0.000034</v>
      </c>
      <c r="CR14" t="str">
        <v>1.000000</v>
      </c>
      <c r="CS14" t="str">
        <v>0.600816</v>
      </c>
      <c r="CT14" t="str">
        <v>0.600971</v>
      </c>
      <c r="CU14" t="str">
        <v>0.107301</v>
      </c>
      <c r="CV14" t="str">
        <v>0.000000</v>
      </c>
      <c r="CW14" t="str">
        <v>PSF-00438_20251204103442_827</v>
      </c>
      <c r="CX14" t="str">
        <v>PFA-00474</v>
      </c>
      <c r="CY14" t="str">
        <v>PSA-00486</v>
      </c>
      <c r="CZ14" t="str">
        <v>PSF-00438</v>
      </c>
      <c r="DA14" t="str">
        <v>RHS-00603</v>
      </c>
      <c r="DB14" t="str">
        <v>3.0.0</v>
      </c>
      <c r="DC14" t="str">
        <v>2025-10-05T12:52:23.367Z</v>
      </c>
    </row>
    <row r="15">
      <c r="A15" t="str">
        <v>12</v>
      </c>
      <c r="B15" t="str">
        <v>10:34:59</v>
      </c>
      <c r="C15" t="str">
        <v>2025-12-04</v>
      </c>
      <c r="D15" t="str">
        <v>g34p_dark</v>
      </c>
      <c r="E15" t="str">
        <v>mrk</v>
      </c>
      <c r="F15" t="str">
        <v/>
      </c>
      <c r="G15" t="str">
        <v/>
      </c>
      <c r="H15" t="str">
        <v>4712_Tri_red</v>
      </c>
      <c r="I15" t="str">
        <v/>
      </c>
      <c r="J15" t="str">
        <f>1/((1/L15)-(1/K15))</f>
        <v>0.005984</v>
      </c>
      <c r="K15" t="str">
        <f>BH15+(BI15*AN15)+(BJ15*AN15*POWER(V15,2))+(BK15*AN15*V15)+(BL15*POWER(AN15,2))</f>
        <v>2.922033</v>
      </c>
      <c r="L15" t="str">
        <f>((M15/1000)*(1000-((T15+S15)/2)))/(T15-S15)</f>
        <v>0.005972</v>
      </c>
      <c r="M15" t="str">
        <f>(AN15*(S15-R15))/(100*U15*(1000-S15))*1000</f>
        <v>0.079717</v>
      </c>
      <c r="N15" t="str">
        <v>0.754243</v>
      </c>
      <c r="O15" t="str">
        <v>0.752209</v>
      </c>
      <c r="P15" t="str">
        <f>0.61365*EXP((17.502*AL15)/(240.97+AL15))</f>
        <v>1.954453</v>
      </c>
      <c r="Q15" t="str">
        <f>P15-N15</f>
        <v>1.200210</v>
      </c>
      <c r="R15" t="str">
        <v>8.241805</v>
      </c>
      <c r="S15" t="str">
        <v>8.264088</v>
      </c>
      <c r="T15" t="str">
        <f>(P15/AM15)*1000</f>
        <v>21.414555</v>
      </c>
      <c r="U15" t="str">
        <f>V15*BG15</f>
        <v>0.441786</v>
      </c>
      <c r="V15" t="str">
        <v>7.500000</v>
      </c>
      <c r="W15" t="str">
        <v>PSF-00438_20251204103459_951</v>
      </c>
      <c r="X15" t="str">
        <v>231.844070</v>
      </c>
      <c r="Y15" t="str">
        <v>418.269409</v>
      </c>
      <c r="Z15" t="str">
        <v>0.445706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0.417513</v>
      </c>
      <c r="AG15" t="str">
        <v>1.000000</v>
      </c>
      <c r="AH15" t="str">
        <v>29.91</v>
      </c>
      <c r="AI15" t="str">
        <v>29.83</v>
      </c>
      <c r="AJ15" t="str">
        <v>21.17</v>
      </c>
      <c r="AK15" t="str">
        <v>17.08</v>
      </c>
      <c r="AL15" t="str">
        <f>(AK15-AJ15)*(AJ15*0+0)+AK15</f>
        <v>17.08</v>
      </c>
      <c r="AM15" t="str">
        <v>91.27</v>
      </c>
      <c r="AN15" t="str">
        <v>156.7</v>
      </c>
      <c r="AO15" t="str">
        <v>158.7</v>
      </c>
      <c r="AP15" t="str">
        <v>-1.2</v>
      </c>
      <c r="AQ15" t="str">
        <v>2</v>
      </c>
      <c r="AR15" t="str">
        <v>4.101</v>
      </c>
      <c r="AS15" t="str">
        <v>10:31:00</v>
      </c>
      <c r="AT15" t="str">
        <v>2025-12-04</v>
      </c>
      <c r="AU15" t="str">
        <v>-0.11</v>
      </c>
      <c r="AV15" t="str">
        <v>1</v>
      </c>
      <c r="AW15" t="str">
        <v>-0.000</v>
      </c>
      <c r="AX15" t="str">
        <v>-0.004</v>
      </c>
      <c r="AY15" t="str">
        <v>-9999.000</v>
      </c>
      <c r="AZ15" t="str">
        <v>-0.383</v>
      </c>
      <c r="BA15" t="str">
        <v>-1.858</v>
      </c>
      <c r="BB15" t="str">
        <v>-9999.000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6000</v>
      </c>
      <c r="BQ15" t="str">
        <v>5</v>
      </c>
      <c r="BR15" t="str">
        <v>5.000000</v>
      </c>
      <c r="BS15" t="str">
        <v>2.000000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2.440324</v>
      </c>
      <c r="CD15" t="str">
        <v>2.454588</v>
      </c>
      <c r="CE15" t="str">
        <v>1.655840</v>
      </c>
      <c r="CF15" t="str">
        <v>0.943063</v>
      </c>
      <c r="CG15" t="str">
        <v>0.317919</v>
      </c>
      <c r="CH15" t="str">
        <v>-0.043300</v>
      </c>
      <c r="CI15" t="str">
        <v>0.080388</v>
      </c>
      <c r="CJ15" t="str">
        <v>0.109408</v>
      </c>
      <c r="CK15" t="str">
        <v>231.844070</v>
      </c>
      <c r="CL15" t="str">
        <v>0.000234</v>
      </c>
      <c r="CM15" t="str">
        <v>2.388960</v>
      </c>
      <c r="CN15" t="str">
        <v>-0.000025</v>
      </c>
      <c r="CO15" t="str">
        <v>1.000000</v>
      </c>
      <c r="CP15" t="str">
        <v>2.402765</v>
      </c>
      <c r="CQ15" t="str">
        <v>-0.000034</v>
      </c>
      <c r="CR15" t="str">
        <v>1.000000</v>
      </c>
      <c r="CS15" t="str">
        <v>0.600816</v>
      </c>
      <c r="CT15" t="str">
        <v>0.600971</v>
      </c>
      <c r="CU15" t="str">
        <v>0.107301</v>
      </c>
      <c r="CV15" t="str">
        <v>0.000000</v>
      </c>
      <c r="CW15" t="str">
        <v>PSF-00438_20251204103459_951</v>
      </c>
      <c r="CX15" t="str">
        <v>PFA-00474</v>
      </c>
      <c r="CY15" t="str">
        <v>PSA-00486</v>
      </c>
      <c r="CZ15" t="str">
        <v>PSF-00438</v>
      </c>
      <c r="DA15" t="str">
        <v>RHS-00603</v>
      </c>
      <c r="DB15" t="str">
        <v>3.0.0</v>
      </c>
      <c r="DC15" t="str">
        <v>2025-10-05T12:52:23.367Z</v>
      </c>
    </row>
    <row r="16">
      <c r="A16" t="str">
        <v>13</v>
      </c>
      <c r="B16" t="str">
        <v>10:35:15</v>
      </c>
      <c r="C16" t="str">
        <v>2025-12-04</v>
      </c>
      <c r="D16" t="str">
        <v>g34p_dark</v>
      </c>
      <c r="E16" t="str">
        <v>mrk</v>
      </c>
      <c r="F16" t="str">
        <v/>
      </c>
      <c r="G16" t="str">
        <v/>
      </c>
      <c r="H16" t="str">
        <v>4712_Tri_red</v>
      </c>
      <c r="I16" t="str">
        <v/>
      </c>
      <c r="J16" t="str">
        <f>1/((1/L16)-(1/K16))</f>
        <v>0.011863</v>
      </c>
      <c r="K16" t="str">
        <f>BH16+(BI16*AN16)+(BJ16*AN16*POWER(V16,2))+(BK16*AN16*V16)+(BL16*POWER(AN16,2))</f>
        <v>2.922700</v>
      </c>
      <c r="L16" t="str">
        <f>((M16/1000)*(1000-((T16+S16)/2)))/(T16-S16)</f>
        <v>0.011815</v>
      </c>
      <c r="M16" t="str">
        <f>(AN16*(S16-R16))/(100*U16*(1000-S16))*1000</f>
        <v>0.124878</v>
      </c>
      <c r="N16" t="str">
        <v>0.743822</v>
      </c>
      <c r="O16" t="str">
        <v>0.740637</v>
      </c>
      <c r="P16" t="str">
        <f>0.61365*EXP((17.502*AL16)/(240.97+AL16))</f>
        <v>1.695597</v>
      </c>
      <c r="Q16" t="str">
        <f>P16-N16</f>
        <v>0.951775</v>
      </c>
      <c r="R16" t="str">
        <v>8.114975</v>
      </c>
      <c r="S16" t="str">
        <v>8.149867</v>
      </c>
      <c r="T16" t="str">
        <f>(P16/AM16)*1000</f>
        <v>18.578217</v>
      </c>
      <c r="U16" t="str">
        <f>V16*BG16</f>
        <v>0.441786</v>
      </c>
      <c r="V16" t="str">
        <v>7.500000</v>
      </c>
      <c r="W16" t="str">
        <v>PSF-00438_20251204103515_d54</v>
      </c>
      <c r="X16" t="str">
        <v>186.038727</v>
      </c>
      <c r="Y16" t="str">
        <v>583.738831</v>
      </c>
      <c r="Z16" t="str">
        <v>0.681298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0.112422</v>
      </c>
      <c r="AG16" t="str">
        <v>1.000000</v>
      </c>
      <c r="AH16" t="str">
        <v>29.65</v>
      </c>
      <c r="AI16" t="str">
        <v>29.52</v>
      </c>
      <c r="AJ16" t="str">
        <v>21.08</v>
      </c>
      <c r="AK16" t="str">
        <v>14.86</v>
      </c>
      <c r="AL16" t="str">
        <f>(AK16-AJ16)*(AJ16*0+0)+AK16</f>
        <v>14.86</v>
      </c>
      <c r="AM16" t="str">
        <v>91.27</v>
      </c>
      <c r="AN16" t="str">
        <v>156.8</v>
      </c>
      <c r="AO16" t="str">
        <v>158.3</v>
      </c>
      <c r="AP16" t="str">
        <v>-1.0</v>
      </c>
      <c r="AQ16" t="str">
        <v>0</v>
      </c>
      <c r="AR16" t="str">
        <v>4.100</v>
      </c>
      <c r="AS16" t="str">
        <v>10:31:00</v>
      </c>
      <c r="AT16" t="str">
        <v>2025-12-04</v>
      </c>
      <c r="AU16" t="str">
        <v>-0.11</v>
      </c>
      <c r="AV16" t="str">
        <v>1</v>
      </c>
      <c r="AW16" t="str">
        <v>-0.027</v>
      </c>
      <c r="AX16" t="str">
        <v>-0.009</v>
      </c>
      <c r="AY16" t="str">
        <v>-0.025</v>
      </c>
      <c r="AZ16" t="str">
        <v>162.481</v>
      </c>
      <c r="BA16" t="str">
        <v>81.598</v>
      </c>
      <c r="BB16" t="str">
        <v>40.601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6000</v>
      </c>
      <c r="BQ16" t="str">
        <v>5</v>
      </c>
      <c r="BR16" t="str">
        <v>5.000000</v>
      </c>
      <c r="BS16" t="str">
        <v>2.000000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2.439889</v>
      </c>
      <c r="CD16" t="str">
        <v>2.454220</v>
      </c>
      <c r="CE16" t="str">
        <v>1.656539</v>
      </c>
      <c r="CF16" t="str">
        <v>0.942266</v>
      </c>
      <c r="CG16" t="str">
        <v>0.319012</v>
      </c>
      <c r="CH16" t="str">
        <v>-0.065494</v>
      </c>
      <c r="CI16" t="str">
        <v>0.082495</v>
      </c>
      <c r="CJ16" t="str">
        <v>0.107672</v>
      </c>
      <c r="CK16" t="str">
        <v>186.038727</v>
      </c>
      <c r="CL16" t="str">
        <v>0.000237</v>
      </c>
      <c r="CM16" t="str">
        <v>2.388960</v>
      </c>
      <c r="CN16" t="str">
        <v>-0.000025</v>
      </c>
      <c r="CO16" t="str">
        <v>1.000000</v>
      </c>
      <c r="CP16" t="str">
        <v>2.402765</v>
      </c>
      <c r="CQ16" t="str">
        <v>-0.000034</v>
      </c>
      <c r="CR16" t="str">
        <v>1.000000</v>
      </c>
      <c r="CS16" t="str">
        <v>0.600816</v>
      </c>
      <c r="CT16" t="str">
        <v>0.600971</v>
      </c>
      <c r="CU16" t="str">
        <v>0.107301</v>
      </c>
      <c r="CV16" t="str">
        <v>0.000000</v>
      </c>
      <c r="CW16" t="str">
        <v>PSF-00438_20251204103515_d54</v>
      </c>
      <c r="CX16" t="str">
        <v>PFA-00474</v>
      </c>
      <c r="CY16" t="str">
        <v>PSA-00486</v>
      </c>
      <c r="CZ16" t="str">
        <v>PSF-00438</v>
      </c>
      <c r="DA16" t="str">
        <v>RHS-00603</v>
      </c>
      <c r="DB16" t="str">
        <v>3.0.0</v>
      </c>
      <c r="DC16" t="str">
        <v>2025-10-05T12:52:23.367Z</v>
      </c>
    </row>
    <row r="17">
      <c r="A17" t="str">
        <v>14</v>
      </c>
      <c r="B17" t="str">
        <v>10:35:42</v>
      </c>
      <c r="C17" t="str">
        <v>2025-12-04</v>
      </c>
      <c r="D17" t="str">
        <v>g34p_dark</v>
      </c>
      <c r="E17" t="str">
        <v>mrk</v>
      </c>
      <c r="F17" t="str">
        <v>Flag</v>
      </c>
      <c r="G17" t="str">
        <v/>
      </c>
      <c r="H17" t="str">
        <v>4712_Tri_red</v>
      </c>
      <c r="I17" t="str">
        <v/>
      </c>
      <c r="J17" t="str">
        <f>1/((1/L17)-(1/K17))</f>
        <v>0.042509</v>
      </c>
      <c r="K17" t="str">
        <f>BH17+(BI17*AN17)+(BJ17*AN17*POWER(V17,2))+(BK17*AN17*V17)+(BL17*POWER(AN17,2))</f>
        <v>2.921868</v>
      </c>
      <c r="L17" t="str">
        <f>((M17/1000)*(1000-((T17+S17)/2)))/(T17-S17)</f>
        <v>0.041900</v>
      </c>
      <c r="M17" t="str">
        <f>(AN17*(S17-R17))/(100*U17*(1000-S17))*1000</f>
        <v>0.381384</v>
      </c>
      <c r="N17" t="str">
        <v>0.759635</v>
      </c>
      <c r="O17" t="str">
        <v>0.749904</v>
      </c>
      <c r="P17" t="str">
        <f>0.61365*EXP((17.502*AL17)/(240.97+AL17))</f>
        <v>1.579738</v>
      </c>
      <c r="Q17" t="str">
        <f>P17-N17</f>
        <v>0.820103</v>
      </c>
      <c r="R17" t="str">
        <v>8.216532</v>
      </c>
      <c r="S17" t="str">
        <v>8.323146</v>
      </c>
      <c r="T17" t="str">
        <f>(P17/AM17)*1000</f>
        <v>17.308825</v>
      </c>
      <c r="U17" t="str">
        <f>V17*BG17</f>
        <v>0.441786</v>
      </c>
      <c r="V17" t="str">
        <v>7.500000</v>
      </c>
      <c r="W17" t="str">
        <v>PSF-00438_20251204103542_6da</v>
      </c>
      <c r="X17" t="str">
        <v>161.048416</v>
      </c>
      <c r="Y17" t="str">
        <v>551.094177</v>
      </c>
      <c r="Z17" t="str">
        <v>0.707766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0.386010</v>
      </c>
      <c r="AG17" t="str">
        <v>1.000000</v>
      </c>
      <c r="AH17" t="str">
        <v>30.53</v>
      </c>
      <c r="AI17" t="str">
        <v>30.14</v>
      </c>
      <c r="AJ17" t="str">
        <v>20.95</v>
      </c>
      <c r="AK17" t="str">
        <v>13.76</v>
      </c>
      <c r="AL17" t="str">
        <f>(AK17-AJ17)*(AJ17*0+0)+AK17</f>
        <v>13.76</v>
      </c>
      <c r="AM17" t="str">
        <v>91.27</v>
      </c>
      <c r="AN17" t="str">
        <v>156.7</v>
      </c>
      <c r="AO17" t="str">
        <v>158.4</v>
      </c>
      <c r="AP17" t="str">
        <v>-1.0</v>
      </c>
      <c r="AQ17" t="str">
        <v>1</v>
      </c>
      <c r="AR17" t="str">
        <v>4.127</v>
      </c>
      <c r="AS17" t="str">
        <v>10:31:00</v>
      </c>
      <c r="AT17" t="str">
        <v>2025-12-04</v>
      </c>
      <c r="AU17" t="str">
        <v>-0.11</v>
      </c>
      <c r="AV17" t="str">
        <v>1</v>
      </c>
      <c r="AW17" t="str">
        <v>0.001</v>
      </c>
      <c r="AX17" t="str">
        <v>0.010</v>
      </c>
      <c r="AY17" t="str">
        <v>0.007</v>
      </c>
      <c r="AZ17" t="str">
        <v>2.055</v>
      </c>
      <c r="BA17" t="str">
        <v>0.149</v>
      </c>
      <c r="BB17" t="str">
        <v>-0.594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6000</v>
      </c>
      <c r="BQ17" t="str">
        <v>5</v>
      </c>
      <c r="BR17" t="str">
        <v>5.000000</v>
      </c>
      <c r="BS17" t="str">
        <v>2.000000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2.440825</v>
      </c>
      <c r="CD17" t="str">
        <v>2.455554</v>
      </c>
      <c r="CE17" t="str">
        <v>1.655666</v>
      </c>
      <c r="CF17" t="str">
        <v>0.942284</v>
      </c>
      <c r="CG17" t="str">
        <v>0.320751</v>
      </c>
      <c r="CH17" t="str">
        <v>-0.075201</v>
      </c>
      <c r="CI17" t="str">
        <v>0.085939</v>
      </c>
      <c r="CJ17" t="str">
        <v>0.108528</v>
      </c>
      <c r="CK17" t="str">
        <v>157.782562</v>
      </c>
      <c r="CL17" t="str">
        <v>0.000235</v>
      </c>
      <c r="CM17" t="str">
        <v>2.388960</v>
      </c>
      <c r="CN17" t="str">
        <v>-0.000025</v>
      </c>
      <c r="CO17" t="str">
        <v>1.000000</v>
      </c>
      <c r="CP17" t="str">
        <v>2.402765</v>
      </c>
      <c r="CQ17" t="str">
        <v>-0.000034</v>
      </c>
      <c r="CR17" t="str">
        <v>1.000000</v>
      </c>
      <c r="CS17" t="str">
        <v>0.600816</v>
      </c>
      <c r="CT17" t="str">
        <v>0.600971</v>
      </c>
      <c r="CU17" t="str">
        <v>0.107301</v>
      </c>
      <c r="CV17" t="str">
        <v>0.000000</v>
      </c>
      <c r="CW17" t="str">
        <v>PSF-00438_20251204103542_6da</v>
      </c>
      <c r="CX17" t="str">
        <v>PFA-00474</v>
      </c>
      <c r="CY17" t="str">
        <v>PSA-00486</v>
      </c>
      <c r="CZ17" t="str">
        <v>PSF-00438</v>
      </c>
      <c r="DA17" t="str">
        <v>RHS-00603</v>
      </c>
      <c r="DB17" t="str">
        <v>3.0.0</v>
      </c>
      <c r="DC17" t="str">
        <v>2025-10-05T12:52:23.367Z</v>
      </c>
    </row>
    <row r="18">
      <c r="A18" t="str">
        <v>15</v>
      </c>
      <c r="B18" t="str">
        <v>10:35:58</v>
      </c>
      <c r="C18" t="str">
        <v>2025-12-04</v>
      </c>
      <c r="D18" t="str">
        <v>g34p_dark</v>
      </c>
      <c r="E18" t="str">
        <v>mrk</v>
      </c>
      <c r="F18" t="str">
        <v/>
      </c>
      <c r="G18" t="str">
        <v/>
      </c>
      <c r="H18" t="str">
        <v>5228_Tri_red</v>
      </c>
      <c r="I18" t="str">
        <v/>
      </c>
      <c r="J18" t="str">
        <f>1/((1/L18)-(1/K18))</f>
        <v>0.015756</v>
      </c>
      <c r="K18" t="str">
        <f>BH18+(BI18*AN18)+(BJ18*AN18*POWER(V18,2))+(BK18*AN18*V18)+(BL18*POWER(AN18,2))</f>
        <v>2.921727</v>
      </c>
      <c r="L18" t="str">
        <f>((M18/1000)*(1000-((T18+S18)/2)))/(T18-S18)</f>
        <v>0.015672</v>
      </c>
      <c r="M18" t="str">
        <f>(AN18*(S18-R18))/(100*U18*(1000-S18))*1000</f>
        <v>0.180425</v>
      </c>
      <c r="N18" t="str">
        <v>0.748344</v>
      </c>
      <c r="O18" t="str">
        <v>0.743740</v>
      </c>
      <c r="P18" t="str">
        <f>0.61365*EXP((17.502*AL18)/(240.97+AL18))</f>
        <v>1.784522</v>
      </c>
      <c r="Q18" t="str">
        <f>P18-N18</f>
        <v>1.036178</v>
      </c>
      <c r="R18" t="str">
        <v>8.148988</v>
      </c>
      <c r="S18" t="str">
        <v>8.199436</v>
      </c>
      <c r="T18" t="str">
        <f>(P18/AM18)*1000</f>
        <v>19.552603</v>
      </c>
      <c r="U18" t="str">
        <f>V18*BG18</f>
        <v>0.441786</v>
      </c>
      <c r="V18" t="str">
        <v>7.500000</v>
      </c>
      <c r="W18" t="str">
        <v>PSF-00438_20251204103558_18d</v>
      </c>
      <c r="X18" t="str">
        <v>211.289047</v>
      </c>
      <c r="Y18" t="str">
        <v>575.161804</v>
      </c>
      <c r="Z18" t="str">
        <v>0.632644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0.538602</v>
      </c>
      <c r="AG18" t="str">
        <v>1.000000</v>
      </c>
      <c r="AH18" t="str">
        <v>30.23</v>
      </c>
      <c r="AI18" t="str">
        <v>30.05</v>
      </c>
      <c r="AJ18" t="str">
        <v>20.86</v>
      </c>
      <c r="AK18" t="str">
        <v>15.65</v>
      </c>
      <c r="AL18" t="str">
        <f>(AK18-AJ18)*(AJ18*0+0)+AK18</f>
        <v>15.65</v>
      </c>
      <c r="AM18" t="str">
        <v>91.27</v>
      </c>
      <c r="AN18" t="str">
        <v>156.7</v>
      </c>
      <c r="AO18" t="str">
        <v>157.9</v>
      </c>
      <c r="AP18" t="str">
        <v>-0.8</v>
      </c>
      <c r="AQ18" t="str">
        <v>2</v>
      </c>
      <c r="AR18" t="str">
        <v>4.127</v>
      </c>
      <c r="AS18" t="str">
        <v>10:31:00</v>
      </c>
      <c r="AT18" t="str">
        <v>2025-12-04</v>
      </c>
      <c r="AU18" t="str">
        <v>-0.11</v>
      </c>
      <c r="AV18" t="str">
        <v>1</v>
      </c>
      <c r="AW18" t="str">
        <v>-0.082</v>
      </c>
      <c r="AX18" t="str">
        <v>-0.014</v>
      </c>
      <c r="AY18" t="str">
        <v>0.009</v>
      </c>
      <c r="AZ18" t="str">
        <v>193.335</v>
      </c>
      <c r="BA18" t="str">
        <v>115.364</v>
      </c>
      <c r="BB18" t="str">
        <v>57.679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6000</v>
      </c>
      <c r="BQ18" t="str">
        <v>5</v>
      </c>
      <c r="BR18" t="str">
        <v>5.000000</v>
      </c>
      <c r="BS18" t="str">
        <v>2.000000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2.440701</v>
      </c>
      <c r="CD18" t="str">
        <v>2.455126</v>
      </c>
      <c r="CE18" t="str">
        <v>1.655519</v>
      </c>
      <c r="CF18" t="str">
        <v>0.941095</v>
      </c>
      <c r="CG18" t="str">
        <v>0.321827</v>
      </c>
      <c r="CH18" t="str">
        <v>-0.054886</v>
      </c>
      <c r="CI18" t="str">
        <v>0.087956</v>
      </c>
      <c r="CJ18" t="str">
        <v>0.109216</v>
      </c>
      <c r="CK18" t="str">
        <v>211.289047</v>
      </c>
      <c r="CL18" t="str">
        <v>0.000238</v>
      </c>
      <c r="CM18" t="str">
        <v>2.388960</v>
      </c>
      <c r="CN18" t="str">
        <v>-0.000025</v>
      </c>
      <c r="CO18" t="str">
        <v>1.000000</v>
      </c>
      <c r="CP18" t="str">
        <v>2.402765</v>
      </c>
      <c r="CQ18" t="str">
        <v>-0.000034</v>
      </c>
      <c r="CR18" t="str">
        <v>1.000000</v>
      </c>
      <c r="CS18" t="str">
        <v>0.600816</v>
      </c>
      <c r="CT18" t="str">
        <v>0.600971</v>
      </c>
      <c r="CU18" t="str">
        <v>0.107301</v>
      </c>
      <c r="CV18" t="str">
        <v>0.000000</v>
      </c>
      <c r="CW18" t="str">
        <v>PSF-00438_20251204103558_18d</v>
      </c>
      <c r="CX18" t="str">
        <v>PFA-00474</v>
      </c>
      <c r="CY18" t="str">
        <v>PSA-00486</v>
      </c>
      <c r="CZ18" t="str">
        <v>PSF-00438</v>
      </c>
      <c r="DA18" t="str">
        <v>RHS-00603</v>
      </c>
      <c r="DB18" t="str">
        <v>3.0.0</v>
      </c>
      <c r="DC18" t="str">
        <v>2025-10-05T12:52:23.367Z</v>
      </c>
    </row>
    <row r="19">
      <c r="A19" t="str">
        <v>16</v>
      </c>
      <c r="B19" t="str">
        <v>10:36:20</v>
      </c>
      <c r="C19" t="str">
        <v>2025-12-04</v>
      </c>
      <c r="D19" t="str">
        <v>g34p_dark</v>
      </c>
      <c r="E19" t="str">
        <v>mrk</v>
      </c>
      <c r="F19" t="str">
        <v>Flag</v>
      </c>
      <c r="G19" t="str">
        <v/>
      </c>
      <c r="H19" t="str">
        <v/>
      </c>
      <c r="I19" t="str">
        <v/>
      </c>
      <c r="J19" t="str">
        <f>1/((1/L19)-(1/K19))</f>
        <v>0.146240</v>
      </c>
      <c r="K19" t="str">
        <f>BH19+(BI19*AN19)+(BJ19*AN19*POWER(V19,2))+(BK19*AN19*V19)+(BL19*POWER(AN19,2))</f>
        <v>2.922525</v>
      </c>
      <c r="L19" t="str">
        <f>((M19/1000)*(1000-((T19+S19)/2)))/(T19-S19)</f>
        <v>0.139271</v>
      </c>
      <c r="M19" t="str">
        <f>(AN19*(S19-R19))/(100*U19*(1000-S19))*1000</f>
        <v>1.351814</v>
      </c>
      <c r="N19" t="str">
        <v>0.792655</v>
      </c>
      <c r="O19" t="str">
        <v>0.758197</v>
      </c>
      <c r="P19" t="str">
        <f>0.61365*EXP((17.502*AL19)/(240.97+AL19))</f>
        <v>1.666561</v>
      </c>
      <c r="Q19" t="str">
        <f>P19-N19</f>
        <v>0.873906</v>
      </c>
      <c r="R19" t="str">
        <v>8.307715</v>
      </c>
      <c r="S19" t="str">
        <v>8.685273</v>
      </c>
      <c r="T19" t="str">
        <f>(P19/AM19)*1000</f>
        <v>18.260836</v>
      </c>
      <c r="U19" t="str">
        <f>V19*BG19</f>
        <v>0.441786</v>
      </c>
      <c r="V19" t="str">
        <v>7.500000</v>
      </c>
      <c r="W19" t="str">
        <v>PSF-00438_20251204103620_5f9</v>
      </c>
      <c r="X19" t="str">
        <v>1.029611</v>
      </c>
      <c r="Y19" t="str">
        <v>1.416206</v>
      </c>
      <c r="Z19" t="str">
        <v>0.272980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0.648962</v>
      </c>
      <c r="AG19" t="str">
        <v>1.000000</v>
      </c>
      <c r="AH19" t="str">
        <v>32.24</v>
      </c>
      <c r="AI19" t="str">
        <v>30.84</v>
      </c>
      <c r="AJ19" t="str">
        <v>20.76</v>
      </c>
      <c r="AK19" t="str">
        <v>14.59</v>
      </c>
      <c r="AL19" t="str">
        <f>(AK19-AJ19)*(AJ19*0+0)+AK19</f>
        <v>14.59</v>
      </c>
      <c r="AM19" t="str">
        <v>91.26</v>
      </c>
      <c r="AN19" t="str">
        <v>156.8</v>
      </c>
      <c r="AO19" t="str">
        <v>-19.4</v>
      </c>
      <c r="AP19" t="str">
        <v>112.3</v>
      </c>
      <c r="AQ19" t="str">
        <v>6</v>
      </c>
      <c r="AR19" t="str">
        <v>4.126</v>
      </c>
      <c r="AS19" t="str">
        <v>10:31:00</v>
      </c>
      <c r="AT19" t="str">
        <v>2025-12-04</v>
      </c>
      <c r="AU19" t="str">
        <v>-0.11</v>
      </c>
      <c r="AV19" t="str">
        <v>1</v>
      </c>
      <c r="AW19" t="str">
        <v>0.003</v>
      </c>
      <c r="AX19" t="str">
        <v>0.039</v>
      </c>
      <c r="AY19" t="str">
        <v>-0.066</v>
      </c>
      <c r="AZ19" t="str">
        <v>0.113</v>
      </c>
      <c r="BA19" t="str">
        <v>0.061</v>
      </c>
      <c r="BB19" t="str">
        <v>0.046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6000</v>
      </c>
      <c r="BQ19" t="str">
        <v>5</v>
      </c>
      <c r="BR19" t="str">
        <v>5.000000</v>
      </c>
      <c r="BS19" t="str">
        <v>2.000000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2.441879</v>
      </c>
      <c r="CD19" t="str">
        <v>2.458099</v>
      </c>
      <c r="CE19" t="str">
        <v>1.656355</v>
      </c>
      <c r="CF19" t="str">
        <v>0.567216</v>
      </c>
      <c r="CG19" t="str">
        <v>0.323237</v>
      </c>
      <c r="CH19" t="str">
        <v>-0.064668</v>
      </c>
      <c r="CI19" t="str">
        <v>0.090714</v>
      </c>
      <c r="CJ19" t="str">
        <v>0.112647</v>
      </c>
      <c r="CK19" t="str">
        <v>1.249909</v>
      </c>
      <c r="CL19" t="str">
        <v>0.000235</v>
      </c>
      <c r="CM19" t="str">
        <v>2.388960</v>
      </c>
      <c r="CN19" t="str">
        <v>-0.000025</v>
      </c>
      <c r="CO19" t="str">
        <v>1.000000</v>
      </c>
      <c r="CP19" t="str">
        <v>2.402765</v>
      </c>
      <c r="CQ19" t="str">
        <v>-0.000034</v>
      </c>
      <c r="CR19" t="str">
        <v>1.000000</v>
      </c>
      <c r="CS19" t="str">
        <v>0.600816</v>
      </c>
      <c r="CT19" t="str">
        <v>0.600971</v>
      </c>
      <c r="CU19" t="str">
        <v>0.107301</v>
      </c>
      <c r="CV19" t="str">
        <v>0.000000</v>
      </c>
      <c r="CW19" t="str">
        <v>PSF-00438_20251204103620_5f9</v>
      </c>
      <c r="CX19" t="str">
        <v>PFA-00474</v>
      </c>
      <c r="CY19" t="str">
        <v>PSA-00486</v>
      </c>
      <c r="CZ19" t="str">
        <v>PSF-00438</v>
      </c>
      <c r="DA19" t="str">
        <v>RHS-00603</v>
      </c>
      <c r="DB19" t="str">
        <v>3.0.0</v>
      </c>
      <c r="DC19" t="str">
        <v>2025-10-05T12:52:23.367Z</v>
      </c>
    </row>
    <row r="20">
      <c r="A20" t="str">
        <v>17</v>
      </c>
      <c r="B20" t="str">
        <v>10:36:40</v>
      </c>
      <c r="C20" t="str">
        <v>2025-12-04</v>
      </c>
      <c r="D20" t="str">
        <v>g34p_dark</v>
      </c>
      <c r="E20" t="str">
        <v>mrk</v>
      </c>
      <c r="F20" t="str">
        <v/>
      </c>
      <c r="G20" t="str">
        <v/>
      </c>
      <c r="H20" t="str">
        <v>2329_Tri_red</v>
      </c>
      <c r="I20" t="str">
        <v/>
      </c>
      <c r="J20" t="str">
        <f>1/((1/L20)-(1/K20))</f>
        <v>0.007365</v>
      </c>
      <c r="K20" t="str">
        <f>BH20+(BI20*AN20)+(BJ20*AN20*POWER(V20,2))+(BK20*AN20*V20)+(BL20*POWER(AN20,2))</f>
        <v>2.921968</v>
      </c>
      <c r="L20" t="str">
        <f>((M20/1000)*(1000-((T20+S20)/2)))/(T20-S20)</f>
        <v>0.007346</v>
      </c>
      <c r="M20" t="str">
        <f>(AN20*(S20-R20))/(100*U20*(1000-S20))*1000</f>
        <v>0.098900</v>
      </c>
      <c r="N20" t="str">
        <v>0.748743</v>
      </c>
      <c r="O20" t="str">
        <v>0.746220</v>
      </c>
      <c r="P20" t="str">
        <f>0.61365*EXP((17.502*AL20)/(240.97+AL20))</f>
        <v>1.959079</v>
      </c>
      <c r="Q20" t="str">
        <f>P20-N20</f>
        <v>1.210336</v>
      </c>
      <c r="R20" t="str">
        <v>8.176880</v>
      </c>
      <c r="S20" t="str">
        <v>8.204528</v>
      </c>
      <c r="T20" t="str">
        <f>(P20/AM20)*1000</f>
        <v>21.467066</v>
      </c>
      <c r="U20" t="str">
        <f>V20*BG20</f>
        <v>0.441786</v>
      </c>
      <c r="V20" t="str">
        <v>7.500000</v>
      </c>
      <c r="W20" t="str">
        <v>PSF-00438_20251204103640_e9c</v>
      </c>
      <c r="X20" t="str">
        <v>238.768463</v>
      </c>
      <c r="Y20" t="str">
        <v>310.537933</v>
      </c>
      <c r="Z20" t="str">
        <v>0.231113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0.513157</v>
      </c>
      <c r="AG20" t="str">
        <v>1.000000</v>
      </c>
      <c r="AH20" t="str">
        <v>30.63</v>
      </c>
      <c r="AI20" t="str">
        <v>30.52</v>
      </c>
      <c r="AJ20" t="str">
        <v>20.66</v>
      </c>
      <c r="AK20" t="str">
        <v>17.12</v>
      </c>
      <c r="AL20" t="str">
        <f>(AK20-AJ20)*(AJ20*0+0)+AK20</f>
        <v>17.12</v>
      </c>
      <c r="AM20" t="str">
        <v>91.26</v>
      </c>
      <c r="AN20" t="str">
        <v>156.7</v>
      </c>
      <c r="AO20" t="str">
        <v>156.2</v>
      </c>
      <c r="AP20" t="str">
        <v>0.4</v>
      </c>
      <c r="AQ20" t="str">
        <v>6</v>
      </c>
      <c r="AR20" t="str">
        <v>4.125</v>
      </c>
      <c r="AS20" t="str">
        <v>10:31:00</v>
      </c>
      <c r="AT20" t="str">
        <v>2025-12-04</v>
      </c>
      <c r="AU20" t="str">
        <v>-0.11</v>
      </c>
      <c r="AV20" t="str">
        <v>1</v>
      </c>
      <c r="AW20" t="str">
        <v>-0.005</v>
      </c>
      <c r="AX20" t="str">
        <v>-0.012</v>
      </c>
      <c r="AY20" t="str">
        <v>-0.007</v>
      </c>
      <c r="AZ20" t="str">
        <v>146.835</v>
      </c>
      <c r="BA20" t="str">
        <v>16.579</v>
      </c>
      <c r="BB20" t="str">
        <v>-14.661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6000</v>
      </c>
      <c r="BQ20" t="str">
        <v>5</v>
      </c>
      <c r="BR20" t="str">
        <v>5.000000</v>
      </c>
      <c r="BS20" t="str">
        <v>2.000000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2.441434</v>
      </c>
      <c r="CD20" t="str">
        <v>2.455743</v>
      </c>
      <c r="CE20" t="str">
        <v>1.655772</v>
      </c>
      <c r="CF20" t="str">
        <v>0.936731</v>
      </c>
      <c r="CG20" t="str">
        <v>0.324435</v>
      </c>
      <c r="CH20" t="str">
        <v>-0.037369</v>
      </c>
      <c r="CI20" t="str">
        <v>0.093286</v>
      </c>
      <c r="CJ20" t="str">
        <v>0.112294</v>
      </c>
      <c r="CK20" t="str">
        <v>238.768463</v>
      </c>
      <c r="CL20" t="str">
        <v>0.000237</v>
      </c>
      <c r="CM20" t="str">
        <v>2.388960</v>
      </c>
      <c r="CN20" t="str">
        <v>-0.000025</v>
      </c>
      <c r="CO20" t="str">
        <v>1.000000</v>
      </c>
      <c r="CP20" t="str">
        <v>2.402765</v>
      </c>
      <c r="CQ20" t="str">
        <v>-0.000034</v>
      </c>
      <c r="CR20" t="str">
        <v>1.000000</v>
      </c>
      <c r="CS20" t="str">
        <v>0.600816</v>
      </c>
      <c r="CT20" t="str">
        <v>0.600971</v>
      </c>
      <c r="CU20" t="str">
        <v>0.107301</v>
      </c>
      <c r="CV20" t="str">
        <v>0.000000</v>
      </c>
      <c r="CW20" t="str">
        <v>PSF-00438_20251204103640_e9c</v>
      </c>
      <c r="CX20" t="str">
        <v>PFA-00474</v>
      </c>
      <c r="CY20" t="str">
        <v>PSA-00486</v>
      </c>
      <c r="CZ20" t="str">
        <v>PSF-00438</v>
      </c>
      <c r="DA20" t="str">
        <v>RHS-00603</v>
      </c>
      <c r="DB20" t="str">
        <v>3.0.0</v>
      </c>
      <c r="DC20" t="str">
        <v>2025-10-05T12:52:23.367Z</v>
      </c>
    </row>
    <row r="21">
      <c r="A21" t="str">
        <v>18</v>
      </c>
      <c r="B21" t="str">
        <v>10:36:52</v>
      </c>
      <c r="C21" t="str">
        <v>2025-12-04</v>
      </c>
      <c r="D21" t="str">
        <v>g34p_dark</v>
      </c>
      <c r="E21" t="str">
        <v>mrk</v>
      </c>
      <c r="F21" t="str">
        <v/>
      </c>
      <c r="G21" t="str">
        <v/>
      </c>
      <c r="H21" t="str">
        <v>2329_Tri_red</v>
      </c>
      <c r="I21" t="str">
        <v/>
      </c>
      <c r="J21" t="str">
        <f>1/((1/L21)-(1/K21))</f>
        <v>0.044335</v>
      </c>
      <c r="K21" t="str">
        <f>BH21+(BI21*AN21)+(BJ21*AN21*POWER(V21,2))+(BK21*AN21*V21)+(BL21*POWER(AN21,2))</f>
        <v>2.921457</v>
      </c>
      <c r="L21" t="str">
        <f>((M21/1000)*(1000-((T21+S21)/2)))/(T21-S21)</f>
        <v>0.043672</v>
      </c>
      <c r="M21" t="str">
        <f>(AN21*(S21-R21))/(100*U21*(1000-S21))*1000</f>
        <v>0.480332</v>
      </c>
      <c r="N21" t="str">
        <v>0.764053</v>
      </c>
      <c r="O21" t="str">
        <v>0.751795</v>
      </c>
      <c r="P21" t="str">
        <f>0.61365*EXP((17.502*AL21)/(240.97+AL21))</f>
        <v>1.753999</v>
      </c>
      <c r="Q21" t="str">
        <f>P21-N21</f>
        <v>0.989946</v>
      </c>
      <c r="R21" t="str">
        <v>8.237475</v>
      </c>
      <c r="S21" t="str">
        <v>8.371787</v>
      </c>
      <c r="T21" t="str">
        <f>(P21/AM21)*1000</f>
        <v>19.218693</v>
      </c>
      <c r="U21" t="str">
        <f>V21*BG21</f>
        <v>0.441786</v>
      </c>
      <c r="V21" t="str">
        <v>7.500000</v>
      </c>
      <c r="W21" t="str">
        <v>PSF-00438_20251204103652_360</v>
      </c>
      <c r="X21" t="str">
        <v>212.561127</v>
      </c>
      <c r="Y21" t="str">
        <v>306.345093</v>
      </c>
      <c r="Z21" t="str">
        <v>0.306138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0.580866</v>
      </c>
      <c r="AG21" t="str">
        <v>1.000000</v>
      </c>
      <c r="AH21" t="str">
        <v>31.37</v>
      </c>
      <c r="AI21" t="str">
        <v>30.87</v>
      </c>
      <c r="AJ21" t="str">
        <v>20.60</v>
      </c>
      <c r="AK21" t="str">
        <v>15.38</v>
      </c>
      <c r="AL21" t="str">
        <f>(AK21-AJ21)*(AJ21*0+0)+AK21</f>
        <v>15.38</v>
      </c>
      <c r="AM21" t="str">
        <v>91.27</v>
      </c>
      <c r="AN21" t="str">
        <v>156.7</v>
      </c>
      <c r="AO21" t="str">
        <v>150.9</v>
      </c>
      <c r="AP21" t="str">
        <v>3.7</v>
      </c>
      <c r="AQ21" t="str">
        <v>5</v>
      </c>
      <c r="AR21" t="str">
        <v>4.125</v>
      </c>
      <c r="AS21" t="str">
        <v>10:31:00</v>
      </c>
      <c r="AT21" t="str">
        <v>2025-12-04</v>
      </c>
      <c r="AU21" t="str">
        <v>-0.11</v>
      </c>
      <c r="AV21" t="str">
        <v>1</v>
      </c>
      <c r="AW21" t="str">
        <v>-0.121</v>
      </c>
      <c r="AX21" t="str">
        <v>-0.052</v>
      </c>
      <c r="AY21" t="str">
        <v>0.081</v>
      </c>
      <c r="AZ21" t="str">
        <v>200.258</v>
      </c>
      <c r="BA21" t="str">
        <v>102.383</v>
      </c>
      <c r="BB21" t="str">
        <v>51.668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6000</v>
      </c>
      <c r="BQ21" t="str">
        <v>5</v>
      </c>
      <c r="BR21" t="str">
        <v>5.000000</v>
      </c>
      <c r="BS21" t="str">
        <v>2.000000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2.441948</v>
      </c>
      <c r="CD21" t="str">
        <v>2.456851</v>
      </c>
      <c r="CE21" t="str">
        <v>1.655236</v>
      </c>
      <c r="CF21" t="str">
        <v>0.923198</v>
      </c>
      <c r="CG21" t="str">
        <v>0.325226</v>
      </c>
      <c r="CH21" t="str">
        <v>-0.054817</v>
      </c>
      <c r="CI21" t="str">
        <v>0.094737</v>
      </c>
      <c r="CJ21" t="str">
        <v>0.111568</v>
      </c>
      <c r="CK21" t="str">
        <v>212.561127</v>
      </c>
      <c r="CL21" t="str">
        <v>0.000235</v>
      </c>
      <c r="CM21" t="str">
        <v>2.388960</v>
      </c>
      <c r="CN21" t="str">
        <v>-0.000025</v>
      </c>
      <c r="CO21" t="str">
        <v>1.000000</v>
      </c>
      <c r="CP21" t="str">
        <v>2.402765</v>
      </c>
      <c r="CQ21" t="str">
        <v>-0.000034</v>
      </c>
      <c r="CR21" t="str">
        <v>1.000000</v>
      </c>
      <c r="CS21" t="str">
        <v>0.600816</v>
      </c>
      <c r="CT21" t="str">
        <v>0.600971</v>
      </c>
      <c r="CU21" t="str">
        <v>0.107301</v>
      </c>
      <c r="CV21" t="str">
        <v>0.000000</v>
      </c>
      <c r="CW21" t="str">
        <v>PSF-00438_20251204103652_360</v>
      </c>
      <c r="CX21" t="str">
        <v>PFA-00474</v>
      </c>
      <c r="CY21" t="str">
        <v>PSA-00486</v>
      </c>
      <c r="CZ21" t="str">
        <v>PSF-00438</v>
      </c>
      <c r="DA21" t="str">
        <v>RHS-00603</v>
      </c>
      <c r="DB21" t="str">
        <v>3.0.0</v>
      </c>
      <c r="DC21" t="str">
        <v>2025-10-05T12:52:23.367Z</v>
      </c>
    </row>
    <row r="22">
      <c r="A22" t="str">
        <v>19</v>
      </c>
      <c r="B22" t="str">
        <v>10:37:11</v>
      </c>
      <c r="C22" t="str">
        <v>2025-12-04</v>
      </c>
      <c r="D22" t="str">
        <v>g34p_dark</v>
      </c>
      <c r="E22" t="str">
        <v>mrk</v>
      </c>
      <c r="F22" t="str">
        <v/>
      </c>
      <c r="G22" t="str">
        <v/>
      </c>
      <c r="H22" t="str">
        <v>632_Tri_red</v>
      </c>
      <c r="I22" t="str">
        <v/>
      </c>
      <c r="J22" t="str">
        <f>1/((1/L22)-(1/K22))</f>
        <v>0.066247</v>
      </c>
      <c r="K22" t="str">
        <f>BH22+(BI22*AN22)+(BJ22*AN22*POWER(V22,2))+(BK22*AN22*V22)+(BL22*POWER(AN22,2))</f>
        <v>2.919835</v>
      </c>
      <c r="L22" t="str">
        <f>((M22/1000)*(1000-((T22+S22)/2)))/(T22-S22)</f>
        <v>0.064778</v>
      </c>
      <c r="M22" t="str">
        <f>(AN22*(S22-R22))/(100*U22*(1000-S22))*1000</f>
        <v>0.649396</v>
      </c>
      <c r="N22" t="str">
        <v>0.772028</v>
      </c>
      <c r="O22" t="str">
        <v>0.755435</v>
      </c>
      <c r="P22" t="str">
        <f>0.61365*EXP((17.502*AL22)/(240.97+AL22))</f>
        <v>1.674737</v>
      </c>
      <c r="Q22" t="str">
        <f>P22-N22</f>
        <v>0.902709</v>
      </c>
      <c r="R22" t="str">
        <v>8.276994</v>
      </c>
      <c r="S22" t="str">
        <v>8.458796</v>
      </c>
      <c r="T22" t="str">
        <f>(P22/AM22)*1000</f>
        <v>18.349407</v>
      </c>
      <c r="U22" t="str">
        <f>V22*BG22</f>
        <v>0.441786</v>
      </c>
      <c r="V22" t="str">
        <v>7.500000</v>
      </c>
      <c r="W22" t="str">
        <v>PSF-00438_20251204103711_1c7</v>
      </c>
      <c r="X22" t="str">
        <v>209.597473</v>
      </c>
      <c r="Y22" t="str">
        <v>337.628967</v>
      </c>
      <c r="Z22" t="str">
        <v>0.379208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0.728251</v>
      </c>
      <c r="AG22" t="str">
        <v>1.000000</v>
      </c>
      <c r="AH22" t="str">
        <v>31.87</v>
      </c>
      <c r="AI22" t="str">
        <v>31.19</v>
      </c>
      <c r="AJ22" t="str">
        <v>20.51</v>
      </c>
      <c r="AK22" t="str">
        <v>14.66</v>
      </c>
      <c r="AL22" t="str">
        <f>(AK22-AJ22)*(AJ22*0+0)+AK22</f>
        <v>14.66</v>
      </c>
      <c r="AM22" t="str">
        <v>91.27</v>
      </c>
      <c r="AN22" t="str">
        <v>156.5</v>
      </c>
      <c r="AO22" t="str">
        <v>157.1</v>
      </c>
      <c r="AP22" t="str">
        <v>-0.4</v>
      </c>
      <c r="AQ22" t="str">
        <v>5</v>
      </c>
      <c r="AR22" t="str">
        <v>4.124</v>
      </c>
      <c r="AS22" t="str">
        <v>10:31:00</v>
      </c>
      <c r="AT22" t="str">
        <v>2025-12-04</v>
      </c>
      <c r="AU22" t="str">
        <v>-0.11</v>
      </c>
      <c r="AV22" t="str">
        <v>1</v>
      </c>
      <c r="AW22" t="str">
        <v>-0.023</v>
      </c>
      <c r="AX22" t="str">
        <v>0.062</v>
      </c>
      <c r="AY22" t="str">
        <v>0.062</v>
      </c>
      <c r="AZ22" t="str">
        <v>99.873</v>
      </c>
      <c r="BA22" t="str">
        <v>50.262</v>
      </c>
      <c r="BB22" t="str">
        <v>24.702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6000</v>
      </c>
      <c r="BQ22" t="str">
        <v>5</v>
      </c>
      <c r="BR22" t="str">
        <v>5.000000</v>
      </c>
      <c r="BS22" t="str">
        <v>2.000000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2.442429</v>
      </c>
      <c r="CD22" t="str">
        <v>2.457603</v>
      </c>
      <c r="CE22" t="str">
        <v>1.653543</v>
      </c>
      <c r="CF22" t="str">
        <v>0.938980</v>
      </c>
      <c r="CG22" t="str">
        <v>0.326377</v>
      </c>
      <c r="CH22" t="str">
        <v>-0.061268</v>
      </c>
      <c r="CI22" t="str">
        <v>0.097086</v>
      </c>
      <c r="CJ22" t="str">
        <v>0.111620</v>
      </c>
      <c r="CK22" t="str">
        <v>209.597473</v>
      </c>
      <c r="CL22" t="str">
        <v>0.000234</v>
      </c>
      <c r="CM22" t="str">
        <v>2.388960</v>
      </c>
      <c r="CN22" t="str">
        <v>-0.000025</v>
      </c>
      <c r="CO22" t="str">
        <v>1.000000</v>
      </c>
      <c r="CP22" t="str">
        <v>2.402765</v>
      </c>
      <c r="CQ22" t="str">
        <v>-0.000034</v>
      </c>
      <c r="CR22" t="str">
        <v>1.000000</v>
      </c>
      <c r="CS22" t="str">
        <v>0.600816</v>
      </c>
      <c r="CT22" t="str">
        <v>0.600971</v>
      </c>
      <c r="CU22" t="str">
        <v>0.107301</v>
      </c>
      <c r="CV22" t="str">
        <v>0.000000</v>
      </c>
      <c r="CW22" t="str">
        <v>PSF-00438_20251204103711_1c7</v>
      </c>
      <c r="CX22" t="str">
        <v>PFA-00474</v>
      </c>
      <c r="CY22" t="str">
        <v>PSA-00486</v>
      </c>
      <c r="CZ22" t="str">
        <v>PSF-00438</v>
      </c>
      <c r="DA22" t="str">
        <v>RHS-00603</v>
      </c>
      <c r="DB22" t="str">
        <v>3.0.0</v>
      </c>
      <c r="DC22" t="str">
        <v>2025-10-05T12:52:23.367Z</v>
      </c>
    </row>
    <row r="23">
      <c r="A23" t="str">
        <v>20</v>
      </c>
      <c r="B23" t="str">
        <v>10:37:31</v>
      </c>
      <c r="C23" t="str">
        <v>2025-12-04</v>
      </c>
      <c r="D23" t="str">
        <v>g34p_dark</v>
      </c>
      <c r="E23" t="str">
        <v>mrk</v>
      </c>
      <c r="F23" t="str">
        <v/>
      </c>
      <c r="G23" t="str">
        <v/>
      </c>
      <c r="H23" t="str">
        <v>4000_Tri_red</v>
      </c>
      <c r="I23" t="str">
        <v/>
      </c>
      <c r="J23" t="str">
        <f>1/((1/L23)-(1/K23))</f>
        <v>0.015120</v>
      </c>
      <c r="K23" t="str">
        <f>BH23+(BI23*AN23)+(BJ23*AN23*POWER(V23,2))+(BK23*AN23*V23)+(BL23*POWER(AN23,2))</f>
        <v>2.922527</v>
      </c>
      <c r="L23" t="str">
        <f>((M23/1000)*(1000-((T23+S23)/2)))/(T23-S23)</f>
        <v>0.015042</v>
      </c>
      <c r="M23" t="str">
        <f>(AN23*(S23-R23))/(100*U23*(1000-S23))*1000</f>
        <v>0.142268</v>
      </c>
      <c r="N23" t="str">
        <v>0.748466</v>
      </c>
      <c r="O23" t="str">
        <v>0.744838</v>
      </c>
      <c r="P23" t="str">
        <f>0.61365*EXP((17.502*AL23)/(240.97+AL23))</f>
        <v>1.600496</v>
      </c>
      <c r="Q23" t="str">
        <f>P23-N23</f>
        <v>0.852030</v>
      </c>
      <c r="R23" t="str">
        <v>8.161487</v>
      </c>
      <c r="S23" t="str">
        <v>8.201241</v>
      </c>
      <c r="T23" t="str">
        <f>(P23/AM23)*1000</f>
        <v>17.537281</v>
      </c>
      <c r="U23" t="str">
        <f>V23*BG23</f>
        <v>0.441786</v>
      </c>
      <c r="V23" t="str">
        <v>7.500000</v>
      </c>
      <c r="W23" t="str">
        <v>PSF-00438_20251204103731_60f</v>
      </c>
      <c r="X23" t="str">
        <v>203.124405</v>
      </c>
      <c r="Y23" t="str">
        <v>289.416443</v>
      </c>
      <c r="Z23" t="str">
        <v>0.298159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0.249760</v>
      </c>
      <c r="AG23" t="str">
        <v>1.000000</v>
      </c>
      <c r="AH23" t="str">
        <v>31.08</v>
      </c>
      <c r="AI23" t="str">
        <v>30.93</v>
      </c>
      <c r="AJ23" t="str">
        <v>20.42</v>
      </c>
      <c r="AK23" t="str">
        <v>13.96</v>
      </c>
      <c r="AL23" t="str">
        <f>(AK23-AJ23)*(AJ23*0+0)+AK23</f>
        <v>13.96</v>
      </c>
      <c r="AM23" t="str">
        <v>91.26</v>
      </c>
      <c r="AN23" t="str">
        <v>156.8</v>
      </c>
      <c r="AO23" t="str">
        <v>158.3</v>
      </c>
      <c r="AP23" t="str">
        <v>-1.0</v>
      </c>
      <c r="AQ23" t="str">
        <v>2</v>
      </c>
      <c r="AR23" t="str">
        <v>4.123</v>
      </c>
      <c r="AS23" t="str">
        <v>10:31:00</v>
      </c>
      <c r="AT23" t="str">
        <v>2025-12-04</v>
      </c>
      <c r="AU23" t="str">
        <v>-0.11</v>
      </c>
      <c r="AV23" t="str">
        <v>1</v>
      </c>
      <c r="AW23" t="str">
        <v>-0.060</v>
      </c>
      <c r="AX23" t="str">
        <v>-0.006</v>
      </c>
      <c r="AY23" t="str">
        <v>-0.080</v>
      </c>
      <c r="AZ23" t="str">
        <v>175.431</v>
      </c>
      <c r="BA23" t="str">
        <v>88.875</v>
      </c>
      <c r="BB23" t="str">
        <v>43.470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6000</v>
      </c>
      <c r="BQ23" t="str">
        <v>5</v>
      </c>
      <c r="BR23" t="str">
        <v>5.000000</v>
      </c>
      <c r="BS23" t="str">
        <v>2.000000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2.442068</v>
      </c>
      <c r="CD23" t="str">
        <v>2.456453</v>
      </c>
      <c r="CE23" t="str">
        <v>1.656357</v>
      </c>
      <c r="CF23" t="str">
        <v>0.942231</v>
      </c>
      <c r="CG23" t="str">
        <v>0.327615</v>
      </c>
      <c r="CH23" t="str">
        <v>-0.067417</v>
      </c>
      <c r="CI23" t="str">
        <v>0.099659</v>
      </c>
      <c r="CJ23" t="str">
        <v>0.109185</v>
      </c>
      <c r="CK23" t="str">
        <v>203.124405</v>
      </c>
      <c r="CL23" t="str">
        <v>0.000234</v>
      </c>
      <c r="CM23" t="str">
        <v>2.388960</v>
      </c>
      <c r="CN23" t="str">
        <v>-0.000025</v>
      </c>
      <c r="CO23" t="str">
        <v>1.000000</v>
      </c>
      <c r="CP23" t="str">
        <v>2.402765</v>
      </c>
      <c r="CQ23" t="str">
        <v>-0.000034</v>
      </c>
      <c r="CR23" t="str">
        <v>1.000000</v>
      </c>
      <c r="CS23" t="str">
        <v>0.600816</v>
      </c>
      <c r="CT23" t="str">
        <v>0.600971</v>
      </c>
      <c r="CU23" t="str">
        <v>0.107301</v>
      </c>
      <c r="CV23" t="str">
        <v>0.000000</v>
      </c>
      <c r="CW23" t="str">
        <v>PSF-00438_20251204103731_60f</v>
      </c>
      <c r="CX23" t="str">
        <v>PFA-00474</v>
      </c>
      <c r="CY23" t="str">
        <v>PSA-00486</v>
      </c>
      <c r="CZ23" t="str">
        <v>PSF-00438</v>
      </c>
      <c r="DA23" t="str">
        <v>RHS-00603</v>
      </c>
      <c r="DB23" t="str">
        <v>3.0.0</v>
      </c>
      <c r="DC23" t="str">
        <v>2025-10-05T12:52:23.367Z</v>
      </c>
    </row>
    <row r="24">
      <c r="A24" t="str">
        <v>21</v>
      </c>
      <c r="B24" t="str">
        <v>10:37:57</v>
      </c>
      <c r="C24" t="str">
        <v>2025-12-04</v>
      </c>
      <c r="D24" t="str">
        <v>g34p_dark</v>
      </c>
      <c r="E24" t="str">
        <v>mrk</v>
      </c>
      <c r="F24" t="str">
        <v/>
      </c>
      <c r="G24" t="str">
        <v/>
      </c>
      <c r="H24" t="str">
        <v>4265_Tri_red</v>
      </c>
      <c r="I24" t="str">
        <v/>
      </c>
      <c r="J24" t="str">
        <f>1/((1/L24)-(1/K24))</f>
        <v>0.016184</v>
      </c>
      <c r="K24" t="str">
        <f>BH24+(BI24*AN24)+(BJ24*AN24*POWER(V24,2))+(BK24*AN24*V24)+(BL24*POWER(AN24,2))</f>
        <v>2.921414</v>
      </c>
      <c r="L24" t="str">
        <f>((M24/1000)*(1000-((T24+S24)/2)))/(T24-S24)</f>
        <v>0.016095</v>
      </c>
      <c r="M24" t="str">
        <f>(AN24*(S24-R24))/(100*U24*(1000-S24))*1000</f>
        <v>0.162740</v>
      </c>
      <c r="N24" t="str">
        <v>0.764204</v>
      </c>
      <c r="O24" t="str">
        <v>0.760051</v>
      </c>
      <c r="P24" t="str">
        <f>0.61365*EXP((17.502*AL24)/(240.97+AL24))</f>
        <v>1.674678</v>
      </c>
      <c r="Q24" t="str">
        <f>P24-N24</f>
        <v>0.910474</v>
      </c>
      <c r="R24" t="str">
        <v>8.328025</v>
      </c>
      <c r="S24" t="str">
        <v>8.373532</v>
      </c>
      <c r="T24" t="str">
        <f>(P24/AM24)*1000</f>
        <v>18.349768</v>
      </c>
      <c r="U24" t="str">
        <f>V24*BG24</f>
        <v>0.441786</v>
      </c>
      <c r="V24" t="str">
        <v>7.500000</v>
      </c>
      <c r="W24" t="str">
        <v>PSF-00438_20251204103757_bda</v>
      </c>
      <c r="X24" t="str">
        <v>232.499237</v>
      </c>
      <c r="Y24" t="str">
        <v>377.195831</v>
      </c>
      <c r="Z24" t="str">
        <v>0.383611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0.941067</v>
      </c>
      <c r="AG24" t="str">
        <v>1.000000</v>
      </c>
      <c r="AH24" t="str">
        <v>31.95</v>
      </c>
      <c r="AI24" t="str">
        <v>31.78</v>
      </c>
      <c r="AJ24" t="str">
        <v>20.31</v>
      </c>
      <c r="AK24" t="str">
        <v>14.66</v>
      </c>
      <c r="AL24" t="str">
        <f>(AK24-AJ24)*(AJ24*0+0)+AK24</f>
        <v>14.66</v>
      </c>
      <c r="AM24" t="str">
        <v>91.26</v>
      </c>
      <c r="AN24" t="str">
        <v>156.7</v>
      </c>
      <c r="AO24" t="str">
        <v>158.6</v>
      </c>
      <c r="AP24" t="str">
        <v>-1.2</v>
      </c>
      <c r="AQ24" t="str">
        <v>6</v>
      </c>
      <c r="AR24" t="str">
        <v>4.123</v>
      </c>
      <c r="AS24" t="str">
        <v>10:31:00</v>
      </c>
      <c r="AT24" t="str">
        <v>2025-12-04</v>
      </c>
      <c r="AU24" t="str">
        <v>-0.11</v>
      </c>
      <c r="AV24" t="str">
        <v>1</v>
      </c>
      <c r="AW24" t="str">
        <v>-0.140</v>
      </c>
      <c r="AX24" t="str">
        <v>-0.010</v>
      </c>
      <c r="AY24" t="str">
        <v>0.023</v>
      </c>
      <c r="AZ24" t="str">
        <v>198.600</v>
      </c>
      <c r="BA24" t="str">
        <v>132.736</v>
      </c>
      <c r="BB24" t="str">
        <v>66.444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6000</v>
      </c>
      <c r="BQ24" t="str">
        <v>5</v>
      </c>
      <c r="BR24" t="str">
        <v>5.000000</v>
      </c>
      <c r="BS24" t="str">
        <v>2.000000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2.443334</v>
      </c>
      <c r="CD24" t="str">
        <v>2.457764</v>
      </c>
      <c r="CE24" t="str">
        <v>1.655191</v>
      </c>
      <c r="CF24" t="str">
        <v>0.942862</v>
      </c>
      <c r="CG24" t="str">
        <v>0.329108</v>
      </c>
      <c r="CH24" t="str">
        <v>-0.059018</v>
      </c>
      <c r="CI24" t="str">
        <v>0.102847</v>
      </c>
      <c r="CJ24" t="str">
        <v>0.112818</v>
      </c>
      <c r="CK24" t="str">
        <v>234.504822</v>
      </c>
      <c r="CL24" t="str">
        <v>0.000236</v>
      </c>
      <c r="CM24" t="str">
        <v>2.388960</v>
      </c>
      <c r="CN24" t="str">
        <v>-0.000025</v>
      </c>
      <c r="CO24" t="str">
        <v>1.000000</v>
      </c>
      <c r="CP24" t="str">
        <v>2.402765</v>
      </c>
      <c r="CQ24" t="str">
        <v>-0.000034</v>
      </c>
      <c r="CR24" t="str">
        <v>1.000000</v>
      </c>
      <c r="CS24" t="str">
        <v>0.600816</v>
      </c>
      <c r="CT24" t="str">
        <v>0.600971</v>
      </c>
      <c r="CU24" t="str">
        <v>0.107301</v>
      </c>
      <c r="CV24" t="str">
        <v>0.000000</v>
      </c>
      <c r="CW24" t="str">
        <v>PSF-00438_20251204103757_bda</v>
      </c>
      <c r="CX24" t="str">
        <v>PFA-00474</v>
      </c>
      <c r="CY24" t="str">
        <v>PSA-00486</v>
      </c>
      <c r="CZ24" t="str">
        <v>PSF-00438</v>
      </c>
      <c r="DA24" t="str">
        <v>RHS-00603</v>
      </c>
      <c r="DB24" t="str">
        <v>3.0.0</v>
      </c>
      <c r="DC24" t="str">
        <v>2025-10-05T12:52:23.367Z</v>
      </c>
    </row>
    <row r="25">
      <c r="A25" t="str">
        <v>22</v>
      </c>
      <c r="B25" t="str">
        <v>10:38:29</v>
      </c>
      <c r="C25" t="str">
        <v>2025-12-04</v>
      </c>
      <c r="D25" t="str">
        <v>g34p_dark</v>
      </c>
      <c r="E25" t="str">
        <v>mrk</v>
      </c>
      <c r="F25" t="str">
        <v/>
      </c>
      <c r="G25" t="str">
        <v/>
      </c>
      <c r="H25" t="str">
        <v>4109_Tri_red</v>
      </c>
      <c r="I25" t="str">
        <v/>
      </c>
      <c r="J25" t="str">
        <f>1/((1/L25)-(1/K25))</f>
        <v>0.009896</v>
      </c>
      <c r="K25" t="str">
        <f>BH25+(BI25*AN25)+(BJ25*AN25*POWER(V25,2))+(BK25*AN25*V25)+(BL25*POWER(AN25,2))</f>
        <v>2.921103</v>
      </c>
      <c r="L25" t="str">
        <f>((M25/1000)*(1000-((T25+S25)/2)))/(T25-S25)</f>
        <v>0.009863</v>
      </c>
      <c r="M25" t="str">
        <f>(AN25*(S25-R25))/(100*U25*(1000-S25))*1000</f>
        <v>0.100321</v>
      </c>
      <c r="N25" t="str">
        <v>0.751924</v>
      </c>
      <c r="O25" t="str">
        <v>0.749362</v>
      </c>
      <c r="P25" t="str">
        <f>0.61365*EXP((17.502*AL25)/(240.97+AL25))</f>
        <v>1.668032</v>
      </c>
      <c r="Q25" t="str">
        <f>P25-N25</f>
        <v>0.916108</v>
      </c>
      <c r="R25" t="str">
        <v>8.209916</v>
      </c>
      <c r="S25" t="str">
        <v>8.237979</v>
      </c>
      <c r="T25" t="str">
        <f>(P25/AM25)*1000</f>
        <v>18.274742</v>
      </c>
      <c r="U25" t="str">
        <f>V25*BG25</f>
        <v>0.441786</v>
      </c>
      <c r="V25" t="str">
        <v>7.500000</v>
      </c>
      <c r="W25" t="str">
        <v>PSF-00438_20251204103829_918</v>
      </c>
      <c r="X25" t="str">
        <v>197.309021</v>
      </c>
      <c r="Y25" t="str">
        <v>422.587738</v>
      </c>
      <c r="Z25" t="str">
        <v>0.533093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0.341863</v>
      </c>
      <c r="AG25" t="str">
        <v>1.000000</v>
      </c>
      <c r="AH25" t="str">
        <v>31.71</v>
      </c>
      <c r="AI25" t="str">
        <v>31.60</v>
      </c>
      <c r="AJ25" t="str">
        <v>20.17</v>
      </c>
      <c r="AK25" t="str">
        <v>14.60</v>
      </c>
      <c r="AL25" t="str">
        <f>(AK25-AJ25)*(AJ25*0+0)+AK25</f>
        <v>14.60</v>
      </c>
      <c r="AM25" t="str">
        <v>91.28</v>
      </c>
      <c r="AN25" t="str">
        <v>156.6</v>
      </c>
      <c r="AO25" t="str">
        <v>157.2</v>
      </c>
      <c r="AP25" t="str">
        <v>-0.3</v>
      </c>
      <c r="AQ25" t="str">
        <v>2</v>
      </c>
      <c r="AR25" t="str">
        <v>4.122</v>
      </c>
      <c r="AS25" t="str">
        <v>10:31:00</v>
      </c>
      <c r="AT25" t="str">
        <v>2025-12-04</v>
      </c>
      <c r="AU25" t="str">
        <v>-0.11</v>
      </c>
      <c r="AV25" t="str">
        <v>1</v>
      </c>
      <c r="AW25" t="str">
        <v>-0.072</v>
      </c>
      <c r="AX25" t="str">
        <v>-0.036</v>
      </c>
      <c r="AY25" t="str">
        <v>-0.004</v>
      </c>
      <c r="AZ25" t="str">
        <v>168.434</v>
      </c>
      <c r="BA25" t="str">
        <v>86.352</v>
      </c>
      <c r="BB25" t="str">
        <v>43.603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6000</v>
      </c>
      <c r="BQ25" t="str">
        <v>5</v>
      </c>
      <c r="BR25" t="str">
        <v>5.000000</v>
      </c>
      <c r="BS25" t="str">
        <v>2.000000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2.443102</v>
      </c>
      <c r="CD25" t="str">
        <v>2.457435</v>
      </c>
      <c r="CE25" t="str">
        <v>1.654866</v>
      </c>
      <c r="CF25" t="str">
        <v>0.939224</v>
      </c>
      <c r="CG25" t="str">
        <v>0.330954</v>
      </c>
      <c r="CH25" t="str">
        <v>-0.058138</v>
      </c>
      <c r="CI25" t="str">
        <v>0.106812</v>
      </c>
      <c r="CJ25" t="str">
        <v>0.108743</v>
      </c>
      <c r="CK25" t="str">
        <v>197.309021</v>
      </c>
      <c r="CL25" t="str">
        <v>0.000235</v>
      </c>
      <c r="CM25" t="str">
        <v>2.388960</v>
      </c>
      <c r="CN25" t="str">
        <v>-0.000025</v>
      </c>
      <c r="CO25" t="str">
        <v>1.000000</v>
      </c>
      <c r="CP25" t="str">
        <v>2.402765</v>
      </c>
      <c r="CQ25" t="str">
        <v>-0.000034</v>
      </c>
      <c r="CR25" t="str">
        <v>1.000000</v>
      </c>
      <c r="CS25" t="str">
        <v>0.600816</v>
      </c>
      <c r="CT25" t="str">
        <v>0.600971</v>
      </c>
      <c r="CU25" t="str">
        <v>0.107301</v>
      </c>
      <c r="CV25" t="str">
        <v>0.000000</v>
      </c>
      <c r="CW25" t="str">
        <v>PSF-00438_20251204103829_918</v>
      </c>
      <c r="CX25" t="str">
        <v>PFA-00474</v>
      </c>
      <c r="CY25" t="str">
        <v>PSA-00486</v>
      </c>
      <c r="CZ25" t="str">
        <v>PSF-00438</v>
      </c>
      <c r="DA25" t="str">
        <v>RHS-00603</v>
      </c>
      <c r="DB25" t="str">
        <v>3.0.0</v>
      </c>
      <c r="DC25" t="str">
        <v>2025-10-05T12:52:23.367Z</v>
      </c>
    </row>
    <row r="26">
      <c r="A26" t="str">
        <v>23</v>
      </c>
      <c r="B26" t="str">
        <v>10:38:49</v>
      </c>
      <c r="C26" t="str">
        <v>2025-12-04</v>
      </c>
      <c r="D26" t="str">
        <v>g34p_dark</v>
      </c>
      <c r="E26" t="str">
        <v>mrk</v>
      </c>
      <c r="F26" t="str">
        <v/>
      </c>
      <c r="G26" t="str">
        <v/>
      </c>
      <c r="H26" t="str">
        <v>3708_Tri_blue</v>
      </c>
      <c r="I26" t="str">
        <v/>
      </c>
      <c r="J26" t="str">
        <f>1/((1/L26)-(1/K26))</f>
        <v>0.001722</v>
      </c>
      <c r="K26" t="str">
        <f>BH26+(BI26*AN26)+(BJ26*AN26*POWER(V26,2))+(BK26*AN26*V26)+(BL26*POWER(AN26,2))</f>
        <v>2.922034</v>
      </c>
      <c r="L26" t="str">
        <f>((M26/1000)*(1000-((T26+S26)/2)))/(T26-S26)</f>
        <v>0.001721</v>
      </c>
      <c r="M26" t="str">
        <f>(AN26*(S26-R26))/(100*U26*(1000-S26))*1000</f>
        <v>0.020425</v>
      </c>
      <c r="N26" t="str">
        <v>0.759044</v>
      </c>
      <c r="O26" t="str">
        <v>0.758523</v>
      </c>
      <c r="P26" t="str">
        <f>0.61365*EXP((17.502*AL26)/(240.97+AL26))</f>
        <v>1.827113</v>
      </c>
      <c r="Q26" t="str">
        <f>P26-N26</f>
        <v>1.068070</v>
      </c>
      <c r="R26" t="str">
        <v>8.311075</v>
      </c>
      <c r="S26" t="str">
        <v>8.316784</v>
      </c>
      <c r="T26" t="str">
        <f>(P26/AM26)*1000</f>
        <v>20.019541</v>
      </c>
      <c r="U26" t="str">
        <f>V26*BG26</f>
        <v>0.441786</v>
      </c>
      <c r="V26" t="str">
        <v>7.500000</v>
      </c>
      <c r="W26" t="str">
        <v>PSF-00438_20251204103849_610</v>
      </c>
      <c r="X26" t="str">
        <v>141.222961</v>
      </c>
      <c r="Y26" t="str">
        <v>233.551025</v>
      </c>
      <c r="Z26" t="str">
        <v>0.395323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0.215920</v>
      </c>
      <c r="AG26" t="str">
        <v>1.000000</v>
      </c>
      <c r="AH26" t="str">
        <v>32.19</v>
      </c>
      <c r="AI26" t="str">
        <v>32.17</v>
      </c>
      <c r="AJ26" t="str">
        <v>20.08</v>
      </c>
      <c r="AK26" t="str">
        <v>16.02</v>
      </c>
      <c r="AL26" t="str">
        <f>(AK26-AJ26)*(AJ26*0+0)+AK26</f>
        <v>16.02</v>
      </c>
      <c r="AM26" t="str">
        <v>91.27</v>
      </c>
      <c r="AN26" t="str">
        <v>156.7</v>
      </c>
      <c r="AO26" t="str">
        <v>158.5</v>
      </c>
      <c r="AP26" t="str">
        <v>-1.1</v>
      </c>
      <c r="AQ26" t="str">
        <v>1</v>
      </c>
      <c r="AR26" t="str">
        <v>4.094</v>
      </c>
      <c r="AS26" t="str">
        <v>10:31:00</v>
      </c>
      <c r="AT26" t="str">
        <v>2025-12-04</v>
      </c>
      <c r="AU26" t="str">
        <v>-0.11</v>
      </c>
      <c r="AV26" t="str">
        <v>1</v>
      </c>
      <c r="AW26" t="str">
        <v>-0.001</v>
      </c>
      <c r="AX26" t="str">
        <v>-0.003</v>
      </c>
      <c r="AY26" t="str">
        <v>-9999.000</v>
      </c>
      <c r="AZ26" t="str">
        <v>-1.314</v>
      </c>
      <c r="BA26" t="str">
        <v>-13.973</v>
      </c>
      <c r="BB26" t="str">
        <v>-9999.000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6000</v>
      </c>
      <c r="BQ26" t="str">
        <v>5</v>
      </c>
      <c r="BR26" t="str">
        <v>5.000000</v>
      </c>
      <c r="BS26" t="str">
        <v>2.000000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2.443944</v>
      </c>
      <c r="CD26" t="str">
        <v>2.458158</v>
      </c>
      <c r="CE26" t="str">
        <v>1.655841</v>
      </c>
      <c r="CF26" t="str">
        <v>0.942564</v>
      </c>
      <c r="CG26" t="str">
        <v>0.332163</v>
      </c>
      <c r="CH26" t="str">
        <v>-0.042469</v>
      </c>
      <c r="CI26" t="str">
        <v>0.109190</v>
      </c>
      <c r="CJ26" t="str">
        <v>0.108529</v>
      </c>
      <c r="CK26" t="str">
        <v>141.222961</v>
      </c>
      <c r="CL26" t="str">
        <v>0.000235</v>
      </c>
      <c r="CM26" t="str">
        <v>2.388960</v>
      </c>
      <c r="CN26" t="str">
        <v>-0.000025</v>
      </c>
      <c r="CO26" t="str">
        <v>1.000000</v>
      </c>
      <c r="CP26" t="str">
        <v>2.402765</v>
      </c>
      <c r="CQ26" t="str">
        <v>-0.000034</v>
      </c>
      <c r="CR26" t="str">
        <v>1.000000</v>
      </c>
      <c r="CS26" t="str">
        <v>0.600816</v>
      </c>
      <c r="CT26" t="str">
        <v>0.600971</v>
      </c>
      <c r="CU26" t="str">
        <v>0.107301</v>
      </c>
      <c r="CV26" t="str">
        <v>0.000000</v>
      </c>
      <c r="CW26" t="str">
        <v>PSF-00438_20251204103849_610</v>
      </c>
      <c r="CX26" t="str">
        <v>PFA-00474</v>
      </c>
      <c r="CY26" t="str">
        <v>PSA-00486</v>
      </c>
      <c r="CZ26" t="str">
        <v>PSF-00438</v>
      </c>
      <c r="DA26" t="str">
        <v>RHS-00603</v>
      </c>
      <c r="DB26" t="str">
        <v>3.0.0</v>
      </c>
      <c r="DC26" t="str">
        <v>2025-10-05T12:52:23.367Z</v>
      </c>
    </row>
    <row r="27">
      <c r="A27" t="str">
        <v>24</v>
      </c>
      <c r="B27" t="str">
        <v>10:39:02</v>
      </c>
      <c r="C27" t="str">
        <v>2025-12-04</v>
      </c>
      <c r="D27" t="str">
        <v>g34p_dark</v>
      </c>
      <c r="E27" t="str">
        <v>mrk</v>
      </c>
      <c r="F27" t="str">
        <v/>
      </c>
      <c r="G27" t="str">
        <v/>
      </c>
      <c r="H27" t="str">
        <v>3708_Tri_blue</v>
      </c>
      <c r="I27" t="str">
        <v/>
      </c>
      <c r="J27" t="str">
        <f>1/((1/L27)-(1/K27))</f>
        <v>0.005349</v>
      </c>
      <c r="K27" t="str">
        <f>BH27+(BI27*AN27)+(BJ27*AN27*POWER(V27,2))+(BK27*AN27*V27)+(BL27*POWER(AN27,2))</f>
        <v>2.922996</v>
      </c>
      <c r="L27" t="str">
        <f>((M27/1000)*(1000-((T27+S27)/2)))/(T27-S27)</f>
        <v>0.005340</v>
      </c>
      <c r="M27" t="str">
        <f>(AN27*(S27-R27))/(100*U27*(1000-S27))*1000</f>
        <v>0.059479</v>
      </c>
      <c r="N27" t="str">
        <v>0.761154</v>
      </c>
      <c r="O27" t="str">
        <v>0.759638</v>
      </c>
      <c r="P27" t="str">
        <f>0.61365*EXP((17.502*AL27)/(240.97+AL27))</f>
        <v>1.763707</v>
      </c>
      <c r="Q27" t="str">
        <f>P27-N27</f>
        <v>1.002553</v>
      </c>
      <c r="R27" t="str">
        <v>8.323404</v>
      </c>
      <c r="S27" t="str">
        <v>8.340016</v>
      </c>
      <c r="T27" t="str">
        <f>(P27/AM27)*1000</f>
        <v>19.325064</v>
      </c>
      <c r="U27" t="str">
        <f>V27*BG27</f>
        <v>0.441786</v>
      </c>
      <c r="V27" t="str">
        <v>7.500000</v>
      </c>
      <c r="W27" t="str">
        <v>PSF-00438_20251204103902_d44</v>
      </c>
      <c r="X27" t="str">
        <v>176.643127</v>
      </c>
      <c r="Y27" t="str">
        <v>523.548950</v>
      </c>
      <c r="Z27" t="str">
        <v>0.662604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0.345047</v>
      </c>
      <c r="AG27" t="str">
        <v>1.000000</v>
      </c>
      <c r="AH27" t="str">
        <v>32.41</v>
      </c>
      <c r="AI27" t="str">
        <v>32.34</v>
      </c>
      <c r="AJ27" t="str">
        <v>20.01</v>
      </c>
      <c r="AK27" t="str">
        <v>15.47</v>
      </c>
      <c r="AL27" t="str">
        <f>(AK27-AJ27)*(AJ27*0+0)+AK27</f>
        <v>15.47</v>
      </c>
      <c r="AM27" t="str">
        <v>91.27</v>
      </c>
      <c r="AN27" t="str">
        <v>156.9</v>
      </c>
      <c r="AO27" t="str">
        <v>105.7</v>
      </c>
      <c r="AP27" t="str">
        <v>32.6</v>
      </c>
      <c r="AQ27" t="str">
        <v>1</v>
      </c>
      <c r="AR27" t="str">
        <v>4.121</v>
      </c>
      <c r="AS27" t="str">
        <v>10:31:00</v>
      </c>
      <c r="AT27" t="str">
        <v>2025-12-04</v>
      </c>
      <c r="AU27" t="str">
        <v>-0.11</v>
      </c>
      <c r="AV27" t="str">
        <v>1</v>
      </c>
      <c r="AW27" t="str">
        <v>0.000</v>
      </c>
      <c r="AX27" t="str">
        <v>-0.008</v>
      </c>
      <c r="AY27" t="str">
        <v>-9999.000</v>
      </c>
      <c r="AZ27" t="str">
        <v>0.170</v>
      </c>
      <c r="BA27" t="str">
        <v>0.314</v>
      </c>
      <c r="BB27" t="str">
        <v>-9999.000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6000</v>
      </c>
      <c r="BQ27" t="str">
        <v>5</v>
      </c>
      <c r="BR27" t="str">
        <v>5.000000</v>
      </c>
      <c r="BS27" t="str">
        <v>2.000000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2.444208</v>
      </c>
      <c r="CD27" t="str">
        <v>2.458486</v>
      </c>
      <c r="CE27" t="str">
        <v>1.656849</v>
      </c>
      <c r="CF27" t="str">
        <v>0.814538</v>
      </c>
      <c r="CG27" t="str">
        <v>0.333009</v>
      </c>
      <c r="CH27" t="str">
        <v>-0.047521</v>
      </c>
      <c r="CI27" t="str">
        <v>0.110741</v>
      </c>
      <c r="CJ27" t="str">
        <v>0.108472</v>
      </c>
      <c r="CK27" t="str">
        <v>176.643127</v>
      </c>
      <c r="CL27" t="str">
        <v>0.000236</v>
      </c>
      <c r="CM27" t="str">
        <v>2.388960</v>
      </c>
      <c r="CN27" t="str">
        <v>-0.000025</v>
      </c>
      <c r="CO27" t="str">
        <v>1.000000</v>
      </c>
      <c r="CP27" t="str">
        <v>2.402765</v>
      </c>
      <c r="CQ27" t="str">
        <v>-0.000034</v>
      </c>
      <c r="CR27" t="str">
        <v>1.000000</v>
      </c>
      <c r="CS27" t="str">
        <v>0.600816</v>
      </c>
      <c r="CT27" t="str">
        <v>0.600971</v>
      </c>
      <c r="CU27" t="str">
        <v>0.107301</v>
      </c>
      <c r="CV27" t="str">
        <v>0.000000</v>
      </c>
      <c r="CW27" t="str">
        <v>PSF-00438_20251204103902_d44</v>
      </c>
      <c r="CX27" t="str">
        <v>PFA-00474</v>
      </c>
      <c r="CY27" t="str">
        <v>PSA-00486</v>
      </c>
      <c r="CZ27" t="str">
        <v>PSF-00438</v>
      </c>
      <c r="DA27" t="str">
        <v>RHS-00603</v>
      </c>
      <c r="DB27" t="str">
        <v>3.0.0</v>
      </c>
      <c r="DC27" t="str">
        <v>2025-10-05T12:52:23.367Z</v>
      </c>
    </row>
    <row r="28">
      <c r="A28" t="str">
        <v>25</v>
      </c>
      <c r="B28" t="str">
        <v>10:39:32</v>
      </c>
      <c r="C28" t="str">
        <v>2025-12-04</v>
      </c>
      <c r="D28" t="str">
        <v>g34p_dark</v>
      </c>
      <c r="E28" t="str">
        <v>mrk</v>
      </c>
      <c r="F28" t="str">
        <v/>
      </c>
      <c r="G28" t="str">
        <v/>
      </c>
      <c r="H28" t="str">
        <v>3371_Tri_blue</v>
      </c>
      <c r="I28" t="str">
        <v/>
      </c>
      <c r="J28" t="str">
        <f>1/((1/L28)-(1/K28))</f>
        <v>0.011983</v>
      </c>
      <c r="K28" t="str">
        <f>BH28+(BI28*AN28)+(BJ28*AN28*POWER(V28,2))+(BK28*AN28*V28)+(BL28*POWER(AN28,2))</f>
        <v>2.921629</v>
      </c>
      <c r="L28" t="str">
        <f>((M28/1000)*(1000-((T28+S28)/2)))/(T28-S28)</f>
        <v>0.011934</v>
      </c>
      <c r="M28" t="str">
        <f>(AN28*(S28-R28))/(100*U28*(1000-S28))*1000</f>
        <v>0.121059</v>
      </c>
      <c r="N28" t="str">
        <v>0.774271</v>
      </c>
      <c r="O28" t="str">
        <v>0.771183</v>
      </c>
      <c r="P28" t="str">
        <f>0.61365*EXP((17.502*AL28)/(240.97+AL28))</f>
        <v>1.687652</v>
      </c>
      <c r="Q28" t="str">
        <f>P28-N28</f>
        <v>0.913381</v>
      </c>
      <c r="R28" t="str">
        <v>8.449512</v>
      </c>
      <c r="S28" t="str">
        <v>8.483354</v>
      </c>
      <c r="T28" t="str">
        <f>(P28/AM28)*1000</f>
        <v>18.490866</v>
      </c>
      <c r="U28" t="str">
        <f>V28*BG28</f>
        <v>0.441786</v>
      </c>
      <c r="V28" t="str">
        <v>7.500000</v>
      </c>
      <c r="W28" t="str">
        <v>PSF-00438_20251204103932_810</v>
      </c>
      <c r="X28" t="str">
        <v>217.259293</v>
      </c>
      <c r="Y28" t="str">
        <v>339.419250</v>
      </c>
      <c r="Z28" t="str">
        <v>0.359909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0.356774</v>
      </c>
      <c r="AG28" t="str">
        <v>1.000000</v>
      </c>
      <c r="AH28" t="str">
        <v>33.23</v>
      </c>
      <c r="AI28" t="str">
        <v>33.09</v>
      </c>
      <c r="AJ28" t="str">
        <v>19.89</v>
      </c>
      <c r="AK28" t="str">
        <v>14.78</v>
      </c>
      <c r="AL28" t="str">
        <f>(AK28-AJ28)*(AJ28*0+0)+AK28</f>
        <v>14.78</v>
      </c>
      <c r="AM28" t="str">
        <v>91.27</v>
      </c>
      <c r="AN28" t="str">
        <v>156.7</v>
      </c>
      <c r="AO28" t="str">
        <v>158.7</v>
      </c>
      <c r="AP28" t="str">
        <v>-1.3</v>
      </c>
      <c r="AQ28" t="str">
        <v>2</v>
      </c>
      <c r="AR28" t="str">
        <v>4.120</v>
      </c>
      <c r="AS28" t="str">
        <v>10:31:00</v>
      </c>
      <c r="AT28" t="str">
        <v>2025-12-04</v>
      </c>
      <c r="AU28" t="str">
        <v>-0.11</v>
      </c>
      <c r="AV28" t="str">
        <v>1</v>
      </c>
      <c r="AW28" t="str">
        <v>-0.089</v>
      </c>
      <c r="AX28" t="str">
        <v>-0.217</v>
      </c>
      <c r="AY28" t="str">
        <v>-0.045</v>
      </c>
      <c r="AZ28" t="str">
        <v>-167.386</v>
      </c>
      <c r="BA28" t="str">
        <v>101.501</v>
      </c>
      <c r="BB28" t="str">
        <v>50.824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6000</v>
      </c>
      <c r="BQ28" t="str">
        <v>5</v>
      </c>
      <c r="BR28" t="str">
        <v>5.000000</v>
      </c>
      <c r="BS28" t="str">
        <v>2.000000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2.445320</v>
      </c>
      <c r="CD28" t="str">
        <v>2.459706</v>
      </c>
      <c r="CE28" t="str">
        <v>1.655417</v>
      </c>
      <c r="CF28" t="str">
        <v>0.943107</v>
      </c>
      <c r="CG28" t="str">
        <v>0.334708</v>
      </c>
      <c r="CH28" t="str">
        <v>-0.053230</v>
      </c>
      <c r="CI28" t="str">
        <v>0.114253</v>
      </c>
      <c r="CJ28" t="str">
        <v>0.109530</v>
      </c>
      <c r="CK28" t="str">
        <v>217.259293</v>
      </c>
      <c r="CL28" t="str">
        <v>0.000237</v>
      </c>
      <c r="CM28" t="str">
        <v>2.388960</v>
      </c>
      <c r="CN28" t="str">
        <v>-0.000025</v>
      </c>
      <c r="CO28" t="str">
        <v>1.000000</v>
      </c>
      <c r="CP28" t="str">
        <v>2.402765</v>
      </c>
      <c r="CQ28" t="str">
        <v>-0.000034</v>
      </c>
      <c r="CR28" t="str">
        <v>1.000000</v>
      </c>
      <c r="CS28" t="str">
        <v>0.600816</v>
      </c>
      <c r="CT28" t="str">
        <v>0.600971</v>
      </c>
      <c r="CU28" t="str">
        <v>0.107301</v>
      </c>
      <c r="CV28" t="str">
        <v>0.000000</v>
      </c>
      <c r="CW28" t="str">
        <v>PSF-00438_20251204103932_810</v>
      </c>
      <c r="CX28" t="str">
        <v>PFA-00474</v>
      </c>
      <c r="CY28" t="str">
        <v>PSA-00486</v>
      </c>
      <c r="CZ28" t="str">
        <v>PSF-00438</v>
      </c>
      <c r="DA28" t="str">
        <v>RHS-00603</v>
      </c>
      <c r="DB28" t="str">
        <v>3.0.0</v>
      </c>
      <c r="DC28" t="str">
        <v>2025-10-05T12:52:23.367Z</v>
      </c>
    </row>
    <row r="29">
      <c r="A29" t="str">
        <v>1</v>
      </c>
      <c r="B29" t="str">
        <v>10:41:35</v>
      </c>
      <c r="C29" t="str">
        <v>2025-12-04</v>
      </c>
      <c r="D29" t="str">
        <v>g34p_dark</v>
      </c>
      <c r="E29" t="str">
        <v>mrk</v>
      </c>
      <c r="F29" t="str">
        <v/>
      </c>
      <c r="G29" t="str">
        <v/>
      </c>
      <c r="H29" t="str">
        <v>5229_Tri_blue</v>
      </c>
      <c r="I29" t="str">
        <v/>
      </c>
      <c r="J29" t="str">
        <f>1/((1/L29)-(1/K29))</f>
        <v>-0.008887</v>
      </c>
      <c r="K29" t="str">
        <f>BH29+(BI29*AN29)+(BJ29*AN29*POWER(V29,2))+(BK29*AN29*V29)+(BL29*POWER(AN29,2))</f>
        <v>2.922031</v>
      </c>
      <c r="L29" t="str">
        <f>((M29/1000)*(1000-((T29+S29)/2)))/(T29-S29)</f>
        <v>-0.008914</v>
      </c>
      <c r="M29" t="str">
        <f>(AN29*(S29-R29))/(100*U29*(1000-S29))*1000</f>
        <v>-0.123051</v>
      </c>
      <c r="N29" t="str">
        <v>0.742449</v>
      </c>
      <c r="O29" t="str">
        <v>0.745589</v>
      </c>
      <c r="P29" t="str">
        <f>0.61365*EXP((17.502*AL29)/(240.97+AL29))</f>
        <v>1.983442</v>
      </c>
      <c r="Q29" t="str">
        <f>P29-N29</f>
        <v>1.240993</v>
      </c>
      <c r="R29" t="str">
        <v>8.169558</v>
      </c>
      <c r="S29" t="str">
        <v>8.135158</v>
      </c>
      <c r="T29" t="str">
        <f>(P29/AM29)*1000</f>
        <v>21.732958</v>
      </c>
      <c r="U29" t="str">
        <f>V29*BG29</f>
        <v>0.441786</v>
      </c>
      <c r="V29" t="str">
        <v>7.500000</v>
      </c>
      <c r="W29" t="str">
        <v>PSF-00438_20251204104135_fcd</v>
      </c>
      <c r="X29" t="str">
        <v>260.644897</v>
      </c>
      <c r="Y29" t="str">
        <v>515.362854</v>
      </c>
      <c r="Z29" t="str">
        <v>0.494250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0.333459</v>
      </c>
      <c r="AG29" t="str">
        <v>1.000000</v>
      </c>
      <c r="AH29" t="str">
        <v>32.61</v>
      </c>
      <c r="AI29" t="str">
        <v>32.75</v>
      </c>
      <c r="AJ29" t="str">
        <v>19.51</v>
      </c>
      <c r="AK29" t="str">
        <v>17.31</v>
      </c>
      <c r="AL29" t="str">
        <f>(AK29-AJ29)*(AJ29*0+0)+AK29</f>
        <v>17.31</v>
      </c>
      <c r="AM29" t="str">
        <v>91.26</v>
      </c>
      <c r="AN29" t="str">
        <v>156.7</v>
      </c>
      <c r="AO29" t="str">
        <v>158.6</v>
      </c>
      <c r="AP29" t="str">
        <v>-1.2</v>
      </c>
      <c r="AQ29" t="str">
        <v>2</v>
      </c>
      <c r="AR29" t="str">
        <v>4.117</v>
      </c>
      <c r="AS29" t="str">
        <v>10:40:22</v>
      </c>
      <c r="AT29" t="str">
        <v>2025-12-04</v>
      </c>
      <c r="AU29" t="str">
        <v>-0.23</v>
      </c>
      <c r="AV29" t="str">
        <v>1</v>
      </c>
      <c r="AW29" t="str">
        <v>-0.002</v>
      </c>
      <c r="AX29" t="str">
        <v>-0.000</v>
      </c>
      <c r="AY29" t="str">
        <v>-0.002</v>
      </c>
      <c r="AZ29" t="str">
        <v>0.347</v>
      </c>
      <c r="BA29" t="str">
        <v>0.798</v>
      </c>
      <c r="BB29" t="str">
        <v>3.646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6000</v>
      </c>
      <c r="BQ29" t="str">
        <v>5</v>
      </c>
      <c r="BR29" t="str">
        <v>5.000000</v>
      </c>
      <c r="BS29" t="str">
        <v>2.000000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2.444893</v>
      </c>
      <c r="CD29" t="str">
        <v>2.459056</v>
      </c>
      <c r="CE29" t="str">
        <v>1.655837</v>
      </c>
      <c r="CF29" t="str">
        <v>0.942916</v>
      </c>
      <c r="CG29" t="str">
        <v>0.339807</v>
      </c>
      <c r="CH29" t="str">
        <v>-0.022735</v>
      </c>
      <c r="CI29" t="str">
        <v>0.344181</v>
      </c>
      <c r="CJ29" t="str">
        <v>0.108818</v>
      </c>
      <c r="CK29" t="str">
        <v>260.644897</v>
      </c>
      <c r="CL29" t="str">
        <v>0.000234</v>
      </c>
      <c r="CM29" t="str">
        <v>2.388960</v>
      </c>
      <c r="CN29" t="str">
        <v>-0.000025</v>
      </c>
      <c r="CO29" t="str">
        <v>1.000000</v>
      </c>
      <c r="CP29" t="str">
        <v>2.402765</v>
      </c>
      <c r="CQ29" t="str">
        <v>-0.000034</v>
      </c>
      <c r="CR29" t="str">
        <v>1.000000</v>
      </c>
      <c r="CS29" t="str">
        <v>0.600816</v>
      </c>
      <c r="CT29" t="str">
        <v>0.600971</v>
      </c>
      <c r="CU29" t="str">
        <v>0.107301</v>
      </c>
      <c r="CV29" t="str">
        <v>0.000000</v>
      </c>
      <c r="CW29" t="str">
        <v>PSF-00438_20251204104135_fcd</v>
      </c>
      <c r="CX29" t="str">
        <v>PFA-00474</v>
      </c>
      <c r="CY29" t="str">
        <v>PSA-00486</v>
      </c>
      <c r="CZ29" t="str">
        <v>PSF-00438</v>
      </c>
      <c r="DA29" t="str">
        <v>RHS-00603</v>
      </c>
      <c r="DB29" t="str">
        <v>3.0.0</v>
      </c>
      <c r="DC29" t="str">
        <v>2025-10-05T12:52:23.367Z</v>
      </c>
    </row>
    <row r="30">
      <c r="A30" t="str">
        <v>2</v>
      </c>
      <c r="B30" t="str">
        <v>10:42:45</v>
      </c>
      <c r="C30" t="str">
        <v>2025-12-04</v>
      </c>
      <c r="D30" t="str">
        <v>g34p_dark</v>
      </c>
      <c r="E30" t="str">
        <v>mrk</v>
      </c>
      <c r="F30" t="str">
        <v/>
      </c>
      <c r="G30" t="str">
        <v/>
      </c>
      <c r="H30" t="str">
        <v>4505_Tri_blue</v>
      </c>
      <c r="I30" t="str">
        <v/>
      </c>
      <c r="J30" t="str">
        <f>1/((1/L30)-(1/K30))</f>
        <v>-0.007333</v>
      </c>
      <c r="K30" t="str">
        <f>BH30+(BI30*AN30)+(BJ30*AN30*POWER(V30,2))+(BK30*AN30*V30)+(BL30*POWER(AN30,2))</f>
        <v>2.920208</v>
      </c>
      <c r="L30" t="str">
        <f>((M30/1000)*(1000-((T30+S30)/2)))/(T30-S30)</f>
        <v>-0.007352</v>
      </c>
      <c r="M30" t="str">
        <f>(AN30*(S30-R30))/(100*U30*(1000-S30))*1000</f>
        <v>-0.089778</v>
      </c>
      <c r="N30" t="str">
        <v>0.736038</v>
      </c>
      <c r="O30" t="str">
        <v>0.738332</v>
      </c>
      <c r="P30" t="str">
        <f>0.61365*EXP((17.502*AL30)/(240.97+AL30))</f>
        <v>1.834879</v>
      </c>
      <c r="Q30" t="str">
        <f>P30-N30</f>
        <v>1.098841</v>
      </c>
      <c r="R30" t="str">
        <v>8.089540</v>
      </c>
      <c r="S30" t="str">
        <v>8.064404</v>
      </c>
      <c r="T30" t="str">
        <f>(P30/AM30)*1000</f>
        <v>20.103855</v>
      </c>
      <c r="U30" t="str">
        <f>V30*BG30</f>
        <v>0.441786</v>
      </c>
      <c r="V30" t="str">
        <v>7.500000</v>
      </c>
      <c r="W30" t="str">
        <v>PSF-00438_20251204104245_a0f</v>
      </c>
      <c r="X30" t="str">
        <v>189.528473</v>
      </c>
      <c r="Y30" t="str">
        <v>360.698090</v>
      </c>
      <c r="Z30" t="str">
        <v>0.474551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0.787970</v>
      </c>
      <c r="AG30" t="str">
        <v>1.000000</v>
      </c>
      <c r="AH30" t="str">
        <v>32.77</v>
      </c>
      <c r="AI30" t="str">
        <v>32.88</v>
      </c>
      <c r="AJ30" t="str">
        <v>19.29</v>
      </c>
      <c r="AK30" t="str">
        <v>16.09</v>
      </c>
      <c r="AL30" t="str">
        <f>(AK30-AJ30)*(AJ30*0+0)+AK30</f>
        <v>16.09</v>
      </c>
      <c r="AM30" t="str">
        <v>91.27</v>
      </c>
      <c r="AN30" t="str">
        <v>156.5</v>
      </c>
      <c r="AO30" t="str">
        <v>158.4</v>
      </c>
      <c r="AP30" t="str">
        <v>-1.2</v>
      </c>
      <c r="AQ30" t="str">
        <v>4</v>
      </c>
      <c r="AR30" t="str">
        <v>4.115</v>
      </c>
      <c r="AS30" t="str">
        <v>10:40:22</v>
      </c>
      <c r="AT30" t="str">
        <v>2025-12-04</v>
      </c>
      <c r="AU30" t="str">
        <v>-0.23</v>
      </c>
      <c r="AV30" t="str">
        <v>1</v>
      </c>
      <c r="AW30" t="str">
        <v>-0.003</v>
      </c>
      <c r="AX30" t="str">
        <v>-0.020</v>
      </c>
      <c r="AY30" t="str">
        <v>-0.141</v>
      </c>
      <c r="AZ30" t="str">
        <v>-0.404</v>
      </c>
      <c r="BA30" t="str">
        <v>-1.561</v>
      </c>
      <c r="BB30" t="str">
        <v>163.646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6000</v>
      </c>
      <c r="BQ30" t="str">
        <v>5</v>
      </c>
      <c r="BR30" t="str">
        <v>5.000000</v>
      </c>
      <c r="BS30" t="str">
        <v>2.000000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2.445112</v>
      </c>
      <c r="CD30" t="str">
        <v>2.459331</v>
      </c>
      <c r="CE30" t="str">
        <v>1.653932</v>
      </c>
      <c r="CF30" t="str">
        <v>0.942301</v>
      </c>
      <c r="CG30" t="str">
        <v>0.342793</v>
      </c>
      <c r="CH30" t="str">
        <v>-0.033269</v>
      </c>
      <c r="CI30" t="str">
        <v>0.347154</v>
      </c>
      <c r="CJ30" t="str">
        <v>0.111035</v>
      </c>
      <c r="CK30" t="str">
        <v>188.250305</v>
      </c>
      <c r="CL30" t="str">
        <v>0.000233</v>
      </c>
      <c r="CM30" t="str">
        <v>2.388960</v>
      </c>
      <c r="CN30" t="str">
        <v>-0.000025</v>
      </c>
      <c r="CO30" t="str">
        <v>1.000000</v>
      </c>
      <c r="CP30" t="str">
        <v>2.402765</v>
      </c>
      <c r="CQ30" t="str">
        <v>-0.000034</v>
      </c>
      <c r="CR30" t="str">
        <v>1.000000</v>
      </c>
      <c r="CS30" t="str">
        <v>0.600816</v>
      </c>
      <c r="CT30" t="str">
        <v>0.600971</v>
      </c>
      <c r="CU30" t="str">
        <v>0.107301</v>
      </c>
      <c r="CV30" t="str">
        <v>0.000000</v>
      </c>
      <c r="CW30" t="str">
        <v>PSF-00438_20251204104245_a0f</v>
      </c>
      <c r="CX30" t="str">
        <v>PFA-00474</v>
      </c>
      <c r="CY30" t="str">
        <v>PSA-00486</v>
      </c>
      <c r="CZ30" t="str">
        <v>PSF-00438</v>
      </c>
      <c r="DA30" t="str">
        <v>RHS-00603</v>
      </c>
      <c r="DB30" t="str">
        <v>3.0.0</v>
      </c>
      <c r="DC30" t="str">
        <v>2025-10-05T12:52:23.367Z</v>
      </c>
    </row>
    <row r="31">
      <c r="A31" t="str">
        <v>3</v>
      </c>
      <c r="B31" t="str">
        <v>10:43:48</v>
      </c>
      <c r="C31" t="str">
        <v>2025-12-04</v>
      </c>
      <c r="D31" t="str">
        <v>g34p_dark</v>
      </c>
      <c r="E31" t="str">
        <v>mrk</v>
      </c>
      <c r="F31" t="str">
        <v/>
      </c>
      <c r="G31" t="str">
        <v/>
      </c>
      <c r="H31" t="str">
        <v>1926_Tri_purple</v>
      </c>
      <c r="I31" t="str">
        <v/>
      </c>
      <c r="J31" t="str">
        <f>1/((1/L31)-(1/K31))</f>
        <v>0.000325</v>
      </c>
      <c r="K31" t="str">
        <f>BH31+(BI31*AN31)+(BJ31*AN31*POWER(V31,2))+(BK31*AN31*V31)+(BL31*POWER(AN31,2))</f>
        <v>2.920306</v>
      </c>
      <c r="L31" t="str">
        <f>((M31/1000)*(1000-((T31+S31)/2)))/(T31-S31)</f>
        <v>0.000325</v>
      </c>
      <c r="M31" t="str">
        <f>(AN31*(S31-R31))/(100*U31*(1000-S31))*1000</f>
        <v>0.004563</v>
      </c>
      <c r="N31" t="str">
        <v>0.785085</v>
      </c>
      <c r="O31" t="str">
        <v>0.784969</v>
      </c>
      <c r="P31" t="str">
        <f>0.61365*EXP((17.502*AL31)/(240.97+AL31))</f>
        <v>2.046417</v>
      </c>
      <c r="Q31" t="str">
        <f>P31-N31</f>
        <v>1.261332</v>
      </c>
      <c r="R31" t="str">
        <v>8.600418</v>
      </c>
      <c r="S31" t="str">
        <v>8.601695</v>
      </c>
      <c r="T31" t="str">
        <f>(P31/AM31)*1000</f>
        <v>22.421326</v>
      </c>
      <c r="U31" t="str">
        <f>V31*BG31</f>
        <v>0.441786</v>
      </c>
      <c r="V31" t="str">
        <v>7.500000</v>
      </c>
      <c r="W31" t="str">
        <v>PSF-00438_20251204104348_6a0</v>
      </c>
      <c r="X31" t="str">
        <v>135.090347</v>
      </c>
      <c r="Y31" t="str">
        <v>483.517181</v>
      </c>
      <c r="Z31" t="str">
        <v>0.720609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0.093011</v>
      </c>
      <c r="AG31" t="str">
        <v>1.000000</v>
      </c>
      <c r="AH31" t="str">
        <v>35.36</v>
      </c>
      <c r="AI31" t="str">
        <v>35.36</v>
      </c>
      <c r="AJ31" t="str">
        <v>19.11</v>
      </c>
      <c r="AK31" t="str">
        <v>17.81</v>
      </c>
      <c r="AL31" t="str">
        <f>(AK31-AJ31)*(AJ31*0+0)+AK31</f>
        <v>17.81</v>
      </c>
      <c r="AM31" t="str">
        <v>91.27</v>
      </c>
      <c r="AN31" t="str">
        <v>156.5</v>
      </c>
      <c r="AO31" t="str">
        <v>158.9</v>
      </c>
      <c r="AP31" t="str">
        <v>-1.5</v>
      </c>
      <c r="AQ31" t="str">
        <v>0</v>
      </c>
      <c r="AR31" t="str">
        <v>4.113</v>
      </c>
      <c r="AS31" t="str">
        <v>10:40:22</v>
      </c>
      <c r="AT31" t="str">
        <v>2025-12-04</v>
      </c>
      <c r="AU31" t="str">
        <v>-0.23</v>
      </c>
      <c r="AV31" t="str">
        <v>1</v>
      </c>
      <c r="AW31" t="str">
        <v>0.001</v>
      </c>
      <c r="AX31" t="str">
        <v>0.010</v>
      </c>
      <c r="AY31" t="str">
        <v>-0.076</v>
      </c>
      <c r="AZ31" t="str">
        <v>0.309</v>
      </c>
      <c r="BA31" t="str">
        <v>0.247</v>
      </c>
      <c r="BB31" t="str">
        <v>28.959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6000</v>
      </c>
      <c r="BQ31" t="str">
        <v>5</v>
      </c>
      <c r="BR31" t="str">
        <v>5.000000</v>
      </c>
      <c r="BS31" t="str">
        <v>2.000000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2.448724</v>
      </c>
      <c r="CD31" t="str">
        <v>2.463128</v>
      </c>
      <c r="CE31" t="str">
        <v>1.654034</v>
      </c>
      <c r="CF31" t="str">
        <v>0.943556</v>
      </c>
      <c r="CG31" t="str">
        <v>0.345347</v>
      </c>
      <c r="CH31" t="str">
        <v>-0.013100</v>
      </c>
      <c r="CI31" t="str">
        <v>0.350405</v>
      </c>
      <c r="CJ31" t="str">
        <v>0.107591</v>
      </c>
      <c r="CK31" t="str">
        <v>135.090347</v>
      </c>
      <c r="CL31" t="str">
        <v>0.000234</v>
      </c>
      <c r="CM31" t="str">
        <v>2.388960</v>
      </c>
      <c r="CN31" t="str">
        <v>-0.000025</v>
      </c>
      <c r="CO31" t="str">
        <v>1.000000</v>
      </c>
      <c r="CP31" t="str">
        <v>2.402765</v>
      </c>
      <c r="CQ31" t="str">
        <v>-0.000034</v>
      </c>
      <c r="CR31" t="str">
        <v>1.000000</v>
      </c>
      <c r="CS31" t="str">
        <v>0.600816</v>
      </c>
      <c r="CT31" t="str">
        <v>0.600971</v>
      </c>
      <c r="CU31" t="str">
        <v>0.107301</v>
      </c>
      <c r="CV31" t="str">
        <v>0.000000</v>
      </c>
      <c r="CW31" t="str">
        <v>PSF-00438_20251204104348_6a0</v>
      </c>
      <c r="CX31" t="str">
        <v>PFA-00474</v>
      </c>
      <c r="CY31" t="str">
        <v>PSA-00486</v>
      </c>
      <c r="CZ31" t="str">
        <v>PSF-00438</v>
      </c>
      <c r="DA31" t="str">
        <v>RHS-00603</v>
      </c>
      <c r="DB31" t="str">
        <v>3.0.0</v>
      </c>
      <c r="DC31" t="str">
        <v>2025-10-05T12:52:23.367Z</v>
      </c>
    </row>
    <row r="32">
      <c r="A32" t="str">
        <v>4</v>
      </c>
      <c r="B32" t="str">
        <v>10:44:36</v>
      </c>
      <c r="C32" t="str">
        <v>2025-12-04</v>
      </c>
      <c r="D32" t="str">
        <v>g34p_dark</v>
      </c>
      <c r="E32" t="str">
        <v>mrk</v>
      </c>
      <c r="F32" t="str">
        <v/>
      </c>
      <c r="G32" t="str">
        <v/>
      </c>
      <c r="H32" t="str">
        <v>4414_Tri_purple</v>
      </c>
      <c r="I32" t="str">
        <v/>
      </c>
      <c r="J32" t="str">
        <f>1/((1/L32)-(1/K32))</f>
        <v>-0.007364</v>
      </c>
      <c r="K32" t="str">
        <f>BH32+(BI32*AN32)+(BJ32*AN32*POWER(V32,2))+(BK32*AN32*V32)+(BL32*POWER(AN32,2))</f>
        <v>2.922556</v>
      </c>
      <c r="L32" t="str">
        <f>((M32/1000)*(1000-((T32+S32)/2)))/(T32-S32)</f>
        <v>-0.007382</v>
      </c>
      <c r="M32" t="str">
        <f>(AN32*(S32-R32))/(100*U32*(1000-S32))*1000</f>
        <v>-0.095129</v>
      </c>
      <c r="N32" t="str">
        <v>0.745071</v>
      </c>
      <c r="O32" t="str">
        <v>0.747497</v>
      </c>
      <c r="P32" t="str">
        <f>0.61365*EXP((17.502*AL32)/(240.97+AL32))</f>
        <v>1.904160</v>
      </c>
      <c r="Q32" t="str">
        <f>P32-N32</f>
        <v>1.159090</v>
      </c>
      <c r="R32" t="str">
        <v>8.189593</v>
      </c>
      <c r="S32" t="str">
        <v>8.163011</v>
      </c>
      <c r="T32" t="str">
        <f>(P32/AM32)*1000</f>
        <v>20.862024</v>
      </c>
      <c r="U32" t="str">
        <f>V32*BG32</f>
        <v>0.441786</v>
      </c>
      <c r="V32" t="str">
        <v>7.500000</v>
      </c>
      <c r="W32" t="str">
        <v>PSF-00438_20251204104436_216</v>
      </c>
      <c r="X32" t="str">
        <v>159.407623</v>
      </c>
      <c r="Y32" t="str">
        <v>565.929321</v>
      </c>
      <c r="Z32" t="str">
        <v>0.718326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0.077752</v>
      </c>
      <c r="AG32" t="str">
        <v>1.000000</v>
      </c>
      <c r="AH32" t="str">
        <v>33.82</v>
      </c>
      <c r="AI32" t="str">
        <v>33.93</v>
      </c>
      <c r="AJ32" t="str">
        <v>18.98</v>
      </c>
      <c r="AK32" t="str">
        <v>16.67</v>
      </c>
      <c r="AL32" t="str">
        <f>(AK32-AJ32)*(AJ32*0+0)+AK32</f>
        <v>16.67</v>
      </c>
      <c r="AM32" t="str">
        <v>91.27</v>
      </c>
      <c r="AN32" t="str">
        <v>156.8</v>
      </c>
      <c r="AO32" t="str">
        <v>158.6</v>
      </c>
      <c r="AP32" t="str">
        <v>-1.2</v>
      </c>
      <c r="AQ32" t="str">
        <v>0</v>
      </c>
      <c r="AR32" t="str">
        <v>4.113</v>
      </c>
      <c r="AS32" t="str">
        <v>10:40:22</v>
      </c>
      <c r="AT32" t="str">
        <v>2025-12-04</v>
      </c>
      <c r="AU32" t="str">
        <v>-0.23</v>
      </c>
      <c r="AV32" t="str">
        <v>1</v>
      </c>
      <c r="AW32" t="str">
        <v>0.003</v>
      </c>
      <c r="AX32" t="str">
        <v>0.002</v>
      </c>
      <c r="AY32" t="str">
        <v>0.002</v>
      </c>
      <c r="AZ32" t="str">
        <v>0.087</v>
      </c>
      <c r="BA32" t="str">
        <v>-0.131</v>
      </c>
      <c r="BB32" t="str">
        <v>-0.297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6000</v>
      </c>
      <c r="BQ32" t="str">
        <v>5</v>
      </c>
      <c r="BR32" t="str">
        <v>5.000000</v>
      </c>
      <c r="BS32" t="str">
        <v>2.000000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2.446701</v>
      </c>
      <c r="CD32" t="str">
        <v>2.460922</v>
      </c>
      <c r="CE32" t="str">
        <v>1.656388</v>
      </c>
      <c r="CF32" t="str">
        <v>0.943000</v>
      </c>
      <c r="CG32" t="str">
        <v>0.347090</v>
      </c>
      <c r="CH32" t="str">
        <v>-0.023807</v>
      </c>
      <c r="CI32" t="str">
        <v>0.353046</v>
      </c>
      <c r="CJ32" t="str">
        <v>0.107544</v>
      </c>
      <c r="CK32" t="str">
        <v>159.407623</v>
      </c>
      <c r="CL32" t="str">
        <v>0.000234</v>
      </c>
      <c r="CM32" t="str">
        <v>2.388960</v>
      </c>
      <c r="CN32" t="str">
        <v>-0.000025</v>
      </c>
      <c r="CO32" t="str">
        <v>1.000000</v>
      </c>
      <c r="CP32" t="str">
        <v>2.402765</v>
      </c>
      <c r="CQ32" t="str">
        <v>-0.000034</v>
      </c>
      <c r="CR32" t="str">
        <v>1.000000</v>
      </c>
      <c r="CS32" t="str">
        <v>0.600816</v>
      </c>
      <c r="CT32" t="str">
        <v>0.600971</v>
      </c>
      <c r="CU32" t="str">
        <v>0.107301</v>
      </c>
      <c r="CV32" t="str">
        <v>0.000000</v>
      </c>
      <c r="CW32" t="str">
        <v>PSF-00438_20251204104436_216</v>
      </c>
      <c r="CX32" t="str">
        <v>PFA-00474</v>
      </c>
      <c r="CY32" t="str">
        <v>PSA-00486</v>
      </c>
      <c r="CZ32" t="str">
        <v>PSF-00438</v>
      </c>
      <c r="DA32" t="str">
        <v>RHS-00603</v>
      </c>
      <c r="DB32" t="str">
        <v>3.0.0</v>
      </c>
      <c r="DC32" t="str">
        <v>2025-10-05T12:52:23.367Z</v>
      </c>
    </row>
    <row r="33">
      <c r="A33" t="str">
        <v>5</v>
      </c>
      <c r="B33" t="str">
        <v>10:45:28</v>
      </c>
      <c r="C33" t="str">
        <v>2025-12-04</v>
      </c>
      <c r="D33" t="str">
        <v>g34p_dark</v>
      </c>
      <c r="E33" t="str">
        <v>mrk</v>
      </c>
      <c r="F33" t="str">
        <v/>
      </c>
      <c r="G33" t="str">
        <v/>
      </c>
      <c r="H33" t="str">
        <v>3043_Tri_purple</v>
      </c>
      <c r="I33" t="str">
        <v/>
      </c>
      <c r="J33" t="str">
        <f>1/((1/L33)-(1/K33))</f>
        <v>0.084557</v>
      </c>
      <c r="K33" t="str">
        <f>BH33+(BI33*AN33)+(BJ33*AN33*POWER(V33,2))+(BK33*AN33*V33)+(BL33*POWER(AN33,2))</f>
        <v>2.922839</v>
      </c>
      <c r="L33" t="str">
        <f>((M33/1000)*(1000-((T33+S33)/2)))/(T33-S33)</f>
        <v>0.082179</v>
      </c>
      <c r="M33" t="str">
        <f>(AN33*(S33-R33))/(100*U33*(1000-S33))*1000</f>
        <v>1.057264</v>
      </c>
      <c r="N33" t="str">
        <v>0.754071</v>
      </c>
      <c r="O33" t="str">
        <v>0.727115</v>
      </c>
      <c r="P33" t="str">
        <f>0.61365*EXP((17.502*AL33)/(240.97+AL33))</f>
        <v>1.911137</v>
      </c>
      <c r="Q33" t="str">
        <f>P33-N33</f>
        <v>1.157066</v>
      </c>
      <c r="R33" t="str">
        <v>7.966706</v>
      </c>
      <c r="S33" t="str">
        <v>8.262050</v>
      </c>
      <c r="T33" t="str">
        <f>(P33/AM33)*1000</f>
        <v>20.939548</v>
      </c>
      <c r="U33" t="str">
        <f>V33*BG33</f>
        <v>0.441786</v>
      </c>
      <c r="V33" t="str">
        <v>7.500000</v>
      </c>
      <c r="W33" t="str">
        <v>PSF-00438_20251204104528_ffc</v>
      </c>
      <c r="X33" t="str">
        <v>138.983490</v>
      </c>
      <c r="Y33" t="str">
        <v>558.226318</v>
      </c>
      <c r="Z33" t="str">
        <v>0.751027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0.831669</v>
      </c>
      <c r="AG33" t="str">
        <v>1.000000</v>
      </c>
      <c r="AH33" t="str">
        <v>34.53</v>
      </c>
      <c r="AI33" t="str">
        <v>33.30</v>
      </c>
      <c r="AJ33" t="str">
        <v>18.84</v>
      </c>
      <c r="AK33" t="str">
        <v>16.73</v>
      </c>
      <c r="AL33" t="str">
        <f>(AK33-AJ33)*(AJ33*0+0)+AK33</f>
        <v>16.73</v>
      </c>
      <c r="AM33" t="str">
        <v>91.27</v>
      </c>
      <c r="AN33" t="str">
        <v>156.8</v>
      </c>
      <c r="AO33" t="str">
        <v>158.6</v>
      </c>
      <c r="AP33" t="str">
        <v>-1.1</v>
      </c>
      <c r="AQ33" t="str">
        <v>3</v>
      </c>
      <c r="AR33" t="str">
        <v>4.111</v>
      </c>
      <c r="AS33" t="str">
        <v>10:40:22</v>
      </c>
      <c r="AT33" t="str">
        <v>2025-12-04</v>
      </c>
      <c r="AU33" t="str">
        <v>-0.23</v>
      </c>
      <c r="AV33" t="str">
        <v>1</v>
      </c>
      <c r="AW33" t="str">
        <v>-0.004</v>
      </c>
      <c r="AX33" t="str">
        <v>0.042</v>
      </c>
      <c r="AY33" t="str">
        <v>0.052</v>
      </c>
      <c r="AZ33" t="str">
        <v>0.018</v>
      </c>
      <c r="BA33" t="str">
        <v>64.499</v>
      </c>
      <c r="BB33" t="str">
        <v>8.177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6000</v>
      </c>
      <c r="BQ33" t="str">
        <v>5</v>
      </c>
      <c r="BR33" t="str">
        <v>5.000000</v>
      </c>
      <c r="BS33" t="str">
        <v>2.000000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2.445810</v>
      </c>
      <c r="CD33" t="str">
        <v>2.461983</v>
      </c>
      <c r="CE33" t="str">
        <v>1.656685</v>
      </c>
      <c r="CF33" t="str">
        <v>0.942890</v>
      </c>
      <c r="CG33" t="str">
        <v>0.349058</v>
      </c>
      <c r="CH33" t="str">
        <v>-0.021679</v>
      </c>
      <c r="CI33" t="str">
        <v>0.355933</v>
      </c>
      <c r="CJ33" t="str">
        <v>0.109791</v>
      </c>
      <c r="CK33" t="str">
        <v>138.983490</v>
      </c>
      <c r="CL33" t="str">
        <v>0.000235</v>
      </c>
      <c r="CM33" t="str">
        <v>2.388960</v>
      </c>
      <c r="CN33" t="str">
        <v>-0.000025</v>
      </c>
      <c r="CO33" t="str">
        <v>1.000000</v>
      </c>
      <c r="CP33" t="str">
        <v>2.402765</v>
      </c>
      <c r="CQ33" t="str">
        <v>-0.000034</v>
      </c>
      <c r="CR33" t="str">
        <v>1.000000</v>
      </c>
      <c r="CS33" t="str">
        <v>0.600816</v>
      </c>
      <c r="CT33" t="str">
        <v>0.600971</v>
      </c>
      <c r="CU33" t="str">
        <v>0.107301</v>
      </c>
      <c r="CV33" t="str">
        <v>0.000000</v>
      </c>
      <c r="CW33" t="str">
        <v>PSF-00438_20251204104528_ffc</v>
      </c>
      <c r="CX33" t="str">
        <v>PFA-00474</v>
      </c>
      <c r="CY33" t="str">
        <v>PSA-00486</v>
      </c>
      <c r="CZ33" t="str">
        <v>PSF-00438</v>
      </c>
      <c r="DA33" t="str">
        <v>RHS-00603</v>
      </c>
      <c r="DB33" t="str">
        <v>3.0.0</v>
      </c>
      <c r="DC33" t="str">
        <v>2025-10-05T12:52:23.367Z</v>
      </c>
    </row>
    <row r="34">
      <c r="A34" t="str">
        <v>6</v>
      </c>
      <c r="B34" t="str">
        <v>10:45:58</v>
      </c>
      <c r="C34" t="str">
        <v>2025-12-04</v>
      </c>
      <c r="D34" t="str">
        <v>g34p_dark</v>
      </c>
      <c r="E34" t="str">
        <v>mrk</v>
      </c>
      <c r="F34" t="str">
        <v/>
      </c>
      <c r="G34" t="str">
        <v/>
      </c>
      <c r="H34" t="str">
        <v>614_Tri_purple</v>
      </c>
      <c r="I34" t="str">
        <v/>
      </c>
      <c r="J34" t="str">
        <f>1/((1/L34)-(1/K34))</f>
        <v>-0.006630</v>
      </c>
      <c r="K34" t="str">
        <f>BH34+(BI34*AN34)+(BJ34*AN34*POWER(V34,2))+(BK34*AN34*V34)+(BL34*POWER(AN34,2))</f>
        <v>2.919509</v>
      </c>
      <c r="L34" t="str">
        <f>((M34/1000)*(1000-((T34+S34)/2)))/(T34-S34)</f>
        <v>-0.006645</v>
      </c>
      <c r="M34" t="str">
        <f>(AN34*(S34-R34))/(100*U34*(1000-S34))*1000</f>
        <v>-0.070565</v>
      </c>
      <c r="N34" t="str">
        <v>0.739498</v>
      </c>
      <c r="O34" t="str">
        <v>0.741302</v>
      </c>
      <c r="P34" t="str">
        <f>0.61365*EXP((17.502*AL34)/(240.97+AL34))</f>
        <v>1.695747</v>
      </c>
      <c r="Q34" t="str">
        <f>P34-N34</f>
        <v>0.956250</v>
      </c>
      <c r="R34" t="str">
        <v>8.122030</v>
      </c>
      <c r="S34" t="str">
        <v>8.102263</v>
      </c>
      <c r="T34" t="str">
        <f>(P34/AM34)*1000</f>
        <v>18.579359</v>
      </c>
      <c r="U34" t="str">
        <f>V34*BG34</f>
        <v>0.441786</v>
      </c>
      <c r="V34" t="str">
        <v>7.500000</v>
      </c>
      <c r="W34" t="str">
        <v>PSF-00438_20251204104558_f79</v>
      </c>
      <c r="X34" t="str">
        <v>111.410378</v>
      </c>
      <c r="Y34" t="str">
        <v>459.172729</v>
      </c>
      <c r="Z34" t="str">
        <v>0.757367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0.312256</v>
      </c>
      <c r="AG34" t="str">
        <v>1.000000</v>
      </c>
      <c r="AH34" t="str">
        <v>34.04</v>
      </c>
      <c r="AI34" t="str">
        <v>34.13</v>
      </c>
      <c r="AJ34" t="str">
        <v>18.76</v>
      </c>
      <c r="AK34" t="str">
        <v>14.86</v>
      </c>
      <c r="AL34" t="str">
        <f>(AK34-AJ34)*(AJ34*0+0)+AK34</f>
        <v>14.86</v>
      </c>
      <c r="AM34" t="str">
        <v>91.27</v>
      </c>
      <c r="AN34" t="str">
        <v>156.4</v>
      </c>
      <c r="AO34" t="str">
        <v>158.7</v>
      </c>
      <c r="AP34" t="str">
        <v>-1.5</v>
      </c>
      <c r="AQ34" t="str">
        <v>1</v>
      </c>
      <c r="AR34" t="str">
        <v>4.110</v>
      </c>
      <c r="AS34" t="str">
        <v>10:40:22</v>
      </c>
      <c r="AT34" t="str">
        <v>2025-12-04</v>
      </c>
      <c r="AU34" t="str">
        <v>-0.23</v>
      </c>
      <c r="AV34" t="str">
        <v>1</v>
      </c>
      <c r="AW34" t="str">
        <v>-0.012</v>
      </c>
      <c r="AX34" t="str">
        <v>-0.096</v>
      </c>
      <c r="AY34" t="str">
        <v>-0.105</v>
      </c>
      <c r="AZ34" t="str">
        <v>1.336</v>
      </c>
      <c r="BA34" t="str">
        <v>59.875</v>
      </c>
      <c r="BB34" t="str">
        <v>80.908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6000</v>
      </c>
      <c r="BQ34" t="str">
        <v>5</v>
      </c>
      <c r="BR34" t="str">
        <v>5.000000</v>
      </c>
      <c r="BS34" t="str">
        <v>2.000000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2.447021</v>
      </c>
      <c r="CD34" t="str">
        <v>2.461286</v>
      </c>
      <c r="CE34" t="str">
        <v>1.653202</v>
      </c>
      <c r="CF34" t="str">
        <v>0.943283</v>
      </c>
      <c r="CG34" t="str">
        <v>0.350227</v>
      </c>
      <c r="CH34" t="str">
        <v>-0.040287</v>
      </c>
      <c r="CI34" t="str">
        <v>0.357605</v>
      </c>
      <c r="CJ34" t="str">
        <v>0.108228</v>
      </c>
      <c r="CK34" t="str">
        <v>111.410378</v>
      </c>
      <c r="CL34" t="str">
        <v>0.000234</v>
      </c>
      <c r="CM34" t="str">
        <v>2.388960</v>
      </c>
      <c r="CN34" t="str">
        <v>-0.000025</v>
      </c>
      <c r="CO34" t="str">
        <v>1.000000</v>
      </c>
      <c r="CP34" t="str">
        <v>2.402765</v>
      </c>
      <c r="CQ34" t="str">
        <v>-0.000034</v>
      </c>
      <c r="CR34" t="str">
        <v>1.000000</v>
      </c>
      <c r="CS34" t="str">
        <v>0.600816</v>
      </c>
      <c r="CT34" t="str">
        <v>0.600971</v>
      </c>
      <c r="CU34" t="str">
        <v>0.107301</v>
      </c>
      <c r="CV34" t="str">
        <v>0.000000</v>
      </c>
      <c r="CW34" t="str">
        <v>PSF-00438_20251204104558_f79</v>
      </c>
      <c r="CX34" t="str">
        <v>PFA-00474</v>
      </c>
      <c r="CY34" t="str">
        <v>PSA-00486</v>
      </c>
      <c r="CZ34" t="str">
        <v>PSF-00438</v>
      </c>
      <c r="DA34" t="str">
        <v>RHS-00603</v>
      </c>
      <c r="DB34" t="str">
        <v>3.0.0</v>
      </c>
      <c r="DC34" t="str">
        <v>2025-10-05T12:52:23.367Z</v>
      </c>
    </row>
    <row r="35">
      <c r="A35" t="str">
        <v>7</v>
      </c>
      <c r="B35" t="str">
        <v>10:46:30</v>
      </c>
      <c r="C35" t="str">
        <v>2025-12-04</v>
      </c>
      <c r="D35" t="str">
        <v>g34p_dark</v>
      </c>
      <c r="E35" t="str">
        <v>mrk</v>
      </c>
      <c r="F35" t="str">
        <v/>
      </c>
      <c r="G35" t="str">
        <v/>
      </c>
      <c r="H35" t="str">
        <v>43_Tri_pink_blue</v>
      </c>
      <c r="I35" t="str">
        <v/>
      </c>
      <c r="J35" t="str">
        <f>1/((1/L35)-(1/K35))</f>
        <v>0.000031</v>
      </c>
      <c r="K35" t="str">
        <f>BH35+(BI35*AN35)+(BJ35*AN35*POWER(V35,2))+(BK35*AN35*V35)+(BL35*POWER(AN35,2))</f>
        <v>2.922152</v>
      </c>
      <c r="L35" t="str">
        <f>((M35/1000)*(1000-((T35+S35)/2)))/(T35-S35)</f>
        <v>0.000031</v>
      </c>
      <c r="M35" t="str">
        <f>(AN35*(S35-R35))/(100*U35*(1000-S35))*1000</f>
        <v>0.000366</v>
      </c>
      <c r="N35" t="str">
        <v>0.731215</v>
      </c>
      <c r="O35" t="str">
        <v>0.731206</v>
      </c>
      <c r="P35" t="str">
        <f>0.61365*EXP((17.502*AL35)/(240.97+AL35))</f>
        <v>1.806279</v>
      </c>
      <c r="Q35" t="str">
        <f>P35-N35</f>
        <v>1.075063</v>
      </c>
      <c r="R35" t="str">
        <v>8.011988</v>
      </c>
      <c r="S35" t="str">
        <v>8.012090</v>
      </c>
      <c r="T35" t="str">
        <f>(P35/AM35)*1000</f>
        <v>19.791800</v>
      </c>
      <c r="U35" t="str">
        <f>V35*BG35</f>
        <v>0.441786</v>
      </c>
      <c r="V35" t="str">
        <v>7.500000</v>
      </c>
      <c r="W35" t="str">
        <v>PSF-00438_20251204104630_e55</v>
      </c>
      <c r="X35" t="str">
        <v>157.237534</v>
      </c>
      <c r="Y35" t="str">
        <v>445.779572</v>
      </c>
      <c r="Z35" t="str">
        <v>0.647275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0.155906</v>
      </c>
      <c r="AG35" t="str">
        <v>1.000000</v>
      </c>
      <c r="AH35" t="str">
        <v>33.87</v>
      </c>
      <c r="AI35" t="str">
        <v>33.87</v>
      </c>
      <c r="AJ35" t="str">
        <v>18.66</v>
      </c>
      <c r="AK35" t="str">
        <v>15.84</v>
      </c>
      <c r="AL35" t="str">
        <f>(AK35-AJ35)*(AJ35*0+0)+AK35</f>
        <v>15.84</v>
      </c>
      <c r="AM35" t="str">
        <v>91.26</v>
      </c>
      <c r="AN35" t="str">
        <v>156.8</v>
      </c>
      <c r="AO35" t="str">
        <v>158.6</v>
      </c>
      <c r="AP35" t="str">
        <v>-1.2</v>
      </c>
      <c r="AQ35" t="str">
        <v>1</v>
      </c>
      <c r="AR35" t="str">
        <v>4.109</v>
      </c>
      <c r="AS35" t="str">
        <v>10:40:22</v>
      </c>
      <c r="AT35" t="str">
        <v>2025-12-04</v>
      </c>
      <c r="AU35" t="str">
        <v>-0.23</v>
      </c>
      <c r="AV35" t="str">
        <v>1</v>
      </c>
      <c r="AW35" t="str">
        <v>-0.000</v>
      </c>
      <c r="AX35" t="str">
        <v>-0.001</v>
      </c>
      <c r="AY35" t="str">
        <v>-9999.000</v>
      </c>
      <c r="AZ35" t="str">
        <v>-0.184</v>
      </c>
      <c r="BA35" t="str">
        <v>0.009</v>
      </c>
      <c r="BB35" t="str">
        <v>-9999.000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6000</v>
      </c>
      <c r="BQ35" t="str">
        <v>5</v>
      </c>
      <c r="BR35" t="str">
        <v>5.000000</v>
      </c>
      <c r="BS35" t="str">
        <v>2.000000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2.446667</v>
      </c>
      <c r="CD35" t="str">
        <v>2.461051</v>
      </c>
      <c r="CE35" t="str">
        <v>1.655964</v>
      </c>
      <c r="CF35" t="str">
        <v>0.942916</v>
      </c>
      <c r="CG35" t="str">
        <v>0.351609</v>
      </c>
      <c r="CH35" t="str">
        <v>-0.029014</v>
      </c>
      <c r="CI35" t="str">
        <v>0.359323</v>
      </c>
      <c r="CJ35" t="str">
        <v>0.107843</v>
      </c>
      <c r="CK35" t="str">
        <v>157.237534</v>
      </c>
      <c r="CL35" t="str">
        <v>0.000236</v>
      </c>
      <c r="CM35" t="str">
        <v>2.388960</v>
      </c>
      <c r="CN35" t="str">
        <v>-0.000025</v>
      </c>
      <c r="CO35" t="str">
        <v>1.000000</v>
      </c>
      <c r="CP35" t="str">
        <v>2.402765</v>
      </c>
      <c r="CQ35" t="str">
        <v>-0.000034</v>
      </c>
      <c r="CR35" t="str">
        <v>1.000000</v>
      </c>
      <c r="CS35" t="str">
        <v>0.600816</v>
      </c>
      <c r="CT35" t="str">
        <v>0.600971</v>
      </c>
      <c r="CU35" t="str">
        <v>0.107301</v>
      </c>
      <c r="CV35" t="str">
        <v>0.000000</v>
      </c>
      <c r="CW35" t="str">
        <v>PSF-00438_20251204104630_e55</v>
      </c>
      <c r="CX35" t="str">
        <v>PFA-00474</v>
      </c>
      <c r="CY35" t="str">
        <v>PSA-00486</v>
      </c>
      <c r="CZ35" t="str">
        <v>PSF-00438</v>
      </c>
      <c r="DA35" t="str">
        <v>RHS-00603</v>
      </c>
      <c r="DB35" t="str">
        <v>3.0.0</v>
      </c>
      <c r="DC35" t="str">
        <v>2025-10-05T12:52:23.367Z</v>
      </c>
    </row>
    <row r="36">
      <c r="A36" t="str">
        <v>8</v>
      </c>
      <c r="B36" t="str">
        <v>10:47:10</v>
      </c>
      <c r="C36" t="str">
        <v>2025-12-04</v>
      </c>
      <c r="D36" t="str">
        <v>g34p_dark</v>
      </c>
      <c r="E36" t="str">
        <v>mrk</v>
      </c>
      <c r="F36" t="str">
        <v/>
      </c>
      <c r="G36" t="str">
        <v/>
      </c>
      <c r="H36" t="str">
        <v>2416_Tri_green_blue</v>
      </c>
      <c r="I36" t="str">
        <v/>
      </c>
      <c r="J36" t="str">
        <f>1/((1/L36)-(1/K36))</f>
        <v>0.003383</v>
      </c>
      <c r="K36" t="str">
        <f>BH36+(BI36*AN36)+(BJ36*AN36*POWER(V36,2))+(BK36*AN36*V36)+(BL36*POWER(AN36,2))</f>
        <v>2.922706</v>
      </c>
      <c r="L36" t="str">
        <f>((M36/1000)*(1000-((T36+S36)/2)))/(T36-S36)</f>
        <v>0.003379</v>
      </c>
      <c r="M36" t="str">
        <f>(AN36*(S36-R36))/(100*U36*(1000-S36))*1000</f>
        <v>0.047103</v>
      </c>
      <c r="N36" t="str">
        <v>0.720969</v>
      </c>
      <c r="O36" t="str">
        <v>0.719767</v>
      </c>
      <c r="P36" t="str">
        <f>0.61365*EXP((17.502*AL36)/(240.97+AL36))</f>
        <v>1.974469</v>
      </c>
      <c r="Q36" t="str">
        <f>P36-N36</f>
        <v>1.253500</v>
      </c>
      <c r="R36" t="str">
        <v>7.886456</v>
      </c>
      <c r="S36" t="str">
        <v>7.899621</v>
      </c>
      <c r="T36" t="str">
        <f>(P36/AM36)*1000</f>
        <v>21.634163</v>
      </c>
      <c r="U36" t="str">
        <f>V36*BG36</f>
        <v>0.441786</v>
      </c>
      <c r="V36" t="str">
        <v>7.500000</v>
      </c>
      <c r="W36" t="str">
        <v>PSF-00438_20251204104710_fa5</v>
      </c>
      <c r="X36" t="str">
        <v>256.200317</v>
      </c>
      <c r="Y36" t="str">
        <v>288.290253</v>
      </c>
      <c r="Z36" t="str">
        <v>0.111311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0.008260</v>
      </c>
      <c r="AG36" t="str">
        <v>1.000000</v>
      </c>
      <c r="AH36" t="str">
        <v>33.64</v>
      </c>
      <c r="AI36" t="str">
        <v>33.59</v>
      </c>
      <c r="AJ36" t="str">
        <v>18.54</v>
      </c>
      <c r="AK36" t="str">
        <v>17.24</v>
      </c>
      <c r="AL36" t="str">
        <f>(AK36-AJ36)*(AJ36*0+0)+AK36</f>
        <v>17.24</v>
      </c>
      <c r="AM36" t="str">
        <v>91.27</v>
      </c>
      <c r="AN36" t="str">
        <v>156.8</v>
      </c>
      <c r="AO36" t="str">
        <v>158.9</v>
      </c>
      <c r="AP36" t="str">
        <v>-1.3</v>
      </c>
      <c r="AQ36" t="str">
        <v>0</v>
      </c>
      <c r="AR36" t="str">
        <v>4.107</v>
      </c>
      <c r="AS36" t="str">
        <v>10:40:22</v>
      </c>
      <c r="AT36" t="str">
        <v>2025-12-04</v>
      </c>
      <c r="AU36" t="str">
        <v>-0.23</v>
      </c>
      <c r="AV36" t="str">
        <v>1</v>
      </c>
      <c r="AW36" t="str">
        <v>-0.000</v>
      </c>
      <c r="AX36" t="str">
        <v>-0.003</v>
      </c>
      <c r="AY36" t="str">
        <v>-0.033</v>
      </c>
      <c r="AZ36" t="str">
        <v>-0.197</v>
      </c>
      <c r="BA36" t="str">
        <v>-0.215</v>
      </c>
      <c r="BB36" t="str">
        <v>136.722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6000</v>
      </c>
      <c r="BQ36" t="str">
        <v>5</v>
      </c>
      <c r="BR36" t="str">
        <v>5.000000</v>
      </c>
      <c r="BS36" t="str">
        <v>2.000000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2.446281</v>
      </c>
      <c r="CD36" t="str">
        <v>2.460744</v>
      </c>
      <c r="CE36" t="str">
        <v>1.656545</v>
      </c>
      <c r="CF36" t="str">
        <v>0.943606</v>
      </c>
      <c r="CG36" t="str">
        <v>0.353285</v>
      </c>
      <c r="CH36" t="str">
        <v>-0.013002</v>
      </c>
      <c r="CI36" t="str">
        <v>0.361609</v>
      </c>
      <c r="CJ36" t="str">
        <v>0.107468</v>
      </c>
      <c r="CK36" t="str">
        <v>256.200317</v>
      </c>
      <c r="CL36" t="str">
        <v>0.000236</v>
      </c>
      <c r="CM36" t="str">
        <v>2.388960</v>
      </c>
      <c r="CN36" t="str">
        <v>-0.000025</v>
      </c>
      <c r="CO36" t="str">
        <v>1.000000</v>
      </c>
      <c r="CP36" t="str">
        <v>2.402765</v>
      </c>
      <c r="CQ36" t="str">
        <v>-0.000034</v>
      </c>
      <c r="CR36" t="str">
        <v>1.000000</v>
      </c>
      <c r="CS36" t="str">
        <v>0.600816</v>
      </c>
      <c r="CT36" t="str">
        <v>0.600971</v>
      </c>
      <c r="CU36" t="str">
        <v>0.107301</v>
      </c>
      <c r="CV36" t="str">
        <v>0.000000</v>
      </c>
      <c r="CW36" t="str">
        <v>PSF-00438_20251204104710_fa5</v>
      </c>
      <c r="CX36" t="str">
        <v>PFA-00474</v>
      </c>
      <c r="CY36" t="str">
        <v>PSA-00486</v>
      </c>
      <c r="CZ36" t="str">
        <v>PSF-00438</v>
      </c>
      <c r="DA36" t="str">
        <v>RHS-00603</v>
      </c>
      <c r="DB36" t="str">
        <v>3.0.0</v>
      </c>
      <c r="DC36" t="str">
        <v>2025-10-05T12:52:23.367Z</v>
      </c>
    </row>
    <row r="37">
      <c r="A37" t="str">
        <v>9</v>
      </c>
      <c r="B37" t="str">
        <v>10:48:02</v>
      </c>
      <c r="C37" t="str">
        <v>2025-12-04</v>
      </c>
      <c r="D37" t="str">
        <v>g34p_dark</v>
      </c>
      <c r="E37" t="str">
        <v>mrk</v>
      </c>
      <c r="F37" t="str">
        <v/>
      </c>
      <c r="G37" t="str">
        <v/>
      </c>
      <c r="H37" t="str">
        <v>916_Tri_green_blue</v>
      </c>
      <c r="I37" t="str">
        <v/>
      </c>
      <c r="J37" t="str">
        <f>1/((1/L37)-(1/K37))</f>
        <v>-0.009946</v>
      </c>
      <c r="K37" t="str">
        <f>BH37+(BI37*AN37)+(BJ37*AN37*POWER(V37,2))+(BK37*AN37*V37)+(BL37*POWER(AN37,2))</f>
        <v>2.922449</v>
      </c>
      <c r="L37" t="str">
        <f>((M37/1000)*(1000-((T37+S37)/2)))/(T37-S37)</f>
        <v>-0.009980</v>
      </c>
      <c r="M37" t="str">
        <f>(AN37*(S37-R37))/(100*U37*(1000-S37))*1000</f>
        <v>-0.125166</v>
      </c>
      <c r="N37" t="str">
        <v>0.719648</v>
      </c>
      <c r="O37" t="str">
        <v>0.722842</v>
      </c>
      <c r="P37" t="str">
        <f>0.61365*EXP((17.502*AL37)/(240.97+AL37))</f>
        <v>1.848357</v>
      </c>
      <c r="Q37" t="str">
        <f>P37-N37</f>
        <v>1.128709</v>
      </c>
      <c r="R37" t="str">
        <v>7.918559</v>
      </c>
      <c r="S37" t="str">
        <v>7.883570</v>
      </c>
      <c r="T37" t="str">
        <f>(P37/AM37)*1000</f>
        <v>20.248314</v>
      </c>
      <c r="U37" t="str">
        <f>V37*BG37</f>
        <v>0.441786</v>
      </c>
      <c r="V37" t="str">
        <v>7.500000</v>
      </c>
      <c r="W37" t="str">
        <v>PSF-00438_20251204104802_238</v>
      </c>
      <c r="X37" t="str">
        <v>142.186401</v>
      </c>
      <c r="Y37" t="str">
        <v>325.266113</v>
      </c>
      <c r="Z37" t="str">
        <v>0.562861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0.160546</v>
      </c>
      <c r="AG37" t="str">
        <v>1.000000</v>
      </c>
      <c r="AH37" t="str">
        <v>33.88</v>
      </c>
      <c r="AI37" t="str">
        <v>34.03</v>
      </c>
      <c r="AJ37" t="str">
        <v>18.40</v>
      </c>
      <c r="AK37" t="str">
        <v>16.20</v>
      </c>
      <c r="AL37" t="str">
        <f>(AK37-AJ37)*(AJ37*0+0)+AK37</f>
        <v>16.20</v>
      </c>
      <c r="AM37" t="str">
        <v>91.28</v>
      </c>
      <c r="AN37" t="str">
        <v>156.8</v>
      </c>
      <c r="AO37" t="str">
        <v>158.6</v>
      </c>
      <c r="AP37" t="str">
        <v>-1.2</v>
      </c>
      <c r="AQ37" t="str">
        <v>1</v>
      </c>
      <c r="AR37" t="str">
        <v>4.106</v>
      </c>
      <c r="AS37" t="str">
        <v>10:40:22</v>
      </c>
      <c r="AT37" t="str">
        <v>2025-12-04</v>
      </c>
      <c r="AU37" t="str">
        <v>-0.23</v>
      </c>
      <c r="AV37" t="str">
        <v>1</v>
      </c>
      <c r="AW37" t="str">
        <v>-0.002</v>
      </c>
      <c r="AX37" t="str">
        <v>-9999.000</v>
      </c>
      <c r="AY37" t="str">
        <v>-9999.000</v>
      </c>
      <c r="AZ37" t="str">
        <v>0.152</v>
      </c>
      <c r="BA37" t="str">
        <v>-9999.000</v>
      </c>
      <c r="BB37" t="str">
        <v>-9999.000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6000</v>
      </c>
      <c r="BQ37" t="str">
        <v>5</v>
      </c>
      <c r="BR37" t="str">
        <v>5.000000</v>
      </c>
      <c r="BS37" t="str">
        <v>2.000000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2.446948</v>
      </c>
      <c r="CD37" t="str">
        <v>2.461116</v>
      </c>
      <c r="CE37" t="str">
        <v>1.656275</v>
      </c>
      <c r="CF37" t="str">
        <v>0.943018</v>
      </c>
      <c r="CG37" t="str">
        <v>0.355288</v>
      </c>
      <c r="CH37" t="str">
        <v>-0.022448</v>
      </c>
      <c r="CI37" t="str">
        <v>0.364449</v>
      </c>
      <c r="CJ37" t="str">
        <v>0.107942</v>
      </c>
      <c r="CK37" t="str">
        <v>142.186401</v>
      </c>
      <c r="CL37" t="str">
        <v>0.000234</v>
      </c>
      <c r="CM37" t="str">
        <v>2.388960</v>
      </c>
      <c r="CN37" t="str">
        <v>-0.000025</v>
      </c>
      <c r="CO37" t="str">
        <v>1.000000</v>
      </c>
      <c r="CP37" t="str">
        <v>2.402765</v>
      </c>
      <c r="CQ37" t="str">
        <v>-0.000034</v>
      </c>
      <c r="CR37" t="str">
        <v>1.000000</v>
      </c>
      <c r="CS37" t="str">
        <v>0.600816</v>
      </c>
      <c r="CT37" t="str">
        <v>0.600971</v>
      </c>
      <c r="CU37" t="str">
        <v>0.107301</v>
      </c>
      <c r="CV37" t="str">
        <v>0.000000</v>
      </c>
      <c r="CW37" t="str">
        <v>PSF-00438_20251204104802_238</v>
      </c>
      <c r="CX37" t="str">
        <v>PFA-00474</v>
      </c>
      <c r="CY37" t="str">
        <v>PSA-00486</v>
      </c>
      <c r="CZ37" t="str">
        <v>PSF-00438</v>
      </c>
      <c r="DA37" t="str">
        <v>RHS-00603</v>
      </c>
      <c r="DB37" t="str">
        <v>3.0.0</v>
      </c>
      <c r="DC37" t="str">
        <v>2025-10-05T12:52:23.367Z</v>
      </c>
    </row>
    <row r="38">
      <c r="A38" t="str">
        <v>10</v>
      </c>
      <c r="B38" t="str">
        <v>10:48:28</v>
      </c>
      <c r="C38" t="str">
        <v>2025-12-04</v>
      </c>
      <c r="D38" t="str">
        <v>g34p_dark</v>
      </c>
      <c r="E38" t="str">
        <v>mrk</v>
      </c>
      <c r="F38" t="str">
        <v/>
      </c>
      <c r="G38" t="str">
        <v/>
      </c>
      <c r="H38" t="str">
        <v>4444 (2988)_Tri_red_blue</v>
      </c>
      <c r="I38" t="str">
        <v/>
      </c>
      <c r="J38" t="str">
        <f>1/((1/L38)-(1/K38))</f>
        <v>-0.007981</v>
      </c>
      <c r="K38" t="str">
        <f>BH38+(BI38*AN38)+(BJ38*AN38*POWER(V38,2))+(BK38*AN38*V38)+(BL38*POWER(AN38,2))</f>
        <v>2.921180</v>
      </c>
      <c r="L38" t="str">
        <f>((M38/1000)*(1000-((T38+S38)/2)))/(T38-S38)</f>
        <v>-0.008003</v>
      </c>
      <c r="M38" t="str">
        <f>(AN38*(S38-R38))/(100*U38*(1000-S38))*1000</f>
        <v>-0.100337</v>
      </c>
      <c r="N38" t="str">
        <v>0.715934</v>
      </c>
      <c r="O38" t="str">
        <v>0.718497</v>
      </c>
      <c r="P38" t="str">
        <f>0.61365*EXP((17.502*AL38)/(240.97+AL38))</f>
        <v>1.844286</v>
      </c>
      <c r="Q38" t="str">
        <f>P38-N38</f>
        <v>1.128352</v>
      </c>
      <c r="R38" t="str">
        <v>7.871113</v>
      </c>
      <c r="S38" t="str">
        <v>7.843035</v>
      </c>
      <c r="T38" t="str">
        <f>(P38/AM38)*1000</f>
        <v>20.204102</v>
      </c>
      <c r="U38" t="str">
        <f>V38*BG38</f>
        <v>0.441786</v>
      </c>
      <c r="V38" t="str">
        <v>7.500000</v>
      </c>
      <c r="W38" t="str">
        <v>PSF-00438_20251204104828_f6d</v>
      </c>
      <c r="X38" t="str">
        <v>237.491730</v>
      </c>
      <c r="Y38" t="str">
        <v>427.519806</v>
      </c>
      <c r="Z38" t="str">
        <v>0.444490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0.115120</v>
      </c>
      <c r="AG38" t="str">
        <v>1.000000</v>
      </c>
      <c r="AH38" t="str">
        <v>33.85</v>
      </c>
      <c r="AI38" t="str">
        <v>33.97</v>
      </c>
      <c r="AJ38" t="str">
        <v>18.33</v>
      </c>
      <c r="AK38" t="str">
        <v>16.17</v>
      </c>
      <c r="AL38" t="str">
        <f>(AK38-AJ38)*(AJ38*0+0)+AK38</f>
        <v>16.17</v>
      </c>
      <c r="AM38" t="str">
        <v>91.28</v>
      </c>
      <c r="AN38" t="str">
        <v>156.6</v>
      </c>
      <c r="AO38" t="str">
        <v>158.5</v>
      </c>
      <c r="AP38" t="str">
        <v>-1.2</v>
      </c>
      <c r="AQ38" t="str">
        <v>1</v>
      </c>
      <c r="AR38" t="str">
        <v>4.106</v>
      </c>
      <c r="AS38" t="str">
        <v>10:40:22</v>
      </c>
      <c r="AT38" t="str">
        <v>2025-12-04</v>
      </c>
      <c r="AU38" t="str">
        <v>-0.23</v>
      </c>
      <c r="AV38" t="str">
        <v>1</v>
      </c>
      <c r="AW38" t="str">
        <v>-0.001</v>
      </c>
      <c r="AX38" t="str">
        <v>-0.001</v>
      </c>
      <c r="AY38" t="str">
        <v>-9999.000</v>
      </c>
      <c r="AZ38" t="str">
        <v>-0.547</v>
      </c>
      <c r="BA38" t="str">
        <v>-1.281</v>
      </c>
      <c r="BB38" t="str">
        <v>-9999.000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6000</v>
      </c>
      <c r="BQ38" t="str">
        <v>5</v>
      </c>
      <c r="BR38" t="str">
        <v>5.000000</v>
      </c>
      <c r="BS38" t="str">
        <v>2.000000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2.446884</v>
      </c>
      <c r="CD38" t="str">
        <v>2.461094</v>
      </c>
      <c r="CE38" t="str">
        <v>1.654947</v>
      </c>
      <c r="CF38" t="str">
        <v>0.942707</v>
      </c>
      <c r="CG38" t="str">
        <v>0.356305</v>
      </c>
      <c r="CH38" t="str">
        <v>-0.022045</v>
      </c>
      <c r="CI38" t="str">
        <v>0.365985</v>
      </c>
      <c r="CJ38" t="str">
        <v>0.107883</v>
      </c>
      <c r="CK38" t="str">
        <v>237.429138</v>
      </c>
      <c r="CL38" t="str">
        <v>0.000236</v>
      </c>
      <c r="CM38" t="str">
        <v>2.388960</v>
      </c>
      <c r="CN38" t="str">
        <v>-0.000025</v>
      </c>
      <c r="CO38" t="str">
        <v>1.000000</v>
      </c>
      <c r="CP38" t="str">
        <v>2.402765</v>
      </c>
      <c r="CQ38" t="str">
        <v>-0.000034</v>
      </c>
      <c r="CR38" t="str">
        <v>1.000000</v>
      </c>
      <c r="CS38" t="str">
        <v>0.600816</v>
      </c>
      <c r="CT38" t="str">
        <v>0.600971</v>
      </c>
      <c r="CU38" t="str">
        <v>0.107301</v>
      </c>
      <c r="CV38" t="str">
        <v>0.000000</v>
      </c>
      <c r="CW38" t="str">
        <v>PSF-00438_20251204104828_f6d</v>
      </c>
      <c r="CX38" t="str">
        <v>PFA-00474</v>
      </c>
      <c r="CY38" t="str">
        <v>PSA-00486</v>
      </c>
      <c r="CZ38" t="str">
        <v>PSF-00438</v>
      </c>
      <c r="DA38" t="str">
        <v>RHS-00603</v>
      </c>
      <c r="DB38" t="str">
        <v>3.0.0</v>
      </c>
      <c r="DC38" t="str">
        <v>2025-10-05T12:52:23.367Z</v>
      </c>
    </row>
    <row r="39">
      <c r="A39" t="str">
        <v>11</v>
      </c>
      <c r="B39" t="str">
        <v>10:49:23</v>
      </c>
      <c r="C39" t="str">
        <v>2025-12-04</v>
      </c>
      <c r="D39" t="str">
        <v>g34p_dark</v>
      </c>
      <c r="E39" t="str">
        <v>mrk</v>
      </c>
      <c r="F39" t="str">
        <v>Flag</v>
      </c>
      <c r="G39" t="str">
        <v/>
      </c>
      <c r="H39" t="str">
        <v>3427_Tri_green</v>
      </c>
      <c r="I39" t="str">
        <v/>
      </c>
      <c r="J39" t="str">
        <f>1/((1/L39)-(1/K39))</f>
        <v>0.044636</v>
      </c>
      <c r="K39" t="str">
        <f>BH39+(BI39*AN39)+(BJ39*AN39*POWER(V39,2))+(BK39*AN39*V39)+(BL39*POWER(AN39,2))</f>
        <v>2.921182</v>
      </c>
      <c r="L39" t="str">
        <f>((M39/1000)*(1000-((T39+S39)/2)))/(T39-S39)</f>
        <v>0.043964</v>
      </c>
      <c r="M39" t="str">
        <f>(AN39*(S39-R39))/(100*U39*(1000-S39))*1000</f>
        <v>0.589507</v>
      </c>
      <c r="N39" t="str">
        <v>0.734148</v>
      </c>
      <c r="O39" t="str">
        <v>0.719093</v>
      </c>
      <c r="P39" t="str">
        <f>0.61365*EXP((17.502*AL39)/(240.97+AL39))</f>
        <v>1.940145</v>
      </c>
      <c r="Q39" t="str">
        <f>P39-N39</f>
        <v>1.205997</v>
      </c>
      <c r="R39" t="str">
        <v>7.878123</v>
      </c>
      <c r="S39" t="str">
        <v>8.043053</v>
      </c>
      <c r="T39" t="str">
        <f>(P39/AM39)*1000</f>
        <v>21.255516</v>
      </c>
      <c r="U39" t="str">
        <f>V39*BG39</f>
        <v>0.441786</v>
      </c>
      <c r="V39" t="str">
        <v>7.500000</v>
      </c>
      <c r="W39" t="str">
        <v>PSF-00438_20251204104923_6e7</v>
      </c>
      <c r="X39" t="str">
        <v>245.717880</v>
      </c>
      <c r="Y39" t="str">
        <v>278.980133</v>
      </c>
      <c r="Z39" t="str">
        <v>0.119228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0.086697</v>
      </c>
      <c r="AG39" t="str">
        <v>1.000000</v>
      </c>
      <c r="AH39" t="str">
        <v>35.01</v>
      </c>
      <c r="AI39" t="str">
        <v>34.29</v>
      </c>
      <c r="AJ39" t="str">
        <v>18.20</v>
      </c>
      <c r="AK39" t="str">
        <v>16.96</v>
      </c>
      <c r="AL39" t="str">
        <f>(AK39-AJ39)*(AJ39*0+0)+AK39</f>
        <v>16.96</v>
      </c>
      <c r="AM39" t="str">
        <v>91.28</v>
      </c>
      <c r="AN39" t="str">
        <v>156.6</v>
      </c>
      <c r="AO39" t="str">
        <v>132.3</v>
      </c>
      <c r="AP39" t="str">
        <v>15.5</v>
      </c>
      <c r="AQ39" t="str">
        <v>2</v>
      </c>
      <c r="AR39" t="str">
        <v>4.104</v>
      </c>
      <c r="AS39" t="str">
        <v>10:40:22</v>
      </c>
      <c r="AT39" t="str">
        <v>2025-12-04</v>
      </c>
      <c r="AU39" t="str">
        <v>-0.23</v>
      </c>
      <c r="AV39" t="str">
        <v>1</v>
      </c>
      <c r="AW39" t="str">
        <v>-0.004</v>
      </c>
      <c r="AX39" t="str">
        <v>-0.010</v>
      </c>
      <c r="AY39" t="str">
        <v>-0.071</v>
      </c>
      <c r="AZ39" t="str">
        <v>0.285</v>
      </c>
      <c r="BA39" t="str">
        <v>-0.071</v>
      </c>
      <c r="BB39" t="str">
        <v>106.823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6000</v>
      </c>
      <c r="BQ39" t="str">
        <v>5</v>
      </c>
      <c r="BR39" t="str">
        <v>5.000000</v>
      </c>
      <c r="BS39" t="str">
        <v>2.000000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2.447367</v>
      </c>
      <c r="CD39" t="str">
        <v>2.462801</v>
      </c>
      <c r="CE39" t="str">
        <v>1.654949</v>
      </c>
      <c r="CF39" t="str">
        <v>0.877297</v>
      </c>
      <c r="CG39" t="str">
        <v>0.358240</v>
      </c>
      <c r="CH39" t="str">
        <v>-0.012196</v>
      </c>
      <c r="CI39" t="str">
        <v>0.369433</v>
      </c>
      <c r="CJ39" t="str">
        <v>0.108936</v>
      </c>
      <c r="CK39" t="str">
        <v>245.717880</v>
      </c>
      <c r="CL39" t="str">
        <v>0.000234</v>
      </c>
      <c r="CM39" t="str">
        <v>2.388960</v>
      </c>
      <c r="CN39" t="str">
        <v>-0.000025</v>
      </c>
      <c r="CO39" t="str">
        <v>1.000000</v>
      </c>
      <c r="CP39" t="str">
        <v>2.402765</v>
      </c>
      <c r="CQ39" t="str">
        <v>-0.000034</v>
      </c>
      <c r="CR39" t="str">
        <v>1.000000</v>
      </c>
      <c r="CS39" t="str">
        <v>0.600816</v>
      </c>
      <c r="CT39" t="str">
        <v>0.600971</v>
      </c>
      <c r="CU39" t="str">
        <v>0.107301</v>
      </c>
      <c r="CV39" t="str">
        <v>0.000000</v>
      </c>
      <c r="CW39" t="str">
        <v>PSF-00438_20251204104923_6e7</v>
      </c>
      <c r="CX39" t="str">
        <v>PFA-00474</v>
      </c>
      <c r="CY39" t="str">
        <v>PSA-00486</v>
      </c>
      <c r="CZ39" t="str">
        <v>PSF-00438</v>
      </c>
      <c r="DA39" t="str">
        <v>RHS-00603</v>
      </c>
      <c r="DB39" t="str">
        <v>3.0.0</v>
      </c>
      <c r="DC39" t="str">
        <v>2025-10-05T12:52:23.367Z</v>
      </c>
    </row>
    <row r="40">
      <c r="A40" t="str">
        <v>12</v>
      </c>
      <c r="B40" t="str">
        <v>10:51:16</v>
      </c>
      <c r="C40" t="str">
        <v>2025-12-04</v>
      </c>
      <c r="D40" t="str">
        <v>g34p_dark</v>
      </c>
      <c r="E40" t="str">
        <v>mrk</v>
      </c>
      <c r="F40" t="str">
        <v/>
      </c>
      <c r="G40" t="str">
        <v/>
      </c>
      <c r="H40" t="str">
        <v>3526_Tri_green</v>
      </c>
      <c r="I40" t="str">
        <v/>
      </c>
      <c r="J40" t="str">
        <f>1/((1/L40)-(1/K40))</f>
        <v>0.014927</v>
      </c>
      <c r="K40" t="str">
        <f>BH40+(BI40*AN40)+(BJ40*AN40*POWER(V40,2))+(BK40*AN40*V40)+(BL40*POWER(AN40,2))</f>
        <v>2.922288</v>
      </c>
      <c r="L40" t="str">
        <f>((M40/1000)*(1000-((T40+S40)/2)))/(T40-S40)</f>
        <v>0.014851</v>
      </c>
      <c r="M40" t="str">
        <f>(AN40*(S40-R40))/(100*U40*(1000-S40))*1000</f>
        <v>0.175124</v>
      </c>
      <c r="N40" t="str">
        <v>0.727861</v>
      </c>
      <c r="O40" t="str">
        <v>0.723392</v>
      </c>
      <c r="P40" t="str">
        <f>0.61365*EXP((17.502*AL40)/(240.97+AL40))</f>
        <v>1.789349</v>
      </c>
      <c r="Q40" t="str">
        <f>P40-N40</f>
        <v>1.061488</v>
      </c>
      <c r="R40" t="str">
        <v>7.925263</v>
      </c>
      <c r="S40" t="str">
        <v>7.974219</v>
      </c>
      <c r="T40" t="str">
        <f>(P40/AM40)*1000</f>
        <v>19.603561</v>
      </c>
      <c r="U40" t="str">
        <f>V40*BG40</f>
        <v>0.441786</v>
      </c>
      <c r="V40" t="str">
        <v>7.500000</v>
      </c>
      <c r="W40" t="str">
        <v>PSF-00438_20251204105116_bd3</v>
      </c>
      <c r="X40" t="str">
        <v>203.585739</v>
      </c>
      <c r="Y40" t="str">
        <v>316.433441</v>
      </c>
      <c r="Z40" t="str">
        <v>0.356624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0.774824</v>
      </c>
      <c r="AG40" t="str">
        <v>1.000000</v>
      </c>
      <c r="AH40" t="str">
        <v>35.25</v>
      </c>
      <c r="AI40" t="str">
        <v>35.04</v>
      </c>
      <c r="AJ40" t="str">
        <v>17.95</v>
      </c>
      <c r="AK40" t="str">
        <v>15.69</v>
      </c>
      <c r="AL40" t="str">
        <f>(AK40-AJ40)*(AJ40*0+0)+AK40</f>
        <v>15.69</v>
      </c>
      <c r="AM40" t="str">
        <v>91.28</v>
      </c>
      <c r="AN40" t="str">
        <v>156.8</v>
      </c>
      <c r="AO40" t="str">
        <v>158.7</v>
      </c>
      <c r="AP40" t="str">
        <v>-1.2</v>
      </c>
      <c r="AQ40" t="str">
        <v>5</v>
      </c>
      <c r="AR40" t="str">
        <v>4.102</v>
      </c>
      <c r="AS40" t="str">
        <v>10:50:53</v>
      </c>
      <c r="AT40" t="str">
        <v>2025-12-04</v>
      </c>
      <c r="AU40" t="str">
        <v>0.04</v>
      </c>
      <c r="AV40" t="str">
        <v>1</v>
      </c>
      <c r="AW40" t="str">
        <v>-0.003</v>
      </c>
      <c r="AX40" t="str">
        <v>-0.041</v>
      </c>
      <c r="AY40" t="str">
        <v>-0.123</v>
      </c>
      <c r="AZ40" t="str">
        <v>0.871</v>
      </c>
      <c r="BA40" t="str">
        <v>10.748</v>
      </c>
      <c r="BB40" t="str">
        <v>195.124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6000</v>
      </c>
      <c r="BQ40" t="str">
        <v>5</v>
      </c>
      <c r="BR40" t="str">
        <v>5.000000</v>
      </c>
      <c r="BS40" t="str">
        <v>2.000000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2.448493</v>
      </c>
      <c r="CD40" t="str">
        <v>2.462814</v>
      </c>
      <c r="CE40" t="str">
        <v>1.656107</v>
      </c>
      <c r="CF40" t="str">
        <v>0.943187</v>
      </c>
      <c r="CG40" t="str">
        <v>0.361836</v>
      </c>
      <c r="CH40" t="str">
        <v>-0.022880</v>
      </c>
      <c r="CI40" t="str">
        <v>0.376227</v>
      </c>
      <c r="CJ40" t="str">
        <v>0.112187</v>
      </c>
      <c r="CK40" t="str">
        <v>203.585739</v>
      </c>
      <c r="CL40" t="str">
        <v>0.000233</v>
      </c>
      <c r="CM40" t="str">
        <v>2.388960</v>
      </c>
      <c r="CN40" t="str">
        <v>-0.000025</v>
      </c>
      <c r="CO40" t="str">
        <v>1.000000</v>
      </c>
      <c r="CP40" t="str">
        <v>2.402765</v>
      </c>
      <c r="CQ40" t="str">
        <v>-0.000034</v>
      </c>
      <c r="CR40" t="str">
        <v>1.000000</v>
      </c>
      <c r="CS40" t="str">
        <v>0.600816</v>
      </c>
      <c r="CT40" t="str">
        <v>0.600971</v>
      </c>
      <c r="CU40" t="str">
        <v>0.107301</v>
      </c>
      <c r="CV40" t="str">
        <v>0.000000</v>
      </c>
      <c r="CW40" t="str">
        <v>PSF-00438_20251204105116_bd3</v>
      </c>
      <c r="CX40" t="str">
        <v>PFA-00474</v>
      </c>
      <c r="CY40" t="str">
        <v>PSA-00486</v>
      </c>
      <c r="CZ40" t="str">
        <v>PSF-00438</v>
      </c>
      <c r="DA40" t="str">
        <v>RHS-00603</v>
      </c>
      <c r="DB40" t="str">
        <v>3.0.0</v>
      </c>
      <c r="DC40" t="str">
        <v>2025-10-05T12:52:23.367Z</v>
      </c>
    </row>
    <row r="41">
      <c r="A41" t="str">
        <v>13</v>
      </c>
      <c r="B41" t="str">
        <v>10:51:43</v>
      </c>
      <c r="C41" t="str">
        <v>2025-12-04</v>
      </c>
      <c r="D41" t="str">
        <v>g34p_dark</v>
      </c>
      <c r="E41" t="str">
        <v>mrk</v>
      </c>
      <c r="F41" t="str">
        <v/>
      </c>
      <c r="G41" t="str">
        <v/>
      </c>
      <c r="H41" t="str">
        <v>4959_Tri_green</v>
      </c>
      <c r="I41" t="str">
        <v/>
      </c>
      <c r="J41" t="str">
        <f>1/((1/L41)-(1/K41))</f>
        <v>0.017559</v>
      </c>
      <c r="K41" t="str">
        <f>BH41+(BI41*AN41)+(BJ41*AN41*POWER(V41,2))+(BK41*AN41*V41)+(BL41*POWER(AN41,2))</f>
        <v>2.921433</v>
      </c>
      <c r="L41" t="str">
        <f>((M41/1000)*(1000-((T41+S41)/2)))/(T41-S41)</f>
        <v>0.017454</v>
      </c>
      <c r="M41" t="str">
        <f>(AN41*(S41-R41))/(100*U41*(1000-S41))*1000</f>
        <v>0.191425</v>
      </c>
      <c r="N41" t="str">
        <v>0.730993</v>
      </c>
      <c r="O41" t="str">
        <v>0.726106</v>
      </c>
      <c r="P41" t="str">
        <f>0.61365*EXP((17.502*AL41)/(240.97+AL41))</f>
        <v>1.718692</v>
      </c>
      <c r="Q41" t="str">
        <f>P41-N41</f>
        <v>0.987698</v>
      </c>
      <c r="R41" t="str">
        <v>7.954488</v>
      </c>
      <c r="S41" t="str">
        <v>8.008035</v>
      </c>
      <c r="T41" t="str">
        <f>(P41/AM41)*1000</f>
        <v>18.828274</v>
      </c>
      <c r="U41" t="str">
        <f>V41*BG41</f>
        <v>0.441786</v>
      </c>
      <c r="V41" t="str">
        <v>7.500000</v>
      </c>
      <c r="W41" t="str">
        <v>PSF-00438_20251204105143_6fd</v>
      </c>
      <c r="X41" t="str">
        <v>148.156998</v>
      </c>
      <c r="Y41" t="str">
        <v>208.019257</v>
      </c>
      <c r="Z41" t="str">
        <v>0.287773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0.476781</v>
      </c>
      <c r="AG41" t="str">
        <v>1.000000</v>
      </c>
      <c r="AH41" t="str">
        <v>35.53</v>
      </c>
      <c r="AI41" t="str">
        <v>35.29</v>
      </c>
      <c r="AJ41" t="str">
        <v>17.89</v>
      </c>
      <c r="AK41" t="str">
        <v>15.07</v>
      </c>
      <c r="AL41" t="str">
        <f>(AK41-AJ41)*(AJ41*0+0)+AK41</f>
        <v>15.07</v>
      </c>
      <c r="AM41" t="str">
        <v>91.28</v>
      </c>
      <c r="AN41" t="str">
        <v>156.7</v>
      </c>
      <c r="AO41" t="str">
        <v>158.7</v>
      </c>
      <c r="AP41" t="str">
        <v>-1.3</v>
      </c>
      <c r="AQ41" t="str">
        <v>4</v>
      </c>
      <c r="AR41" t="str">
        <v>4.101</v>
      </c>
      <c r="AS41" t="str">
        <v>10:50:53</v>
      </c>
      <c r="AT41" t="str">
        <v>2025-12-04</v>
      </c>
      <c r="AU41" t="str">
        <v>0.04</v>
      </c>
      <c r="AV41" t="str">
        <v>1</v>
      </c>
      <c r="AW41" t="str">
        <v>-0.011</v>
      </c>
      <c r="AX41" t="str">
        <v>-0.087</v>
      </c>
      <c r="AY41" t="str">
        <v>-0.097</v>
      </c>
      <c r="AZ41" t="str">
        <v>-0.238</v>
      </c>
      <c r="BA41" t="str">
        <v>82.019</v>
      </c>
      <c r="BB41" t="str">
        <v>106.408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6000</v>
      </c>
      <c r="BQ41" t="str">
        <v>5</v>
      </c>
      <c r="BR41" t="str">
        <v>5.000000</v>
      </c>
      <c r="BS41" t="str">
        <v>2.000000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2.448869</v>
      </c>
      <c r="CD41" t="str">
        <v>2.463223</v>
      </c>
      <c r="CE41" t="str">
        <v>1.655212</v>
      </c>
      <c r="CF41" t="str">
        <v>0.943106</v>
      </c>
      <c r="CG41" t="str">
        <v>0.362640</v>
      </c>
      <c r="CH41" t="str">
        <v>-0.028824</v>
      </c>
      <c r="CI41" t="str">
        <v>0.377890</v>
      </c>
      <c r="CJ41" t="str">
        <v>0.111027</v>
      </c>
      <c r="CK41" t="str">
        <v>148.156998</v>
      </c>
      <c r="CL41" t="str">
        <v>0.000235</v>
      </c>
      <c r="CM41" t="str">
        <v>2.388960</v>
      </c>
      <c r="CN41" t="str">
        <v>-0.000025</v>
      </c>
      <c r="CO41" t="str">
        <v>1.000000</v>
      </c>
      <c r="CP41" t="str">
        <v>2.402765</v>
      </c>
      <c r="CQ41" t="str">
        <v>-0.000034</v>
      </c>
      <c r="CR41" t="str">
        <v>1.000000</v>
      </c>
      <c r="CS41" t="str">
        <v>0.600816</v>
      </c>
      <c r="CT41" t="str">
        <v>0.600971</v>
      </c>
      <c r="CU41" t="str">
        <v>0.107301</v>
      </c>
      <c r="CV41" t="str">
        <v>0.000000</v>
      </c>
      <c r="CW41" t="str">
        <v>PSF-00438_20251204105143_6fd</v>
      </c>
      <c r="CX41" t="str">
        <v>PFA-00474</v>
      </c>
      <c r="CY41" t="str">
        <v>PSA-00486</v>
      </c>
      <c r="CZ41" t="str">
        <v>PSF-00438</v>
      </c>
      <c r="DA41" t="str">
        <v>RHS-00603</v>
      </c>
      <c r="DB41" t="str">
        <v>3.0.0</v>
      </c>
      <c r="DC41" t="str">
        <v>2025-10-05T12:52:23.367Z</v>
      </c>
    </row>
    <row r="42">
      <c r="A42" t="str">
        <v>14</v>
      </c>
      <c r="B42" t="str">
        <v>10:52:30</v>
      </c>
      <c r="C42" t="str">
        <v>2025-12-04</v>
      </c>
      <c r="D42" t="str">
        <v>g34p_dark</v>
      </c>
      <c r="E42" t="str">
        <v>mrk</v>
      </c>
      <c r="F42" t="str">
        <v/>
      </c>
      <c r="G42" t="str">
        <v/>
      </c>
      <c r="H42" t="str">
        <v>1686_Tri_green</v>
      </c>
      <c r="I42" t="str">
        <v/>
      </c>
      <c r="J42" t="str">
        <f>1/((1/L42)-(1/K42))</f>
        <v>0.036665</v>
      </c>
      <c r="K42" t="str">
        <f>BH42+(BI42*AN42)+(BJ42*AN42*POWER(V42,2))+(BK42*AN42*V42)+(BL42*POWER(AN42,2))</f>
        <v>2.921949</v>
      </c>
      <c r="L42" t="str">
        <f>((M42/1000)*(1000-((T42+S42)/2)))/(T42-S42)</f>
        <v>0.036211</v>
      </c>
      <c r="M42" t="str">
        <f>(AN42*(S42-R42))/(100*U42*(1000-S42))*1000</f>
        <v>0.442323</v>
      </c>
      <c r="N42" t="str">
        <v>0.733132</v>
      </c>
      <c r="O42" t="str">
        <v>0.721843</v>
      </c>
      <c r="P42" t="str">
        <f>0.61365*EXP((17.502*AL42)/(240.97+AL42))</f>
        <v>1.832501</v>
      </c>
      <c r="Q42" t="str">
        <f>P42-N42</f>
        <v>1.099369</v>
      </c>
      <c r="R42" t="str">
        <v>7.907765</v>
      </c>
      <c r="S42" t="str">
        <v>8.031443</v>
      </c>
      <c r="T42" t="str">
        <f>(P42/AM42)*1000</f>
        <v>20.074999</v>
      </c>
      <c r="U42" t="str">
        <f>V42*BG42</f>
        <v>0.441786</v>
      </c>
      <c r="V42" t="str">
        <v>7.500000</v>
      </c>
      <c r="W42" t="str">
        <v>PSF-00438_20251204105230_b3a</v>
      </c>
      <c r="X42" t="str">
        <v>223.465210</v>
      </c>
      <c r="Y42" t="str">
        <v>320.299744</v>
      </c>
      <c r="Z42" t="str">
        <v>0.302325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0.466083</v>
      </c>
      <c r="AG42" t="str">
        <v>1.000000</v>
      </c>
      <c r="AH42" t="str">
        <v>35.85</v>
      </c>
      <c r="AI42" t="str">
        <v>35.30</v>
      </c>
      <c r="AJ42" t="str">
        <v>17.80</v>
      </c>
      <c r="AK42" t="str">
        <v>16.07</v>
      </c>
      <c r="AL42" t="str">
        <f>(AK42-AJ42)*(AJ42*0+0)+AK42</f>
        <v>16.07</v>
      </c>
      <c r="AM42" t="str">
        <v>91.28</v>
      </c>
      <c r="AN42" t="str">
        <v>156.7</v>
      </c>
      <c r="AO42" t="str">
        <v>153.1</v>
      </c>
      <c r="AP42" t="str">
        <v>2.3</v>
      </c>
      <c r="AQ42" t="str">
        <v>4</v>
      </c>
      <c r="AR42" t="str">
        <v>4.100</v>
      </c>
      <c r="AS42" t="str">
        <v>10:50:53</v>
      </c>
      <c r="AT42" t="str">
        <v>2025-12-04</v>
      </c>
      <c r="AU42" t="str">
        <v>0.04</v>
      </c>
      <c r="AV42" t="str">
        <v>1</v>
      </c>
      <c r="AW42" t="str">
        <v>-0.001</v>
      </c>
      <c r="AX42" t="str">
        <v>-9999.000</v>
      </c>
      <c r="AY42" t="str">
        <v>-9999.000</v>
      </c>
      <c r="AZ42" t="str">
        <v>0.187</v>
      </c>
      <c r="BA42" t="str">
        <v>-9999.000</v>
      </c>
      <c r="BB42" t="str">
        <v>-9999.000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6000</v>
      </c>
      <c r="BQ42" t="str">
        <v>5</v>
      </c>
      <c r="BR42" t="str">
        <v>5.000000</v>
      </c>
      <c r="BS42" t="str">
        <v>2.000000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2.448901</v>
      </c>
      <c r="CD42" t="str">
        <v>2.463712</v>
      </c>
      <c r="CE42" t="str">
        <v>1.655751</v>
      </c>
      <c r="CF42" t="str">
        <v>0.928809</v>
      </c>
      <c r="CG42" t="str">
        <v>0.364068</v>
      </c>
      <c r="CH42" t="str">
        <v>-0.017336</v>
      </c>
      <c r="CI42" t="str">
        <v>0.380688</v>
      </c>
      <c r="CJ42" t="str">
        <v>0.110768</v>
      </c>
      <c r="CK42" t="str">
        <v>223.465210</v>
      </c>
      <c r="CL42" t="str">
        <v>0.000235</v>
      </c>
      <c r="CM42" t="str">
        <v>2.388960</v>
      </c>
      <c r="CN42" t="str">
        <v>-0.000025</v>
      </c>
      <c r="CO42" t="str">
        <v>1.000000</v>
      </c>
      <c r="CP42" t="str">
        <v>2.402765</v>
      </c>
      <c r="CQ42" t="str">
        <v>-0.000034</v>
      </c>
      <c r="CR42" t="str">
        <v>1.000000</v>
      </c>
      <c r="CS42" t="str">
        <v>0.600816</v>
      </c>
      <c r="CT42" t="str">
        <v>0.600971</v>
      </c>
      <c r="CU42" t="str">
        <v>0.107301</v>
      </c>
      <c r="CV42" t="str">
        <v>0.000000</v>
      </c>
      <c r="CW42" t="str">
        <v>PSF-00438_20251204105230_b3a</v>
      </c>
      <c r="CX42" t="str">
        <v>PFA-00474</v>
      </c>
      <c r="CY42" t="str">
        <v>PSA-00486</v>
      </c>
      <c r="CZ42" t="str">
        <v>PSF-00438</v>
      </c>
      <c r="DA42" t="str">
        <v>RHS-00603</v>
      </c>
      <c r="DB42" t="str">
        <v>3.0.0</v>
      </c>
      <c r="DC42" t="str">
        <v>2025-10-05T12:52:23.367Z</v>
      </c>
    </row>
    <row r="43">
      <c r="A43" t="str">
        <v>15</v>
      </c>
      <c r="B43" t="str">
        <v>10:52:50</v>
      </c>
      <c r="C43" t="str">
        <v>2025-12-04</v>
      </c>
      <c r="D43" t="str">
        <v>g34p_dark</v>
      </c>
      <c r="E43" t="str">
        <v>mrk</v>
      </c>
      <c r="F43" t="str">
        <v/>
      </c>
      <c r="G43" t="str">
        <v/>
      </c>
      <c r="H43" t="str">
        <v>1686_Tri_green</v>
      </c>
      <c r="I43" t="str">
        <v/>
      </c>
      <c r="J43" t="str">
        <f>1/((1/L43)-(1/K43))</f>
        <v>0.011551</v>
      </c>
      <c r="K43" t="str">
        <f>BH43+(BI43*AN43)+(BJ43*AN43*POWER(V43,2))+(BK43*AN43*V43)+(BL43*POWER(AN43,2))</f>
        <v>2.922825</v>
      </c>
      <c r="L43" t="str">
        <f>((M43/1000)*(1000-((T43+S43)/2)))/(T43-S43)</f>
        <v>0.011506</v>
      </c>
      <c r="M43" t="str">
        <f>(AN43*(S43-R43))/(100*U43*(1000-S43))*1000</f>
        <v>0.137103</v>
      </c>
      <c r="N43" t="str">
        <v>0.738937</v>
      </c>
      <c r="O43" t="str">
        <v>0.735440</v>
      </c>
      <c r="P43" t="str">
        <f>0.61365*EXP((17.502*AL43)/(240.97+AL43))</f>
        <v>1.811448</v>
      </c>
      <c r="Q43" t="str">
        <f>P43-N43</f>
        <v>1.072512</v>
      </c>
      <c r="R43" t="str">
        <v>8.056833</v>
      </c>
      <c r="S43" t="str">
        <v>8.095140</v>
      </c>
      <c r="T43" t="str">
        <f>(P43/AM43)*1000</f>
        <v>19.844639</v>
      </c>
      <c r="U43" t="str">
        <f>V43*BG43</f>
        <v>0.441786</v>
      </c>
      <c r="V43" t="str">
        <v>7.500000</v>
      </c>
      <c r="W43" t="str">
        <v>PSF-00438_20251204105250_2de</v>
      </c>
      <c r="X43" t="str">
        <v>341.211304</v>
      </c>
      <c r="Y43" t="str">
        <v>374.053711</v>
      </c>
      <c r="Z43" t="str">
        <v>0.087801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0.130585</v>
      </c>
      <c r="AG43" t="str">
        <v>1.000000</v>
      </c>
      <c r="AH43" t="str">
        <v>36.25</v>
      </c>
      <c r="AI43" t="str">
        <v>36.08</v>
      </c>
      <c r="AJ43" t="str">
        <v>17.75</v>
      </c>
      <c r="AK43" t="str">
        <v>15.89</v>
      </c>
      <c r="AL43" t="str">
        <f>(AK43-AJ43)*(AJ43*0+0)+AK43</f>
        <v>15.89</v>
      </c>
      <c r="AM43" t="str">
        <v>91.28</v>
      </c>
      <c r="AN43" t="str">
        <v>156.8</v>
      </c>
      <c r="AO43" t="str">
        <v>158.8</v>
      </c>
      <c r="AP43" t="str">
        <v>-1.2</v>
      </c>
      <c r="AQ43" t="str">
        <v>4</v>
      </c>
      <c r="AR43" t="str">
        <v>4.072</v>
      </c>
      <c r="AS43" t="str">
        <v>10:50:53</v>
      </c>
      <c r="AT43" t="str">
        <v>2025-12-04</v>
      </c>
      <c r="AU43" t="str">
        <v>0.04</v>
      </c>
      <c r="AV43" t="str">
        <v>1</v>
      </c>
      <c r="AW43" t="str">
        <v>-0.001</v>
      </c>
      <c r="AX43" t="str">
        <v>-0.000</v>
      </c>
      <c r="AY43" t="str">
        <v>-9999.000</v>
      </c>
      <c r="AZ43" t="str">
        <v>0.342</v>
      </c>
      <c r="BA43" t="str">
        <v>-0.555</v>
      </c>
      <c r="BB43" t="str">
        <v>-9999.000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6000</v>
      </c>
      <c r="BQ43" t="str">
        <v>5</v>
      </c>
      <c r="BR43" t="str">
        <v>5.000000</v>
      </c>
      <c r="BS43" t="str">
        <v>2.000000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2.450026</v>
      </c>
      <c r="CD43" t="str">
        <v>2.464295</v>
      </c>
      <c r="CE43" t="str">
        <v>1.656670</v>
      </c>
      <c r="CF43" t="str">
        <v>0.943414</v>
      </c>
      <c r="CG43" t="str">
        <v>0.364795</v>
      </c>
      <c r="CH43" t="str">
        <v>-0.018699</v>
      </c>
      <c r="CI43" t="str">
        <v>0.381922</v>
      </c>
      <c r="CJ43" t="str">
        <v>0.110646</v>
      </c>
      <c r="CK43" t="str">
        <v>341.211304</v>
      </c>
      <c r="CL43" t="str">
        <v>0.000231</v>
      </c>
      <c r="CM43" t="str">
        <v>2.388960</v>
      </c>
      <c r="CN43" t="str">
        <v>-0.000025</v>
      </c>
      <c r="CO43" t="str">
        <v>1.000000</v>
      </c>
      <c r="CP43" t="str">
        <v>2.402765</v>
      </c>
      <c r="CQ43" t="str">
        <v>-0.000034</v>
      </c>
      <c r="CR43" t="str">
        <v>1.000000</v>
      </c>
      <c r="CS43" t="str">
        <v>0.600816</v>
      </c>
      <c r="CT43" t="str">
        <v>0.600971</v>
      </c>
      <c r="CU43" t="str">
        <v>0.107301</v>
      </c>
      <c r="CV43" t="str">
        <v>0.000000</v>
      </c>
      <c r="CW43" t="str">
        <v>PSF-00438_20251204105250_2de</v>
      </c>
      <c r="CX43" t="str">
        <v>PFA-00474</v>
      </c>
      <c r="CY43" t="str">
        <v>PSA-00486</v>
      </c>
      <c r="CZ43" t="str">
        <v>PSF-00438</v>
      </c>
      <c r="DA43" t="str">
        <v>RHS-00603</v>
      </c>
      <c r="DB43" t="str">
        <v>3.0.0</v>
      </c>
      <c r="DC43" t="str">
        <v>2025-10-05T12:52:23.367Z</v>
      </c>
    </row>
    <row r="44">
      <c r="A44" t="str">
        <v>16</v>
      </c>
      <c r="B44" t="str">
        <v>10:53:28</v>
      </c>
      <c r="C44" t="str">
        <v>2025-12-04</v>
      </c>
      <c r="D44" t="str">
        <v>g34p_dark</v>
      </c>
      <c r="E44" t="str">
        <v>mrk</v>
      </c>
      <c r="F44" t="str">
        <v/>
      </c>
      <c r="G44" t="str">
        <v/>
      </c>
      <c r="H44" t="str">
        <v>2289_Tri_green</v>
      </c>
      <c r="I44" t="str">
        <v/>
      </c>
      <c r="J44" t="str">
        <f>1/((1/L44)-(1/K44))</f>
        <v>0.017363</v>
      </c>
      <c r="K44" t="str">
        <f>BH44+(BI44*AN44)+(BJ44*AN44*POWER(V44,2))+(BK44*AN44*V44)+(BL44*POWER(AN44,2))</f>
        <v>2.921119</v>
      </c>
      <c r="L44" t="str">
        <f>((M44/1000)*(1000-((T44+S44)/2)))/(T44-S44)</f>
        <v>0.017260</v>
      </c>
      <c r="M44" t="str">
        <f>(AN44*(S44-R44))/(100*U44*(1000-S44))*1000</f>
        <v>0.183150</v>
      </c>
      <c r="N44" t="str">
        <v>0.726415</v>
      </c>
      <c r="O44" t="str">
        <v>0.721737</v>
      </c>
      <c r="P44" t="str">
        <f>0.61365*EXP((17.502*AL44)/(240.97+AL44))</f>
        <v>1.682219</v>
      </c>
      <c r="Q44" t="str">
        <f>P44-N44</f>
        <v>0.955804</v>
      </c>
      <c r="R44" t="str">
        <v>7.906829</v>
      </c>
      <c r="S44" t="str">
        <v>7.958077</v>
      </c>
      <c r="T44" t="str">
        <f>(P44/AM44)*1000</f>
        <v>18.429169</v>
      </c>
      <c r="U44" t="str">
        <f>V44*BG44</f>
        <v>0.441786</v>
      </c>
      <c r="V44" t="str">
        <v>7.500000</v>
      </c>
      <c r="W44" t="str">
        <v>PSF-00438_20251204105328_dff</v>
      </c>
      <c r="X44" t="str">
        <v>137.883789</v>
      </c>
      <c r="Y44" t="str">
        <v>515.737671</v>
      </c>
      <c r="Z44" t="str">
        <v>0.732647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0.917338</v>
      </c>
      <c r="AG44" t="str">
        <v>1.000000</v>
      </c>
      <c r="AH44" t="str">
        <v>35.82</v>
      </c>
      <c r="AI44" t="str">
        <v>35.59</v>
      </c>
      <c r="AJ44" t="str">
        <v>17.67</v>
      </c>
      <c r="AK44" t="str">
        <v>14.73</v>
      </c>
      <c r="AL44" t="str">
        <f>(AK44-AJ44)*(AJ44*0+0)+AK44</f>
        <v>14.73</v>
      </c>
      <c r="AM44" t="str">
        <v>91.28</v>
      </c>
      <c r="AN44" t="str">
        <v>156.6</v>
      </c>
      <c r="AO44" t="str">
        <v>158.8</v>
      </c>
      <c r="AP44" t="str">
        <v>-1.4</v>
      </c>
      <c r="AQ44" t="str">
        <v>3</v>
      </c>
      <c r="AR44" t="str">
        <v>4.099</v>
      </c>
      <c r="AS44" t="str">
        <v>10:50:53</v>
      </c>
      <c r="AT44" t="str">
        <v>2025-12-04</v>
      </c>
      <c r="AU44" t="str">
        <v>0.04</v>
      </c>
      <c r="AV44" t="str">
        <v>1</v>
      </c>
      <c r="AW44" t="str">
        <v>-0.005</v>
      </c>
      <c r="AX44" t="str">
        <v>-0.035</v>
      </c>
      <c r="AY44" t="str">
        <v>-0.100</v>
      </c>
      <c r="AZ44" t="str">
        <v>0.572</v>
      </c>
      <c r="BA44" t="str">
        <v>9.487</v>
      </c>
      <c r="BB44" t="str">
        <v>131.337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6000</v>
      </c>
      <c r="BQ44" t="str">
        <v>5</v>
      </c>
      <c r="BR44" t="str">
        <v>5.000000</v>
      </c>
      <c r="BS44" t="str">
        <v>2.000000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2.449337</v>
      </c>
      <c r="CD44" t="str">
        <v>2.463686</v>
      </c>
      <c r="CE44" t="str">
        <v>1.654882</v>
      </c>
      <c r="CF44" t="str">
        <v>0.943301</v>
      </c>
      <c r="CG44" t="str">
        <v>0.365978</v>
      </c>
      <c r="CH44" t="str">
        <v>-0.029836</v>
      </c>
      <c r="CI44" t="str">
        <v>0.384231</v>
      </c>
      <c r="CJ44" t="str">
        <v>0.110117</v>
      </c>
      <c r="CK44" t="str">
        <v>137.883789</v>
      </c>
      <c r="CL44" t="str">
        <v>0.000233</v>
      </c>
      <c r="CM44" t="str">
        <v>2.388960</v>
      </c>
      <c r="CN44" t="str">
        <v>-0.000025</v>
      </c>
      <c r="CO44" t="str">
        <v>1.000000</v>
      </c>
      <c r="CP44" t="str">
        <v>2.402765</v>
      </c>
      <c r="CQ44" t="str">
        <v>-0.000034</v>
      </c>
      <c r="CR44" t="str">
        <v>1.000000</v>
      </c>
      <c r="CS44" t="str">
        <v>0.600816</v>
      </c>
      <c r="CT44" t="str">
        <v>0.600971</v>
      </c>
      <c r="CU44" t="str">
        <v>0.107301</v>
      </c>
      <c r="CV44" t="str">
        <v>0.000000</v>
      </c>
      <c r="CW44" t="str">
        <v>PSF-00438_20251204105328_dff</v>
      </c>
      <c r="CX44" t="str">
        <v>PFA-00474</v>
      </c>
      <c r="CY44" t="str">
        <v>PSA-00486</v>
      </c>
      <c r="CZ44" t="str">
        <v>PSF-00438</v>
      </c>
      <c r="DA44" t="str">
        <v>RHS-00603</v>
      </c>
      <c r="DB44" t="str">
        <v>3.0.0</v>
      </c>
      <c r="DC44" t="str">
        <v>2025-10-05T12:52:23.367Z</v>
      </c>
    </row>
    <row r="45">
      <c r="A45" t="str">
        <v>17</v>
      </c>
      <c r="B45" t="str">
        <v>10:54:26</v>
      </c>
      <c r="C45" t="str">
        <v>2025-12-04</v>
      </c>
      <c r="D45" t="str">
        <v>g34p_dark</v>
      </c>
      <c r="E45" t="str">
        <v>mrk</v>
      </c>
      <c r="F45" t="str">
        <v/>
      </c>
      <c r="G45" t="str">
        <v/>
      </c>
      <c r="H45" t="str">
        <v>5742_Tri_yellow</v>
      </c>
      <c r="I45" t="str">
        <v/>
      </c>
      <c r="J45" t="str">
        <f>1/((1/L45)-(1/K45))</f>
        <v>0.017247</v>
      </c>
      <c r="K45" t="str">
        <f>BH45+(BI45*AN45)+(BJ45*AN45*POWER(V45,2))+(BK45*AN45*V45)+(BL45*POWER(AN45,2))</f>
        <v>2.922103</v>
      </c>
      <c r="L45" t="str">
        <f>((M45/1000)*(1000-((T45+S45)/2)))/(T45-S45)</f>
        <v>0.017145</v>
      </c>
      <c r="M45" t="str">
        <f>(AN45*(S45-R45))/(100*U45*(1000-S45))*1000</f>
        <v>0.194480</v>
      </c>
      <c r="N45" t="str">
        <v>0.712005</v>
      </c>
      <c r="O45" t="str">
        <v>0.707041</v>
      </c>
      <c r="P45" t="str">
        <f>0.61365*EXP((17.502*AL45)/(240.97+AL45))</f>
        <v>1.733550</v>
      </c>
      <c r="Q45" t="str">
        <f>P45-N45</f>
        <v>1.021545</v>
      </c>
      <c r="R45" t="str">
        <v>7.745614</v>
      </c>
      <c r="S45" t="str">
        <v>7.799998</v>
      </c>
      <c r="T45" t="str">
        <f>(P45/AM45)*1000</f>
        <v>18.990995</v>
      </c>
      <c r="U45" t="str">
        <f>V45*BG45</f>
        <v>0.441786</v>
      </c>
      <c r="V45" t="str">
        <v>7.500000</v>
      </c>
      <c r="W45" t="str">
        <v>PSF-00438_20251204105426_a3b</v>
      </c>
      <c r="X45" t="str">
        <v>142.077332</v>
      </c>
      <c r="Y45" t="str">
        <v>518.800354</v>
      </c>
      <c r="Z45" t="str">
        <v>0.726143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0.920394</v>
      </c>
      <c r="AG45" t="str">
        <v>1.000000</v>
      </c>
      <c r="AH45" t="str">
        <v>35.36</v>
      </c>
      <c r="AI45" t="str">
        <v>35.12</v>
      </c>
      <c r="AJ45" t="str">
        <v>17.55</v>
      </c>
      <c r="AK45" t="str">
        <v>15.20</v>
      </c>
      <c r="AL45" t="str">
        <f>(AK45-AJ45)*(AJ45*0+0)+AK45</f>
        <v>15.20</v>
      </c>
      <c r="AM45" t="str">
        <v>91.28</v>
      </c>
      <c r="AN45" t="str">
        <v>156.8</v>
      </c>
      <c r="AO45" t="str">
        <v>151.3</v>
      </c>
      <c r="AP45" t="str">
        <v>3.5</v>
      </c>
      <c r="AQ45" t="str">
        <v>3</v>
      </c>
      <c r="AR45" t="str">
        <v>4.097</v>
      </c>
      <c r="AS45" t="str">
        <v>10:50:53</v>
      </c>
      <c r="AT45" t="str">
        <v>2025-12-04</v>
      </c>
      <c r="AU45" t="str">
        <v>0.04</v>
      </c>
      <c r="AV45" t="str">
        <v>1</v>
      </c>
      <c r="AW45" t="str">
        <v>-0.002</v>
      </c>
      <c r="AX45" t="str">
        <v>-0.005</v>
      </c>
      <c r="AY45" t="str">
        <v>-0.051</v>
      </c>
      <c r="AZ45" t="str">
        <v>0.118</v>
      </c>
      <c r="BA45" t="str">
        <v>-0.049</v>
      </c>
      <c r="BB45" t="str">
        <v>70.934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6000</v>
      </c>
      <c r="BQ45" t="str">
        <v>5</v>
      </c>
      <c r="BR45" t="str">
        <v>5.000000</v>
      </c>
      <c r="BS45" t="str">
        <v>2.000000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2.448684</v>
      </c>
      <c r="CD45" t="str">
        <v>2.463053</v>
      </c>
      <c r="CE45" t="str">
        <v>1.655913</v>
      </c>
      <c r="CF45" t="str">
        <v>0.924247</v>
      </c>
      <c r="CG45" t="str">
        <v>0.367684</v>
      </c>
      <c r="CH45" t="str">
        <v>-0.023757</v>
      </c>
      <c r="CI45" t="str">
        <v>0.387614</v>
      </c>
      <c r="CJ45" t="str">
        <v>0.110152</v>
      </c>
      <c r="CK45" t="str">
        <v>142.077332</v>
      </c>
      <c r="CL45" t="str">
        <v>0.000234</v>
      </c>
      <c r="CM45" t="str">
        <v>2.388960</v>
      </c>
      <c r="CN45" t="str">
        <v>-0.000025</v>
      </c>
      <c r="CO45" t="str">
        <v>1.000000</v>
      </c>
      <c r="CP45" t="str">
        <v>2.402765</v>
      </c>
      <c r="CQ45" t="str">
        <v>-0.000034</v>
      </c>
      <c r="CR45" t="str">
        <v>1.000000</v>
      </c>
      <c r="CS45" t="str">
        <v>0.600816</v>
      </c>
      <c r="CT45" t="str">
        <v>0.600971</v>
      </c>
      <c r="CU45" t="str">
        <v>0.107301</v>
      </c>
      <c r="CV45" t="str">
        <v>0.000000</v>
      </c>
      <c r="CW45" t="str">
        <v>PSF-00438_20251204105426_a3b</v>
      </c>
      <c r="CX45" t="str">
        <v>PFA-00474</v>
      </c>
      <c r="CY45" t="str">
        <v>PSA-00486</v>
      </c>
      <c r="CZ45" t="str">
        <v>PSF-00438</v>
      </c>
      <c r="DA45" t="str">
        <v>RHS-00603</v>
      </c>
      <c r="DB45" t="str">
        <v>3.0.0</v>
      </c>
      <c r="DC45" t="str">
        <v>2025-10-05T12:52:23.367Z</v>
      </c>
    </row>
    <row r="46">
      <c r="A46" t="str">
        <v>18</v>
      </c>
      <c r="B46" t="str">
        <v>10:54:48</v>
      </c>
      <c r="C46" t="str">
        <v>2025-12-04</v>
      </c>
      <c r="D46" t="str">
        <v>g34p_dark</v>
      </c>
      <c r="E46" t="str">
        <v>mrk</v>
      </c>
      <c r="F46" t="str">
        <v/>
      </c>
      <c r="G46" t="str">
        <v/>
      </c>
      <c r="H46" t="str">
        <v>4576_Tri_yellow</v>
      </c>
      <c r="I46" t="str">
        <v/>
      </c>
      <c r="J46" t="str">
        <f>1/((1/L46)-(1/K46))</f>
        <v>0.040488</v>
      </c>
      <c r="K46" t="str">
        <f>BH46+(BI46*AN46)+(BJ46*AN46*POWER(V46,2))+(BK46*AN46*V46)+(BL46*POWER(AN46,2))</f>
        <v>2.923931</v>
      </c>
      <c r="L46" t="str">
        <f>((M46/1000)*(1000-((T46+S46)/2)))/(T46-S46)</f>
        <v>0.039935</v>
      </c>
      <c r="M46" t="str">
        <f>(AN46*(S46-R46))/(100*U46*(1000-S46))*1000</f>
        <v>0.392419</v>
      </c>
      <c r="N46" t="str">
        <v>0.719819</v>
      </c>
      <c r="O46" t="str">
        <v>0.709817</v>
      </c>
      <c r="P46" t="str">
        <f>0.61365*EXP((17.502*AL46)/(240.97+AL46))</f>
        <v>1.605391</v>
      </c>
      <c r="Q46" t="str">
        <f>P46-N46</f>
        <v>0.885572</v>
      </c>
      <c r="R46" t="str">
        <v>7.775833</v>
      </c>
      <c r="S46" t="str">
        <v>7.885401</v>
      </c>
      <c r="T46" t="str">
        <f>(P46/AM46)*1000</f>
        <v>17.586575</v>
      </c>
      <c r="U46" t="str">
        <f>V46*BG46</f>
        <v>0.441786</v>
      </c>
      <c r="V46" t="str">
        <v>7.500000</v>
      </c>
      <c r="W46" t="str">
        <v>PSF-00438_20251204105448_f14</v>
      </c>
      <c r="X46" t="str">
        <v>136.122467</v>
      </c>
      <c r="Y46" t="str">
        <v>478.451721</v>
      </c>
      <c r="Z46" t="str">
        <v>0.715494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0.227521</v>
      </c>
      <c r="AG46" t="str">
        <v>1.000000</v>
      </c>
      <c r="AH46" t="str">
        <v>35.84</v>
      </c>
      <c r="AI46" t="str">
        <v>35.35</v>
      </c>
      <c r="AJ46" t="str">
        <v>17.51</v>
      </c>
      <c r="AK46" t="str">
        <v>14.01</v>
      </c>
      <c r="AL46" t="str">
        <f>(AK46-AJ46)*(AJ46*0+0)+AK46</f>
        <v>14.01</v>
      </c>
      <c r="AM46" t="str">
        <v>91.29</v>
      </c>
      <c r="AN46" t="str">
        <v>157.0</v>
      </c>
      <c r="AO46" t="str">
        <v>158.7</v>
      </c>
      <c r="AP46" t="str">
        <v>-1.1</v>
      </c>
      <c r="AQ46" t="str">
        <v>1</v>
      </c>
      <c r="AR46" t="str">
        <v>4.097</v>
      </c>
      <c r="AS46" t="str">
        <v>10:50:53</v>
      </c>
      <c r="AT46" t="str">
        <v>2025-12-04</v>
      </c>
      <c r="AU46" t="str">
        <v>0.04</v>
      </c>
      <c r="AV46" t="str">
        <v>1</v>
      </c>
      <c r="AW46" t="str">
        <v>-0.025</v>
      </c>
      <c r="AX46" t="str">
        <v>-0.123</v>
      </c>
      <c r="AY46" t="str">
        <v>-0.050</v>
      </c>
      <c r="AZ46" t="str">
        <v>0.333</v>
      </c>
      <c r="BA46" t="str">
        <v>100.272</v>
      </c>
      <c r="BB46" t="str">
        <v>85.603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6000</v>
      </c>
      <c r="BQ46" t="str">
        <v>5</v>
      </c>
      <c r="BR46" t="str">
        <v>5.000000</v>
      </c>
      <c r="BS46" t="str">
        <v>2.000000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2.449023</v>
      </c>
      <c r="CD46" t="str">
        <v>2.463758</v>
      </c>
      <c r="CE46" t="str">
        <v>1.657833</v>
      </c>
      <c r="CF46" t="str">
        <v>0.943043</v>
      </c>
      <c r="CG46" t="str">
        <v>0.368295</v>
      </c>
      <c r="CH46" t="str">
        <v>-0.035612</v>
      </c>
      <c r="CI46" t="str">
        <v>0.388901</v>
      </c>
      <c r="CJ46" t="str">
        <v>0.108016</v>
      </c>
      <c r="CK46" t="str">
        <v>136.122467</v>
      </c>
      <c r="CL46" t="str">
        <v>0.000234</v>
      </c>
      <c r="CM46" t="str">
        <v>2.388960</v>
      </c>
      <c r="CN46" t="str">
        <v>-0.000025</v>
      </c>
      <c r="CO46" t="str">
        <v>1.000000</v>
      </c>
      <c r="CP46" t="str">
        <v>2.402765</v>
      </c>
      <c r="CQ46" t="str">
        <v>-0.000034</v>
      </c>
      <c r="CR46" t="str">
        <v>1.000000</v>
      </c>
      <c r="CS46" t="str">
        <v>0.600816</v>
      </c>
      <c r="CT46" t="str">
        <v>0.600971</v>
      </c>
      <c r="CU46" t="str">
        <v>0.107301</v>
      </c>
      <c r="CV46" t="str">
        <v>0.000000</v>
      </c>
      <c r="CW46" t="str">
        <v>PSF-00438_20251204105448_f14</v>
      </c>
      <c r="CX46" t="str">
        <v>PFA-00474</v>
      </c>
      <c r="CY46" t="str">
        <v>PSA-00486</v>
      </c>
      <c r="CZ46" t="str">
        <v>PSF-00438</v>
      </c>
      <c r="DA46" t="str">
        <v>RHS-00603</v>
      </c>
      <c r="DB46" t="str">
        <v>3.0.0</v>
      </c>
      <c r="DC46" t="str">
        <v>2025-10-05T12:52:23.367Z</v>
      </c>
    </row>
    <row r="47">
      <c r="A47" t="str">
        <v>19</v>
      </c>
      <c r="B47" t="str">
        <v>10:55:15</v>
      </c>
      <c r="C47" t="str">
        <v>2025-12-04</v>
      </c>
      <c r="D47" t="str">
        <v>g34p_dark</v>
      </c>
      <c r="E47" t="str">
        <v>mrk</v>
      </c>
      <c r="F47" t="str">
        <v/>
      </c>
      <c r="G47" t="str">
        <v/>
      </c>
      <c r="H47" t="str">
        <v>3829_Tri_yellow</v>
      </c>
      <c r="I47" t="str">
        <v/>
      </c>
      <c r="J47" t="str">
        <f>1/((1/L47)-(1/K47))</f>
        <v>0.016709</v>
      </c>
      <c r="K47" t="str">
        <f>BH47+(BI47*AN47)+(BJ47*AN47*POWER(V47,2))+(BK47*AN47*V47)+(BL47*POWER(AN47,2))</f>
        <v>2.920016</v>
      </c>
      <c r="L47" t="str">
        <f>((M47/1000)*(1000-((T47+S47)/2)))/(T47-S47)</f>
        <v>0.016614</v>
      </c>
      <c r="M47" t="str">
        <f>(AN47*(S47-R47))/(100*U47*(1000-S47))*1000</f>
        <v>0.188626</v>
      </c>
      <c r="N47" t="str">
        <v>0.711014</v>
      </c>
      <c r="O47" t="str">
        <v>0.706191</v>
      </c>
      <c r="P47" t="str">
        <f>0.61365*EXP((17.502*AL47)/(240.97+AL47))</f>
        <v>1.733557</v>
      </c>
      <c r="Q47" t="str">
        <f>P47-N47</f>
        <v>1.022543</v>
      </c>
      <c r="R47" t="str">
        <v>7.735903</v>
      </c>
      <c r="S47" t="str">
        <v>7.788738</v>
      </c>
      <c r="T47" t="str">
        <f>(P47/AM47)*1000</f>
        <v>18.990082</v>
      </c>
      <c r="U47" t="str">
        <f>V47*BG47</f>
        <v>0.441786</v>
      </c>
      <c r="V47" t="str">
        <v>7.500000</v>
      </c>
      <c r="W47" t="str">
        <v>PSF-00438_20251204105515_f97</v>
      </c>
      <c r="X47" t="str">
        <v>139.195557</v>
      </c>
      <c r="Y47" t="str">
        <v>212.910538</v>
      </c>
      <c r="Z47" t="str">
        <v>0.346225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0.441652</v>
      </c>
      <c r="AG47" t="str">
        <v>1.000000</v>
      </c>
      <c r="AH47" t="str">
        <v>35.51</v>
      </c>
      <c r="AI47" t="str">
        <v>35.27</v>
      </c>
      <c r="AJ47" t="str">
        <v>17.46</v>
      </c>
      <c r="AK47" t="str">
        <v>15.20</v>
      </c>
      <c r="AL47" t="str">
        <f>(AK47-AJ47)*(AJ47*0+0)+AK47</f>
        <v>15.20</v>
      </c>
      <c r="AM47" t="str">
        <v>91.29</v>
      </c>
      <c r="AN47" t="str">
        <v>156.5</v>
      </c>
      <c r="AO47" t="str">
        <v>154.9</v>
      </c>
      <c r="AP47" t="str">
        <v>1.0</v>
      </c>
      <c r="AQ47" t="str">
        <v>3</v>
      </c>
      <c r="AR47" t="str">
        <v>4.096</v>
      </c>
      <c r="AS47" t="str">
        <v>10:50:53</v>
      </c>
      <c r="AT47" t="str">
        <v>2025-12-04</v>
      </c>
      <c r="AU47" t="str">
        <v>0.04</v>
      </c>
      <c r="AV47" t="str">
        <v>1</v>
      </c>
      <c r="AW47" t="str">
        <v>-0.020</v>
      </c>
      <c r="AX47" t="str">
        <v>-0.079</v>
      </c>
      <c r="AY47" t="str">
        <v>-0.047</v>
      </c>
      <c r="AZ47" t="str">
        <v>0.924</v>
      </c>
      <c r="BA47" t="str">
        <v>98.860</v>
      </c>
      <c r="BB47" t="str">
        <v>87.562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6000</v>
      </c>
      <c r="BQ47" t="str">
        <v>5</v>
      </c>
      <c r="BR47" t="str">
        <v>5.000000</v>
      </c>
      <c r="BS47" t="str">
        <v>2.000000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2.448924</v>
      </c>
      <c r="CD47" t="str">
        <v>2.463286</v>
      </c>
      <c r="CE47" t="str">
        <v>1.653731</v>
      </c>
      <c r="CF47" t="str">
        <v>0.933418</v>
      </c>
      <c r="CG47" t="str">
        <v>0.368996</v>
      </c>
      <c r="CH47" t="str">
        <v>-0.022809</v>
      </c>
      <c r="CI47" t="str">
        <v>0.390550</v>
      </c>
      <c r="CJ47" t="str">
        <v>0.110170</v>
      </c>
      <c r="CK47" t="str">
        <v>139.236694</v>
      </c>
      <c r="CL47" t="str">
        <v>0.000235</v>
      </c>
      <c r="CM47" t="str">
        <v>2.388960</v>
      </c>
      <c r="CN47" t="str">
        <v>-0.000025</v>
      </c>
      <c r="CO47" t="str">
        <v>1.000000</v>
      </c>
      <c r="CP47" t="str">
        <v>2.402765</v>
      </c>
      <c r="CQ47" t="str">
        <v>-0.000034</v>
      </c>
      <c r="CR47" t="str">
        <v>1.000000</v>
      </c>
      <c r="CS47" t="str">
        <v>0.600816</v>
      </c>
      <c r="CT47" t="str">
        <v>0.600971</v>
      </c>
      <c r="CU47" t="str">
        <v>0.107301</v>
      </c>
      <c r="CV47" t="str">
        <v>0.000000</v>
      </c>
      <c r="CW47" t="str">
        <v>PSF-00438_20251204105515_f97</v>
      </c>
      <c r="CX47" t="str">
        <v>PFA-00474</v>
      </c>
      <c r="CY47" t="str">
        <v>PSA-00486</v>
      </c>
      <c r="CZ47" t="str">
        <v>PSF-00438</v>
      </c>
      <c r="DA47" t="str">
        <v>RHS-00603</v>
      </c>
      <c r="DB47" t="str">
        <v>3.0.0</v>
      </c>
      <c r="DC47" t="str">
        <v>2025-10-05T12:52:23.367Z</v>
      </c>
    </row>
    <row r="48">
      <c r="A48" t="str">
        <v>20</v>
      </c>
      <c r="B48" t="str">
        <v>10:55:41</v>
      </c>
      <c r="C48" t="str">
        <v>2025-12-04</v>
      </c>
      <c r="D48" t="str">
        <v>g34p_dark</v>
      </c>
      <c r="E48" t="str">
        <v>mrk</v>
      </c>
      <c r="F48" t="str">
        <v/>
      </c>
      <c r="G48" t="str">
        <v/>
      </c>
      <c r="H48" t="str">
        <v>774_Tri_yellow</v>
      </c>
      <c r="I48" t="str">
        <v/>
      </c>
      <c r="J48" t="str">
        <f>1/((1/L48)-(1/K48))</f>
        <v>0.013076</v>
      </c>
      <c r="K48" t="str">
        <f>BH48+(BI48*AN48)+(BJ48*AN48*POWER(V48,2))+(BK48*AN48*V48)+(BL48*POWER(AN48,2))</f>
        <v>2.920123</v>
      </c>
      <c r="L48" t="str">
        <f>((M48/1000)*(1000-((T48+S48)/2)))/(T48-S48)</f>
        <v>0.013018</v>
      </c>
      <c r="M48" t="str">
        <f>(AN48*(S48-R48))/(100*U48*(1000-S48))*1000</f>
        <v>0.154451</v>
      </c>
      <c r="N48" t="str">
        <v>0.707950</v>
      </c>
      <c r="O48" t="str">
        <v>0.704001</v>
      </c>
      <c r="P48" t="str">
        <f>0.61365*EXP((17.502*AL48)/(240.97+AL48))</f>
        <v>1.776360</v>
      </c>
      <c r="Q48" t="str">
        <f>P48-N48</f>
        <v>1.068410</v>
      </c>
      <c r="R48" t="str">
        <v>7.711510</v>
      </c>
      <c r="S48" t="str">
        <v>7.754771</v>
      </c>
      <c r="T48" t="str">
        <f>(P48/AM48)*1000</f>
        <v>19.457951</v>
      </c>
      <c r="U48" t="str">
        <f>V48*BG48</f>
        <v>0.441786</v>
      </c>
      <c r="V48" t="str">
        <v>7.500000</v>
      </c>
      <c r="W48" t="str">
        <v>PSF-00438_20251204105541_335</v>
      </c>
      <c r="X48" t="str">
        <v>283.596039</v>
      </c>
      <c r="Y48" t="str">
        <v>416.207306</v>
      </c>
      <c r="Z48" t="str">
        <v>0.318618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0.134758</v>
      </c>
      <c r="AG48" t="str">
        <v>1.000000</v>
      </c>
      <c r="AH48" t="str">
        <v>35.46</v>
      </c>
      <c r="AI48" t="str">
        <v>35.26</v>
      </c>
      <c r="AJ48" t="str">
        <v>17.42</v>
      </c>
      <c r="AK48" t="str">
        <v>15.58</v>
      </c>
      <c r="AL48" t="str">
        <f>(AK48-AJ48)*(AJ48*0+0)+AK48</f>
        <v>15.58</v>
      </c>
      <c r="AM48" t="str">
        <v>91.29</v>
      </c>
      <c r="AN48" t="str">
        <v>156.5</v>
      </c>
      <c r="AO48" t="str">
        <v>158.8</v>
      </c>
      <c r="AP48" t="str">
        <v>-1.5</v>
      </c>
      <c r="AQ48" t="str">
        <v>1</v>
      </c>
      <c r="AR48" t="str">
        <v>4.095</v>
      </c>
      <c r="AS48" t="str">
        <v>10:50:53</v>
      </c>
      <c r="AT48" t="str">
        <v>2025-12-04</v>
      </c>
      <c r="AU48" t="str">
        <v>0.04</v>
      </c>
      <c r="AV48" t="str">
        <v>1</v>
      </c>
      <c r="AW48" t="str">
        <v>-0.002</v>
      </c>
      <c r="AX48" t="str">
        <v>-9999.000</v>
      </c>
      <c r="AY48" t="str">
        <v>-9999.000</v>
      </c>
      <c r="AZ48" t="str">
        <v>0.962</v>
      </c>
      <c r="BA48" t="str">
        <v>-9999.000</v>
      </c>
      <c r="BB48" t="str">
        <v>-9999.000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6000</v>
      </c>
      <c r="BQ48" t="str">
        <v>5</v>
      </c>
      <c r="BR48" t="str">
        <v>5.000000</v>
      </c>
      <c r="BS48" t="str">
        <v>2.000000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2.448917</v>
      </c>
      <c r="CD48" t="str">
        <v>2.463217</v>
      </c>
      <c r="CE48" t="str">
        <v>1.653843</v>
      </c>
      <c r="CF48" t="str">
        <v>0.943472</v>
      </c>
      <c r="CG48" t="str">
        <v>0.369655</v>
      </c>
      <c r="CH48" t="str">
        <v>-0.018371</v>
      </c>
      <c r="CI48" t="str">
        <v>0.392151</v>
      </c>
      <c r="CJ48" t="str">
        <v>0.108252</v>
      </c>
      <c r="CK48" t="str">
        <v>283.596039</v>
      </c>
      <c r="CL48" t="str">
        <v>0.000235</v>
      </c>
      <c r="CM48" t="str">
        <v>2.388960</v>
      </c>
      <c r="CN48" t="str">
        <v>-0.000025</v>
      </c>
      <c r="CO48" t="str">
        <v>1.000000</v>
      </c>
      <c r="CP48" t="str">
        <v>2.402765</v>
      </c>
      <c r="CQ48" t="str">
        <v>-0.000034</v>
      </c>
      <c r="CR48" t="str">
        <v>1.000000</v>
      </c>
      <c r="CS48" t="str">
        <v>0.600816</v>
      </c>
      <c r="CT48" t="str">
        <v>0.600971</v>
      </c>
      <c r="CU48" t="str">
        <v>0.107301</v>
      </c>
      <c r="CV48" t="str">
        <v>0.000000</v>
      </c>
      <c r="CW48" t="str">
        <v>PSF-00438_20251204105541_335</v>
      </c>
      <c r="CX48" t="str">
        <v>PFA-00474</v>
      </c>
      <c r="CY48" t="str">
        <v>PSA-00486</v>
      </c>
      <c r="CZ48" t="str">
        <v>PSF-00438</v>
      </c>
      <c r="DA48" t="str">
        <v>RHS-00603</v>
      </c>
      <c r="DB48" t="str">
        <v>3.0.0</v>
      </c>
      <c r="DC48" t="str">
        <v>2025-10-05T12:52:23.367Z</v>
      </c>
    </row>
    <row r="49">
      <c r="A49" t="str">
        <v>21</v>
      </c>
      <c r="B49" t="str">
        <v>10:56:03</v>
      </c>
      <c r="C49" t="str">
        <v>2025-12-04</v>
      </c>
      <c r="D49" t="str">
        <v>g34p_dark</v>
      </c>
      <c r="E49" t="str">
        <v>mrk</v>
      </c>
      <c r="F49" t="str">
        <v/>
      </c>
      <c r="G49" t="str">
        <v/>
      </c>
      <c r="H49" t="str">
        <v>2988_Tri_yellow</v>
      </c>
      <c r="I49" t="str">
        <v/>
      </c>
      <c r="J49" t="str">
        <f>1/((1/L49)-(1/K49))</f>
        <v>0.031633</v>
      </c>
      <c r="K49" t="str">
        <f>BH49+(BI49*AN49)+(BJ49*AN49*POWER(V49,2))+(BK49*AN49*V49)+(BL49*POWER(AN49,2))</f>
        <v>2.920796</v>
      </c>
      <c r="L49" t="str">
        <f>((M49/1000)*(1000-((T49+S49)/2)))/(T49-S49)</f>
        <v>0.031294</v>
      </c>
      <c r="M49" t="str">
        <f>(AN49*(S49-R49))/(100*U49*(1000-S49))*1000</f>
        <v>0.324097</v>
      </c>
      <c r="N49" t="str">
        <v>0.729555</v>
      </c>
      <c r="O49" t="str">
        <v>0.721274</v>
      </c>
      <c r="P49" t="str">
        <f>0.61365*EXP((17.502*AL49)/(240.97+AL49))</f>
        <v>1.662661</v>
      </c>
      <c r="Q49" t="str">
        <f>P49-N49</f>
        <v>0.933107</v>
      </c>
      <c r="R49" t="str">
        <v>7.900605</v>
      </c>
      <c r="S49" t="str">
        <v>7.991312</v>
      </c>
      <c r="T49" t="str">
        <f>(P49/AM49)*1000</f>
        <v>18.212265</v>
      </c>
      <c r="U49" t="str">
        <f>V49*BG49</f>
        <v>0.441786</v>
      </c>
      <c r="V49" t="str">
        <v>7.500000</v>
      </c>
      <c r="W49" t="str">
        <v>PSF-00438_20251204105603_110</v>
      </c>
      <c r="X49" t="str">
        <v>135.893219</v>
      </c>
      <c r="Y49" t="str">
        <v>326.657654</v>
      </c>
      <c r="Z49" t="str">
        <v>0.583989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0.389639</v>
      </c>
      <c r="AG49" t="str">
        <v>1.000000</v>
      </c>
      <c r="AH49" t="str">
        <v>36.61</v>
      </c>
      <c r="AI49" t="str">
        <v>36.20</v>
      </c>
      <c r="AJ49" t="str">
        <v>17.39</v>
      </c>
      <c r="AK49" t="str">
        <v>14.55</v>
      </c>
      <c r="AL49" t="str">
        <f>(AK49-AJ49)*(AJ49*0+0)+AK49</f>
        <v>14.55</v>
      </c>
      <c r="AM49" t="str">
        <v>91.29</v>
      </c>
      <c r="AN49" t="str">
        <v>156.6</v>
      </c>
      <c r="AO49" t="str">
        <v>158.6</v>
      </c>
      <c r="AP49" t="str">
        <v>-1.3</v>
      </c>
      <c r="AQ49" t="str">
        <v>2</v>
      </c>
      <c r="AR49" t="str">
        <v>4.095</v>
      </c>
      <c r="AS49" t="str">
        <v>10:50:53</v>
      </c>
      <c r="AT49" t="str">
        <v>2025-12-04</v>
      </c>
      <c r="AU49" t="str">
        <v>0.04</v>
      </c>
      <c r="AV49" t="str">
        <v>1</v>
      </c>
      <c r="AW49" t="str">
        <v>-0.101</v>
      </c>
      <c r="AX49" t="str">
        <v>-0.203</v>
      </c>
      <c r="AY49" t="str">
        <v>0.001</v>
      </c>
      <c r="AZ49" t="str">
        <v>5.272</v>
      </c>
      <c r="BA49" t="str">
        <v>131.501</v>
      </c>
      <c r="BB49" t="str">
        <v>66.314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6000</v>
      </c>
      <c r="BQ49" t="str">
        <v>5</v>
      </c>
      <c r="BR49" t="str">
        <v>5.000000</v>
      </c>
      <c r="BS49" t="str">
        <v>2.000000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2.450269</v>
      </c>
      <c r="CD49" t="str">
        <v>2.464894</v>
      </c>
      <c r="CE49" t="str">
        <v>1.654545</v>
      </c>
      <c r="CF49" t="str">
        <v>0.942836</v>
      </c>
      <c r="CG49" t="str">
        <v>0.370126</v>
      </c>
      <c r="CH49" t="str">
        <v>-0.028717</v>
      </c>
      <c r="CI49" t="str">
        <v>0.393423</v>
      </c>
      <c r="CJ49" t="str">
        <v>0.108801</v>
      </c>
      <c r="CK49" t="str">
        <v>136.022690</v>
      </c>
      <c r="CL49" t="str">
        <v>0.000233</v>
      </c>
      <c r="CM49" t="str">
        <v>2.388960</v>
      </c>
      <c r="CN49" t="str">
        <v>-0.000025</v>
      </c>
      <c r="CO49" t="str">
        <v>1.000000</v>
      </c>
      <c r="CP49" t="str">
        <v>2.402765</v>
      </c>
      <c r="CQ49" t="str">
        <v>-0.000034</v>
      </c>
      <c r="CR49" t="str">
        <v>1.000000</v>
      </c>
      <c r="CS49" t="str">
        <v>0.600816</v>
      </c>
      <c r="CT49" t="str">
        <v>0.600971</v>
      </c>
      <c r="CU49" t="str">
        <v>0.107301</v>
      </c>
      <c r="CV49" t="str">
        <v>0.000000</v>
      </c>
      <c r="CW49" t="str">
        <v>PSF-00438_20251204105603_110</v>
      </c>
      <c r="CX49" t="str">
        <v>PFA-00474</v>
      </c>
      <c r="CY49" t="str">
        <v>PSA-00486</v>
      </c>
      <c r="CZ49" t="str">
        <v>PSF-00438</v>
      </c>
      <c r="DA49" t="str">
        <v>RHS-00603</v>
      </c>
      <c r="DB49" t="str">
        <v>3.0.0</v>
      </c>
      <c r="DC49" t="str">
        <v>2025-10-05T12:52:23.367Z</v>
      </c>
    </row>
    <row r="50">
      <c r="A50" t="str">
        <v>22</v>
      </c>
      <c r="B50" t="str">
        <v>10:56:30</v>
      </c>
      <c r="C50" t="str">
        <v>2025-12-04</v>
      </c>
      <c r="D50" t="str">
        <v>g34p_dark</v>
      </c>
      <c r="E50" t="str">
        <v>mrk</v>
      </c>
      <c r="F50" t="str">
        <v/>
      </c>
      <c r="G50" t="str">
        <v/>
      </c>
      <c r="H50" t="str">
        <v>6507_Tri_white</v>
      </c>
      <c r="I50" t="str">
        <v/>
      </c>
      <c r="J50" t="str">
        <f>1/((1/L50)-(1/K50))</f>
        <v>0.024361</v>
      </c>
      <c r="K50" t="str">
        <f>BH50+(BI50*AN50)+(BJ50*AN50*POWER(V50,2))+(BK50*AN50*V50)+(BL50*POWER(AN50,2))</f>
        <v>2.920593</v>
      </c>
      <c r="L50" t="str">
        <f>((M50/1000)*(1000-((T50+S50)/2)))/(T50-S50)</f>
        <v>0.024159</v>
      </c>
      <c r="M50" t="str">
        <f>(AN50*(S50-R50))/(100*U50*(1000-S50))*1000</f>
        <v>0.246738</v>
      </c>
      <c r="N50" t="str">
        <v>0.725006</v>
      </c>
      <c r="O50" t="str">
        <v>0.718700</v>
      </c>
      <c r="P50" t="str">
        <f>0.61365*EXP((17.502*AL50)/(240.97+AL50))</f>
        <v>1.645224</v>
      </c>
      <c r="Q50" t="str">
        <f>P50-N50</f>
        <v>0.920218</v>
      </c>
      <c r="R50" t="str">
        <v>7.872824</v>
      </c>
      <c r="S50" t="str">
        <v>7.941894</v>
      </c>
      <c r="T50" t="str">
        <f>(P50/AM50)*1000</f>
        <v>18.022196</v>
      </c>
      <c r="U50" t="str">
        <f>V50*BG50</f>
        <v>0.441786</v>
      </c>
      <c r="V50" t="str">
        <v>7.500000</v>
      </c>
      <c r="W50" t="str">
        <v>PSF-00438_20251204105630_09c</v>
      </c>
      <c r="X50" t="str">
        <v>138.563278</v>
      </c>
      <c r="Y50" t="str">
        <v>269.988647</v>
      </c>
      <c r="Z50" t="str">
        <v>0.486781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0.235839</v>
      </c>
      <c r="AG50" t="str">
        <v>1.000000</v>
      </c>
      <c r="AH50" t="str">
        <v>36.46</v>
      </c>
      <c r="AI50" t="str">
        <v>36.14</v>
      </c>
      <c r="AJ50" t="str">
        <v>17.35</v>
      </c>
      <c r="AK50" t="str">
        <v>14.39</v>
      </c>
      <c r="AL50" t="str">
        <f>(AK50-AJ50)*(AJ50*0+0)+AK50</f>
        <v>14.39</v>
      </c>
      <c r="AM50" t="str">
        <v>91.29</v>
      </c>
      <c r="AN50" t="str">
        <v>156.6</v>
      </c>
      <c r="AO50" t="str">
        <v>158.7</v>
      </c>
      <c r="AP50" t="str">
        <v>-1.3</v>
      </c>
      <c r="AQ50" t="str">
        <v>1</v>
      </c>
      <c r="AR50" t="str">
        <v>4.090</v>
      </c>
      <c r="AS50" t="str">
        <v>10:50:53</v>
      </c>
      <c r="AT50" t="str">
        <v>2025-12-04</v>
      </c>
      <c r="AU50" t="str">
        <v>0.04</v>
      </c>
      <c r="AV50" t="str">
        <v>1</v>
      </c>
      <c r="AW50" t="str">
        <v>-0.056</v>
      </c>
      <c r="AX50" t="str">
        <v>-0.098</v>
      </c>
      <c r="AY50" t="str">
        <v>-0.000</v>
      </c>
      <c r="AZ50" t="str">
        <v>18.404</v>
      </c>
      <c r="BA50" t="str">
        <v>128.258</v>
      </c>
      <c r="BB50" t="str">
        <v>64.564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6000</v>
      </c>
      <c r="BQ50" t="str">
        <v>5</v>
      </c>
      <c r="BR50" t="str">
        <v>5.000000</v>
      </c>
      <c r="BS50" t="str">
        <v>2.000000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2.450201</v>
      </c>
      <c r="CD50" t="str">
        <v>2.464684</v>
      </c>
      <c r="CE50" t="str">
        <v>1.654333</v>
      </c>
      <c r="CF50" t="str">
        <v>0.943105</v>
      </c>
      <c r="CG50" t="str">
        <v>0.370627</v>
      </c>
      <c r="CH50" t="str">
        <v>-0.030043</v>
      </c>
      <c r="CI50" t="str">
        <v>0.395102</v>
      </c>
      <c r="CJ50" t="str">
        <v>0.108391</v>
      </c>
      <c r="CK50" t="str">
        <v>138.792877</v>
      </c>
      <c r="CL50" t="str">
        <v>0.000234</v>
      </c>
      <c r="CM50" t="str">
        <v>2.388960</v>
      </c>
      <c r="CN50" t="str">
        <v>-0.000025</v>
      </c>
      <c r="CO50" t="str">
        <v>1.000000</v>
      </c>
      <c r="CP50" t="str">
        <v>2.402765</v>
      </c>
      <c r="CQ50" t="str">
        <v>-0.000034</v>
      </c>
      <c r="CR50" t="str">
        <v>1.000000</v>
      </c>
      <c r="CS50" t="str">
        <v>0.600816</v>
      </c>
      <c r="CT50" t="str">
        <v>0.600971</v>
      </c>
      <c r="CU50" t="str">
        <v>0.107301</v>
      </c>
      <c r="CV50" t="str">
        <v>0.000000</v>
      </c>
      <c r="CW50" t="str">
        <v>PSF-00438_20251204105630_09c</v>
      </c>
      <c r="CX50" t="str">
        <v>PFA-00474</v>
      </c>
      <c r="CY50" t="str">
        <v>PSA-00486</v>
      </c>
      <c r="CZ50" t="str">
        <v>PSF-00438</v>
      </c>
      <c r="DA50" t="str">
        <v>RHS-00603</v>
      </c>
      <c r="DB50" t="str">
        <v>3.0.0</v>
      </c>
      <c r="DC50" t="str">
        <v>2025-10-05T12:52:23.367Z</v>
      </c>
    </row>
    <row r="51">
      <c r="A51" t="str">
        <v>23</v>
      </c>
      <c r="B51" t="str">
        <v>10:56:58</v>
      </c>
      <c r="C51" t="str">
        <v>2025-12-04</v>
      </c>
      <c r="D51" t="str">
        <v>g34p_dark</v>
      </c>
      <c r="E51" t="str">
        <v>mrk</v>
      </c>
      <c r="F51" t="str">
        <v/>
      </c>
      <c r="G51" t="str">
        <v/>
      </c>
      <c r="H51" t="str">
        <v>2980_Tri_white</v>
      </c>
      <c r="I51" t="str">
        <v/>
      </c>
      <c r="J51" t="str">
        <f>1/((1/L51)-(1/K51))</f>
        <v>0.020811</v>
      </c>
      <c r="K51" t="str">
        <f>BH51+(BI51*AN51)+(BJ51*AN51*POWER(V51,2))+(BK51*AN51*V51)+(BL51*POWER(AN51,2))</f>
        <v>2.921320</v>
      </c>
      <c r="L51" t="str">
        <f>((M51/1000)*(1000-((T51+S51)/2)))/(T51-S51)</f>
        <v>0.020663</v>
      </c>
      <c r="M51" t="str">
        <f>(AN51*(S51-R51))/(100*U51*(1000-S51))*1000</f>
        <v>0.203579</v>
      </c>
      <c r="N51" t="str">
        <v>0.716262</v>
      </c>
      <c r="O51" t="str">
        <v>0.711062</v>
      </c>
      <c r="P51" t="str">
        <f>0.61365*EXP((17.502*AL51)/(240.97+AL51))</f>
        <v>1.604186</v>
      </c>
      <c r="Q51" t="str">
        <f>P51-N51</f>
        <v>0.887924</v>
      </c>
      <c r="R51" t="str">
        <v>7.789432</v>
      </c>
      <c r="S51" t="str">
        <v>7.846394</v>
      </c>
      <c r="T51" t="str">
        <f>(P51/AM51)*1000</f>
        <v>17.573280</v>
      </c>
      <c r="U51" t="str">
        <f>V51*BG51</f>
        <v>0.441786</v>
      </c>
      <c r="V51" t="str">
        <v>7.500000</v>
      </c>
      <c r="W51" t="str">
        <v>PSF-00438_20251204105658_443</v>
      </c>
      <c r="X51" t="str">
        <v>140.316010</v>
      </c>
      <c r="Y51" t="str">
        <v>398.328064</v>
      </c>
      <c r="Z51" t="str">
        <v>0.647738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0.735521</v>
      </c>
      <c r="AG51" t="str">
        <v>1.000000</v>
      </c>
      <c r="AH51" t="str">
        <v>36.10</v>
      </c>
      <c r="AI51" t="str">
        <v>35.84</v>
      </c>
      <c r="AJ51" t="str">
        <v>17.32</v>
      </c>
      <c r="AK51" t="str">
        <v>14.00</v>
      </c>
      <c r="AL51" t="str">
        <f>(AK51-AJ51)*(AJ51*0+0)+AK51</f>
        <v>14.00</v>
      </c>
      <c r="AM51" t="str">
        <v>91.29</v>
      </c>
      <c r="AN51" t="str">
        <v>156.7</v>
      </c>
      <c r="AO51" t="str">
        <v>153.8</v>
      </c>
      <c r="AP51" t="str">
        <v>1.8</v>
      </c>
      <c r="AQ51" t="str">
        <v>3</v>
      </c>
      <c r="AR51" t="str">
        <v>4.094</v>
      </c>
      <c r="AS51" t="str">
        <v>10:50:53</v>
      </c>
      <c r="AT51" t="str">
        <v>2025-12-04</v>
      </c>
      <c r="AU51" t="str">
        <v>0.04</v>
      </c>
      <c r="AV51" t="str">
        <v>1</v>
      </c>
      <c r="AW51" t="str">
        <v>-0.022</v>
      </c>
      <c r="AX51" t="str">
        <v>-0.121</v>
      </c>
      <c r="AY51" t="str">
        <v>-0.035</v>
      </c>
      <c r="AZ51" t="str">
        <v>0.331</v>
      </c>
      <c r="BA51" t="str">
        <v>84.078</v>
      </c>
      <c r="BB51" t="str">
        <v>97.631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6000</v>
      </c>
      <c r="BQ51" t="str">
        <v>5</v>
      </c>
      <c r="BR51" t="str">
        <v>5.000000</v>
      </c>
      <c r="BS51" t="str">
        <v>2.000000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2.449774</v>
      </c>
      <c r="CD51" t="str">
        <v>2.464174</v>
      </c>
      <c r="CE51" t="str">
        <v>1.655093</v>
      </c>
      <c r="CF51" t="str">
        <v>0.930680</v>
      </c>
      <c r="CG51" t="str">
        <v>0.371163</v>
      </c>
      <c r="CH51" t="str">
        <v>-0.033675</v>
      </c>
      <c r="CI51" t="str">
        <v>0.396849</v>
      </c>
      <c r="CJ51" t="str">
        <v>0.109855</v>
      </c>
      <c r="CK51" t="str">
        <v>140.316010</v>
      </c>
      <c r="CL51" t="str">
        <v>0.000235</v>
      </c>
      <c r="CM51" t="str">
        <v>2.388960</v>
      </c>
      <c r="CN51" t="str">
        <v>-0.000025</v>
      </c>
      <c r="CO51" t="str">
        <v>1.000000</v>
      </c>
      <c r="CP51" t="str">
        <v>2.402765</v>
      </c>
      <c r="CQ51" t="str">
        <v>-0.000034</v>
      </c>
      <c r="CR51" t="str">
        <v>1.000000</v>
      </c>
      <c r="CS51" t="str">
        <v>0.600816</v>
      </c>
      <c r="CT51" t="str">
        <v>0.600971</v>
      </c>
      <c r="CU51" t="str">
        <v>0.107301</v>
      </c>
      <c r="CV51" t="str">
        <v>0.000000</v>
      </c>
      <c r="CW51" t="str">
        <v>PSF-00438_20251204105658_443</v>
      </c>
      <c r="CX51" t="str">
        <v>PFA-00474</v>
      </c>
      <c r="CY51" t="str">
        <v>PSA-00486</v>
      </c>
      <c r="CZ51" t="str">
        <v>PSF-00438</v>
      </c>
      <c r="DA51" t="str">
        <v>RHS-00603</v>
      </c>
      <c r="DB51" t="str">
        <v>3.0.0</v>
      </c>
      <c r="DC51" t="str">
        <v>2025-10-05T12:52:23.367Z</v>
      </c>
    </row>
    <row r="52">
      <c r="A52" t="str">
        <v>24</v>
      </c>
      <c r="B52" t="str">
        <v>10:57:29</v>
      </c>
      <c r="C52" t="str">
        <v>2025-12-04</v>
      </c>
      <c r="D52" t="str">
        <v>g34p_dark</v>
      </c>
      <c r="E52" t="str">
        <v>mrk</v>
      </c>
      <c r="F52" t="str">
        <v/>
      </c>
      <c r="G52" t="str">
        <v/>
      </c>
      <c r="H52" t="str">
        <v>4990_Tri_white</v>
      </c>
      <c r="I52" t="str">
        <v/>
      </c>
      <c r="J52" t="str">
        <f>1/((1/L52)-(1/K52))</f>
        <v>0.017575</v>
      </c>
      <c r="K52" t="str">
        <f>BH52+(BI52*AN52)+(BJ52*AN52*POWER(V52,2))+(BK52*AN52*V52)+(BL52*POWER(AN52,2))</f>
        <v>2.921433</v>
      </c>
      <c r="L52" t="str">
        <f>((M52/1000)*(1000-((T52+S52)/2)))/(T52-S52)</f>
        <v>0.017470</v>
      </c>
      <c r="M52" t="str">
        <f>(AN52*(S52-R52))/(100*U52*(1000-S52))*1000</f>
        <v>0.181380</v>
      </c>
      <c r="N52" t="str">
        <v>0.710998</v>
      </c>
      <c r="O52" t="str">
        <v>0.706365</v>
      </c>
      <c r="P52" t="str">
        <f>0.61365*EXP((17.502*AL52)/(240.97+AL52))</f>
        <v>1.646562</v>
      </c>
      <c r="Q52" t="str">
        <f>P52-N52</f>
        <v>0.935563</v>
      </c>
      <c r="R52" t="str">
        <v>7.737577</v>
      </c>
      <c r="S52" t="str">
        <v>7.788326</v>
      </c>
      <c r="T52" t="str">
        <f>(P52/AM52)*1000</f>
        <v>18.036554</v>
      </c>
      <c r="U52" t="str">
        <f>V52*BG52</f>
        <v>0.441786</v>
      </c>
      <c r="V52" t="str">
        <v>7.500000</v>
      </c>
      <c r="W52" t="str">
        <v>PSF-00438_20251204105729_2c9</v>
      </c>
      <c r="X52" t="str">
        <v>157.706375</v>
      </c>
      <c r="Y52" t="str">
        <v>511.815552</v>
      </c>
      <c r="Z52" t="str">
        <v>0.691869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0.303845</v>
      </c>
      <c r="AG52" t="str">
        <v>1.000000</v>
      </c>
      <c r="AH52" t="str">
        <v>35.92</v>
      </c>
      <c r="AI52" t="str">
        <v>35.68</v>
      </c>
      <c r="AJ52" t="str">
        <v>17.28</v>
      </c>
      <c r="AK52" t="str">
        <v>14.40</v>
      </c>
      <c r="AL52" t="str">
        <f>(AK52-AJ52)*(AJ52*0+0)+AK52</f>
        <v>14.40</v>
      </c>
      <c r="AM52" t="str">
        <v>91.29</v>
      </c>
      <c r="AN52" t="str">
        <v>156.7</v>
      </c>
      <c r="AO52" t="str">
        <v>158.9</v>
      </c>
      <c r="AP52" t="str">
        <v>-1.4</v>
      </c>
      <c r="AQ52" t="str">
        <v>1</v>
      </c>
      <c r="AR52" t="str">
        <v>4.093</v>
      </c>
      <c r="AS52" t="str">
        <v>10:50:53</v>
      </c>
      <c r="AT52" t="str">
        <v>2025-12-04</v>
      </c>
      <c r="AU52" t="str">
        <v>0.04</v>
      </c>
      <c r="AV52" t="str">
        <v>1</v>
      </c>
      <c r="AW52" t="str">
        <v>-0.004</v>
      </c>
      <c r="AX52" t="str">
        <v>-0.025</v>
      </c>
      <c r="AY52" t="str">
        <v>-0.081</v>
      </c>
      <c r="AZ52" t="str">
        <v>0.706</v>
      </c>
      <c r="BA52" t="str">
        <v>9.599</v>
      </c>
      <c r="BB52" t="str">
        <v>151.638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6000</v>
      </c>
      <c r="BQ52" t="str">
        <v>5</v>
      </c>
      <c r="BR52" t="str">
        <v>5.000000</v>
      </c>
      <c r="BS52" t="str">
        <v>2.000000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2.449550</v>
      </c>
      <c r="CD52" t="str">
        <v>2.463908</v>
      </c>
      <c r="CE52" t="str">
        <v>1.655211</v>
      </c>
      <c r="CF52" t="str">
        <v>0.943563</v>
      </c>
      <c r="CG52" t="str">
        <v>0.371668</v>
      </c>
      <c r="CH52" t="str">
        <v>-0.029169</v>
      </c>
      <c r="CI52" t="str">
        <v>0.398768</v>
      </c>
      <c r="CJ52" t="str">
        <v>0.108289</v>
      </c>
      <c r="CK52" t="str">
        <v>157.706375</v>
      </c>
      <c r="CL52" t="str">
        <v>0.000234</v>
      </c>
      <c r="CM52" t="str">
        <v>2.388960</v>
      </c>
      <c r="CN52" t="str">
        <v>-0.000025</v>
      </c>
      <c r="CO52" t="str">
        <v>1.000000</v>
      </c>
      <c r="CP52" t="str">
        <v>2.402765</v>
      </c>
      <c r="CQ52" t="str">
        <v>-0.000034</v>
      </c>
      <c r="CR52" t="str">
        <v>1.000000</v>
      </c>
      <c r="CS52" t="str">
        <v>0.600816</v>
      </c>
      <c r="CT52" t="str">
        <v>0.600971</v>
      </c>
      <c r="CU52" t="str">
        <v>0.107301</v>
      </c>
      <c r="CV52" t="str">
        <v>0.000000</v>
      </c>
      <c r="CW52" t="str">
        <v>PSF-00438_20251204105729_2c9</v>
      </c>
      <c r="CX52" t="str">
        <v>PFA-00474</v>
      </c>
      <c r="CY52" t="str">
        <v>PSA-00486</v>
      </c>
      <c r="CZ52" t="str">
        <v>PSF-00438</v>
      </c>
      <c r="DA52" t="str">
        <v>RHS-00603</v>
      </c>
      <c r="DB52" t="str">
        <v>3.0.0</v>
      </c>
      <c r="DC52" t="str">
        <v>2025-10-05T12:52:23.367Z</v>
      </c>
    </row>
    <row r="53">
      <c r="A53" t="str">
        <v>25</v>
      </c>
      <c r="B53" t="str">
        <v>10:57:52</v>
      </c>
      <c r="C53" t="str">
        <v>2025-12-04</v>
      </c>
      <c r="D53" t="str">
        <v>g34p_dark</v>
      </c>
      <c r="E53" t="str">
        <v>mrk</v>
      </c>
      <c r="F53" t="str">
        <v/>
      </c>
      <c r="G53" t="str">
        <v/>
      </c>
      <c r="H53" t="str">
        <v>6875_Tri_white</v>
      </c>
      <c r="I53" t="str">
        <v/>
      </c>
      <c r="J53" t="str">
        <f>1/((1/L53)-(1/K53))</f>
        <v>0.010400</v>
      </c>
      <c r="K53" t="str">
        <f>BH53+(BI53*AN53)+(BJ53*AN53*POWER(V53,2))+(BK53*AN53*V53)+(BL53*POWER(AN53,2))</f>
        <v>2.920066</v>
      </c>
      <c r="L53" t="str">
        <f>((M53/1000)*(1000-((T53+S53)/2)))/(T53-S53)</f>
        <v>0.010364</v>
      </c>
      <c r="M53" t="str">
        <f>(AN53*(S53-R53))/(100*U53*(1000-S53))*1000</f>
        <v>0.115035</v>
      </c>
      <c r="N53" t="str">
        <v>0.713194</v>
      </c>
      <c r="O53" t="str">
        <v>0.710253</v>
      </c>
      <c r="P53" t="str">
        <f>0.61365*EXP((17.502*AL53)/(240.97+AL53))</f>
        <v>1.713015</v>
      </c>
      <c r="Q53" t="str">
        <f>P53-N53</f>
        <v>0.999821</v>
      </c>
      <c r="R53" t="str">
        <v>7.780457</v>
      </c>
      <c r="S53" t="str">
        <v>7.812677</v>
      </c>
      <c r="T53" t="str">
        <f>(P53/AM53)*1000</f>
        <v>18.765211</v>
      </c>
      <c r="U53" t="str">
        <f>V53*BG53</f>
        <v>0.441786</v>
      </c>
      <c r="V53" t="str">
        <v>7.500000</v>
      </c>
      <c r="W53" t="str">
        <v>PSF-00438_20251204105752_2c5</v>
      </c>
      <c r="X53" t="str">
        <v>133.646973</v>
      </c>
      <c r="Y53" t="str">
        <v>375.289307</v>
      </c>
      <c r="Z53" t="str">
        <v>0.643883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0.163588</v>
      </c>
      <c r="AG53" t="str">
        <v>1.000000</v>
      </c>
      <c r="AH53" t="str">
        <v>36.09</v>
      </c>
      <c r="AI53" t="str">
        <v>35.94</v>
      </c>
      <c r="AJ53" t="str">
        <v>17.26</v>
      </c>
      <c r="AK53" t="str">
        <v>15.01</v>
      </c>
      <c r="AL53" t="str">
        <f>(AK53-AJ53)*(AJ53*0+0)+AK53</f>
        <v>15.01</v>
      </c>
      <c r="AM53" t="str">
        <v>91.29</v>
      </c>
      <c r="AN53" t="str">
        <v>156.5</v>
      </c>
      <c r="AO53" t="str">
        <v>158.9</v>
      </c>
      <c r="AP53" t="str">
        <v>-1.5</v>
      </c>
      <c r="AQ53" t="str">
        <v>1</v>
      </c>
      <c r="AR53" t="str">
        <v>4.092</v>
      </c>
      <c r="AS53" t="str">
        <v>10:50:53</v>
      </c>
      <c r="AT53" t="str">
        <v>2025-12-04</v>
      </c>
      <c r="AU53" t="str">
        <v>0.04</v>
      </c>
      <c r="AV53" t="str">
        <v>1</v>
      </c>
      <c r="AW53" t="str">
        <v>0.001</v>
      </c>
      <c r="AX53" t="str">
        <v>-9999.000</v>
      </c>
      <c r="AY53" t="str">
        <v>-9999.000</v>
      </c>
      <c r="AZ53" t="str">
        <v>0.169</v>
      </c>
      <c r="BA53" t="str">
        <v>-9999.000</v>
      </c>
      <c r="BB53" t="str">
        <v>-9999.000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6000</v>
      </c>
      <c r="BQ53" t="str">
        <v>5</v>
      </c>
      <c r="BR53" t="str">
        <v>5.000000</v>
      </c>
      <c r="BS53" t="str">
        <v>2.000000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2.449923</v>
      </c>
      <c r="CD53" t="str">
        <v>2.464160</v>
      </c>
      <c r="CE53" t="str">
        <v>1.653783</v>
      </c>
      <c r="CF53" t="str">
        <v>0.943711</v>
      </c>
      <c r="CG53" t="str">
        <v>0.372060</v>
      </c>
      <c r="CH53" t="str">
        <v>-0.022539</v>
      </c>
      <c r="CI53" t="str">
        <v>0.400129</v>
      </c>
      <c r="CJ53" t="str">
        <v>0.107872</v>
      </c>
      <c r="CK53" t="str">
        <v>133.646973</v>
      </c>
      <c r="CL53" t="str">
        <v>0.000234</v>
      </c>
      <c r="CM53" t="str">
        <v>2.388960</v>
      </c>
      <c r="CN53" t="str">
        <v>-0.000025</v>
      </c>
      <c r="CO53" t="str">
        <v>1.000000</v>
      </c>
      <c r="CP53" t="str">
        <v>2.402765</v>
      </c>
      <c r="CQ53" t="str">
        <v>-0.000034</v>
      </c>
      <c r="CR53" t="str">
        <v>1.000000</v>
      </c>
      <c r="CS53" t="str">
        <v>0.600816</v>
      </c>
      <c r="CT53" t="str">
        <v>0.600971</v>
      </c>
      <c r="CU53" t="str">
        <v>0.107301</v>
      </c>
      <c r="CV53" t="str">
        <v>0.000000</v>
      </c>
      <c r="CW53" t="str">
        <v>PSF-00438_20251204105752_2c5</v>
      </c>
      <c r="CX53" t="str">
        <v>PFA-00474</v>
      </c>
      <c r="CY53" t="str">
        <v>PSA-00486</v>
      </c>
      <c r="CZ53" t="str">
        <v>PSF-00438</v>
      </c>
      <c r="DA53" t="str">
        <v>RHS-00603</v>
      </c>
      <c r="DB53" t="str">
        <v>3.0.0</v>
      </c>
      <c r="DC53" t="str">
        <v>2025-10-05T12:52:23.367Z</v>
      </c>
    </row>
    <row r="54">
      <c r="A54" t="str">
        <v>26</v>
      </c>
      <c r="B54" t="str">
        <v>10:58:24</v>
      </c>
      <c r="C54" t="str">
        <v>2025-12-04</v>
      </c>
      <c r="D54" t="str">
        <v>g34p_dark</v>
      </c>
      <c r="E54" t="str">
        <v>mrk</v>
      </c>
      <c r="F54" t="str">
        <v/>
      </c>
      <c r="G54" t="str">
        <v/>
      </c>
      <c r="H54" t="str">
        <v>2547_Tri_pink</v>
      </c>
      <c r="I54" t="str">
        <v/>
      </c>
      <c r="J54" t="str">
        <f>1/((1/L54)-(1/K54))</f>
        <v>0.015913</v>
      </c>
      <c r="K54" t="str">
        <f>BH54+(BI54*AN54)+(BJ54*AN54*POWER(V54,2))+(BK54*AN54*V54)+(BL54*POWER(AN54,2))</f>
        <v>2.922044</v>
      </c>
      <c r="L54" t="str">
        <f>((M54/1000)*(1000-((T54+S54)/2)))/(T54-S54)</f>
        <v>0.015827</v>
      </c>
      <c r="M54" t="str">
        <f>(AN54*(S54-R54))/(100*U54*(1000-S54))*1000</f>
        <v>0.178049</v>
      </c>
      <c r="N54" t="str">
        <v>0.705536</v>
      </c>
      <c r="O54" t="str">
        <v>0.700991</v>
      </c>
      <c r="P54" t="str">
        <f>0.61365*EXP((17.502*AL54)/(240.97+AL54))</f>
        <v>1.718732</v>
      </c>
      <c r="Q54" t="str">
        <f>P54-N54</f>
        <v>1.013196</v>
      </c>
      <c r="R54" t="str">
        <v>7.679886</v>
      </c>
      <c r="S54" t="str">
        <v>7.729681</v>
      </c>
      <c r="T54" t="str">
        <f>(P54/AM54)*1000</f>
        <v>18.830002</v>
      </c>
      <c r="U54" t="str">
        <f>V54*BG54</f>
        <v>0.441786</v>
      </c>
      <c r="V54" t="str">
        <v>7.500000</v>
      </c>
      <c r="W54" t="str">
        <v>PSF-00438_20251204105824_585</v>
      </c>
      <c r="X54" t="str">
        <v>296.742096</v>
      </c>
      <c r="Y54" t="str">
        <v>324.775085</v>
      </c>
      <c r="Z54" t="str">
        <v>0.086315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0.058262</v>
      </c>
      <c r="AG54" t="str">
        <v>1.000000</v>
      </c>
      <c r="AH54" t="str">
        <v>35.77</v>
      </c>
      <c r="AI54" t="str">
        <v>35.54</v>
      </c>
      <c r="AJ54" t="str">
        <v>17.23</v>
      </c>
      <c r="AK54" t="str">
        <v>15.07</v>
      </c>
      <c r="AL54" t="str">
        <f>(AK54-AJ54)*(AJ54*0+0)+AK54</f>
        <v>15.07</v>
      </c>
      <c r="AM54" t="str">
        <v>91.28</v>
      </c>
      <c r="AN54" t="str">
        <v>156.7</v>
      </c>
      <c r="AO54" t="str">
        <v>158.7</v>
      </c>
      <c r="AP54" t="str">
        <v>-1.3</v>
      </c>
      <c r="AQ54" t="str">
        <v>2</v>
      </c>
      <c r="AR54" t="str">
        <v>4.091</v>
      </c>
      <c r="AS54" t="str">
        <v>10:50:53</v>
      </c>
      <c r="AT54" t="str">
        <v>2025-12-04</v>
      </c>
      <c r="AU54" t="str">
        <v>0.04</v>
      </c>
      <c r="AV54" t="str">
        <v>1</v>
      </c>
      <c r="AW54" t="str">
        <v>-0.018</v>
      </c>
      <c r="AX54" t="str">
        <v>-0.082</v>
      </c>
      <c r="AY54" t="str">
        <v>-0.012</v>
      </c>
      <c r="AZ54" t="str">
        <v>-0.159</v>
      </c>
      <c r="BA54" t="str">
        <v>168.081</v>
      </c>
      <c r="BB54" t="str">
        <v>210.201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6000</v>
      </c>
      <c r="BQ54" t="str">
        <v>5</v>
      </c>
      <c r="BR54" t="str">
        <v>5.000000</v>
      </c>
      <c r="BS54" t="str">
        <v>2.000000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2.449356</v>
      </c>
      <c r="CD54" t="str">
        <v>2.463707</v>
      </c>
      <c r="CE54" t="str">
        <v>1.655851</v>
      </c>
      <c r="CF54" t="str">
        <v>0.943286</v>
      </c>
      <c r="CG54" t="str">
        <v>0.372524</v>
      </c>
      <c r="CH54" t="str">
        <v>-0.021670</v>
      </c>
      <c r="CI54" t="str">
        <v>0.402023</v>
      </c>
      <c r="CJ54" t="str">
        <v>0.108819</v>
      </c>
      <c r="CK54" t="str">
        <v>296.742096</v>
      </c>
      <c r="CL54" t="str">
        <v>0.000232</v>
      </c>
      <c r="CM54" t="str">
        <v>2.388960</v>
      </c>
      <c r="CN54" t="str">
        <v>-0.000025</v>
      </c>
      <c r="CO54" t="str">
        <v>1.000000</v>
      </c>
      <c r="CP54" t="str">
        <v>2.402765</v>
      </c>
      <c r="CQ54" t="str">
        <v>-0.000034</v>
      </c>
      <c r="CR54" t="str">
        <v>1.000000</v>
      </c>
      <c r="CS54" t="str">
        <v>0.600816</v>
      </c>
      <c r="CT54" t="str">
        <v>0.600971</v>
      </c>
      <c r="CU54" t="str">
        <v>0.107301</v>
      </c>
      <c r="CV54" t="str">
        <v>0.000000</v>
      </c>
      <c r="CW54" t="str">
        <v>PSF-00438_20251204105824_585</v>
      </c>
      <c r="CX54" t="str">
        <v>PFA-00474</v>
      </c>
      <c r="CY54" t="str">
        <v>PSA-00486</v>
      </c>
      <c r="CZ54" t="str">
        <v>PSF-00438</v>
      </c>
      <c r="DA54" t="str">
        <v>RHS-00603</v>
      </c>
      <c r="DB54" t="str">
        <v>3.0.0</v>
      </c>
      <c r="DC54" t="str">
        <v>2025-10-05T12:52:23.367Z</v>
      </c>
    </row>
    <row r="55">
      <c r="A55" t="str">
        <v>27</v>
      </c>
      <c r="B55" t="str">
        <v>10:58:57</v>
      </c>
      <c r="C55" t="str">
        <v>2025-12-04</v>
      </c>
      <c r="D55" t="str">
        <v>g34p_dark</v>
      </c>
      <c r="E55" t="str">
        <v>mrk</v>
      </c>
      <c r="F55" t="str">
        <v/>
      </c>
      <c r="G55" t="str">
        <v/>
      </c>
      <c r="H55" t="str">
        <v>5267_Tri_pink</v>
      </c>
      <c r="I55" t="str">
        <v/>
      </c>
      <c r="J55" t="str">
        <f>1/((1/L55)-(1/K55))</f>
        <v>0.015437</v>
      </c>
      <c r="K55" t="str">
        <f>BH55+(BI55*AN55)+(BJ55*AN55*POWER(V55,2))+(BK55*AN55*V55)+(BL55*POWER(AN55,2))</f>
        <v>2.919865</v>
      </c>
      <c r="L55" t="str">
        <f>((M55/1000)*(1000-((T55+S55)/2)))/(T55-S55)</f>
        <v>0.015355</v>
      </c>
      <c r="M55" t="str">
        <f>(AN55*(S55-R55))/(100*U55*(1000-S55))*1000</f>
        <v>0.156777</v>
      </c>
      <c r="N55" t="str">
        <v>0.713224</v>
      </c>
      <c r="O55" t="str">
        <v>0.709215</v>
      </c>
      <c r="P55" t="str">
        <f>0.61365*EXP((17.502*AL55)/(240.97+AL55))</f>
        <v>1.633196</v>
      </c>
      <c r="Q55" t="str">
        <f>P55-N55</f>
        <v>0.919972</v>
      </c>
      <c r="R55" t="str">
        <v>7.769774</v>
      </c>
      <c r="S55" t="str">
        <v>7.813693</v>
      </c>
      <c r="T55" t="str">
        <f>(P55/AM55)*1000</f>
        <v>17.892405</v>
      </c>
      <c r="U55" t="str">
        <f>V55*BG55</f>
        <v>0.441786</v>
      </c>
      <c r="V55" t="str">
        <v>7.500000</v>
      </c>
      <c r="W55" t="str">
        <v>PSF-00438_20251204105857_ea8</v>
      </c>
      <c r="X55" t="str">
        <v>150.384659</v>
      </c>
      <c r="Y55" t="str">
        <v>187.514313</v>
      </c>
      <c r="Z55" t="str">
        <v>0.198010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0.274155</v>
      </c>
      <c r="AG55" t="str">
        <v>1.000000</v>
      </c>
      <c r="AH55" t="str">
        <v>36.23</v>
      </c>
      <c r="AI55" t="str">
        <v>36.02</v>
      </c>
      <c r="AJ55" t="str">
        <v>17.20</v>
      </c>
      <c r="AK55" t="str">
        <v>14.28</v>
      </c>
      <c r="AL55" t="str">
        <f>(AK55-AJ55)*(AJ55*0+0)+AK55</f>
        <v>14.28</v>
      </c>
      <c r="AM55" t="str">
        <v>91.28</v>
      </c>
      <c r="AN55" t="str">
        <v>156.5</v>
      </c>
      <c r="AO55" t="str">
        <v>158.7</v>
      </c>
      <c r="AP55" t="str">
        <v>-1.4</v>
      </c>
      <c r="AQ55" t="str">
        <v>3</v>
      </c>
      <c r="AR55" t="str">
        <v>4.091</v>
      </c>
      <c r="AS55" t="str">
        <v>10:50:53</v>
      </c>
      <c r="AT55" t="str">
        <v>2025-12-04</v>
      </c>
      <c r="AU55" t="str">
        <v>0.04</v>
      </c>
      <c r="AV55" t="str">
        <v>1</v>
      </c>
      <c r="AW55" t="str">
        <v>-0.032</v>
      </c>
      <c r="AX55" t="str">
        <v>-0.091</v>
      </c>
      <c r="AY55" t="str">
        <v>-0.016</v>
      </c>
      <c r="AZ55" t="str">
        <v>8.176</v>
      </c>
      <c r="BA55" t="str">
        <v>118.727</v>
      </c>
      <c r="BB55" t="str">
        <v>86.142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6000</v>
      </c>
      <c r="BQ55" t="str">
        <v>5</v>
      </c>
      <c r="BR55" t="str">
        <v>5.000000</v>
      </c>
      <c r="BS55" t="str">
        <v>2.000000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2.450059</v>
      </c>
      <c r="CD55" t="str">
        <v>2.464378</v>
      </c>
      <c r="CE55" t="str">
        <v>1.653574</v>
      </c>
      <c r="CF55" t="str">
        <v>0.943132</v>
      </c>
      <c r="CG55" t="str">
        <v>0.372978</v>
      </c>
      <c r="CH55" t="str">
        <v>-0.029537</v>
      </c>
      <c r="CI55" t="str">
        <v>0.403903</v>
      </c>
      <c r="CJ55" t="str">
        <v>0.110415</v>
      </c>
      <c r="CK55" t="str">
        <v>150.384659</v>
      </c>
      <c r="CL55" t="str">
        <v>0.000237</v>
      </c>
      <c r="CM55" t="str">
        <v>2.388960</v>
      </c>
      <c r="CN55" t="str">
        <v>-0.000025</v>
      </c>
      <c r="CO55" t="str">
        <v>1.000000</v>
      </c>
      <c r="CP55" t="str">
        <v>2.402765</v>
      </c>
      <c r="CQ55" t="str">
        <v>-0.000034</v>
      </c>
      <c r="CR55" t="str">
        <v>1.000000</v>
      </c>
      <c r="CS55" t="str">
        <v>0.600816</v>
      </c>
      <c r="CT55" t="str">
        <v>0.600971</v>
      </c>
      <c r="CU55" t="str">
        <v>0.107301</v>
      </c>
      <c r="CV55" t="str">
        <v>0.000000</v>
      </c>
      <c r="CW55" t="str">
        <v>PSF-00438_20251204105857_ea8</v>
      </c>
      <c r="CX55" t="str">
        <v>PFA-00474</v>
      </c>
      <c r="CY55" t="str">
        <v>PSA-00486</v>
      </c>
      <c r="CZ55" t="str">
        <v>PSF-00438</v>
      </c>
      <c r="DA55" t="str">
        <v>RHS-00603</v>
      </c>
      <c r="DB55" t="str">
        <v>3.0.0</v>
      </c>
      <c r="DC55" t="str">
        <v>2025-10-05T12:52:23.367Z</v>
      </c>
    </row>
    <row r="56">
      <c r="A56" t="str">
        <v>28</v>
      </c>
      <c r="B56" t="str">
        <v>10:59:28</v>
      </c>
      <c r="C56" t="str">
        <v>2025-12-04</v>
      </c>
      <c r="D56" t="str">
        <v>g34p_dark</v>
      </c>
      <c r="E56" t="str">
        <v>mrk</v>
      </c>
      <c r="F56" t="str">
        <v/>
      </c>
      <c r="G56" t="str">
        <v/>
      </c>
      <c r="H56" t="str">
        <v>4942_Tri_pink</v>
      </c>
      <c r="I56" t="str">
        <v/>
      </c>
      <c r="J56" t="str">
        <f>1/((1/L56)-(1/K56))</f>
        <v>0.013011</v>
      </c>
      <c r="K56" t="str">
        <f>BH56+(BI56*AN56)+(BJ56*AN56*POWER(V56,2))+(BK56*AN56*V56)+(BL56*POWER(AN56,2))</f>
        <v>2.919924</v>
      </c>
      <c r="L56" t="str">
        <f>((M56/1000)*(1000-((T56+S56)/2)))/(T56-S56)</f>
        <v>0.012953</v>
      </c>
      <c r="M56" t="str">
        <f>(AN56*(S56-R56))/(100*U56*(1000-S56))*1000</f>
        <v>0.151668</v>
      </c>
      <c r="N56" t="str">
        <v>0.717317</v>
      </c>
      <c r="O56" t="str">
        <v>0.713438</v>
      </c>
      <c r="P56" t="str">
        <f>0.61365*EXP((17.502*AL56)/(240.97+AL56))</f>
        <v>1.771646</v>
      </c>
      <c r="Q56" t="str">
        <f>P56-N56</f>
        <v>1.054330</v>
      </c>
      <c r="R56" t="str">
        <v>7.815312</v>
      </c>
      <c r="S56" t="str">
        <v>7.857796</v>
      </c>
      <c r="T56" t="str">
        <f>(P56/AM56)*1000</f>
        <v>19.407381</v>
      </c>
      <c r="U56" t="str">
        <f>V56*BG56</f>
        <v>0.441786</v>
      </c>
      <c r="V56" t="str">
        <v>7.500000</v>
      </c>
      <c r="W56" t="str">
        <v>PSF-00438_20251204105928_d6a</v>
      </c>
      <c r="X56" t="str">
        <v>139.471298</v>
      </c>
      <c r="Y56" t="str">
        <v>214.152939</v>
      </c>
      <c r="Z56" t="str">
        <v>0.348730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0.503465</v>
      </c>
      <c r="AG56" t="str">
        <v>1.000000</v>
      </c>
      <c r="AH56" t="str">
        <v>36.50</v>
      </c>
      <c r="AI56" t="str">
        <v>36.30</v>
      </c>
      <c r="AJ56" t="str">
        <v>17.17</v>
      </c>
      <c r="AK56" t="str">
        <v>15.54</v>
      </c>
      <c r="AL56" t="str">
        <f>(AK56-AJ56)*(AJ56*0+0)+AK56</f>
        <v>15.54</v>
      </c>
      <c r="AM56" t="str">
        <v>91.29</v>
      </c>
      <c r="AN56" t="str">
        <v>156.5</v>
      </c>
      <c r="AO56" t="str">
        <v>158.8</v>
      </c>
      <c r="AP56" t="str">
        <v>-1.5</v>
      </c>
      <c r="AQ56" t="str">
        <v>4</v>
      </c>
      <c r="AR56" t="str">
        <v>4.090</v>
      </c>
      <c r="AS56" t="str">
        <v>10:50:53</v>
      </c>
      <c r="AT56" t="str">
        <v>2025-12-04</v>
      </c>
      <c r="AU56" t="str">
        <v>0.04</v>
      </c>
      <c r="AV56" t="str">
        <v>1</v>
      </c>
      <c r="AW56" t="str">
        <v>-0.001</v>
      </c>
      <c r="AX56" t="str">
        <v>-0.003</v>
      </c>
      <c r="AY56" t="str">
        <v>-0.052</v>
      </c>
      <c r="AZ56" t="str">
        <v>-0.315</v>
      </c>
      <c r="BA56" t="str">
        <v>0.752</v>
      </c>
      <c r="BB56" t="str">
        <v>75.157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6000</v>
      </c>
      <c r="BQ56" t="str">
        <v>5</v>
      </c>
      <c r="BR56" t="str">
        <v>5.000000</v>
      </c>
      <c r="BS56" t="str">
        <v>2.000000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2.450464</v>
      </c>
      <c r="CD56" t="str">
        <v>2.464777</v>
      </c>
      <c r="CE56" t="str">
        <v>1.653636</v>
      </c>
      <c r="CF56" t="str">
        <v>0.943413</v>
      </c>
      <c r="CG56" t="str">
        <v>0.373396</v>
      </c>
      <c r="CH56" t="str">
        <v>-0.016127</v>
      </c>
      <c r="CI56" t="str">
        <v>0.405821</v>
      </c>
      <c r="CJ56" t="str">
        <v>0.110548</v>
      </c>
      <c r="CK56" t="str">
        <v>139.930847</v>
      </c>
      <c r="CL56" t="str">
        <v>0.000234</v>
      </c>
      <c r="CM56" t="str">
        <v>2.388960</v>
      </c>
      <c r="CN56" t="str">
        <v>-0.000025</v>
      </c>
      <c r="CO56" t="str">
        <v>1.000000</v>
      </c>
      <c r="CP56" t="str">
        <v>2.402765</v>
      </c>
      <c r="CQ56" t="str">
        <v>-0.000034</v>
      </c>
      <c r="CR56" t="str">
        <v>1.000000</v>
      </c>
      <c r="CS56" t="str">
        <v>0.600816</v>
      </c>
      <c r="CT56" t="str">
        <v>0.600971</v>
      </c>
      <c r="CU56" t="str">
        <v>0.107301</v>
      </c>
      <c r="CV56" t="str">
        <v>0.000000</v>
      </c>
      <c r="CW56" t="str">
        <v>PSF-00438_20251204105928_d6a</v>
      </c>
      <c r="CX56" t="str">
        <v>PFA-00474</v>
      </c>
      <c r="CY56" t="str">
        <v>PSA-00486</v>
      </c>
      <c r="CZ56" t="str">
        <v>PSF-00438</v>
      </c>
      <c r="DA56" t="str">
        <v>RHS-00603</v>
      </c>
      <c r="DB56" t="str">
        <v>3.0.0</v>
      </c>
      <c r="DC56" t="str">
        <v>2025-10-05T12:52:23.367Z</v>
      </c>
    </row>
    <row r="57">
      <c r="A57" t="str">
        <v>29</v>
      </c>
      <c r="B57" t="str">
        <v>10:59:53</v>
      </c>
      <c r="C57" t="str">
        <v>2025-12-04</v>
      </c>
      <c r="D57" t="str">
        <v>g34p_dark</v>
      </c>
      <c r="E57" t="str">
        <v>mrk</v>
      </c>
      <c r="F57" t="str">
        <v/>
      </c>
      <c r="G57" t="str">
        <v/>
      </c>
      <c r="H57" t="str">
        <v>5115_Tri_pink</v>
      </c>
      <c r="I57" t="str">
        <v/>
      </c>
      <c r="J57" t="str">
        <f>1/((1/L57)-(1/K57))</f>
        <v>0.014908</v>
      </c>
      <c r="K57" t="str">
        <f>BH57+(BI57*AN57)+(BJ57*AN57*POWER(V57,2))+(BK57*AN57*V57)+(BL57*POWER(AN57,2))</f>
        <v>2.922340</v>
      </c>
      <c r="L57" t="str">
        <f>((M57/1000)*(1000-((T57+S57)/2)))/(T57-S57)</f>
        <v>0.014833</v>
      </c>
      <c r="M57" t="str">
        <f>(AN57*(S57-R57))/(100*U57*(1000-S57))*1000</f>
        <v>0.149614</v>
      </c>
      <c r="N57" t="str">
        <v>0.705060</v>
      </c>
      <c r="O57" t="str">
        <v>0.701241</v>
      </c>
      <c r="P57" t="str">
        <f>0.61365*EXP((17.502*AL57)/(240.97+AL57))</f>
        <v>1.614162</v>
      </c>
      <c r="Q57" t="str">
        <f>P57-N57</f>
        <v>0.909102</v>
      </c>
      <c r="R57" t="str">
        <v>7.681715</v>
      </c>
      <c r="S57" t="str">
        <v>7.723549</v>
      </c>
      <c r="T57" t="str">
        <f>(P57/AM57)*1000</f>
        <v>17.682276</v>
      </c>
      <c r="U57" t="str">
        <f>V57*BG57</f>
        <v>0.441786</v>
      </c>
      <c r="V57" t="str">
        <v>7.500000</v>
      </c>
      <c r="W57" t="str">
        <v>PSF-00438_20251204105953_960</v>
      </c>
      <c r="X57" t="str">
        <v>249.833466</v>
      </c>
      <c r="Y57" t="str">
        <v>397.039886</v>
      </c>
      <c r="Z57" t="str">
        <v>0.370760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0.220664</v>
      </c>
      <c r="AG57" t="str">
        <v>1.000000</v>
      </c>
      <c r="AH57" t="str">
        <v>35.93</v>
      </c>
      <c r="AI57" t="str">
        <v>35.73</v>
      </c>
      <c r="AJ57" t="str">
        <v>17.14</v>
      </c>
      <c r="AK57" t="str">
        <v>14.09</v>
      </c>
      <c r="AL57" t="str">
        <f>(AK57-AJ57)*(AJ57*0+0)+AK57</f>
        <v>14.09</v>
      </c>
      <c r="AM57" t="str">
        <v>91.29</v>
      </c>
      <c r="AN57" t="str">
        <v>156.8</v>
      </c>
      <c r="AO57" t="str">
        <v>158.7</v>
      </c>
      <c r="AP57" t="str">
        <v>-1.2</v>
      </c>
      <c r="AQ57" t="str">
        <v>1</v>
      </c>
      <c r="AR57" t="str">
        <v>4.089</v>
      </c>
      <c r="AS57" t="str">
        <v>10:50:53</v>
      </c>
      <c r="AT57" t="str">
        <v>2025-12-04</v>
      </c>
      <c r="AU57" t="str">
        <v>0.04</v>
      </c>
      <c r="AV57" t="str">
        <v>1</v>
      </c>
      <c r="AW57" t="str">
        <v>-0.003</v>
      </c>
      <c r="AX57" t="str">
        <v>-9999.000</v>
      </c>
      <c r="AY57" t="str">
        <v>-9999.000</v>
      </c>
      <c r="AZ57" t="str">
        <v>-0.319</v>
      </c>
      <c r="BA57" t="str">
        <v>-9999.000</v>
      </c>
      <c r="BB57" t="str">
        <v>-9999.000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6000</v>
      </c>
      <c r="BQ57" t="str">
        <v>5</v>
      </c>
      <c r="BR57" t="str">
        <v>5.000000</v>
      </c>
      <c r="BS57" t="str">
        <v>2.000000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2.449654</v>
      </c>
      <c r="CD57" t="str">
        <v>2.463956</v>
      </c>
      <c r="CE57" t="str">
        <v>1.656162</v>
      </c>
      <c r="CF57" t="str">
        <v>0.943063</v>
      </c>
      <c r="CG57" t="str">
        <v>0.373746</v>
      </c>
      <c r="CH57" t="str">
        <v>-0.030856</v>
      </c>
      <c r="CI57" t="str">
        <v>0.407213</v>
      </c>
      <c r="CJ57" t="str">
        <v>0.108639</v>
      </c>
      <c r="CK57" t="str">
        <v>249.833466</v>
      </c>
      <c r="CL57" t="str">
        <v>0.000233</v>
      </c>
      <c r="CM57" t="str">
        <v>2.388960</v>
      </c>
      <c r="CN57" t="str">
        <v>-0.000025</v>
      </c>
      <c r="CO57" t="str">
        <v>1.000000</v>
      </c>
      <c r="CP57" t="str">
        <v>2.402765</v>
      </c>
      <c r="CQ57" t="str">
        <v>-0.000034</v>
      </c>
      <c r="CR57" t="str">
        <v>1.000000</v>
      </c>
      <c r="CS57" t="str">
        <v>0.600816</v>
      </c>
      <c r="CT57" t="str">
        <v>0.600971</v>
      </c>
      <c r="CU57" t="str">
        <v>0.107301</v>
      </c>
      <c r="CV57" t="str">
        <v>0.000000</v>
      </c>
      <c r="CW57" t="str">
        <v>PSF-00438_20251204105953_960</v>
      </c>
      <c r="CX57" t="str">
        <v>PFA-00474</v>
      </c>
      <c r="CY57" t="str">
        <v>PSA-00486</v>
      </c>
      <c r="CZ57" t="str">
        <v>PSF-00438</v>
      </c>
      <c r="DA57" t="str">
        <v>RHS-00603</v>
      </c>
      <c r="DB57" t="str">
        <v>3.0.0</v>
      </c>
      <c r="DC57" t="str">
        <v>2025-10-05T12:52:23.367Z</v>
      </c>
    </row>
  </sheetData>
  <ignoredErrors>
    <ignoredError numberStoredAsText="1" sqref="A1:DC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g34p_dark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